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6765" tabRatio="928"/>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Assessments!$A$1:$C$40</definedName>
    <definedName name="_xlnm.Print_Area" localSheetId="7">'Audit Findings'!$A$1:$F$56</definedName>
    <definedName name="_xlnm.Print_Area" localSheetId="6">'Emerging and Loss Data'!$A$1:$D$30</definedName>
    <definedName name="_xlnm.Print_Area" localSheetId="12">'Entity Material Risk Inventory'!$A$1:$O$302</definedName>
    <definedName name="_xlnm.Print_Area" localSheetId="0">Instructions!$A$1:$F$40</definedName>
    <definedName name="_xlnm.Print_Area" localSheetId="9">Metrics!$A$1:$G$57</definedName>
    <definedName name="_xlnm.Print_Area" localSheetId="4">'New Products'!$A$1:$F$26</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<sst xmlns="http://schemas.openxmlformats.org/spreadsheetml/2006/main" count="1717" uniqueCount="764">
  <si>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</si>
  <si>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</si>
  <si>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</si>
  <si>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</si>
  <si>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</si>
  <si>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</si>
  <si>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</si>
  <si>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</si>
  <si>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</si>
  <si>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</si>
  <si>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</si>
  <si>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</si>
  <si>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</si>
  <si>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</si>
  <si>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</si>
  <si>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</si>
  <si>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</si>
  <si>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</si>
  <si>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</si>
  <si>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</si>
  <si>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</si>
  <si>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</si>
  <si>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</si>
  <si>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</si>
  <si>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</si>
  <si>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</si>
  <si>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</si>
  <si>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</si>
  <si>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</si>
  <si>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</si>
  <si>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</si>
  <si>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</si>
  <si>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</si>
  <si>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</si>
  <si>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</si>
  <si>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</si>
  <si>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</si>
  <si>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</si>
  <si>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</si>
  <si>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</si>
  <si>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</si>
  <si>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</si>
  <si>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</si>
  <si>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</si>
  <si>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</si>
  <si>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</si>
  <si>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</si>
  <si>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</si>
  <si>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</si>
  <si>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</si>
  <si>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</si>
  <si>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</si>
  <si>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</si>
  <si>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</si>
  <si>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</si>
  <si>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</si>
  <si>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</si>
  <si>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</si>
  <si>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</si>
  <si>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</si>
  <si>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</si>
  <si>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</si>
  <si>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</si>
  <si>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</si>
  <si>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</si>
  <si>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</si>
  <si>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</si>
  <si>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</si>
  <si>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</si>
  <si>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</si>
  <si>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</si>
  <si>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</si>
  <si>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</si>
  <si>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</si>
  <si>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</si>
  <si>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</si>
  <si>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</si>
  <si>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</si>
  <si>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</si>
  <si>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</si>
  <si>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</si>
  <si>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</si>
  <si>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</si>
  <si>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</si>
  <si>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</si>
  <si>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</si>
  <si>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</si>
  <si>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</si>
  <si>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</si>
  <si>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</si>
  <si>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</si>
  <si>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</si>
  <si>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</si>
  <si>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</si>
  <si>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</si>
  <si>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</si>
  <si>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</si>
  <si>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</si>
  <si>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</si>
  <si>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</si>
  <si>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</si>
  <si>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</si>
  <si>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</si>
  <si>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</si>
  <si>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</si>
  <si>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</si>
  <si>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</si>
  <si>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</si>
  <si>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</si>
  <si>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</si>
  <si>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</si>
  <si>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</si>
  <si>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</si>
  <si>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</si>
  <si>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</si>
  <si>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</si>
  <si>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</si>
  <si>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</si>
  <si>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</si>
  <si>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</si>
  <si>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</si>
  <si>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</si>
  <si>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</si>
  <si>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</si>
  <si>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</si>
  <si>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</si>
  <si>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</si>
  <si>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</si>
  <si>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</si>
  <si>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</si>
  <si>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</si>
  <si>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</si>
  <si>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</si>
  <si>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</si>
  <si>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</si>
  <si>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</si>
  <si>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</si>
  <si>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</si>
  <si>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</si>
  <si>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</si>
  <si>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</si>
  <si>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</si>
  <si>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</si>
  <si>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</si>
  <si>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</si>
  <si>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</si>
  <si>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</si>
  <si>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</si>
  <si>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</si>
  <si>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</si>
  <si>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</si>
  <si>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</si>
  <si>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</si>
  <si>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</si>
  <si>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</si>
  <si>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</si>
  <si>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</si>
  <si>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</si>
  <si>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</si>
  <si>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</si>
  <si>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</si>
  <si>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</si>
  <si>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</si>
  <si>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</si>
  <si>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</si>
  <si>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</si>
  <si>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</si>
  <si>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</si>
  <si>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</si>
  <si>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</si>
  <si>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</si>
  <si>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</si>
  <si>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</si>
  <si>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</si>
  <si>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</si>
  <si>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</si>
  <si>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</si>
  <si>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</si>
  <si>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</si>
  <si>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</si>
  <si>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</si>
  <si>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</si>
  <si>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</si>
  <si>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</si>
  <si>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</si>
  <si>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</si>
  <si>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</si>
  <si>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</si>
  <si>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</si>
  <si>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</si>
  <si>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</si>
  <si>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</si>
  <si>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</si>
  <si>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</si>
  <si>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</si>
  <si>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</si>
  <si>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</si>
  <si>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</si>
  <si>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</si>
  <si>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</si>
  <si>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</si>
  <si>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</si>
  <si>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</si>
  <si>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</si>
  <si>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</si>
  <si>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</si>
  <si>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</si>
  <si>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</si>
  <si>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</si>
  <si>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</si>
  <si>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</si>
  <si>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</si>
  <si>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</si>
  <si>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</si>
  <si>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</si>
  <si>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</si>
  <si>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</si>
  <si>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</si>
  <si>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</si>
  <si>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</si>
  <si>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</si>
  <si>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</si>
  <si>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</si>
  <si>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</si>
  <si>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</si>
  <si>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</si>
  <si>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</si>
  <si>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</si>
  <si>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</si>
  <si>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</si>
  <si>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</si>
  <si>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</si>
  <si>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</si>
  <si>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</si>
  <si>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</si>
  <si>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</si>
  <si>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</si>
  <si>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</si>
  <si>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</si>
  <si>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</si>
  <si>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</si>
  <si>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</si>
  <si>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</si>
  <si>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</si>
  <si>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</si>
  <si>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</si>
  <si>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</si>
  <si>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</si>
  <si>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</si>
  <si>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</si>
  <si>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</si>
  <si>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</si>
  <si>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</si>
  <si>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</si>
  <si>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</si>
  <si>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</si>
  <si>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</si>
  <si>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</si>
  <si>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</si>
  <si>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</si>
  <si>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</si>
  <si>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</si>
  <si>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</si>
  <si>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</si>
  <si>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</si>
  <si>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</si>
  <si>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</si>
  <si>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</si>
  <si>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</si>
  <si>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</si>
  <si>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</si>
  <si>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</si>
  <si>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</si>
  <si>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</si>
  <si>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</si>
  <si>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</si>
  <si>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</si>
  <si>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</si>
  <si>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</si>
  <si>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</si>
  <si>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</si>
  <si>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</si>
  <si>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</si>
  <si>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</si>
  <si>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</si>
  <si>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</si>
  <si>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</si>
  <si>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</si>
  <si>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</si>
  <si>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</si>
  <si>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</si>
  <si>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</si>
  <si>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</si>
  <si>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</si>
  <si>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</si>
  <si>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</si>
  <si>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</si>
  <si>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</si>
  <si>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</si>
  <si>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</si>
  <si>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</si>
  <si>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</si>
  <si>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</si>
  <si>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</si>
  <si>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</si>
  <si>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</si>
  <si>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</si>
  <si>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</si>
  <si>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</si>
  <si>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</si>
  <si>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</si>
  <si>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</si>
  <si>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</si>
  <si>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</si>
  <si>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</si>
  <si>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</si>
  <si>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</si>
  <si>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</si>
  <si>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</si>
  <si>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</si>
  <si>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</si>
  <si>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</si>
  <si>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</si>
  <si>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</si>
  <si>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</si>
  <si>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</si>
  <si>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</si>
  <si>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</si>
  <si>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</si>
  <si>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</si>
  <si>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</si>
  <si>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</si>
  <si>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</si>
  <si>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</si>
  <si>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</si>
  <si>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</si>
  <si>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</si>
  <si>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</si>
  <si>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</si>
  <si>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</si>
  <si>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</si>
  <si>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</si>
  <si>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</si>
  <si>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</si>
  <si>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</si>
  <si>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</si>
  <si>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</si>
  <si>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</si>
  <si>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</si>
  <si>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</si>
  <si>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</si>
  <si>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</si>
  <si>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</si>
  <si>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</si>
  <si>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</si>
  <si>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</si>
  <si>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</si>
  <si>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</si>
  <si>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</si>
  <si>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</si>
  <si>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</si>
  <si>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</si>
  <si>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</si>
  <si>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</si>
  <si>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</si>
  <si>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</si>
  <si>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</si>
  <si>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</si>
  <si>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</si>
  <si>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</si>
  <si>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</si>
  <si>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</si>
  <si>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</si>
  <si>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</si>
  <si>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</si>
  <si>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</si>
  <si>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</si>
  <si>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</si>
  <si>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</si>
  <si>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</si>
  <si>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</si>
  <si>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</si>
  <si>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</si>
  <si>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</si>
  <si>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</si>
  <si>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</si>
  <si>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</si>
  <si>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</si>
  <si>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</si>
  <si>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</si>
  <si>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</si>
  <si>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</si>
  <si>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</si>
  <si>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</si>
  <si>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</si>
  <si>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</si>
  <si>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</si>
  <si>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</si>
  <si>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</si>
  <si>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</si>
  <si>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</si>
  <si>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</si>
  <si>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</si>
  <si>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</si>
  <si>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</si>
  <si>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</si>
  <si>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</si>
  <si>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</si>
  <si>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</si>
  <si>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</si>
  <si>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</si>
  <si>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</si>
  <si>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</si>
  <si>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</si>
  <si>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</si>
  <si>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</si>
  <si>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</si>
  <si>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</si>
  <si>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</si>
  <si>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</si>
  <si>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</si>
  <si>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</si>
  <si>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</si>
  <si>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</si>
  <si>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</si>
  <si>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</si>
  <si>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</si>
  <si>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</si>
  <si>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</si>
  <si>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</si>
  <si>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</si>
  <si>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</si>
  <si>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</si>
  <si>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</si>
  <si>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</si>
  <si>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</si>
  <si>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</si>
  <si>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</si>
  <si>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</si>
  <si>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</si>
  <si>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</si>
  <si>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</si>
  <si>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</si>
  <si>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</si>
  <si>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</si>
  <si>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</si>
  <si>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</si>
  <si>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</si>
  <si>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</si>
  <si>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</si>
  <si>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</si>
  <si>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</si>
  <si>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</si>
  <si>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</si>
  <si>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</si>
  <si>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</si>
  <si>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</si>
  <si>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</si>
  <si>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</si>
  <si>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</si>
  <si>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</si>
  <si>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</si>
  <si>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</si>
  <si>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</si>
  <si>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</si>
  <si>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</si>
  <si>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</si>
  <si>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</si>
  <si>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</si>
  <si>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</si>
  <si>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</si>
  <si>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</si>
  <si>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</si>
  <si>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</si>
  <si>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</si>
  <si>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</si>
  <si>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</si>
  <si>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</si>
  <si>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</si>
  <si>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</si>
  <si>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</si>
  <si>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</si>
  <si>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</si>
  <si>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</si>
  <si>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</si>
  <si>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</si>
  <si>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</si>
  <si>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</si>
  <si>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</si>
  <si>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</si>
  <si>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</si>
  <si>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</si>
  <si>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</si>
  <si>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</si>
  <si>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</si>
  <si>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</si>
  <si>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</si>
  <si>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</si>
  <si>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</si>
  <si>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</si>
  <si>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</si>
  <si>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</si>
  <si>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</si>
  <si>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</si>
  <si>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</si>
  <si>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</si>
  <si>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</si>
  <si>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</si>
  <si>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</si>
  <si>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</si>
  <si>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</si>
  <si>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</si>
  <si>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</si>
  <si>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</si>
  <si>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</si>
  <si>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</si>
  <si>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</si>
  <si>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</si>
  <si>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</si>
  <si>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</si>
  <si>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</si>
  <si>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</si>
  <si>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</si>
  <si>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</si>
  <si>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</si>
  <si>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</si>
  <si>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</si>
  <si>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</si>
  <si>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</si>
  <si>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</si>
  <si>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</si>
  <si>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</si>
  <si>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</si>
  <si>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</si>
  <si>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t>Cards Business, Customer Relationship Management, Products and Segments, Small Business Banking</t>
  </si>
  <si>
    <t>Quality of data, one source of data</t>
  </si>
  <si>
    <t>Risk of inaccurate customer and campaign models, financial reporting activities, and data quality errors caused by not maintaining an enterprise-wide single source of customer data and information infrastructure which may result in misuse of customer information to appropriately create campaign modeling techniques, inaccurate sales and marketing outreach focus, and failure to produce accurate financial reporting and non-compliance with applicable laws.</t>
  </si>
  <si>
    <t>1. CRM control model phase 1, additional enhancements to CRM model to include monitoring and measurement of data elements against expected targets.
2. ONE application - CIP/KYC required inputs at New Account Opening and compliance review of data displayed.
3. Line of Business manual reconciliations and quality control oversight activities are in place for specified data elements and systems.</t>
  </si>
  <si>
    <t>Retail Banking customer data is utilized for Sales &amp; Marketing, Portfolio Management, Strategic Planning.  Within Retail Banking, data inputs are relied upon in order to compile financial forecasts (strategic plan, budget, etc).  Inaccurate or inconsistent data can lead to compliance issues related to privacy breaches or fair lending issues in addition to decision making based on wrong assumptions resulting in programs that don't meet financial objectives. Impact to Retail programs at a rate of 10% reduction in revenue due to faulty assumptions will yield multi-million dollar P&amp;L reduction. Marketing to customers who have opted out of marketing will result in penalties, fines, reputational risk, and customer attrition accumulating to well above $5M annually. Inaccurate data inputs may result in inaccurate financial forecasting models with residual impact to the business for producing inaccurate resource and budget planning with direct impact to achieving Retail Banking strategic objectives. Review of the small business accounts cited with CIP or CDD gaps closed annually multiplied by the average revenue per account resulted in credit application processing time to decision increased by an average of 3 days.  The impact of the extra manual activity and time of Q1 was estimated to be a negative net impact of 10% to sales and a loss of commitments of $6MM. Overall data quality inefficiencies may result in losses that exceed $50MM in stressed environments.</t>
  </si>
  <si>
    <t>Cards Business, Mortgage, Small Business Banking</t>
  </si>
  <si>
    <t>Default risk due to extension of credit dependent on macro-economic environment</t>
  </si>
  <si>
    <t>Unemployment (Up), Interest Rates (Up), Consumer Confidence (Down), Housing Prices (Up)</t>
  </si>
  <si>
    <t>Risk of default for Santander customer base caused by various macro-economic environment impacts to customers due to increasing unemployment rates and/or loss of income, along with increasing interest rates which may result in Santander liability to cover consumer debt obligations.</t>
  </si>
  <si>
    <t>1. Portfolio minimum credit requirements reduce loss exposure by limiting origination LTV to less than 80% &amp; Fico scores over 680. 
2. Underwriting exceptions monitored each month; use of automated underwriting engines.
3. Cards Portfolio Management monitoring health of portfolio to determine portfolio strategies requiring adjustment to mitigate loss due to conditions not under the bank's control.
4. Small Business monitoring of key metrics and use of credit risk mitigants (i.e. collateral). 
5. Retail Banking Line of Business scorecards and oversight/evaluation of customer creditworthiness.</t>
  </si>
  <si>
    <t>Macroeconomic shocks in the economy can have a direct impact on the Bank's credit card customers, and the profitability of our credit card portfolio. A sudden increase in unemployment, decrease in housing prices, or a shock in interest rates can result in an increase in losses and charged off accounts.  Small business sector concentration of 15% and geographic concentration of 30% impact; under the distressed conditions approximately 30% of the sector or region would result in loss revenue. Mortgage annual impact to delinquency will start to grow as unemployment continues to increase; PD increases 10% resulting in approximate impact of $2.8MM.  Stressed environment impact results in PD increases from 2% to 5%; resulting in constant impact of $42 million. Anticipation of 35% reduction in home values, PD increases from 2% to 5% due to credit and unemployment, another 2% due to strategic defaults and LGD grows from 20% to 30%; total stressed loss is at minimum of $105MM. Given the size of Retail Banking Card/Mortgage/Small Business portfolio, consolidated with the difficulty to predict economic trending movements, Retail Banking impact to result in losses of approximately $5-50MM in the next 12 months, and $250-$500MM under stressed conditions. Estimate assumes particular business sector or geographic region could be impacted by external conditions, and as a result suffer a deterioration in credit quality.   The deterioration in credit quality would result in increased NPL levels and loss of revenue within the sector or region (for stressed scenario).</t>
  </si>
  <si>
    <t>Cards Business, Customer Relationship Management, Small Business, Digital Banking, Marketing</t>
  </si>
  <si>
    <t>Cyber attacks and technology system infrastructure inefficiencies</t>
  </si>
  <si>
    <t xml:space="preserve">Risk of cyber attacks, business disruption, and service failures within Retail Banking Lines of Business caused by changing technology environment coupled with Santander technology system infrastructure support inefficiencies and security safeguard enhancement requirements which may result in information security breaches &amp; decreasing customer confidence </t>
  </si>
  <si>
    <t>Risk of heightened customer dissatisfaction and negative customer experience due to perceived lack of segmentation, processing and servicing abilities, and reduced product offering and support compared to competitors which may result in negative social media attention or news coverage and reduction in onboarding and retaining customer base.</t>
  </si>
  <si>
    <t>Negative customer satisfaction; effective management of customer complaints</t>
  </si>
  <si>
    <t>Products and Segments, Small Business Banking, Customer Experience/Complaints Management</t>
  </si>
  <si>
    <t>1. Complaints management Quality Control monitoring, root cause analysis, and implementation of mitigation action.
2. Customer experience improvement to include "Happy Branch" and "Happy Customer", ONE Customer relationship tool; Santander Assist Line;  CARE; 360 Service Satisfaction Process; Advanced Teller enhancements ; Image-enabled ATM's; PC upgrades in branches and training rooms
3. Line of Business specific monitoring and reporting of customer satisfaction and identify areas of concerns
4. Leadership focused  problem resolution for escalated complaints</t>
  </si>
  <si>
    <t>Customer experience and dissatisfaction has a direct financial Impact to the Retail Bank as business revenue is driven by perception of consumer interactions (positive and negative).  Competitive banking industry and environment is heavily dependent on consumer satisfaction and consumer volatility due to negative experiences may results in a direct loss of customer base resulting in immediate annual impact of $1-5MM. Continual loss of revenue may be experienced with Santander's Bank inability to deliver exception customer experience enhancements with residual result in a stressed environment being materialized by a loss in customer revenue, account closures, and decrease in customer base by 5% annually; net material impact in a stressed environment anticipated at $50-$250MM.</t>
  </si>
  <si>
    <t xml:space="preserve">Management succession planning, retention of risk expertise colleagues </t>
  </si>
  <si>
    <t>Products and Segments, Digital Banking, Network, Retail Banking</t>
  </si>
  <si>
    <t>Risk of Santander Bank to adequately identify, onboard and retain team members with the appropriate level of risk management expertise/awareness required to recognize inherent risks within the Retail Lines of Business as well as implement risk management methodology within the Retail Bank caused by a lack of personnel resources available internal to the Bank and within the market place which may result in lack of ability to manage/identify risk exposure, maintain high risk practices standards, and decreased ability to maintain proper succession planning.</t>
  </si>
  <si>
    <t>Inability for Retail Banking to onboard and identify key personnel to oversee risk management principles within each Line of Business may result in the lack of identification of key material risks impact each business unit.  Lack of establishing risk-focused business routines decreased awareness of regulatory and operational shortfalls within the business which may result in direct loss to revenue due to increased fraud activity, operational inefficiency constraints on budget, and potential violations and fines for lack of maintaining strong control environment within each Line of Business.</t>
  </si>
  <si>
    <t>Adequacy of control monitoring and Quality Assurance oversight within FLOD</t>
  </si>
  <si>
    <t>Digital Banking, Network</t>
  </si>
  <si>
    <t>Risk of Retail Banking Lines of Business inability to properly identify key policy and procedure inefficiencies or breakdowns, as well as a lack of maintaining appropriate visibility to business activities through risk identification practices caused by the lack of implementation of a properly defined and segregated control testing framework across the Retail Banking Lines of Business which may result in a decreased ability to identify key process breakdowns leading to business procedure inefficiencies and heightened risk exposure levels.</t>
  </si>
  <si>
    <t xml:space="preserve">Business practices are serving as controls to ensure servicing functions are being executed as per procedures; however there exists a lack of strong control oversight and formal control testing in place for the Retail Banking Lines of Business. Access management procedures minimizes the impact to the business; however additional enhancements are required to address additional operational inefficiencies. Lack of a control testing and monitoring environment results in losses due to an inability to properly identify and address fraudulent activities and execution failures which are materialized annually in the $5-$50MM range. Stressed environment and additional risk exposure may manifest into Bank wide inefficiencies, external/internal theft, improper activities such as new account opening and customer authentication, and data breaches with a residual stressed impact of $50-$250MM.
</t>
  </si>
  <si>
    <t>Vendor management contingency, activity monitoring, and contract adherence</t>
  </si>
  <si>
    <t>Risk of maintaining appropriate oversight management activities for Retail Banking vendors as well as risk of ensuring Retail Banking has an appropriate vendor contingency plan for continual service/product support caused by lack of identified backup vendor support and inadequate control environment to ensure vendor adherence to contract requirements, customer data storage protocols, and service level agreement objectives are met across Santander Business Units; may result in negative impact to customer service model &amp; support for Santander Bank customer base.</t>
  </si>
  <si>
    <t xml:space="preserve">Digital Banking, Marketing, Customer Relationship Management </t>
  </si>
  <si>
    <t>Disruptions in systems/processes due to manual processing requirements</t>
  </si>
  <si>
    <t>Digital Banking, Marketing, Small Business Banking, Network</t>
  </si>
  <si>
    <t>1. Implementation of quality control and second reviews/approvals for Line of Business functions (BCI, call monitoring, manual second reviews for identified high risk transaction types). 
2. Key Risk Indicator and trending analysis on high risk activities
3. Procedure documentation within Line of Businesses
4. Authority Level Matrix and transaction threshold implemented for systematic limitations of process risk exposure.</t>
  </si>
  <si>
    <t>Risk of execution and delivery failure due to the extensive levels of manual processing requirements across Retail Lines of Business which may result in transaction or account maintenance discrepancies, non-compliance with applicable regulations, inadvertent release of customer sensitive information, exposure to internal and external fraud activity</t>
  </si>
  <si>
    <t>Risk of unsuitable product design practices, failure to meet New to Bank product expectations, and unfavorable design of new business activity initiatives within competitive market caused by lack of full transparency across Santander Business Units to adequately implement design requirements which may result in product/segment changes or delays in project timelines which will  cause reputational damage and inability to meet strategic objectives of the Retail Bank.</t>
  </si>
  <si>
    <t xml:space="preserve">Change management practices and timely delivery of technology/projects </t>
  </si>
  <si>
    <t>Digital Banking, Products and Segments, Cards Business</t>
  </si>
  <si>
    <t>Consumer Confidence (Down), Interest Rates (Up), Equity Prices (Down), Unemployment (Up)</t>
  </si>
  <si>
    <t>Implementation of chip technology to Credit and Debit Cards (EMV)</t>
  </si>
  <si>
    <t xml:space="preserve">Risk to Santander Bank to ensure appropriate response to industry changes and ability to demonstrate enhanced security standards for Credit/Debit with the implementation of EMV chip card project prior to MasterCard and Visa shift in liability date caused by internal delivery timeline requirements for distribution, execution risk of product roll out in an error free and efficient manner, and the quality of introduction for full market issuance of cards to Santander customer portfolio which could result in negative perception of Santander Banks ability to implement additional card security standards and increased exposure to fraud activity. </t>
  </si>
  <si>
    <t>Cards Business</t>
  </si>
  <si>
    <t xml:space="preserve">Current credit and Debit card fraud incorporates a variety of fraud controls and oversight to minimize financial loss to Santander.  EMV Chip Card rollout strategy can be managed by prioritizing highly active cards for reissuance throughout remainder of 2015, with remainder of lower risk and minimally utilized cards being distributed in early 2016. Strong project management discipline and prioritization of focus and capacity during project lifecycle allows effective oversight of project initiatives and guidelines to ensure product expectations are fulfilled. </t>
  </si>
  <si>
    <t>Immediate financial impact incorporates 2016 temporary expenses for Retail Lines of Business (customer contact center) to be staffed accordingly for project implementation with an associated cost of approximately $1MM. EMV chip card project delays of completing the reissuance beyond 2015 will be realized through continual increases in fraud loss exposure of $5.6 million in an 18 month timeframe; mainly due to late adoption of enhanced security measures in comparison to competitive market.  In stressed environments, the financial impact will be projected to increase annualized fraud losses of over $8MM per year, due to MC and Visa networks' shift in liability, which begins in Oct 2015; delays to the EMV Chip project in stressed situations will prevent full reissuance and activation of cards in 2015 and delay projected fraud loss reduction to later in 2016 and 2017.</t>
  </si>
  <si>
    <t>Risk of oversight and control breakdowns for fee reversal activity across Retail Banking Lines of Business caused by a decentralized fee and billing management control framework and non-alignment to systematically enforce  Authority Level Management limits and controls which may result in financial loss and regulatory scrutiny for Santander.</t>
  </si>
  <si>
    <t>Control breakdowns for fee and billing management systems</t>
  </si>
  <si>
    <t>Network, Digital Banking, Products and Segments</t>
  </si>
  <si>
    <t>1. Authority Level Matrix and dollar limit thresholds placed on fee reimbursement activities
2. Required usage of Courtesy Refund tool model designed to provide guidance for non-bank error refunds
3. Sales Integrity reporting and oversight activities conducted to maintain visibility of billing system and fee management activity.</t>
  </si>
  <si>
    <t>Retail Banking fee management and billing management systems are largely manually controlled and unable to be audited to appropriate industry standards. Refunded fees outside the fee management system provide annual exposure to the Retail Bank in excess of $1MM annually with additional exposure in stressed environments of potentially $8MM to $12MM.  Specific to Safe Deposit Box, there is a total back-due fee exposure of $5.3MM (1989 to current).  Without additional billing management system enhancements slated for 2016, additional fee  revenue within the Safe Deposit portfolio will not be realized and continue to expand to significantly higher dollar amounts.</t>
  </si>
  <si>
    <t xml:space="preserve">Adequate implementation of new/enhanced regulatory requirements </t>
  </si>
  <si>
    <t>Mortgage, Cards, Small Business Banking</t>
  </si>
  <si>
    <t>Consumer Confidence (Down), Unemployment (Up), Interest Rates (Up)</t>
  </si>
  <si>
    <t>Risk of Retail Banking’s adherence to adequately implement changes to business strategy and Line of Business processes caused by changes in the regulatory environment and requirements required of financial organizations to adhere to consumer compliance regulations; need to enhance system infrastructure and processing requirements to support required changes may result in a non-compliance risk of meeting regulatory requirements within the Retail Banking environment (collection practices, AML/OFAC/KYC for electronic banking, transaction disputes, collection of CIP, customer eligibility, “know before you owe” requirements).</t>
  </si>
  <si>
    <t>Lack documentation for funds availability</t>
  </si>
  <si>
    <t>There is a regulatory risk in the funds availability program within Santander Bank which could negatively impact the Banks customer base which is caused by inconsistent rules, process, and system infrastructure across the Retail organization which could result in processing errors regulatory violations.</t>
  </si>
  <si>
    <t xml:space="preserve">Privacy vulnerabilities within core business processes </t>
  </si>
  <si>
    <t>Risk of unauthorized exposure to customer sensitive information caused by lack of controls and oversight within various Retail Banking Line of Business processes and systems due to manual decisioning processes and adherence to procedures which may result in the inadvertent or unauthorized release of customer information to inappropriate or undesignated individuals/customers.</t>
  </si>
  <si>
    <t>Products and Segments</t>
  </si>
  <si>
    <t>Network, Small Business Banking, Digital Banking</t>
  </si>
  <si>
    <t>Disclosure requirements, script oversight, campaign management</t>
  </si>
  <si>
    <t>Digital Banking, Marketing</t>
  </si>
  <si>
    <t>Risk of maintaining and delivering consistent information and regulatory compliant consumer disclosures/campaign material in accordance with regulation and US law caused by segregated campaign management activities within the Cards Business portfolio, manually enforced oversight controls for script creation and adherence, and lack of workflow automation tools to adequately enforce consistency in approvals for disclosure/material information. Risk may result in legal and compliance violations and fines due to Santander's inability to act in accordance with disclosure requirements.</t>
  </si>
  <si>
    <t>1. Line of Business training and monitoring through Quality Assurance activities for script adherence
2. Manual tracking of marketing and campaign material approvals through screen dragon application
3. Line of Business governance and approval committee's to maintain adequate oversight and disclosure modification approvals.</t>
  </si>
  <si>
    <t>Short term anticipation of disclosure or marketing material campaigns is expected to impact $1MM to $5MM in regulatory actions and enforceable fines. Stressed environment of inconsistent dissemination of out of compliance scripting and disclosures would have significant impact to Retail Banking resulting in high regulatory attention, cease and desist orders, as well as significant decrease (&gt;10%) in customer base due to inconsistent delivery model to customer expectations and requirements.</t>
  </si>
  <si>
    <t>In 2015, Retail Bank has experienced a monthly average of 23 (283 annually) potentially privacy issues via a multitude of avenues including Teller processing of items to the wrong account, statements being sent to inaccurate locations, loss of customer data within the Branch Network, and inadvertent release of information via email.  The increasing trend of customer exposure has an impact to the Retail Banking Lines of Business through realization of decreasing customer base and increased actual loss due to compromise of customer personal information; approximately $1.5MM over last 12 months.  Increasing trends of privacy release awareness and lack of movement on systematic mechanisms to prevent occurrences leads to stressed exposure of approximately $5MM to $6MM which is materialized through reputational impact and negative customer satisfaction leading to a decrease in customer base of 1% to 2% annually.</t>
  </si>
  <si>
    <t>1. Monitoring of suspicious activity and release of customer personal information via email monitoring
2. Detailed privacy policy and procedure to guide employees when they are unclear as to the proper process
3. reporting created to detect major defects in order to remediate or mitigate on most major processes.
4. Email monitoring systems based on data elements and criteria to identify potential release of customer information.</t>
  </si>
  <si>
    <t>Retail Banking products and channels for funds availability are at risk of not adhering to funds availability regulatory requirements.  Immediate financial impact to the Retail Banking organization is materialized in forms of fee rebates to customers and potential regulatory fines for not acting within requirements for consumer funds availability, exposure annually is realized in the $1MM to $2MM dollar range.  In a stressed environment, and based on the current Retail Banking consumer population, regulatory fines and operational expenses can potentially reach between $5MM and $10MM with the majority of financial impact being realized through regulatory fines on average (based on industry) of $500K to $1MM.</t>
  </si>
  <si>
    <t xml:space="preserve">1. Overdraft protection and loan protection products available to Santander customers
2. Fee Management system and refunds available to consumers
3. Float and funds availability file processing on a daily basis.
</t>
  </si>
  <si>
    <t xml:space="preserve">1. Policies and Procedures for each regulation, quality control monthly reviews, core banking reviews, training courses, checklist for loan origination functions, OFAC screening.
2. Implementation of the first line of defense risk, compliance , and governance structure has been implemented in Retail Banking Lines of Business.   
3. Manual accountability and oversight for marketing, advertising, and customer notification materials (reviewed by Legal and Compliance) 
4. All new products and services must also go through a New Product Business Activity enterprise-level approval process; including detailed risk assessment identifying Legal and compliance risk exposures.  
5. Collection / validation of CIP information (on-boarding processes for new customers and applications for credit. </t>
  </si>
  <si>
    <t xml:space="preserve">Retail Banking adherence to changes, additions, or existing regulatory requirements has realized a variety of breaches over the last several years. A list of enforcement actions levied against financial institutions for BSA/AML and OFAC violations over the period of 2009 - 2015 revealed significant quantities of violations issued with each violation averaging in excess of $1MM in fines, penalties or restitution.  In the case of a situation where a fine is not incurred, but a recommendation to cease portfolio growth is made, it would result in the loss of significant Line of Business revenue. Retail Banking exposure to adequately implement and manage regulatory changes assumes current trending to be between $1MM and $5MM annually with stressed environment impacts in excess of $25MM based on industry trends. This is a broad estimate based upon the review of a multitude of enforcement actions and class action settlements for violations of various compliance regulations as reported by other institutions, as well as comparing that research against Santander Banks loss exposure due to regulatory actions.  </t>
  </si>
  <si>
    <t>Lack of a full implemented change management process within the bank poses a key risk to the Retail business resulting in negative impacts to revenue/profits and contribute to losses due to lack of customer adoption. Specific to the New-to-Bank initiative,  the Acquisitions/ Originations platform may fail in production resulting in loss of applicants, reputational damage and regulatory fines which has an immediate annual materialized financial impact of $1.5MM.  Change management initiatives are forecasting to impact over 100,000 customers/accounts (70K for NTB initiative) within the next year, and approximately $5-15MM in total revenue for 2016. Additional costs are realized through current commitments to vendors within 2015 ($3.5MM) and 2016 ($5MM) for initiatives, therefore cost must be paid regardless of the timing of initiatives and in stressed environment adds additional profitability stress and impact.  Credit Card balances from the NTB initiative are forecasted to reach $500MM by the end of 2018. On a portfolio of that size, if the financial industry experiences shocks in certain macroeconomic variables such as a decrease in consumer confidence or an increase unemployment, Retail Banking may see a significant increase in losses exceeding $5MM.  In stressed situations, change management failures also result in execution failures for key processes within the business, impacting business as usual activity which could result in estimated losses between $5MM and $20MM due to increased costs, increased regulatory losses, direct credit losses.</t>
  </si>
  <si>
    <t>1. Technology and Operations application testing protocols, management requirement document completion, pre-production testing and control oversight during new product roll-outs.
2. New-to-Bank initiative pilot roll-out phases within the Lines of Business for customer adoption periods.
3. Ongoing participation in various working groups and committees across Retail allows for the business to gain awareness of upcoming initiatives and campaigns that impact the everyday operations of the business.  
4. New-to-Bank specific initiative (Cards Business) will be introduced in a phased approach to include New-to-Bank Pilot (controlled test of the platform), Direct Mail Launch (Risk scorecards and targeting models designed specifically for New-to-Bank acquisitions), Channels Launch (testing online and through the other channels like Telemarketing), and Branch Roll-out.</t>
  </si>
  <si>
    <t>Retail Banking environment and business practices a large percentage of manually controlled processing requirements. Lines of Business utilize personnel resources to adequately oversee processing controls, however, the existence of manual controls leads to human error and execution breakdowns that has resulted in $2.3MM in loss through 2014.  Manual oversight and controls are apparent in higher risk processes within the Retail Banking organization (western union, teller transactions, customer authentication) and experienced breakdowns due to execution failure and fraud will be exponentially increased in stressed situations.  Resulting impact across Retail Banking LOB's may materialize into compliance violations and regulatory fines, as well as operational losses in excess of $50MM during stressed situations.</t>
  </si>
  <si>
    <t>Although the business has not experience a financial loss due to accepted vendor risks, the potential for a loss considering the channel business could escalate to a significant financial impact.  Multiple vendor relationships managed by the Retail Banking organization incorporate customer data transfer and subsequent exposure to loss of customer data.  Line of Business analysis shows customer data exposure of $200/customer (fully loaded data breach cost per record - Ponemon Institute, pre-eminent research center dedicated to privacy, data protection and information security).  With a customer base of 2 million anticipated within next 20 years, potential customer data breach loss along with associated regulatory fines/attention would result in $40M potential loss in a 1 in 10 stressed scenario. Retail Banking has experience significant customer data loss as a result of vendor misuse over the past year, therefore expected annual financial loss would be approximate $1M-$5M due to activities required to protect reputational risk, such as investigative and legal expenses.</t>
  </si>
  <si>
    <t>1. Existing Vendor Management assessment practices for vetting of new vendor relationships; completion of vendor risk rating/assessments 
2. Ongoing vendor due diligence including onsite visit and audit of vendor and sub-contractors with particular attention to storage and security of the bank's customer data
3. Contractual documented provisions to protect Santander liabilities
4. Implemented data access and transfer controls using encryption and secure FTP
5. PIF process for contracting approved vendors</t>
  </si>
  <si>
    <t xml:space="preserve">1. Line of Business specific control testing activities occur; however formalization of control inventory is required for adequate oversight and testing. 
2. Management oversight practices exist to ensure team members are complying with business procedures
3. Access management within the business line is centralized for the Lines of Business such as the Contact Center; additional process improvement are required to determine how access is requested, approved, granted and completed by SA&amp;C Team.  
4. Network Line of Business maintains standard Operational protocols for Branch Network to include Field Operation Team routine visits to monitor adherence to established operational tasks and frequency completion, District Executives routinely monitor branch adherence to established protocol and record results
5. Branch Control Inspection team inspects Branches adherence to protocol.  </t>
  </si>
  <si>
    <t>1. Focus recruiting activities aimed to identify and recruit top risk talent external to Santander Bank
2. Business reviews and frequent management meetings focused on Risk Management practices and business strategy; knowledge transfer between peers within the Lines of Business 
3. Internal Saba Learning System training designed to specifically requiring risk management focus. 
4. Internal Line of Business focus on employee engagement activities; retention of key employees</t>
  </si>
  <si>
    <t>Given the environment of fraud and security incidents prevalent within the current payments industry, large dollar impacts are anticipated within the Retail Banking environment. Increased exposure and possibility of increased fraud losses are a result of the Banks non-compliance with Payment Card Industry Data Security Standards. Risk of Data Storage Availability both internally and within supported vendors have a direct impact on productivity within the Retail Lines of Business resulting in a minimum of 70 hours productivity loss/week due to system infrastructure (SAS/CRM) slow performance and decreased connectivity access. Continual risk of internal system failure has resulted and will continue to increase call center volume and card and branch transaction disruption. Retail Banking's dependency on vendor business continuity and contingency plan may result in disruption of service to the magnitude of direct impact within first year of $1-$5MM. Additional long term reliance on systems, and probability of cyber-attacks to continue to increase, repeat events are anticipated with a potential financial impact in an stressed environment of $50-250MM.  Retail Banking exposure may result reduction in capital through fines, customer reimbursements, customer attrition, with ultimate impact the Bank's reputation to support the customer experience.</t>
  </si>
  <si>
    <t>1. Technology and Operations safeguards in place to detect and prevent external system attacks.  
2. Management engagement and continual IT/Produban system monitoring to assess degradation to system infrastructure; Initiating Informent job scheduling review and impacts with Produban
3. Monitoring and assessment of CRM/SAS environment
4. Retail vendor maintain comprehensive continuity plans including back-up data centers.  
5. IT and Operations rapid response team activation during major system failure; minimize disruption in service.</t>
  </si>
  <si>
    <t>Retail Banking and Customer Experience</t>
  </si>
  <si>
    <t>The Retail Banking process established a formal working group with all Lines of Business Risk Officers and incorporated four one-hour long sessions aimed at documenting and streamlining the Retail Banking Material Risk Program into methodology and framework requirements that could be applied across all Lines of Business. The working group initially created a foundation for the process by gathering the following data which is not all inclusive: Prior year risk inventory and assessments, various vendor risk assessments, off -balance sheet items were captured and reviewed, prior year and current year (draft) strategic plans, Risk and Control Self-Assessment ("RCSA"), business continuity plans, internal audit findings, listing of new products recently introduced and proposed, Consumer Finance Protection Bureau ("CFPB") and Office of the Comptroller of the Currency ("OCC") review findings and Matters for Attention, financial results and metrics, key performance metrics (primarily in the loan servicing area), credit metric trends, risk tolerance statements, compliance and fair lending assessments, Internal Governance Risk Control ("IGRC") findings and status reports, quality control reports, Strategic Commercial Plan ("SCP")  for 2015 for individuals , emerging risks, top risk for SBNA for 2014 and a list of recent CFPB enforcement actions. Next step was to review the Risk Driver Taxonomy which led to a discussion of what the group considered to be our top risks and a discussion of the actual events that the business has encountered in the past. From this working group construct, each Line of Business risk officer and Line of Business Head analyzed their specific Line of Business risk exposures to identify their top 10-15 Material risks applicable within the environment. These risks were then categorized and quantified based upon the loss that might occur from the risk within the next year and also on the basis of the worst case scenario that might occur anytime within the next 10 years.  From there, the Retail Risk and Compliance team took the Line of Business submissions and consolidated the risks into the top 15 categories of risks that were applicable to the Lines of Business; similar theme risk exposures were consolidated into one Material Risk exposure where individual risk exposures that could not be consolidated were individually analyzed.</t>
  </si>
  <si>
    <t>The Retail area includes nine different Lines of Business: Products &amp; Segments, Marketing, Small Business Banking, Cards Business, Customer Experience, Customer Relationship Management, Digital Banking, Mortgage, and Retail Network (Branches).
Retail segments &amp; products team is responsible for the customer, product and P&amp;L strategy for more than 1.8MM customers, $32B in deposits and $8B in assets; includes responsibility for Mass Market, Mass Affluent, Deposits, Consumer Lending, Credit Card, Debit Card and Insurance.
Small Business Banking is the Line of Business within the Bank that addresses the financial services needs of business customers with sales revenue up to $3,000,000 for new customers and up to $5,000,000 for existing customers. The financial services offered to qualified customers include a wide range of deposit, lending, cash management, and other fee-based services (e.g., trade services).  The Deposit component of the Small Business Banking Line of Business operates within Santander and encompasses all the Small Business Banking deposit products and services offered through the retail banking branches, telephone and online channels.  Santander offers a range of Small Business Banking deposit products, including checking (DDA), savings, money market savings (MMDA), time deposits, and certificate of deposit accounts.  
The Cards business provides origination and servicing of credit cards and debit cards to consumers within the Santander N.A. operating footprint.  The business also provides merchant services to companies via a joint marketing agreement with First Data Corporation.  The business offers ATM and debit cards, as well as two credit card products: Sphere and Bravo.  
The Retail CRM unit is a support team for the Retail Lines of Business.  It is comprised of the Customer &amp; Sales Database Quality group, the Retail Analytics group, and the Sales &amp; Service Tools Group.  The group provides standardized reporting, analyses and information, portfolio and lead generation and distribution to all the channels, and management of new sales and service tools and capabilities from inception to implementation/post-implementation for the Retail organization. 
The Customer Experience business area was created in 2014 to address the customer experience strategy for Retail Banking.  The goal of the business is to make Santander the regional bank of choice with focus on listening and respond to our customers’ needs and strive to deliver the best customer experience possible for Every Customer, Every time.   Challenge the status quo of doing business across the organization to be more Simple; Personal and Fair every day.  Enable the first "point of contact" on problem/issue resolution thru empowerment; service level agreements and process improvements.
The Digital Banking &amp; Multichannel Group (DBM) has business line management responsibility of Online Banking, Mobile Banking, Business Online Banking, Web Account Opening, ATMs and the Customer Contact Centers.  Additionally DBM manages an Innovation and Multichannel Transformation teams. Customer Contact Centers manages all servicing, sales, fulfillment and outbound telemarketing efforts. 
Residential Mortgage provides financing to qualified borrowers for mortgage loans secured by real property with a priority lien. The mortgage environment is highly competitive by nature, and Residential Mortgage offers numerous programs that are standard to the market along with a small number of Santander-specific programs. The majority of programs that Santander offers are salable to the secondary market, which allows SAN-US to be competitive in the marketplace.
The Retail Branch Network consists of 688 Retail Branches, 4000+ employees including Branch Colleagues, Field Leadership, Executive Leadership and Risk Teams.</t>
  </si>
  <si>
    <t>The Retail Banking Lines of Business establish individual strategic plans on an annual basis for which sales and production are driven and measured against. 
Retail segments &amp; products is focused on four key areas throughout 2015 and 2016; growing our customer base, increasing our share of wallet and customer experience, enhancing our platforms and structures, and meeting our regulatory obligations. 
Small Business Banking seeks to establish itself as a top-tier Small Business segment through customer growth, credit line expansion and the enhancement of our distribution channels. Small Business seeks to accomplish this objective through a series of strategic initiatives which include development of a new national sales plan, refinement of portfolio management &amp; sales routines, specialized distribution &amp; sales coverage model, CRM customer engagement, enhanced career path / compensation / recruitment plan and the reengineering of the credit risk management policy and approval process.   
Cards Business strategic plan is the inclusion of the New to Bank ("NTB") growth.  NTB is an initiative to bring external customers (new to the bank) to Santander Bank through credit card acquisitions. The Cards Business is forecasting growth in the credit card portfolio to approximately $1B by the end of 2018.  
The Retail Customer Relationship strategic plan is to continue to invest in the infrastructure/tools to support the Retail LOB in its objective to grow net customers and net revenue, focusing specifically on further investment in the ONE sales and service tool and backend CRM as well as the implementation of a Business Intelligence tool.  In additional, the team looks to incorporate a data quality management environment for both the Retail CRM and as the Retail Steward for all Retail data domains as part of the enterprise-wide data management program. 
The strategic plan for Customer Experience is to improve the customer experience and be at a competitive level within Santander's peer group within JD Power and Associates ranking by 2017. 
The Digital Banking strategic initiatives include continued investment and expansion of the self-service channels like Online Banking, Mobile, ATM and the IVR will continue onto 2016, in addition to the implementation of new services and support solutions within the Contact Center and Client Management Group.  Along with the proposed expansion of the business lines, DBM also centralized teams and formed the Quality, Training , Risk &amp; Compliance Team to ensure that it was adequately supporting the needed risk oversight and framework for the channel.   
The Mortgage strategic plan is to focus on strategic priorities on improving the customer experience, balance sheet management, improving operating efficiencies, improving risk management practices and product improvements. In addition, additional emphasis and strategic priority focus will  be placed on new system selection for origination and loan servicing and if this initiative is improved it will entail a higher level of operational risk as we convert from one system to the other.</t>
  </si>
  <si>
    <t>New to Bank Project/ Card Application Platform</t>
  </si>
  <si>
    <t>SBNA NPBA Committee Approval 6/1/2015, SHUSA NPBA Committee Approval 6/8/2015, SBNA/SHUSA Board scheduled for 6/26/2015</t>
  </si>
  <si>
    <t xml:space="preserve">Project in Green status.  Pending 6/18/2015 approvals for PIF, Vendor Risk, and  Fair Banking/Fair Lending </t>
  </si>
  <si>
    <t>EMV Chip Technology</t>
  </si>
  <si>
    <t>SBNA board approval on 5/29</t>
  </si>
  <si>
    <t>Project in Red status due to delays, however approval provided from EMC member, CEO and head of T&amp;O to go forward with a new schedule.</t>
  </si>
  <si>
    <t>BOB Basic Payments</t>
  </si>
  <si>
    <t>Approved (non-objection) by Madrid CCC. Tentatively be presented to BERC day before Board meetings</t>
  </si>
  <si>
    <t>Home Ownership Made Easy - 97% LTV</t>
  </si>
  <si>
    <t>Pending</t>
  </si>
  <si>
    <t>Awaiting approval from CCC in Madrid</t>
  </si>
  <si>
    <t>Affordable Mortgage Program -reduce Fico requirement to 620</t>
  </si>
  <si>
    <t>Product now offered</t>
  </si>
  <si>
    <t>New to Bank Project/ Card Application Platform: The goal of the project is to fully launch the new Card Application Platform (CAP) to sell credit cards to consumers through all channels including those without an existing Santander Bank relationship (NTB - New to Bank).  Through the completed new Cards Application Platform, Santander now has an automated real-time decision platform that delivers a better customer experience on par with the “best-in-class” competitor banks in the U.S.  The New Card Application Platform provides an automated &amp; complete audit trail of application processing, therefore significantly reducing regulatory risks for the Cards business unit vs. the current manual solution that exists today.  Overall Risk Ratings from 2nd Line NPBA Risk Assessment review: Moderate Risk Rating - Strategic, Operational, Compliance &amp; Regulatory, and Data risks, Low/Moderate Risk Rating - Reputation, Credit, and Model risks, Low Risk Rating- Market and Liquidity risks
EMV/Chip Technology: The chip/EMV project will enable chip card personalization and transaction processing on Santander’s credit, debit and ATM card portfolios in the US. The timing of this project is key as the payment networks have implemented an EMV liability shift for October 2015. After this date, fraud will shift to the least secure party in the transaction (the card or the point of sale terminal). By introducing EMV prior to the liability shift, we will help mitigate counterfeit and lost and stolen fraud and prevent fraud targeting that could result from maintaining outdated and easy to compromise mag stripe technology.  EMV transactions are safer than mag stripe transactions because each EMV transaction is protected with advanced cryptography and a numeric code that changes for each transaction. So, while data can still be breached, the value of that captured data is greatly reduced for card present transactions. Overall Risk Ratings from 2nd Line NPBA Risk Assessment review: Elevated Risk Rating - Compiance &amp; Regulatory risks due to weaker control environment based on moderate level risk.  Moderate Risk Rating - Reputation and Operational risks. All other risks are not applicable to this project
Overdraft Phase 1: The ability to assign consumer account level overdraft limits for new accounts during the account opening process. The limit will be assigned based on score/information received using our consumer agency database inquiry for new bank clients (as opposed to our current product-level limits today) 
Regional Pricing:  Build the capability to optimize deposit pricing for margin  growth and better align interest expense costs to peer norms. Evolving from the current single price model across the footprint to a regional elasticity-based pricing model will help drive growth at a more efficient cost.
New Deposit Products:  Fee descriptions on statement accurately reflect the fee charged, Service fee period displayed on statement, Optional opt out of overdrafts for checks.</t>
  </si>
  <si>
    <t>Marginal use of Standby Letters of Credit and Commercial Letters of Credit by the Small Business segment; products are subject to credit policy guidelines.  
The Cards business incurs off-balance sheet risk through credit lines. The total exposure of the credit card portfolio is equal to the unfunded balance. The unfunded balance is equal to the total credit lines of the credit card portfolio - the total balances. The off-balance sheet exposure is actively managed by the Credit Cards Risk team. 
Mortgage Pipeline is managed in two primary pieces: Funded Loans and Rate Locks (Loans in Process). These 2 items are hedged generally through the use of forward MBS  sales. Each month the value of the loans, rate locks and forward MBS sales are marked to market under FAS 133 and the net value is reflected in the general ledger. The market value of these net derivatives has fluctuated along with the size of the pipeline from $1.2 million at January 31, 2014 to $10 million at April 30,2015. At May 31, 2015 the value was $8.6 million.
Synthetic Securitization (SASI). This represents a credit default swap between Santander and a unit of Bank of America. It has a gross loss reimbursement value to Santander that was capped at $50 million. Presently approximately $15 million remains unrealized. In a typical year we have paid $1.5 million in fees and have received loss reimbursements of $4.8 million per year. This transaction is accounted for on a cash basis and no value is reflected on the balance sheet.
Loan Commitments. Commitments to make mortgage loans are approved every day in the normal course of business. Such commitments are not valued on the balance sheet unless the commitment is part of the rate lock mentioned above. In other words, any loan commitment where the interest rate is floating and the interest rate risk is borne by the borrower has no balance sheet value assigned to it. Also any loan commitment that is expected to fallout and not close (historical percentage ) has no balance sheet value. Loan commitments outstanding at April 30, 2014 and 2015 were $290 million and $373 million, respectively.</t>
  </si>
  <si>
    <t>various</t>
  </si>
  <si>
    <r>
      <rPr>
        <b/>
        <sz val="10"/>
        <rFont val="Calibri"/>
        <family val="2"/>
        <scheme val="minor"/>
      </rPr>
      <t>(Products and Segments)</t>
    </r>
    <r>
      <rPr>
        <sz val="10"/>
        <rFont val="Calibri"/>
        <family val="2"/>
        <scheme val="minor"/>
      </rPr>
      <t xml:space="preserve"> During 2013, it was discovered that Santander customers were paying for Identity Theft Protection (SIP), however some of those customers did not receive certain benefits within the identity theft protection product being provided from a third-party vendor. During 2013, fees associated with this product failure were expected to be approximately $30MM returned to customers and were expensed within general and administrative expenses on the Consolidated Statement of Operations. As of 12/31/13, $11.5 million of payments were returned to customers as the first phase of the remediation.  Event to date (07/13-06/15) loss approximately $43.8MM with another $3.26MM reserve for 2015 payouts. </t>
    </r>
  </si>
  <si>
    <t>Maria Tedesco</t>
  </si>
  <si>
    <t>Scott Melton, Jonathan Adamson, Patricio Boccardo, Liz Borges, Lisel Couture, AnnMarie Dunphy, Lisa Hadrick, Steve Mantelli, Ronald Mauriello, Catherine Tracy</t>
  </si>
  <si>
    <t>Jonathan Adamson, Patricio Boccardo, Liz Borges, Lisel Couture, AnnMarie Dunphy, Lisa Hadrick, Steve Mantelli, Ronald Mauriello, Catherine Tracy, Roberta Janel, Jeanne Lapak, Sama Malik, Christopher Martin, Karen Mendonca, Jerilyn Mulholland, Sharon Williams, Scott Young</t>
  </si>
  <si>
    <t>June 01, 2015; June 10, 2015; June 17, 2015; June 24, 2015</t>
  </si>
  <si>
    <t>N/A</t>
  </si>
  <si>
    <t>Darlene Frizzell, Maria Tedesco</t>
  </si>
  <si>
    <t>Not applicable</t>
  </si>
  <si>
    <t># of Incidents (CRM/SAS)</t>
  </si>
  <si>
    <t>na</t>
  </si>
  <si>
    <t># of KDEs not within targets</t>
  </si>
  <si>
    <r>
      <rPr>
        <b/>
        <u/>
        <sz val="10"/>
        <color theme="1"/>
        <rFont val="Calibri"/>
        <family val="2"/>
        <scheme val="minor"/>
      </rPr>
      <t>Missed SLAs:</t>
    </r>
    <r>
      <rPr>
        <sz val="10"/>
        <color theme="1"/>
        <rFont val="Calibri"/>
        <family val="2"/>
        <scheme val="minor"/>
      </rPr>
      <t xml:space="preserve">
1. Quarterly Portfolios
2. Weekly Sales Leads
3. Sales/Incentive Plan Daily Reporting
4. Customer Service Analytics
5. Retail Sales Analytics
6. Customer Analytics
</t>
    </r>
  </si>
  <si>
    <t xml:space="preserve">1. 0%
2. na
3. 7%
4. 0%
5. 29%
6. 19%
</t>
  </si>
  <si>
    <t>1. 0%
2. 80%
3. 5%
4. 0%
5. 6%
6. 15%</t>
  </si>
  <si>
    <t># of ONE Santander Assist Line Cases</t>
  </si>
  <si>
    <t>ONE System Availabilty Average Response Time (seconds)</t>
  </si>
  <si>
    <t>0.10-0.15 as of 6/18</t>
  </si>
  <si>
    <t xml:space="preserve">1. 100%
2. N/A
3. N/A
4. N/A
5. N/A
6. N/A
</t>
  </si>
  <si>
    <t>JD Power U.S. Retail Banking Satisfaction Study</t>
  </si>
  <si>
    <t>738/783</t>
  </si>
  <si>
    <t>745/787</t>
  </si>
  <si>
    <t>767/791</t>
  </si>
  <si>
    <t>CCC Visit Satisfaction</t>
  </si>
  <si>
    <t>Branch Visit Satisfaction</t>
  </si>
  <si>
    <t>Project Q</t>
  </si>
  <si>
    <t>Approved at 6/1 SBNA NPBA Meeting.</t>
  </si>
  <si>
    <t>SME Mobile</t>
  </si>
  <si>
    <t>In process of completing Form 2 &amp; Risk Assessment</t>
  </si>
  <si>
    <t>Investments in ROLB</t>
  </si>
  <si>
    <t>Preliminary Madrid CCC non-objection received 5/13; no committee appearance is required. Awaiting final approval from SBNA &amp; SHUSA Board.</t>
  </si>
  <si>
    <t>Client Management Group</t>
  </si>
  <si>
    <t>June 16 new date for 60 day report back to measure business benefit; and is with SBNA NPBA</t>
  </si>
  <si>
    <t>Loan Applications - millions</t>
  </si>
  <si>
    <t>Loan Closings - millions</t>
  </si>
  <si>
    <t>Loan Sales - millions</t>
  </si>
  <si>
    <t>Gain on sale margin - YTD</t>
  </si>
  <si>
    <t>Servicing Portfolio for Others - millions</t>
  </si>
  <si>
    <t>Average Loans Outstanding - millions</t>
  </si>
  <si>
    <t>Net Interest Margin - YTD</t>
  </si>
  <si>
    <t>Average MBS Outstanding - millions</t>
  </si>
  <si>
    <t>Net Interest Margin</t>
  </si>
  <si>
    <t>Loans in foreclosure - units</t>
  </si>
  <si>
    <t>Loans in bankruptcy - units</t>
  </si>
  <si>
    <t>Loss mitigation cases - units</t>
  </si>
  <si>
    <t>Application to closing within 60 days - retail</t>
  </si>
  <si>
    <t>Application to closing within 30 days - wholesale</t>
  </si>
  <si>
    <t>Escrow analysis performed timely</t>
  </si>
  <si>
    <t>Call center success rate</t>
  </si>
  <si>
    <t>SPOC cases per FTE</t>
  </si>
  <si>
    <t>% loans non-investment quality</t>
  </si>
  <si>
    <t>data not presently available</t>
  </si>
  <si>
    <t>New repurchase requests</t>
  </si>
  <si>
    <t>Total past due loans</t>
  </si>
  <si>
    <t>Retail General Ledger for SIP tracking during January 2013 to June 2015 total $77.5MM
Mortgage: Reports are sent to accounting with detail of operational losses by Lori Juliano. The operational losses reported were 219,000 in 2012, 297,000 in 2013 and 171,00 in 2014. Also we experienced loss provisions from loan repurchases of 50 million in 2012, 21 million in 2013 and (20) million in 2014. The actual losses charged against the provision were 13 million in 2012, 16 million in 2013 and 12 million in 2014.</t>
  </si>
  <si>
    <t>Credit provisions for 2012 including an adjustment for change in recognition of TDRs were 118 million, 50 million in 2013 and 25 million in 2014. Chargeoffs for the same periods were 80 million in 0212, 43 million in 2013 and 99 million in 2014.</t>
  </si>
  <si>
    <t xml:space="preserve">Currently the sources used are those referenced within Fraud Loss Management Report (ABA survey data).  Goal within 2015-2016 is compare loss data to sources such as ORX (Operational Risk Exchange Association), RMA (Risk Management Association) and RiskTao.  
Articles from Inside Finance on Industry trends ; Mortgage Banking magazines, GSE prouncements and releases, CFPB announcements,CBA updates, Legal updates and seminars on various compliance and other emerging risk issues. We also reviewed Sec filings of experiences that other lenders were having with the GSE concerning repurchase activity and settlements. We also reveiw investor presentations for large public ompetitors such as Chase and Wells Fargo.
</t>
  </si>
  <si>
    <t xml:space="preserve">New Hampshire Housing </t>
  </si>
  <si>
    <t>Delaware Housing Program</t>
  </si>
  <si>
    <t>Product to be offered within next 90 days</t>
  </si>
  <si>
    <t>State of New York Mortgage Authority ("SONYMA") Housing Program</t>
  </si>
  <si>
    <t>FHA 2-4 units properties in New Jersey</t>
  </si>
  <si>
    <t>Wholesale CRA Program</t>
  </si>
  <si>
    <t>CRA Santander to Santander HARP</t>
  </si>
  <si>
    <t>Over draft Phase 1/Qualifile</t>
  </si>
  <si>
    <t xml:space="preserve">Board on 6/26/15 </t>
  </si>
  <si>
    <t>8/5/15
Attorney General reporting 9/30/15</t>
  </si>
  <si>
    <t xml:space="preserve">Regional Pricing </t>
  </si>
  <si>
    <t>Soft launch 11/2015
Hard launch February 2016</t>
  </si>
  <si>
    <t xml:space="preserve">New Deposit Products </t>
  </si>
  <si>
    <t xml:space="preserve">Phase 1 Launch 11/2015  </t>
  </si>
  <si>
    <t>On Track</t>
  </si>
  <si>
    <t>Minor Delay Expected</t>
  </si>
  <si>
    <t xml:space="preserve">1. Failure of Master Card and VISA to process transactions.
2. Failure or breakdown of key applications / product / platforms; Interruption to business activities as a result of technology failures / deficiencies; Inability to process transactions or complete business activities; Loss of revenue associated with the inability to process new apps, transactional activity (new loans and deposit balances).
3. Reliance on manual processes for business practices during customer interactions.
4. Inability to access systems due to storms or disaster, system changes improperly delivered into production environment
</t>
  </si>
  <si>
    <t xml:space="preserve">1. Poor customer experience; downstream effect of high customer call volume to Contact Center 
2. Reputational consequences as a result of system outages/limitations; Impact on business activities if applications are not available for an extended period of time. 
3. Loss of business for one day to one week as new business cannot be generated.
</t>
  </si>
  <si>
    <t>1. Key initiatives fails to meet expectations; 
2. Incentive plan encourages staff to take inappropriate sales strategies or team members engage in inappropriate credit card sales practices
3. AML, data breaches, privacy violations, failure to obtain permission to obtain customer data</t>
  </si>
  <si>
    <t>1. Risk of losses in excess of forecast and potential negative profitability
2. Negative customer experience and exposure to penalty from regulatory authority</t>
  </si>
  <si>
    <t>1. Approval process for executing changes to systems, P&amp;Ps, budgets, etc. is excessively long, 2. Failure to properly identify the customer / customer data and perform key controls / processes required to satisfy regulatory requirements (i.e. AML monitoring, KYC, etc.);
3. Reliance on processing of maintenance requests to take place across business lines
4. Inability to foreclose on properties due to foreclosure moratoriums imposed by local jusridictions, transaction errors, lack of people or system capacity</t>
  </si>
  <si>
    <t>1. Failing to reach business objectives due to uncompliant or uncompetitive products, services, or capabilities. 
2. Failure to achieve revenue growth goals, unexpected costs or below BAU levels of revenues.  
3. Risk of incurring significant sanctions by regulators; regulatory restrictions which limit Bank's ability to generate growth and meet strategic goals
4. Potential loss of business and reputational risk associated with failing to meet regulatory or fiduciary requirements.
5. Foreclosure timelines are extended resulting in additional compensatory fees from the GSEs and loss of interest income from our portfolio loans</t>
  </si>
  <si>
    <t>1.  Customers card information stolen from the customer and used for unauthorized transactions
2. External party (customer / client) unauthorized access and use of information</t>
  </si>
  <si>
    <t xml:space="preserve">1. Bank loss of amounts spent where uncollectable from the merchant, poor customer experience of customer with stolen card information
2. Reputational risk which may result in future (additional) loss of business and / or customer base.  </t>
  </si>
  <si>
    <t>1. Internal employees / contractors uses customer information for fraudulent purposes; Customer and / or Bank suffering a financial loss as a result of the fraudulent activity.   
2. Manual processing controls allows for internal fraudulent activity to occur without appropriate oversight and awareness.</t>
  </si>
  <si>
    <t>1. Fraud losses on impacted customers if our bank card data was used fraudulently. Severe risk to bank reputation.
2. Reputational risk which may result in future (additional) loss of business and / or customer base.  
3. Product suitability compliance risk</t>
  </si>
  <si>
    <t xml:space="preserve">Customer Relationship Management metrics began formal tracking in 2015 due to organizational changes and ONE tool implementation. KDEs (key data elements) not tracked until implementation of CRM Control Model as of January 2015. Business Metrics help focus on the following: Creating a Welcoming environment, Building relationships based on trust, end-to-end issue ownership.  There are key Line of Business operating statistics that are not available to the business units due to inadequacies in data collection that exist in the corporate cost allocation process.  Key focus point for Retail Banking through 2015 and 2016 to improve reporting metrics and identify key strategic indicators to allow opportunities for enhancement in business portfolios. </t>
  </si>
  <si>
    <t>The 2015 RCSA process covered a majority of the Retail Lines of Business to include Mortgage, Retail Network, Channels, Cards, and Products &amp; Segments.  The business worked with Operational Risk and First Line of Defense Retail Risk to determine the general risks by category, and then identifying specific risk events applicable to the business and controls in place to mitigate risk.  Priority was given to seven key processes within Mortgage, Cards, and Retail Network because they were analyzed with higher risk elements and categories compared to other Line of Business processes.  Critical risks identified include  (1) unauthorized access to and use of customer confidential information, (2) money laundering/terrorist Finance and breach of sanctions regulation, (3) poor awareness or interpretation of regulatory requirements, (4) software application failures and hardware/infrastructure failures, and (5)  incorrect, inadequately controlled or unauthorized changes to systems, software, code, parameters, infrastructure, data or process.  Retail Banking will continue the 2015 RCSA structure throughout the remainder of 2015 to appropriately identify additional critical processes in the organization to review and further develop and use the FLOD methodology to assess the types of risk and risk factors for each process.</t>
  </si>
  <si>
    <t xml:space="preserve">Cards: No significant failures over the past 12 months, although there have been several incidents less than one day business disruptions due to internal or external IT/process incidents.
Customer Relation Management: Loss of building test done on 6/16/2015 without significant failures.  Only issues were declined in server response - took longer to run large data queries and projects on SAS/Citrix.
Mortgage: The Villanova area frequently experiences power failures due to weaknesses in the electrical grid or storms in the area. The "One" building already had a backup generator and an additional generator installed to support the other building in 2015. As a result, the building did not experience any major disruptions in H2 2014 and H1 2015. 2015 winter weather was a major challenge for Retail Banking in New England. Variety of Retail Branch closures and office relocations to conduct day-to-day operations occurred during this time period. No major customer impact was experienced as a result of this primarily due to the ability to support operations throughout alternate sites and offices, along with the ability of people to work remotely.
</t>
  </si>
  <si>
    <t xml:space="preserve">Marketing: There were two major vendor risk issues for Marketing in the past 12 months.  1. Marketing was made aware of Chapter 11 filing for Standard Register, which is a Third Party used by SBNA to store marketing collateral used by Network Branches, with a capability to print materials on-demand. Aquanima is in the process of acquiring a new vendor for replacement. Standard Register will be bought by Taylor Inc. Currently RFP's have been sent out and a few responses received.  2. Marketing had a special situation where a non-contracted  or non pre-approved vendor, Shawmut, was leveraged for an urgent print job. Marketing continued to use the vendor afterwards, where some campaigns with customer information were also sent to them. Marketing has ceased business with the vendor now, and is in the process of getting approvals from Aquanima for future relationship.
Cards vendor management program complies with the requirements of Santander's Third Party Provider Risk Management group, which requires that a risk assessment is performed on each vendor to determine inherent risk rating.  Currently there are 3 vendors rated as "High", meaning that the service they provide for us is critical to the operation of the Cards business.  Evaluation of all other Card vendors is still underway. Over the past 12 months, several issues were identified involving displaying and/or awarding of reward points.  One significant issue involved non-compliance with email marketing legal requirements.  The vendor had functional issues on the their website where the customer could not opt-out of receiving marketing materials.  Once identified, the service was immediately halted and a new contract was drafted to prevent the vendor from performing that service for Santander Cards going forward.
Customer Relationship Management: The Retail CRM group is responsible for the Customer Experience program vendors.  Grass Roots, vendor used for customer satisfaction surveying in 2013-Q12015 unexpectedly went bankrupt as of March 2015.  The outstanding impact is the lack of return or certification of customer data destruction (no NPPI provided to vendor).
</t>
  </si>
  <si>
    <t xml:space="preserve">The Unifi RDS database contains production data and appraisal information. The database is extremely large (largest progress database in the world according to Microsoft). It negatively impacts Mortgages ability to run basic reports. Mortgage also periodically experiences connectivity problems between BeanStalk (Open Close) and Unifi; both systems are operating properly but the link between the 2 systems goes down.
</t>
  </si>
  <si>
    <t xml:space="preserve">Small Business: A Global Credit Diagnostic was performed in Q2 2014 to ensure alignment across middle office procedures / policies for intake and underwriting, credit risk models and sales force activity. 
In late 2014, the Mortgage Line of Business did a special Non-Performing Loan sale of approximately $624 million. This substantially reduced the volume of seriously delinquent loans in the portfolio. On a monthly basis, the LOB monitors the amount of loans that are placed into the Bank's portfolio that are outside of the minimum acceptance criteria (generally 1-3 million per month). In addition, the LOB monitors the amount of loans closed that are deemed unsaleable (again 1-2 million per month). Monitoring of the amount of loan underwriting exceptions to credit policy in a given month is also completed; the amount of exceptions is less than 5% which has been considered an acceptable tolerance level.
Credit provisions for 2012 including an adjustment for change in recognition of TDRs were 118 million, 50 million in 2013 and 25 million in 2014. Chargeoffs for the same periods were 80 million in 2012, 43 million in 2013 and 99 million in 2014.
</t>
  </si>
  <si>
    <t xml:space="preserve">None
</t>
  </si>
  <si>
    <t>None</t>
  </si>
  <si>
    <t xml:space="preserve">(Mortgage/Products &amp; Segments) CFPB “Know Before You Owe” standards; Integrating TILA-RESPA disclosure rules by August 2015.  Risk of implementation and consolidation of TIL and GFE disclosures being replaced by a Loan Estimate disclosure and the HUD and final GFE being replaced by a Closing Disclosure.  Additional risk of adherence to timing requirements of the rules, a new definition of  an application, and disclosure delivery rules which will necessitate significant programming changes in UNIFI and changes to process flows to ensure compliance and to restrain expense increase  caused by the regulation. </t>
  </si>
  <si>
    <t xml:space="preserve">The Retail Banking organization identified 15 "consolidated" Material risk exposures after careful analysis and identification of Line of Business specific risks.  Overall, Retail Banking identified 68 individual Line of Business Material risk exposures that were classified and consolidated into the Top 15 Retail Banking Material Risk portfolio. The analysis resulted in risks being identified under Operational Risk (13), Compliance Risk (20), Reputational Risk (8), Strategic Risk (14), Liquidity Risk (1), Market Risk (2), Model Risk (4), and Credit risk (6).   Retail Banking incorporated methodology to designate risk exposures as being Material within the following criteria: (a) risk assessed as having at leaset a moderate-to-high severity level (impact) or likelihood of occurrence, (b) identified controls were analyzed to be ineffective or requiring improvement and (c) the  associated consolidated financial impact of identified risks to Retail Banking is greater than $1MM.  The following risks were identified within the Retail Banking organization: 
(1) Quality of data, one source of data (Model Risk)
(2) Risk of default due to extension of credit dependent on macro-economic environment (Credit Risk)
(3) Risk of cyber attacks and technology system infrastructure inefficiencies (Operational Risk)
(4) Negative customer satisfaction; effective management of customer complaints (Reputational Risk)
(5) Management succession planning, retention of risk expertise colleagues (Strategic Risk)
(6) Adequacy of control monitoring and Quality Assurance oversight within FLOD (Operational Risk)
(7) Vendor management contingency, activity monitoring, and contract adherence (Operational Risk)
(8) Disruptions in systems or processes due to manual processing requirements (Operational Risk)
(9) Change management practices &amp; timely delivery of technology/projects (Strategic Risk)
(10) Implementation of chip technology to Credit and Debit Cards (EMV) (Strategic Risk)
(11) Control breakdowns for fee and billing management systems (Compliance Risk)
(12) Adequate implementation of new/enhanced regulatory requirements (Compliance Risk) 
(13) Funds availability program not aligned to competitive norms (Compliance Risk)
(14) Privacy vulnerabilities within core business processes (Compliance Risk)
(15) Disclosure requirements, script oversight, campaign management (Compliance Risk)
</t>
  </si>
  <si>
    <t>Regulation D CD withdrawal restrictions; systematic limitation to document/report/identify early withdrawal penalties assessed to certificate of deposit applicable accounts. Currenly there is no ability to identify certificates of deposit with early withdrawals within the current system, the violation of current policy,Regulation D, results in a penalty amount being assessed to the bank.</t>
  </si>
  <si>
    <t>Retail : Cards Business</t>
  </si>
  <si>
    <t xml:space="preserve">Business Continuity Plan  Credit Card Operations: currently no BCP formally documented for the Banks Credit Card Operations group whose responsibilities include card servicing, payments, customer statements, and letters. </t>
  </si>
  <si>
    <t>Elevated</t>
  </si>
  <si>
    <t>Complete</t>
  </si>
  <si>
    <t>Moderate</t>
  </si>
  <si>
    <t>Recent regulatory focus on the credit card market as well as the Bank's primarily consumer portfolio increases the Bank's regulatory and reputational risk.  Additionally, key findings related to the maturity and integration of current control systems raised in this report, suggest tat a more dedicated venue for overall governance should be re-established.</t>
  </si>
  <si>
    <t>Regulation Z and Regulation B require numerous disclosures to be provided to customers at the time they submit credit card applications, receive credit card solicitations, or open accounts.</t>
  </si>
  <si>
    <t xml:space="preserve">Regulation Z: The Bank does not currently have a robust or formalized  process in place to monitoring the appropriateness of fees on an account level basis to ensure that these limitations are being met. </t>
  </si>
  <si>
    <t xml:space="preserve">Regulation Z requires that a creditor retain evidence of compliance with the regulation, including physical applications for applicants under 21: unable to validate that the Bank was in compliance with various components of the regulation as statement data was not available on the PCAS system. 
</t>
  </si>
  <si>
    <t>Retail : Customer Experience</t>
  </si>
  <si>
    <t>We recommend that management update its current opt-out process to ensure that the date customers opt-out of marketing preferences is appropriately evidenced.</t>
  </si>
  <si>
    <t>Retail</t>
  </si>
  <si>
    <t xml:space="preserve">Develop and implement procedures to ensure that the Business Activity Committee monitors product sales and volume for appropriate approval </t>
  </si>
  <si>
    <t>Formalize and execute  procedures to ensure the regular validation of product inventory and submission of those product inventories to the Business Activities Committee for review</t>
  </si>
  <si>
    <t>Retail : Risk Management &amp; Compliance</t>
  </si>
  <si>
    <t>2005 Joint Guidance on Overdraft Protection Programs: Staff should also be able to explain other available overdraft products offered by the institution and how consumers may qualify for them. Provide training on overdraft protection programs features, costs, and terms, including how to opt out of the service, to personnel that interact with consumers regarding complaints on deposit accounts.</t>
  </si>
  <si>
    <t>Low Moderate</t>
  </si>
  <si>
    <t>Retail : Products &amp; Segments</t>
  </si>
  <si>
    <t>An overdraft program governance document was created in early 2014 prior to the management change. We identified some inaccuracies and aspects that have changed, and the new management has acknowledged that it requires further review and refinement. Enhance governance for the overdraft program by formalizing, approving, and implementing an updated program document and regular oversight meetings.</t>
  </si>
  <si>
    <t>Due to ongoing difficulties obtaining data necessary for appropriate monitoring and oversight, e.g. monthly data on overdraft activity/fees per election choice, channel of opt-in. Develop ongoing monitoring and oversight of overdraft activity sufficient to satisfy regulatory expectations, by identifying data needs and reporting and escalating issues to the applicable management and governance bodies, as appropriate.</t>
  </si>
  <si>
    <t>Not Started</t>
  </si>
  <si>
    <t>The bank has a control to automatically decline transactions that would cause a negative balance and prevent a fee on accounts that incur at least $500 in overdraft fees within a 30 day period; excessive overdraft block in place incurred NSF fees when the block was in place.</t>
  </si>
  <si>
    <t>Ensure that appropriate disclosures are provided to all applicants, whether via the provision of current written lists from the appropriate HUD database or system developed lists</t>
  </si>
  <si>
    <t>Retail : Mortgages</t>
  </si>
  <si>
    <t>Lenders that offer LPMI are required to include a statement that LPMI only terminates when the transaction is refinanced, paid off, or otherwise terminated (12 USC 4905(c)(1)(B)(ii))._x000D__x000D_While the initial disclosure is being provided to borrowers when required, the language of the disclosure does not include the required regulatory verbiage._x000D__x000D_Audit identified 3 LPMI loans and none of the disclosures contained the required verbiage.</t>
  </si>
  <si>
    <t>Retail : Channels</t>
  </si>
  <si>
    <t>The term introductory was not used with the 0% APR on balance transfers for 24 billing cycles.  There is also no disclosure regarding the grace period as there is on later advertisements "There is no grace period on balance transfers. Truth in Lending Act (Regulation Z)</t>
  </si>
  <si>
    <t>Retail : Corporate Marketing</t>
  </si>
  <si>
    <t xml:space="preserve">CAN-SPAM and TCPA: Banks Campaign Management and Channels groups are responsible for compliance with the requirements defined in these regulations and Legal and Compliance also review and provide approvals affirming that compliance. Marketing to strengthen processes related to campaign development and document retention; gaps were noted in campaign management files.  </t>
  </si>
  <si>
    <t>In Progress</t>
  </si>
  <si>
    <t>Retail : Retail Network</t>
  </si>
  <si>
    <t xml:space="preserve">Safe Deposit signature cards switched from hand typed standard templates to the Sales Portal signature cards; required account opening documentation, including primary ID, secondary ID, and tax identification number, are not captured on the system generated signature card. </t>
  </si>
  <si>
    <t xml:space="preserve">Build a formal complaints process to ensure that a responsive and responsible handling consumer complaints and inquires is retained.  </t>
  </si>
  <si>
    <t>The consumer Overdraft Protection (ODP) Transfers and fees have incorrect transaction descriptions; current descriptions were created for and support the Corporate Banking Repo and Eurodollar Overnight Investment Sweep service, but should not appear on the consumer ODP transactions._x000D_</t>
  </si>
  <si>
    <t>HMDA/Reg B Issue: Santander not properly decisioning Home Equity Loans where the customer does not provide income verification or other conditional approval stipulations that are classified as underwriting criteria HMDA/Reg B Issue.</t>
  </si>
  <si>
    <t>Review, update and where needed create policies and policies to provide further detail regarding the fee reversal processes through the CCC, ensuring to establish clear fee rebate authority limits for team members.</t>
  </si>
  <si>
    <t>Internal Audit recommends management review the current funding process in the CCC and update the process to ensure the bank is in compliance with the Expedited Funds Availability Act.</t>
  </si>
  <si>
    <t xml:space="preserve">Payments  Exception Payment Process: Credit Card Operations receives daily an exception report of individual payments that have reached PCAS but have not been posted to the customers account. There is no secondary review over the credit card exception payment process. Additionally, due to the manual nature of the process Internal Audit identified that there is an opportunity to commit fraud as anyone could insert a credit card number or amount and the transaction would be processed without the chance of discovery if/until a customer complained. </t>
  </si>
  <si>
    <t>Critical Field File Maintenance: Team members in different departments (including the Retail Branches and Customer Contact Center as well as Credit Card Operations) have the ability to change critical fields of customer information in a customers credit card contract. There is currently no monitoring of changes to critical fields in a customers account.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</si>
</sst>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_(* #,##0_);_(* \(#,##0\);_(* &quot;-&quot;??_);_(@_)"/>
    <numFmt numFmtId="173" formatCode="_(&quot;$&quot;* #,##0_);_(&quot;$&quot;* \(#,##0\);_(&quot;$&quot;* &quot;-&quot;??_);_(@_)"/>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b/>
      <sz val="10"/>
      <name val="Calibri"/>
      <family val="2"/>
      <scheme val="minor"/>
    </font>
    <font>
      <b/>
      <u/>
      <sz val="10"/>
      <color theme="1"/>
      <name val="Calibri"/>
      <family val="2"/>
      <scheme val="minor"/>
    </font>
    <font>
      <sz val="8"/>
      <color theme="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right/>
      <top/>
      <bottom style="thin">
        <color theme="1"/>
      </bottom>
      <diagonal/>
    </border>
  </borders>
  <cellStyleXfs count="454">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4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49"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39" xfId="0" applyBorder="1" applyAlignment="1">
      <alignment vertical="center" wrapText="1"/>
    </xf>
    <xf numFmtId="0" fontId="49"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0" xfId="0" applyFill="1" applyBorder="1" applyAlignment="1" applyProtection="1">
      <alignment horizontal="center" vertical="top" wrapText="1"/>
      <protection locked="0"/>
    </xf>
    <xf numFmtId="0" fontId="31" fillId="32" borderId="40" xfId="0" applyFont="1" applyFill="1" applyBorder="1" applyAlignment="1" applyProtection="1">
      <alignment horizontal="center" vertical="center" wrapText="1"/>
      <protection locked="0"/>
    </xf>
    <xf numFmtId="0" fontId="31" fillId="32" borderId="40"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vertical="center" wrapText="1"/>
      <protection locked="0"/>
    </xf>
    <xf numFmtId="0" fontId="62" fillId="0" borderId="21" xfId="0" applyFont="1" applyFill="1" applyBorder="1" applyAlignment="1" applyProtection="1">
      <alignment horizontal="center" vertical="center" wrapText="1"/>
      <protection locked="0"/>
    </xf>
    <xf numFmtId="14" fontId="62" fillId="0" borderId="21" xfId="0" applyNumberFormat="1" applyFont="1" applyFill="1" applyBorder="1" applyAlignment="1" applyProtection="1">
      <alignment horizontal="center" vertical="center" wrapText="1"/>
      <protection locked="0"/>
    </xf>
    <xf numFmtId="0" fontId="62" fillId="0" borderId="21" xfId="0" applyFont="1" applyBorder="1" applyAlignment="1" applyProtection="1">
      <alignment horizontal="center" vertical="center" wrapText="1"/>
      <protection locked="0"/>
    </xf>
    <xf numFmtId="14" fontId="62" fillId="0" borderId="21" xfId="0" applyNumberFormat="1" applyFont="1" applyBorder="1" applyAlignment="1" applyProtection="1">
      <alignment horizontal="center" vertical="center" wrapText="1"/>
      <protection locked="0"/>
    </xf>
    <xf numFmtId="4" fontId="62" fillId="0" borderId="2" xfId="0" applyNumberFormat="1" applyFont="1" applyBorder="1" applyAlignment="1" applyProtection="1">
      <alignment vertical="center" wrapText="1"/>
      <protection locked="0"/>
    </xf>
    <xf numFmtId="0" fontId="0" fillId="0" borderId="0" xfId="0" applyAlignment="1">
      <alignment horizontal="left" vertical="top"/>
    </xf>
    <xf numFmtId="0" fontId="62" fillId="0" borderId="21" xfId="0" applyFont="1" applyBorder="1" applyAlignment="1" applyProtection="1">
      <alignment horizontal="center" vertical="center" wrapText="1"/>
    </xf>
    <xf numFmtId="0" fontId="19" fillId="3" borderId="21" xfId="0" applyFont="1" applyFill="1" applyBorder="1" applyAlignment="1" applyProtection="1">
      <alignment horizontal="center" vertical="center" wrapText="1"/>
      <protection locked="0"/>
    </xf>
    <xf numFmtId="0" fontId="19" fillId="0" borderId="2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0" fillId="3" borderId="4" xfId="0" applyFill="1" applyBorder="1" applyAlignment="1" applyProtection="1">
      <alignment horizontal="center"/>
      <protection locked="0"/>
    </xf>
    <xf numFmtId="0" fontId="0" fillId="31" borderId="0" xfId="0" applyFill="1" applyAlignment="1">
      <alignment horizontal="center"/>
    </xf>
    <xf numFmtId="9" fontId="19" fillId="0" borderId="21" xfId="0" applyNumberFormat="1" applyFont="1" applyBorder="1" applyAlignment="1" applyProtection="1">
      <alignment horizontal="center" vertical="center" wrapText="1"/>
      <protection locked="0"/>
    </xf>
    <xf numFmtId="9" fontId="66" fillId="0" borderId="21" xfId="453" applyFont="1" applyBorder="1" applyAlignment="1" applyProtection="1">
      <alignment horizontal="center" vertical="center" wrapText="1"/>
      <protection locked="0"/>
    </xf>
    <xf numFmtId="172" fontId="19" fillId="0" borderId="21" xfId="451" applyNumberFormat="1" applyFont="1" applyBorder="1" applyAlignment="1" applyProtection="1">
      <alignment horizontal="center" vertical="center" wrapText="1"/>
      <protection locked="0"/>
    </xf>
    <xf numFmtId="10" fontId="19" fillId="0" borderId="21" xfId="453" applyNumberFormat="1" applyFont="1" applyBorder="1" applyAlignment="1" applyProtection="1">
      <alignment horizontal="center" vertical="center" wrapText="1"/>
      <protection locked="0"/>
    </xf>
    <xf numFmtId="9" fontId="19" fillId="0" borderId="21" xfId="453" applyFont="1" applyBorder="1" applyAlignment="1" applyProtection="1">
      <alignment horizontal="center" vertical="center" wrapText="1"/>
      <protection locked="0"/>
    </xf>
    <xf numFmtId="173" fontId="19" fillId="0" borderId="21" xfId="452" applyNumberFormat="1" applyFont="1" applyBorder="1" applyAlignment="1" applyProtection="1">
      <alignment horizontal="center" vertical="center" wrapText="1"/>
      <protection locked="0"/>
    </xf>
    <xf numFmtId="0" fontId="62" fillId="0" borderId="26" xfId="0" applyFont="1" applyBorder="1" applyAlignment="1" applyProtection="1">
      <alignment horizontal="center" vertical="center" wrapText="1"/>
      <protection locked="0"/>
    </xf>
    <xf numFmtId="17" fontId="62" fillId="0" borderId="21" xfId="0" applyNumberFormat="1" applyFont="1" applyBorder="1" applyAlignment="1" applyProtection="1">
      <alignment horizontal="center" vertical="center" wrapText="1"/>
      <protection locked="0"/>
    </xf>
    <xf numFmtId="0" fontId="0" fillId="0" borderId="2" xfId="0" applyBorder="1" applyAlignment="1">
      <alignment horizontal="left" vertical="top"/>
    </xf>
    <xf numFmtId="0" fontId="0" fillId="0" borderId="2" xfId="0" applyBorder="1" applyAlignment="1">
      <alignment horizontal="left" vertical="top" wrapText="1"/>
    </xf>
    <xf numFmtId="14" fontId="0" fillId="0" borderId="2" xfId="0" applyNumberFormat="1" applyBorder="1" applyAlignment="1">
      <alignment horizontal="left" vertical="top"/>
    </xf>
    <xf numFmtId="0" fontId="0" fillId="31" borderId="27" xfId="0" applyFill="1" applyBorder="1" applyAlignment="1">
      <alignment vertical="top" wrapText="1"/>
    </xf>
    <xf numFmtId="0" fontId="0" fillId="0" borderId="29" xfId="0" applyBorder="1" applyAlignment="1"/>
    <xf numFmtId="0" fontId="0" fillId="0" borderId="44" xfId="0" applyBorder="1" applyAlignment="1">
      <alignment vertical="top" wrapText="1"/>
    </xf>
    <xf numFmtId="0" fontId="0" fillId="0" borderId="45"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0" fillId="31" borderId="0" xfId="0" applyFont="1" applyFill="1" applyAlignment="1">
      <alignment horizontal="center" vertical="center" wrapText="1"/>
    </xf>
    <xf numFmtId="0" fontId="50" fillId="0" borderId="0" xfId="0" applyFont="1" applyAlignment="1">
      <alignment horizontal="center" vertical="center"/>
    </xf>
    <xf numFmtId="0" fontId="52" fillId="31" borderId="0" xfId="0" applyFont="1" applyFill="1" applyAlignment="1">
      <alignment horizontal="center"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31" borderId="0" xfId="0" applyFont="1" applyFill="1" applyAlignment="1" applyProtection="1">
      <alignment horizontal="center" vertical="center"/>
      <protection locked="0"/>
    </xf>
    <xf numFmtId="0" fontId="53"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4" borderId="28" xfId="0" applyFill="1" applyBorder="1" applyAlignment="1" applyProtection="1">
      <alignment horizontal="left" vertical="top" wrapText="1"/>
      <protection locked="0"/>
    </xf>
    <xf numFmtId="0" fontId="0" fillId="0" borderId="0" xfId="0" applyAlignment="1">
      <alignment horizontal="left" vertical="top" wrapText="1"/>
    </xf>
    <xf numFmtId="0" fontId="0" fillId="34" borderId="0" xfId="0" applyFill="1" applyBorder="1" applyAlignment="1" applyProtection="1">
      <alignment horizontal="left" vertical="top" wrapText="1"/>
      <protection locked="0"/>
    </xf>
    <xf numFmtId="0" fontId="0" fillId="0" borderId="0" xfId="0" applyAlignment="1">
      <alignment horizontal="lef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0" xfId="0" applyFill="1" applyBorder="1" applyAlignment="1" applyProtection="1">
      <alignment vertical="top" wrapText="1"/>
      <protection locked="0"/>
    </xf>
    <xf numFmtId="0" fontId="0" fillId="0" borderId="0" xfId="0" applyAlignment="1">
      <alignment wrapText="1"/>
    </xf>
    <xf numFmtId="0" fontId="0" fillId="0" borderId="31" xfId="0" applyBorder="1" applyAlignment="1">
      <alignment wrapText="1"/>
    </xf>
    <xf numFmtId="0" fontId="19" fillId="34" borderId="28" xfId="0" applyFont="1" applyFill="1" applyBorder="1" applyAlignment="1" applyProtection="1">
      <alignment horizontal="left" vertical="top" wrapText="1"/>
      <protection locked="0"/>
    </xf>
    <xf numFmtId="0" fontId="0" fillId="0" borderId="0" xfId="0" applyAlignment="1">
      <alignment horizontal="left"/>
    </xf>
    <xf numFmtId="0" fontId="0" fillId="34" borderId="35" xfId="0" applyFill="1" applyBorder="1" applyAlignment="1" applyProtection="1">
      <alignment vertical="top"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0" fillId="0" borderId="0" xfId="0" applyAlignment="1"/>
    <xf numFmtId="0" fontId="0" fillId="0" borderId="46" xfId="0" applyBorder="1" applyAlignment="1"/>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28"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1" borderId="18" xfId="0" applyFill="1" applyBorder="1" applyAlignment="1">
      <alignment wrapText="1"/>
    </xf>
    <xf numFmtId="0" fontId="0" fillId="0" borderId="41" xfId="0" applyBorder="1" applyAlignment="1">
      <alignment wrapText="1"/>
    </xf>
    <xf numFmtId="0" fontId="0" fillId="31" borderId="41" xfId="0" applyFill="1" applyBorder="1" applyAlignment="1">
      <alignment vertical="top" wrapText="1"/>
    </xf>
    <xf numFmtId="0" fontId="0" fillId="32" borderId="42" xfId="0" applyFill="1" applyBorder="1" applyAlignment="1" applyProtection="1">
      <alignment horizontal="left" vertical="top" wrapText="1"/>
      <protection locked="0"/>
    </xf>
    <xf numFmtId="0" fontId="0" fillId="0" borderId="41" xfId="0" applyBorder="1" applyAlignment="1" applyProtection="1">
      <alignment vertical="top" wrapText="1"/>
      <protection locked="0"/>
    </xf>
    <xf numFmtId="0" fontId="0" fillId="32" borderId="41"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38"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38" xfId="0" applyFont="1" applyBorder="1" applyAlignment="1">
      <alignment vertical="center" wrapText="1"/>
    </xf>
    <xf numFmtId="0" fontId="55"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4">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xfId="451" builtinId="3"/>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xfId="452" builtinId="4"/>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3"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tabSelected="1" zoomScale="90" zoomScaleNormal="90" workbookViewId="0">
      <selection activeCell="A14" sqref="A14:D40"/>
    </sheetView>
  </sheetViews>
  <sheetFormatPr defaultColWidth="0" defaultRowHeight="0" customHeight="1" zeroHeight="1" x14ac:dyDescent="0.25"/>
  <cols>
    <col min="1" max="1" width="28.85546875" style="102" customWidth="1"/>
    <col min="2" max="2" width="9.140625" style="102" customWidth="1"/>
    <col min="3" max="3" width="13" style="102" customWidth="1"/>
    <col min="4" max="4" width="13.140625" style="102" customWidth="1"/>
    <col min="5" max="5" width="47.7109375" style="102"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7" t="s">
        <v>523</v>
      </c>
      <c r="B1" s="43"/>
      <c r="C1" s="43"/>
      <c r="D1" s="43"/>
      <c r="E1" s="43"/>
      <c r="AA1" s="43">
        <v>0</v>
      </c>
    </row>
    <row r="2" spans="1:27" ht="15" x14ac:dyDescent="0.25">
      <c r="A2" s="43"/>
      <c r="B2" s="43"/>
      <c r="C2" s="43"/>
      <c r="D2" s="43"/>
      <c r="E2" s="113" t="s">
        <v>528</v>
      </c>
    </row>
    <row r="3" spans="1:27" ht="15" x14ac:dyDescent="0.25">
      <c r="A3" s="39"/>
      <c r="B3" s="39"/>
      <c r="C3" s="39"/>
      <c r="D3" s="39"/>
      <c r="E3" s="140" t="s">
        <v>517</v>
      </c>
      <c r="F3" s="141"/>
    </row>
    <row r="4" spans="1:27" ht="15" x14ac:dyDescent="0.25">
      <c r="A4" s="39"/>
      <c r="B4" s="39"/>
      <c r="C4" s="39"/>
      <c r="D4" s="39"/>
      <c r="E4" s="142"/>
      <c r="F4" s="143"/>
    </row>
    <row r="5" spans="1:27" ht="4.5" customHeight="1" x14ac:dyDescent="0.25">
      <c r="A5" s="39"/>
      <c r="B5" s="39"/>
      <c r="C5" s="39"/>
      <c r="D5" s="39"/>
      <c r="E5" s="142"/>
      <c r="F5" s="143"/>
    </row>
    <row r="6" spans="1:27" ht="4.5" customHeight="1" x14ac:dyDescent="0.25">
      <c r="A6" s="39"/>
      <c r="B6" s="39"/>
      <c r="C6" s="39"/>
      <c r="D6" s="39"/>
      <c r="E6" s="142"/>
      <c r="F6" s="143"/>
    </row>
    <row r="7" spans="1:27" ht="15" x14ac:dyDescent="0.25">
      <c r="A7" s="39"/>
      <c r="B7" s="39"/>
      <c r="C7" s="39"/>
      <c r="D7" s="39"/>
      <c r="E7" s="142"/>
      <c r="F7" s="143"/>
    </row>
    <row r="8" spans="1:27" ht="15" x14ac:dyDescent="0.25">
      <c r="A8" s="39"/>
      <c r="B8" s="39"/>
      <c r="C8" s="39"/>
      <c r="D8" s="39"/>
      <c r="E8" s="142"/>
      <c r="F8" s="143"/>
    </row>
    <row r="9" spans="1:27" ht="15" x14ac:dyDescent="0.25">
      <c r="A9" s="39"/>
      <c r="B9" s="39"/>
      <c r="C9" s="39"/>
      <c r="D9" s="39"/>
      <c r="E9" s="142"/>
      <c r="F9" s="143"/>
    </row>
    <row r="10" spans="1:27" ht="15" hidden="1" customHeight="1" x14ac:dyDescent="0.25">
      <c r="A10" s="39"/>
      <c r="B10" s="39"/>
      <c r="C10" s="39"/>
      <c r="D10" s="39"/>
      <c r="E10" s="142"/>
      <c r="F10" s="143"/>
    </row>
    <row r="11" spans="1:27" ht="15" hidden="1" customHeight="1" x14ac:dyDescent="0.25">
      <c r="A11" s="39"/>
      <c r="B11" s="39"/>
      <c r="C11" s="39"/>
      <c r="D11" s="39"/>
      <c r="E11" s="142"/>
      <c r="F11" s="143"/>
    </row>
    <row r="12" spans="1:27" ht="15" hidden="1" customHeight="1" x14ac:dyDescent="0.25">
      <c r="A12" s="105"/>
      <c r="B12" s="39"/>
      <c r="C12" s="39"/>
      <c r="D12" s="39"/>
      <c r="E12" s="142"/>
      <c r="F12" s="143"/>
    </row>
    <row r="13" spans="1:27" ht="15" x14ac:dyDescent="0.25">
      <c r="A13" s="39"/>
      <c r="B13" s="39"/>
      <c r="C13" s="39"/>
      <c r="D13" s="39"/>
      <c r="E13" s="142"/>
      <c r="F13" s="143"/>
    </row>
    <row r="14" spans="1:27" ht="15" customHeight="1" x14ac:dyDescent="0.25">
      <c r="A14" s="146" t="s">
        <v>527</v>
      </c>
      <c r="B14" s="147"/>
      <c r="C14" s="148"/>
      <c r="D14" s="148"/>
      <c r="E14" s="142"/>
      <c r="F14" s="143"/>
    </row>
    <row r="15" spans="1:27" ht="15" customHeight="1" x14ac:dyDescent="0.25">
      <c r="A15" s="149"/>
      <c r="B15" s="150"/>
      <c r="C15" s="151"/>
      <c r="D15" s="151"/>
      <c r="E15" s="142"/>
      <c r="F15" s="143"/>
    </row>
    <row r="16" spans="1:27" ht="15" customHeight="1" x14ac:dyDescent="0.25">
      <c r="A16" s="149"/>
      <c r="B16" s="150"/>
      <c r="C16" s="151"/>
      <c r="D16" s="151"/>
      <c r="E16" s="142"/>
      <c r="F16" s="143"/>
    </row>
    <row r="17" spans="1:6" ht="53.25" customHeight="1" x14ac:dyDescent="0.25">
      <c r="A17" s="149"/>
      <c r="B17" s="150"/>
      <c r="C17" s="151"/>
      <c r="D17" s="151"/>
      <c r="E17" s="142"/>
      <c r="F17" s="143"/>
    </row>
    <row r="18" spans="1:6" ht="15" x14ac:dyDescent="0.25">
      <c r="A18" s="149"/>
      <c r="B18" s="150"/>
      <c r="C18" s="151"/>
      <c r="D18" s="151"/>
      <c r="E18" s="142"/>
      <c r="F18" s="143"/>
    </row>
    <row r="19" spans="1:6" ht="15" x14ac:dyDescent="0.25">
      <c r="A19" s="149"/>
      <c r="B19" s="150"/>
      <c r="C19" s="151"/>
      <c r="D19" s="151"/>
      <c r="E19" s="142"/>
      <c r="F19" s="143"/>
    </row>
    <row r="20" spans="1:6" ht="15" x14ac:dyDescent="0.25">
      <c r="A20" s="149"/>
      <c r="B20" s="150"/>
      <c r="C20" s="151"/>
      <c r="D20" s="151"/>
      <c r="E20" s="142"/>
      <c r="F20" s="143"/>
    </row>
    <row r="21" spans="1:6" ht="15" x14ac:dyDescent="0.25">
      <c r="A21" s="149"/>
      <c r="B21" s="150"/>
      <c r="C21" s="151"/>
      <c r="D21" s="151"/>
      <c r="E21" s="142"/>
      <c r="F21" s="143"/>
    </row>
    <row r="22" spans="1:6" ht="15" x14ac:dyDescent="0.25">
      <c r="A22" s="149"/>
      <c r="B22" s="150"/>
      <c r="C22" s="151"/>
      <c r="D22" s="151"/>
      <c r="E22" s="142"/>
      <c r="F22" s="143"/>
    </row>
    <row r="23" spans="1:6" ht="15" x14ac:dyDescent="0.25">
      <c r="A23" s="149"/>
      <c r="B23" s="150"/>
      <c r="C23" s="151"/>
      <c r="D23" s="151"/>
      <c r="E23" s="142"/>
      <c r="F23" s="143"/>
    </row>
    <row r="24" spans="1:6" ht="15" customHeight="1" x14ac:dyDescent="0.25">
      <c r="A24" s="149"/>
      <c r="B24" s="150"/>
      <c r="C24" s="151"/>
      <c r="D24" s="151"/>
      <c r="E24" s="142"/>
      <c r="F24" s="143"/>
    </row>
    <row r="25" spans="1:6" ht="15" customHeight="1" x14ac:dyDescent="0.25">
      <c r="A25" s="149"/>
      <c r="B25" s="150"/>
      <c r="C25" s="151"/>
      <c r="D25" s="151"/>
      <c r="E25" s="142"/>
      <c r="F25" s="143"/>
    </row>
    <row r="26" spans="1:6" ht="15" customHeight="1" x14ac:dyDescent="0.25">
      <c r="A26" s="149"/>
      <c r="B26" s="150"/>
      <c r="C26" s="151"/>
      <c r="D26" s="151"/>
      <c r="E26" s="142"/>
      <c r="F26" s="143"/>
    </row>
    <row r="27" spans="1:6" ht="36" customHeight="1" x14ac:dyDescent="0.25">
      <c r="A27" s="149"/>
      <c r="B27" s="150"/>
      <c r="C27" s="151"/>
      <c r="D27" s="151"/>
      <c r="E27" s="142"/>
      <c r="F27" s="143"/>
    </row>
    <row r="28" spans="1:6" ht="36" customHeight="1" x14ac:dyDescent="0.25">
      <c r="A28" s="149"/>
      <c r="B28" s="150"/>
      <c r="C28" s="151"/>
      <c r="D28" s="151"/>
      <c r="E28" s="142"/>
      <c r="F28" s="143"/>
    </row>
    <row r="29" spans="1:6" ht="36" customHeight="1" x14ac:dyDescent="0.25">
      <c r="A29" s="149"/>
      <c r="B29" s="150"/>
      <c r="C29" s="151"/>
      <c r="D29" s="151"/>
      <c r="E29" s="142"/>
      <c r="F29" s="143"/>
    </row>
    <row r="30" spans="1:6" ht="36" customHeight="1" x14ac:dyDescent="0.25">
      <c r="A30" s="149"/>
      <c r="B30" s="150"/>
      <c r="C30" s="151"/>
      <c r="D30" s="151"/>
      <c r="E30" s="142"/>
      <c r="F30" s="143"/>
    </row>
    <row r="31" spans="1:6" ht="36" customHeight="1" x14ac:dyDescent="0.25">
      <c r="A31" s="149"/>
      <c r="B31" s="150"/>
      <c r="C31" s="151"/>
      <c r="D31" s="151"/>
      <c r="E31" s="142"/>
      <c r="F31" s="143"/>
    </row>
    <row r="32" spans="1:6" ht="15" x14ac:dyDescent="0.25">
      <c r="A32" s="149"/>
      <c r="B32" s="150"/>
      <c r="C32" s="151"/>
      <c r="D32" s="151"/>
      <c r="E32" s="142"/>
      <c r="F32" s="143"/>
    </row>
    <row r="33" spans="1:6" ht="15" customHeight="1" x14ac:dyDescent="0.25">
      <c r="A33" s="149"/>
      <c r="B33" s="150"/>
      <c r="C33" s="151"/>
      <c r="D33" s="151"/>
      <c r="E33" s="142"/>
      <c r="F33" s="143"/>
    </row>
    <row r="34" spans="1:6" ht="15" customHeight="1" x14ac:dyDescent="0.25">
      <c r="A34" s="149"/>
      <c r="B34" s="150"/>
      <c r="C34" s="151"/>
      <c r="D34" s="151"/>
      <c r="E34" s="142"/>
      <c r="F34" s="143"/>
    </row>
    <row r="35" spans="1:6" ht="15" x14ac:dyDescent="0.25">
      <c r="A35" s="149"/>
      <c r="B35" s="150"/>
      <c r="C35" s="151"/>
      <c r="D35" s="151"/>
      <c r="E35" s="142"/>
      <c r="F35" s="143"/>
    </row>
    <row r="36" spans="1:6" ht="31.5" customHeight="1" x14ac:dyDescent="0.25">
      <c r="A36" s="149"/>
      <c r="B36" s="150"/>
      <c r="C36" s="151"/>
      <c r="D36" s="151"/>
      <c r="E36" s="142"/>
      <c r="F36" s="143"/>
    </row>
    <row r="37" spans="1:6" ht="31.5" customHeight="1" x14ac:dyDescent="0.25">
      <c r="A37" s="149"/>
      <c r="B37" s="150"/>
      <c r="C37" s="151"/>
      <c r="D37" s="151"/>
      <c r="E37" s="142"/>
      <c r="F37" s="143"/>
    </row>
    <row r="38" spans="1:6" ht="31.5" customHeight="1" x14ac:dyDescent="0.25">
      <c r="A38" s="149"/>
      <c r="B38" s="150"/>
      <c r="C38" s="151"/>
      <c r="D38" s="151"/>
      <c r="E38" s="142"/>
      <c r="F38" s="143"/>
    </row>
    <row r="39" spans="1:6" ht="31.5" customHeight="1" x14ac:dyDescent="0.25">
      <c r="A39" s="149"/>
      <c r="B39" s="150"/>
      <c r="C39" s="151"/>
      <c r="D39" s="151"/>
      <c r="E39" s="142"/>
      <c r="F39" s="143"/>
    </row>
    <row r="40" spans="1:6" ht="15" x14ac:dyDescent="0.25">
      <c r="A40" s="152"/>
      <c r="B40" s="153"/>
      <c r="C40" s="154"/>
      <c r="D40" s="154"/>
      <c r="E40" s="144"/>
      <c r="F40" s="145"/>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8" zoomScaleNormal="100" zoomScaleSheetLayoutView="100" workbookViewId="0">
      <selection activeCell="A14" sqref="A14:D40"/>
    </sheetView>
  </sheetViews>
  <sheetFormatPr defaultColWidth="0" defaultRowHeight="15" zeroHeight="1" x14ac:dyDescent="0.25"/>
  <cols>
    <col min="1" max="8" width="9.140625" style="43" customWidth="1"/>
    <col min="9" max="10" width="7.7109375" style="43" customWidth="1"/>
    <col min="11" max="11" width="7.7109375" style="114" hidden="1" customWidth="1"/>
    <col min="12" max="15" width="3.85546875" style="114" hidden="1" customWidth="1"/>
    <col min="16" max="16384" width="0.85546875" style="43" hidden="1"/>
  </cols>
  <sheetData>
    <row r="1" spans="1:15 16383:16383" ht="21" x14ac:dyDescent="0.35">
      <c r="B1" s="87"/>
      <c r="L1" s="39"/>
      <c r="M1" s="39"/>
      <c r="N1" s="39"/>
      <c r="O1" s="39"/>
      <c r="XFC1" s="43" t="s">
        <v>496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5"/>
      <c r="L12" s="36"/>
      <c r="M12" s="36"/>
      <c r="N12" s="36"/>
      <c r="O12" s="36"/>
    </row>
    <row r="13" spans="1:15 16383:16383" x14ac:dyDescent="0.25">
      <c r="K13" s="36"/>
      <c r="L13" s="36"/>
      <c r="M13" s="36"/>
      <c r="N13" s="36"/>
      <c r="O13" s="36"/>
    </row>
    <row r="14" spans="1:15 16383:16383" x14ac:dyDescent="0.25">
      <c r="A14" s="155" t="s">
        <v>312</v>
      </c>
      <c r="B14" s="156"/>
      <c r="C14" s="156"/>
      <c r="D14" s="156"/>
      <c r="E14" s="156"/>
      <c r="F14" s="156"/>
      <c r="G14" s="156"/>
      <c r="H14" s="156"/>
      <c r="I14" s="156"/>
      <c r="J14" s="156"/>
      <c r="K14" s="115"/>
    </row>
    <row r="15" spans="1:15 16383:16383" x14ac:dyDescent="0.25">
      <c r="A15" s="156"/>
      <c r="B15" s="156"/>
      <c r="C15" s="156"/>
      <c r="D15" s="156"/>
      <c r="E15" s="156"/>
      <c r="F15" s="156"/>
      <c r="G15" s="156"/>
      <c r="H15" s="156"/>
      <c r="I15" s="156"/>
      <c r="J15" s="156"/>
    </row>
    <row r="16" spans="1:15 16383:16383" x14ac:dyDescent="0.25">
      <c r="A16" s="156"/>
      <c r="B16" s="156"/>
      <c r="C16" s="156"/>
      <c r="D16" s="156"/>
      <c r="E16" s="156"/>
      <c r="F16" s="156"/>
      <c r="G16" s="156"/>
      <c r="H16" s="156"/>
      <c r="I16" s="156"/>
      <c r="J16" s="156"/>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7" t="s">
        <v>485</v>
      </c>
      <c r="B24" s="158"/>
      <c r="C24" s="158"/>
      <c r="D24" s="158"/>
      <c r="E24" s="158"/>
      <c r="F24" s="158"/>
      <c r="G24" s="158"/>
      <c r="H24" s="158"/>
      <c r="I24" s="158"/>
      <c r="J24" s="158"/>
    </row>
    <row r="25" spans="1:10" x14ac:dyDescent="0.25">
      <c r="A25" s="158"/>
      <c r="B25" s="158"/>
      <c r="C25" s="158"/>
      <c r="D25" s="158"/>
      <c r="E25" s="158"/>
      <c r="F25" s="158"/>
      <c r="G25" s="158"/>
      <c r="H25" s="158"/>
      <c r="I25" s="158"/>
      <c r="J25" s="158"/>
    </row>
    <row r="26" spans="1:10" x14ac:dyDescent="0.25">
      <c r="A26" s="158"/>
      <c r="B26" s="158"/>
      <c r="C26" s="158"/>
      <c r="D26" s="158"/>
      <c r="E26" s="158"/>
      <c r="F26" s="158"/>
      <c r="G26" s="158"/>
      <c r="H26" s="158"/>
      <c r="I26" s="158"/>
      <c r="J26" s="158"/>
    </row>
    <row r="27" spans="1:10" x14ac:dyDescent="0.25">
      <c r="A27" s="159"/>
      <c r="B27" s="159"/>
      <c r="C27" s="159"/>
      <c r="D27" s="159"/>
      <c r="E27" s="159"/>
      <c r="F27" s="159"/>
      <c r="G27" s="159"/>
      <c r="H27" s="159"/>
      <c r="I27" s="159"/>
      <c r="J27" s="159"/>
    </row>
    <row r="28" spans="1:10" x14ac:dyDescent="0.25">
      <c r="A28" s="159"/>
      <c r="B28" s="159"/>
      <c r="C28" s="159"/>
      <c r="D28" s="159"/>
      <c r="E28" s="159"/>
      <c r="F28" s="159"/>
      <c r="G28" s="159"/>
      <c r="H28" s="159"/>
      <c r="I28" s="159"/>
      <c r="J28" s="159"/>
    </row>
    <row r="29" spans="1:10" x14ac:dyDescent="0.25"/>
    <row r="30" spans="1:10" x14ac:dyDescent="0.25"/>
    <row r="31" spans="1:10" x14ac:dyDescent="0.25"/>
    <row r="32" spans="1:10" x14ac:dyDescent="0.25"/>
    <row r="33" spans="1:10" x14ac:dyDescent="0.25">
      <c r="A33" s="160" t="s">
        <v>612</v>
      </c>
      <c r="B33" s="161"/>
      <c r="C33" s="161"/>
      <c r="D33" s="161"/>
      <c r="E33" s="161"/>
      <c r="F33" s="161"/>
      <c r="G33" s="161"/>
      <c r="H33" s="161"/>
      <c r="I33" s="161"/>
      <c r="J33" s="161"/>
    </row>
    <row r="34" spans="1:10" x14ac:dyDescent="0.25">
      <c r="A34" s="161"/>
      <c r="B34" s="161"/>
      <c r="C34" s="161"/>
      <c r="D34" s="161"/>
      <c r="E34" s="161"/>
      <c r="F34" s="161"/>
      <c r="G34" s="161"/>
      <c r="H34" s="161"/>
      <c r="I34" s="161"/>
      <c r="J34" s="161"/>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A14" sqref="A14:D40"/>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496</v>
      </c>
    </row>
    <row r="2" spans="1:27" ht="15.75" thickBot="1" x14ac:dyDescent="0.3"/>
    <row r="3" spans="1:27" ht="29.25" customHeight="1" thickBot="1" x14ac:dyDescent="0.3">
      <c r="A3" s="162" t="s">
        <v>259</v>
      </c>
      <c r="B3" s="163"/>
      <c r="C3" s="103">
        <v>2015</v>
      </c>
    </row>
    <row r="4" spans="1:27" ht="33.75" customHeight="1" thickBot="1" x14ac:dyDescent="0.3">
      <c r="A4" s="162" t="s">
        <v>313</v>
      </c>
      <c r="B4" s="163"/>
      <c r="C4" s="104" t="s">
        <v>612</v>
      </c>
    </row>
    <row r="5" spans="1:27" ht="33.75" customHeight="1" thickBot="1" x14ac:dyDescent="0.3">
      <c r="A5" s="162" t="s">
        <v>314</v>
      </c>
      <c r="B5" s="163"/>
      <c r="C5" s="104" t="s">
        <v>633</v>
      </c>
    </row>
    <row r="6" spans="1:27" ht="33.75" customHeight="1" thickBot="1" x14ac:dyDescent="0.3">
      <c r="A6" s="162" t="s">
        <v>1</v>
      </c>
      <c r="B6" s="163"/>
      <c r="C6" s="104" t="s">
        <v>637</v>
      </c>
    </row>
    <row r="7" spans="1:27" ht="33.75" customHeight="1" thickBot="1" x14ac:dyDescent="0.3">
      <c r="A7" s="162" t="s">
        <v>260</v>
      </c>
      <c r="B7" s="163"/>
      <c r="C7" s="104" t="s">
        <v>637</v>
      </c>
    </row>
    <row r="8" spans="1:27" ht="33.75" customHeight="1" thickBot="1" x14ac:dyDescent="0.3">
      <c r="A8" s="162" t="s">
        <v>518</v>
      </c>
      <c r="B8" s="163"/>
      <c r="C8" s="104"/>
    </row>
    <row r="9" spans="1:27" ht="33.75" customHeight="1" thickBot="1" x14ac:dyDescent="0.3">
      <c r="A9" s="162" t="s">
        <v>519</v>
      </c>
      <c r="B9" s="163"/>
      <c r="C9" s="104"/>
    </row>
    <row r="10" spans="1:27" ht="33.75" customHeight="1" thickBot="1" x14ac:dyDescent="0.3">
      <c r="A10" s="162" t="s">
        <v>261</v>
      </c>
      <c r="B10" s="163"/>
      <c r="C10" s="104" t="s">
        <v>636</v>
      </c>
    </row>
    <row r="11" spans="1:27" ht="54.75" customHeight="1" thickBot="1" x14ac:dyDescent="0.3">
      <c r="A11" s="162" t="s">
        <v>262</v>
      </c>
      <c r="B11" s="163"/>
      <c r="C11" s="104" t="s">
        <v>635</v>
      </c>
    </row>
    <row r="12" spans="1:27" ht="39" customHeight="1" thickBot="1" x14ac:dyDescent="0.3">
      <c r="A12" s="162" t="s">
        <v>520</v>
      </c>
      <c r="B12" s="163"/>
      <c r="C12" s="104" t="s">
        <v>634</v>
      </c>
    </row>
    <row r="13" spans="1:27" ht="33.75" customHeight="1" thickBot="1" x14ac:dyDescent="0.3">
      <c r="A13" s="162" t="s">
        <v>263</v>
      </c>
      <c r="B13" s="163"/>
      <c r="C13" s="104" t="s">
        <v>638</v>
      </c>
    </row>
    <row r="14" spans="1:27" x14ac:dyDescent="0.25"/>
    <row r="15" spans="1:27" ht="15.75" thickBot="1" x14ac:dyDescent="0.3">
      <c r="A15" s="67" t="s">
        <v>495</v>
      </c>
      <c r="B15" s="164"/>
      <c r="C15" s="165"/>
    </row>
    <row r="16" spans="1:27" x14ac:dyDescent="0.25"/>
    <row r="17" spans="1:3" x14ac:dyDescent="0.25">
      <c r="A17" s="88" t="s">
        <v>521</v>
      </c>
      <c r="B17" s="47"/>
    </row>
    <row r="18" spans="1:3" x14ac:dyDescent="0.25"/>
    <row r="19" spans="1:3" x14ac:dyDescent="0.25">
      <c r="A19" s="48" t="s">
        <v>264</v>
      </c>
      <c r="B19" s="49"/>
      <c r="C19" s="50"/>
    </row>
    <row r="20" spans="1:3" ht="198.75" customHeight="1" x14ac:dyDescent="0.25">
      <c r="A20" s="166" t="s">
        <v>515</v>
      </c>
      <c r="B20" s="154"/>
      <c r="C20" s="167"/>
    </row>
  </sheetData>
  <sheetProtection password="CDE2" sheet="1" objects="1" scenarios="1"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23"/>
  <sheetViews>
    <sheetView zoomScale="85" zoomScaleNormal="85" zoomScaleSheetLayoutView="100" zoomScalePageLayoutView="55" workbookViewId="0">
      <selection activeCell="A14" sqref="A14:D40"/>
    </sheetView>
  </sheetViews>
  <sheetFormatPr defaultColWidth="0" defaultRowHeight="15" zeroHeight="1" x14ac:dyDescent="0.25"/>
  <cols>
    <col min="1" max="1" width="130.42578125" style="122" customWidth="1"/>
    <col min="2" max="16384" width="2.140625" style="43" hidden="1"/>
  </cols>
  <sheetData>
    <row r="1" spans="1:27" ht="15.75" thickBot="1" x14ac:dyDescent="0.3">
      <c r="A1" s="71" t="s">
        <v>268</v>
      </c>
      <c r="AA1" s="43" t="s">
        <v>497</v>
      </c>
    </row>
    <row r="2" spans="1:27" ht="30" x14ac:dyDescent="0.25">
      <c r="A2" s="42" t="s">
        <v>529</v>
      </c>
    </row>
    <row r="3" spans="1:27" ht="335.25" customHeight="1" x14ac:dyDescent="0.25">
      <c r="A3" s="168" t="s">
        <v>723</v>
      </c>
    </row>
    <row r="4" spans="1:27" ht="30" customHeight="1" x14ac:dyDescent="0.25">
      <c r="A4" s="169"/>
    </row>
    <row r="5" spans="1:27" ht="15.75" thickBot="1" x14ac:dyDescent="0.3">
      <c r="A5" s="71" t="s">
        <v>265</v>
      </c>
    </row>
    <row r="6" spans="1:27" ht="75" x14ac:dyDescent="0.25">
      <c r="A6" s="42" t="s">
        <v>530</v>
      </c>
    </row>
    <row r="7" spans="1:27" ht="409.5" customHeight="1" x14ac:dyDescent="0.25">
      <c r="A7" s="168" t="s">
        <v>614</v>
      </c>
    </row>
    <row r="8" spans="1:27" ht="235.5" customHeight="1" x14ac:dyDescent="0.25">
      <c r="A8" s="169"/>
    </row>
    <row r="9" spans="1:27" ht="15.75" thickBot="1" x14ac:dyDescent="0.3">
      <c r="A9" s="71" t="s">
        <v>266</v>
      </c>
    </row>
    <row r="10" spans="1:27" ht="150" x14ac:dyDescent="0.25">
      <c r="A10" s="42" t="s">
        <v>483</v>
      </c>
    </row>
    <row r="11" spans="1:27" ht="270" x14ac:dyDescent="0.25">
      <c r="A11" s="97" t="s">
        <v>613</v>
      </c>
    </row>
    <row r="12" spans="1:27" ht="15.75" thickBot="1" x14ac:dyDescent="0.3">
      <c r="A12" s="71" t="s">
        <v>267</v>
      </c>
    </row>
    <row r="13" spans="1:27" ht="135" x14ac:dyDescent="0.25">
      <c r="A13" s="42" t="s">
        <v>484</v>
      </c>
    </row>
    <row r="14" spans="1:27" x14ac:dyDescent="0.25">
      <c r="A14" s="170" t="s">
        <v>615</v>
      </c>
    </row>
    <row r="15" spans="1:27" ht="386.25" customHeight="1" x14ac:dyDescent="0.25">
      <c r="A15" s="171"/>
    </row>
    <row r="16" spans="1:27" ht="46.5" customHeight="1" x14ac:dyDescent="0.25">
      <c r="A16" s="171"/>
    </row>
    <row r="17" spans="1:1" ht="37.5" customHeight="1" x14ac:dyDescent="0.25">
      <c r="A17" s="171"/>
    </row>
    <row r="18" spans="1:1" ht="12.75" customHeight="1" x14ac:dyDescent="0.25">
      <c r="A18" s="171"/>
    </row>
    <row r="19" spans="1:1" ht="12.75" customHeight="1" x14ac:dyDescent="0.25">
      <c r="A19" s="171"/>
    </row>
    <row r="20" spans="1:1" ht="12.75" customHeight="1" x14ac:dyDescent="0.25">
      <c r="A20" s="171"/>
    </row>
    <row r="21" spans="1:1" ht="12.75" customHeight="1" x14ac:dyDescent="0.25">
      <c r="A21" s="171"/>
    </row>
    <row r="22" spans="1:1" x14ac:dyDescent="0.25"/>
    <row r="23" spans="1:1" x14ac:dyDescent="0.25"/>
  </sheetData>
  <sheetProtection formatCells="0" formatColumns="0" formatRows="0"/>
  <mergeCells count="3">
    <mergeCell ref="A3:A4"/>
    <mergeCell ref="A7:A8"/>
    <mergeCell ref="A14:A21"/>
  </mergeCells>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26"/>
  <sheetViews>
    <sheetView view="pageLayout" topLeftCell="A26" zoomScaleNormal="100" zoomScaleSheetLayoutView="100" workbookViewId="0">
      <selection activeCell="A14" sqref="A14:D40"/>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6" t="s">
        <v>274</v>
      </c>
      <c r="B1" s="55"/>
      <c r="C1" s="55"/>
      <c r="D1" s="55"/>
      <c r="E1" s="55"/>
      <c r="AA1" s="43" t="s">
        <v>497</v>
      </c>
    </row>
    <row r="2" spans="1:27" x14ac:dyDescent="0.25">
      <c r="A2" s="172" t="s">
        <v>275</v>
      </c>
      <c r="B2" s="173"/>
      <c r="C2" s="173"/>
      <c r="D2" s="173"/>
      <c r="E2" s="173"/>
      <c r="F2" s="173"/>
      <c r="G2" s="54"/>
      <c r="H2" s="54"/>
      <c r="I2" s="54"/>
      <c r="J2" s="54"/>
      <c r="K2" s="54"/>
      <c r="L2" s="54"/>
      <c r="M2" s="54"/>
      <c r="N2" s="54"/>
    </row>
    <row r="3" spans="1:27" ht="15.75" thickBot="1" x14ac:dyDescent="0.3"/>
    <row r="4" spans="1:27" ht="15.75" thickBot="1" x14ac:dyDescent="0.3">
      <c r="A4" s="51" t="s">
        <v>269</v>
      </c>
      <c r="B4" s="52" t="s">
        <v>270</v>
      </c>
      <c r="C4" s="52" t="s">
        <v>271</v>
      </c>
      <c r="D4" s="52" t="s">
        <v>272</v>
      </c>
      <c r="E4" s="52" t="s">
        <v>273</v>
      </c>
    </row>
    <row r="5" spans="1:27" ht="77.25" thickBot="1" x14ac:dyDescent="0.3">
      <c r="A5" s="135" t="s">
        <v>616</v>
      </c>
      <c r="B5" s="117" t="s">
        <v>617</v>
      </c>
      <c r="C5" s="118">
        <v>42220</v>
      </c>
      <c r="D5" s="117" t="s">
        <v>618</v>
      </c>
      <c r="E5" s="118">
        <v>42129</v>
      </c>
    </row>
    <row r="6" spans="1:27" ht="64.5" thickBot="1" x14ac:dyDescent="0.3">
      <c r="A6" s="135" t="s">
        <v>619</v>
      </c>
      <c r="B6" s="123" t="s">
        <v>620</v>
      </c>
      <c r="C6" s="120">
        <v>42278</v>
      </c>
      <c r="D6" s="119" t="s">
        <v>621</v>
      </c>
      <c r="E6" s="120">
        <v>42097</v>
      </c>
    </row>
    <row r="7" spans="1:27" ht="51.75" thickBot="1" x14ac:dyDescent="0.3">
      <c r="A7" s="135" t="s">
        <v>622</v>
      </c>
      <c r="B7" s="119" t="s">
        <v>637</v>
      </c>
      <c r="C7" s="120" t="s">
        <v>637</v>
      </c>
      <c r="D7" s="119" t="s">
        <v>623</v>
      </c>
      <c r="E7" s="119" t="s">
        <v>637</v>
      </c>
    </row>
    <row r="8" spans="1:27" ht="26.25" thickBot="1" x14ac:dyDescent="0.3">
      <c r="A8" s="135" t="s">
        <v>656</v>
      </c>
      <c r="B8" s="119" t="s">
        <v>637</v>
      </c>
      <c r="C8" s="136">
        <v>42248</v>
      </c>
      <c r="D8" s="119" t="s">
        <v>657</v>
      </c>
      <c r="E8" s="119" t="s">
        <v>637</v>
      </c>
    </row>
    <row r="9" spans="1:27" ht="26.25" thickBot="1" x14ac:dyDescent="0.3">
      <c r="A9" s="135" t="s">
        <v>658</v>
      </c>
      <c r="B9" s="119" t="s">
        <v>637</v>
      </c>
      <c r="C9" s="119" t="s">
        <v>637</v>
      </c>
      <c r="D9" s="119" t="s">
        <v>659</v>
      </c>
      <c r="E9" s="119" t="s">
        <v>637</v>
      </c>
    </row>
    <row r="10" spans="1:27" ht="77.25" thickBot="1" x14ac:dyDescent="0.3">
      <c r="A10" s="135" t="s">
        <v>660</v>
      </c>
      <c r="B10" s="119" t="s">
        <v>637</v>
      </c>
      <c r="C10" s="119" t="s">
        <v>637</v>
      </c>
      <c r="D10" s="119" t="s">
        <v>661</v>
      </c>
      <c r="E10" s="119" t="s">
        <v>637</v>
      </c>
    </row>
    <row r="11" spans="1:27" ht="51.75" thickBot="1" x14ac:dyDescent="0.3">
      <c r="A11" s="135" t="s">
        <v>662</v>
      </c>
      <c r="B11" s="136">
        <v>42064</v>
      </c>
      <c r="C11" s="136">
        <v>42125</v>
      </c>
      <c r="D11" s="119" t="s">
        <v>663</v>
      </c>
      <c r="E11" s="119" t="s">
        <v>637</v>
      </c>
    </row>
    <row r="12" spans="1:27" ht="26.25" thickBot="1" x14ac:dyDescent="0.3">
      <c r="A12" s="135" t="s">
        <v>624</v>
      </c>
      <c r="B12" s="119" t="s">
        <v>625</v>
      </c>
      <c r="C12" s="120">
        <v>42262</v>
      </c>
      <c r="D12" s="119" t="s">
        <v>626</v>
      </c>
      <c r="E12" s="120">
        <v>42152</v>
      </c>
    </row>
    <row r="13" spans="1:27" ht="15.75" thickBot="1" x14ac:dyDescent="0.3">
      <c r="A13" s="135" t="s">
        <v>688</v>
      </c>
      <c r="B13" s="120">
        <v>41978</v>
      </c>
      <c r="C13" s="120">
        <v>42157</v>
      </c>
      <c r="D13" s="119" t="s">
        <v>628</v>
      </c>
      <c r="E13" s="120">
        <v>41978</v>
      </c>
    </row>
    <row r="14" spans="1:27" ht="26.25" thickBot="1" x14ac:dyDescent="0.3">
      <c r="A14" s="135" t="s">
        <v>627</v>
      </c>
      <c r="B14" s="120">
        <v>42034</v>
      </c>
      <c r="C14" s="120">
        <v>42086</v>
      </c>
      <c r="D14" s="119" t="s">
        <v>628</v>
      </c>
      <c r="E14" s="120">
        <v>42034</v>
      </c>
    </row>
    <row r="15" spans="1:27" ht="26.25" thickBot="1" x14ac:dyDescent="0.3">
      <c r="A15" s="135" t="s">
        <v>689</v>
      </c>
      <c r="B15" s="120">
        <v>41978</v>
      </c>
      <c r="C15" s="120">
        <v>42262</v>
      </c>
      <c r="D15" s="119" t="s">
        <v>690</v>
      </c>
      <c r="E15" s="120">
        <v>41978</v>
      </c>
    </row>
    <row r="16" spans="1:27" ht="26.25" thickBot="1" x14ac:dyDescent="0.3">
      <c r="A16" s="135" t="s">
        <v>691</v>
      </c>
      <c r="B16" s="120">
        <v>42160</v>
      </c>
      <c r="C16" s="120">
        <v>42262</v>
      </c>
      <c r="D16" s="119" t="s">
        <v>690</v>
      </c>
      <c r="E16" s="120">
        <v>42160</v>
      </c>
    </row>
    <row r="17" spans="1:5" ht="15.75" thickBot="1" x14ac:dyDescent="0.3">
      <c r="A17" s="135" t="s">
        <v>692</v>
      </c>
      <c r="B17" s="120">
        <v>42020</v>
      </c>
      <c r="C17" s="120">
        <v>42058</v>
      </c>
      <c r="D17" s="119" t="s">
        <v>628</v>
      </c>
      <c r="E17" s="120">
        <v>42020</v>
      </c>
    </row>
    <row r="18" spans="1:5" ht="15.75" thickBot="1" x14ac:dyDescent="0.3">
      <c r="A18" s="135" t="s">
        <v>693</v>
      </c>
      <c r="B18" s="120">
        <v>42034</v>
      </c>
      <c r="C18" s="120">
        <v>42086</v>
      </c>
      <c r="D18" s="119" t="s">
        <v>628</v>
      </c>
      <c r="E18" s="120">
        <v>42034</v>
      </c>
    </row>
    <row r="19" spans="1:5" ht="15.75" thickBot="1" x14ac:dyDescent="0.3">
      <c r="A19" s="135" t="s">
        <v>694</v>
      </c>
      <c r="B19" s="120">
        <v>42034</v>
      </c>
      <c r="C19" s="120">
        <v>42086</v>
      </c>
      <c r="D19" s="119" t="s">
        <v>628</v>
      </c>
      <c r="E19" s="120">
        <v>42034</v>
      </c>
    </row>
    <row r="20" spans="1:5" ht="39" thickBot="1" x14ac:dyDescent="0.3">
      <c r="A20" s="135" t="s">
        <v>695</v>
      </c>
      <c r="B20" s="119" t="s">
        <v>696</v>
      </c>
      <c r="C20" s="120" t="s">
        <v>697</v>
      </c>
      <c r="D20" s="119" t="s">
        <v>702</v>
      </c>
      <c r="E20" s="120">
        <v>42167</v>
      </c>
    </row>
    <row r="21" spans="1:5" ht="39" thickBot="1" x14ac:dyDescent="0.3">
      <c r="A21" s="135" t="s">
        <v>698</v>
      </c>
      <c r="B21" s="119" t="s">
        <v>696</v>
      </c>
      <c r="C21" s="119" t="s">
        <v>699</v>
      </c>
      <c r="D21" s="119" t="s">
        <v>703</v>
      </c>
      <c r="E21" s="120">
        <v>42167</v>
      </c>
    </row>
    <row r="22" spans="1:5" ht="15.75" thickBot="1" x14ac:dyDescent="0.3">
      <c r="A22" s="135" t="s">
        <v>700</v>
      </c>
      <c r="B22" s="119" t="s">
        <v>696</v>
      </c>
      <c r="C22" s="119" t="s">
        <v>701</v>
      </c>
      <c r="D22" s="119" t="s">
        <v>702</v>
      </c>
      <c r="E22" s="120">
        <v>42167</v>
      </c>
    </row>
    <row r="23" spans="1:5" x14ac:dyDescent="0.25">
      <c r="A23" s="44"/>
      <c r="B23"/>
      <c r="C23"/>
      <c r="D23"/>
      <c r="E23"/>
    </row>
    <row r="24" spans="1:5" ht="48.75" customHeight="1" x14ac:dyDescent="0.25">
      <c r="A24" s="172" t="s">
        <v>276</v>
      </c>
      <c r="B24" s="174"/>
      <c r="C24" s="174"/>
      <c r="D24" s="174"/>
      <c r="E24" s="174"/>
    </row>
    <row r="25" spans="1:5" ht="170.25" customHeight="1" x14ac:dyDescent="0.25">
      <c r="A25" s="175" t="s">
        <v>629</v>
      </c>
      <c r="B25" s="176"/>
      <c r="C25" s="176"/>
      <c r="D25" s="176"/>
      <c r="E25" s="176"/>
    </row>
    <row r="26" spans="1:5" ht="227.25" customHeight="1" x14ac:dyDescent="0.25">
      <c r="A26" s="177"/>
      <c r="B26" s="177"/>
      <c r="C26" s="177"/>
      <c r="D26" s="177"/>
      <c r="E26" s="177"/>
    </row>
  </sheetData>
  <sheetProtection formatCells="0" formatColumns="0" formatRows="0"/>
  <mergeCells count="3">
    <mergeCell ref="A2:F2"/>
    <mergeCell ref="A24:E24"/>
    <mergeCell ref="A25:E26"/>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70" zoomScaleNormal="70" zoomScalePageLayoutView="80" workbookViewId="0">
      <selection activeCell="A14" sqref="A14:D40"/>
    </sheetView>
  </sheetViews>
  <sheetFormatPr defaultColWidth="0" defaultRowHeight="15" zeroHeight="1" x14ac:dyDescent="0.25"/>
  <cols>
    <col min="1" max="1" width="146.7109375" style="91" customWidth="1"/>
    <col min="2" max="16384" width="2" style="43" hidden="1"/>
  </cols>
  <sheetData>
    <row r="1" spans="1:27" ht="21.75" customHeight="1" thickBot="1" x14ac:dyDescent="0.3">
      <c r="A1" s="71" t="s">
        <v>510</v>
      </c>
      <c r="AA1" s="43" t="s">
        <v>497</v>
      </c>
    </row>
    <row r="2" spans="1:27" ht="57" customHeight="1" x14ac:dyDescent="0.25">
      <c r="A2" s="42" t="s">
        <v>511</v>
      </c>
    </row>
    <row r="3" spans="1:27" ht="240.75" customHeight="1" x14ac:dyDescent="0.25">
      <c r="A3" s="178" t="s">
        <v>630</v>
      </c>
    </row>
    <row r="4" spans="1:27" ht="24.75" customHeight="1" x14ac:dyDescent="0.25">
      <c r="A4" s="179"/>
    </row>
    <row r="5" spans="1:27" x14ac:dyDescent="0.25">
      <c r="A5" s="99"/>
    </row>
    <row r="6" spans="1:27" x14ac:dyDescent="0.25">
      <c r="A6" s="99"/>
    </row>
    <row r="7" spans="1:27" ht="27.75" customHeight="1" x14ac:dyDescent="0.25">
      <c r="A7" s="98"/>
    </row>
    <row r="8" spans="1:27" ht="21.75" customHeight="1" x14ac:dyDescent="0.25">
      <c r="A8" s="99"/>
    </row>
    <row r="9" spans="1:27" ht="20.25" customHeight="1" x14ac:dyDescent="0.25">
      <c r="A9" s="99"/>
    </row>
    <row r="10" spans="1:27" ht="24.75" customHeight="1" x14ac:dyDescent="0.25">
      <c r="A10" s="98"/>
    </row>
    <row r="11" spans="1:27" ht="22.5" customHeight="1" x14ac:dyDescent="0.25">
      <c r="A11" s="99"/>
    </row>
    <row r="12" spans="1:27" ht="20.25" customHeight="1" x14ac:dyDescent="0.25">
      <c r="A12" s="99"/>
    </row>
  </sheetData>
  <sheetProtection formatCells="0" formatColumns="0" formatRows="0"/>
  <mergeCells count="1">
    <mergeCell ref="A3:A4"/>
  </mergeCells>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30"/>
  <sheetViews>
    <sheetView view="pageLayout" topLeftCell="A10" zoomScaleNormal="100" workbookViewId="0">
      <selection activeCell="A14" sqref="A14:D40"/>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6" t="s">
        <v>498</v>
      </c>
      <c r="B1" s="55"/>
      <c r="C1" s="55"/>
      <c r="D1" s="55"/>
      <c r="AA1" s="43" t="s">
        <v>497</v>
      </c>
    </row>
    <row r="2" spans="1:27" x14ac:dyDescent="0.25">
      <c r="A2" s="183" t="s">
        <v>282</v>
      </c>
      <c r="B2" s="176"/>
      <c r="C2" s="176"/>
      <c r="D2" s="176"/>
    </row>
    <row r="3" spans="1:27" x14ac:dyDescent="0.25"/>
    <row r="4" spans="1:27" x14ac:dyDescent="0.25">
      <c r="A4" s="60" t="s">
        <v>277</v>
      </c>
      <c r="B4" s="60" t="s">
        <v>278</v>
      </c>
      <c r="C4" s="60" t="s">
        <v>279</v>
      </c>
      <c r="D4" s="60" t="s">
        <v>280</v>
      </c>
    </row>
    <row r="5" spans="1:27" ht="191.25" x14ac:dyDescent="0.25">
      <c r="A5" s="110">
        <v>41486</v>
      </c>
      <c r="B5" s="116" t="s">
        <v>631</v>
      </c>
      <c r="C5" s="121">
        <v>30250000</v>
      </c>
      <c r="D5" s="116" t="s">
        <v>632</v>
      </c>
    </row>
    <row r="6" spans="1:27" x14ac:dyDescent="0.25">
      <c r="A6" s="109"/>
      <c r="B6" s="109"/>
      <c r="C6" s="109"/>
      <c r="D6" s="109"/>
    </row>
    <row r="7" spans="1:27" x14ac:dyDescent="0.25">
      <c r="A7" s="110"/>
      <c r="B7" s="110"/>
      <c r="C7" s="111"/>
      <c r="D7" s="109"/>
    </row>
    <row r="8" spans="1:27" x14ac:dyDescent="0.25">
      <c r="A8" s="109"/>
      <c r="B8" s="109"/>
      <c r="C8" s="109"/>
      <c r="D8" s="109"/>
    </row>
    <row r="9" spans="1:27" x14ac:dyDescent="0.25">
      <c r="A9" s="109"/>
      <c r="B9" s="109"/>
      <c r="C9" s="109"/>
      <c r="D9" s="109"/>
    </row>
    <row r="10" spans="1:27" x14ac:dyDescent="0.25"/>
    <row r="11" spans="1:27" x14ac:dyDescent="0.25">
      <c r="A11" s="43" t="s">
        <v>281</v>
      </c>
    </row>
    <row r="12" spans="1:27" ht="63.75" customHeight="1" x14ac:dyDescent="0.25">
      <c r="A12" s="180" t="s">
        <v>722</v>
      </c>
      <c r="B12" s="181"/>
      <c r="C12" s="181"/>
      <c r="D12" s="182"/>
    </row>
    <row r="13" spans="1:27" ht="20.25" customHeight="1" x14ac:dyDescent="0.25">
      <c r="A13" s="57"/>
      <c r="B13" s="33"/>
      <c r="C13" s="33"/>
      <c r="D13" s="33"/>
    </row>
    <row r="14" spans="1:27" ht="20.25" customHeight="1" thickBot="1" x14ac:dyDescent="0.3">
      <c r="A14" s="108" t="s">
        <v>499</v>
      </c>
      <c r="B14" s="61"/>
      <c r="C14" s="61"/>
      <c r="D14" s="61"/>
    </row>
    <row r="15" spans="1:27" x14ac:dyDescent="0.25">
      <c r="A15" s="62" t="s">
        <v>500</v>
      </c>
      <c r="B15" s="63"/>
      <c r="C15" s="63"/>
      <c r="D15" s="63"/>
    </row>
    <row r="16" spans="1:27" ht="49.5" customHeight="1" x14ac:dyDescent="0.25">
      <c r="A16" s="184" t="s">
        <v>283</v>
      </c>
      <c r="B16" s="151"/>
      <c r="C16" s="151"/>
      <c r="D16" s="151"/>
    </row>
    <row r="17" spans="1:4" x14ac:dyDescent="0.25">
      <c r="A17" s="60" t="s">
        <v>3</v>
      </c>
      <c r="B17" s="185" t="s">
        <v>284</v>
      </c>
      <c r="C17" s="186"/>
      <c r="D17" s="186"/>
    </row>
    <row r="18" spans="1:4" ht="74.25" customHeight="1" x14ac:dyDescent="0.25">
      <c r="A18" s="59" t="s">
        <v>31</v>
      </c>
      <c r="B18" s="191" t="s">
        <v>685</v>
      </c>
      <c r="C18" s="192"/>
      <c r="D18" s="193"/>
    </row>
    <row r="19" spans="1:4" x14ac:dyDescent="0.25">
      <c r="A19" s="58" t="s">
        <v>13</v>
      </c>
      <c r="B19" s="187"/>
      <c r="C19" s="188"/>
      <c r="D19" s="188"/>
    </row>
    <row r="20" spans="1:4" x14ac:dyDescent="0.25">
      <c r="A20" s="58" t="s">
        <v>15</v>
      </c>
      <c r="B20" s="187"/>
      <c r="C20" s="188"/>
      <c r="D20" s="188"/>
    </row>
    <row r="21" spans="1:4" x14ac:dyDescent="0.25">
      <c r="A21" s="58" t="s">
        <v>11</v>
      </c>
      <c r="B21" s="187"/>
      <c r="C21" s="188"/>
      <c r="D21" s="188"/>
    </row>
    <row r="22" spans="1:4" x14ac:dyDescent="0.25">
      <c r="A22" s="58" t="s">
        <v>285</v>
      </c>
      <c r="B22" s="187"/>
      <c r="C22" s="188"/>
      <c r="D22" s="188"/>
    </row>
    <row r="23" spans="1:4" x14ac:dyDescent="0.25">
      <c r="A23" s="58" t="s">
        <v>25</v>
      </c>
      <c r="B23" s="194"/>
      <c r="C23" s="195"/>
      <c r="D23" s="196"/>
    </row>
    <row r="24" spans="1:4" ht="27" customHeight="1" x14ac:dyDescent="0.25">
      <c r="A24" s="58" t="s">
        <v>17</v>
      </c>
      <c r="B24" s="187" t="s">
        <v>686</v>
      </c>
      <c r="C24" s="188"/>
      <c r="D24" s="188"/>
    </row>
    <row r="25" spans="1:4" x14ac:dyDescent="0.25">
      <c r="A25" s="58" t="s">
        <v>9</v>
      </c>
      <c r="B25" s="187"/>
      <c r="C25" s="188"/>
      <c r="D25" s="188"/>
    </row>
    <row r="26" spans="1:4" x14ac:dyDescent="0.25"/>
    <row r="27" spans="1:4" ht="15.75" x14ac:dyDescent="0.25">
      <c r="A27" s="106" t="s">
        <v>501</v>
      </c>
    </row>
    <row r="28" spans="1:4" x14ac:dyDescent="0.25">
      <c r="A28" s="107" t="s">
        <v>286</v>
      </c>
    </row>
    <row r="29" spans="1:4" x14ac:dyDescent="0.25">
      <c r="A29" s="175" t="s">
        <v>687</v>
      </c>
      <c r="B29" s="189"/>
      <c r="C29" s="189"/>
      <c r="D29" s="189"/>
    </row>
    <row r="30" spans="1:4" ht="90" customHeight="1" x14ac:dyDescent="0.25">
      <c r="A30" s="190"/>
      <c r="B30" s="190"/>
      <c r="C30" s="190"/>
      <c r="D30" s="190"/>
    </row>
  </sheetData>
  <sheetProtection formatCells="0" formatColumns="0" formatRows="0"/>
  <mergeCells count="13">
    <mergeCell ref="B24:D24"/>
    <mergeCell ref="B25:D25"/>
    <mergeCell ref="A29:D30"/>
    <mergeCell ref="B18:D18"/>
    <mergeCell ref="B23:D23"/>
    <mergeCell ref="B20:D20"/>
    <mergeCell ref="B21:D21"/>
    <mergeCell ref="B22:D22"/>
    <mergeCell ref="A12:D12"/>
    <mergeCell ref="A2:D2"/>
    <mergeCell ref="A16:D16"/>
    <mergeCell ref="B17:D17"/>
    <mergeCell ref="B19:D19"/>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66"/>
  <sheetViews>
    <sheetView showWhiteSpace="0" view="pageLayout" zoomScaleNormal="100" workbookViewId="0">
      <selection activeCell="A14" sqref="A14:D40"/>
    </sheetView>
  </sheetViews>
  <sheetFormatPr defaultColWidth="0" defaultRowHeight="15" zeroHeight="1" x14ac:dyDescent="0.25"/>
  <cols>
    <col min="1" max="1" width="22" style="43" customWidth="1"/>
    <col min="2" max="2" width="82.140625" style="43" customWidth="1"/>
    <col min="3" max="4" width="14.42578125" style="43" customWidth="1"/>
    <col min="5" max="5" width="14.7109375" style="43" customWidth="1"/>
    <col min="6" max="6" width="13" style="43" customWidth="1"/>
    <col min="7" max="16384" width="2.140625" style="43" hidden="1"/>
  </cols>
  <sheetData>
    <row r="1" spans="1:27" x14ac:dyDescent="0.25">
      <c r="AA1" s="43" t="s">
        <v>497</v>
      </c>
    </row>
    <row r="2" spans="1:27" ht="15.75" thickBot="1" x14ac:dyDescent="0.3">
      <c r="A2" s="100" t="s">
        <v>512</v>
      </c>
      <c r="B2" s="55"/>
      <c r="C2" s="55"/>
      <c r="D2" s="55"/>
      <c r="E2" s="55"/>
      <c r="F2" s="55"/>
    </row>
    <row r="3" spans="1:27" x14ac:dyDescent="0.25">
      <c r="A3" s="43" t="s">
        <v>533</v>
      </c>
    </row>
    <row r="4" spans="1:27" x14ac:dyDescent="0.25">
      <c r="A4" s="66" t="s">
        <v>287</v>
      </c>
      <c r="B4" s="66" t="s">
        <v>288</v>
      </c>
      <c r="C4" s="66" t="s">
        <v>289</v>
      </c>
      <c r="D4" s="66" t="s">
        <v>290</v>
      </c>
      <c r="E4" s="66" t="s">
        <v>291</v>
      </c>
      <c r="F4" s="66" t="s">
        <v>272</v>
      </c>
    </row>
    <row r="5" spans="1:27" ht="45" x14ac:dyDescent="0.25">
      <c r="A5" s="137" t="s">
        <v>725</v>
      </c>
      <c r="B5" s="138" t="s">
        <v>726</v>
      </c>
      <c r="C5" s="137" t="s">
        <v>727</v>
      </c>
      <c r="D5" s="139">
        <v>41850</v>
      </c>
      <c r="E5" s="139">
        <v>42025</v>
      </c>
      <c r="F5" s="137" t="s">
        <v>728</v>
      </c>
    </row>
    <row r="6" spans="1:27" ht="75" x14ac:dyDescent="0.25">
      <c r="A6" s="137" t="s">
        <v>725</v>
      </c>
      <c r="B6" s="138" t="s">
        <v>763</v>
      </c>
      <c r="C6" s="137" t="s">
        <v>727</v>
      </c>
      <c r="D6" s="139">
        <v>41850</v>
      </c>
      <c r="E6" s="139">
        <v>42025</v>
      </c>
      <c r="F6" s="137" t="s">
        <v>728</v>
      </c>
    </row>
    <row r="7" spans="1:27" ht="105" x14ac:dyDescent="0.25">
      <c r="A7" s="137" t="s">
        <v>725</v>
      </c>
      <c r="B7" s="138" t="s">
        <v>762</v>
      </c>
      <c r="C7" s="137" t="s">
        <v>729</v>
      </c>
      <c r="D7" s="139">
        <v>41850</v>
      </c>
      <c r="E7" s="139">
        <v>42025</v>
      </c>
      <c r="F7" s="137" t="s">
        <v>728</v>
      </c>
    </row>
    <row r="8" spans="1:27" ht="75" x14ac:dyDescent="0.25">
      <c r="A8" s="137" t="s">
        <v>725</v>
      </c>
      <c r="B8" s="138" t="s">
        <v>730</v>
      </c>
      <c r="C8" s="137" t="s">
        <v>729</v>
      </c>
      <c r="D8" s="139">
        <v>41872</v>
      </c>
      <c r="E8" s="139">
        <v>42025</v>
      </c>
      <c r="F8" s="137" t="s">
        <v>728</v>
      </c>
    </row>
    <row r="9" spans="1:27" ht="45" x14ac:dyDescent="0.25">
      <c r="A9" s="137" t="s">
        <v>725</v>
      </c>
      <c r="B9" s="138" t="s">
        <v>731</v>
      </c>
      <c r="C9" s="137" t="s">
        <v>729</v>
      </c>
      <c r="D9" s="139">
        <v>41873</v>
      </c>
      <c r="E9" s="139">
        <v>41997</v>
      </c>
      <c r="F9" s="137" t="s">
        <v>728</v>
      </c>
    </row>
    <row r="10" spans="1:27" ht="45" x14ac:dyDescent="0.25">
      <c r="A10" s="137" t="s">
        <v>725</v>
      </c>
      <c r="B10" s="138" t="s">
        <v>732</v>
      </c>
      <c r="C10" s="137" t="s">
        <v>729</v>
      </c>
      <c r="D10" s="139">
        <v>41873</v>
      </c>
      <c r="E10" s="139">
        <v>42018</v>
      </c>
      <c r="F10" s="137" t="s">
        <v>728</v>
      </c>
    </row>
    <row r="11" spans="1:27" ht="75" x14ac:dyDescent="0.25">
      <c r="A11" s="137" t="s">
        <v>725</v>
      </c>
      <c r="B11" s="138" t="s">
        <v>733</v>
      </c>
      <c r="C11" s="137" t="s">
        <v>729</v>
      </c>
      <c r="D11" s="139">
        <v>41873</v>
      </c>
      <c r="E11" s="139">
        <v>42025</v>
      </c>
      <c r="F11" s="137" t="s">
        <v>728</v>
      </c>
    </row>
    <row r="12" spans="1:27" ht="30" x14ac:dyDescent="0.25">
      <c r="A12" s="137" t="s">
        <v>734</v>
      </c>
      <c r="B12" s="138" t="s">
        <v>735</v>
      </c>
      <c r="C12" s="137" t="s">
        <v>729</v>
      </c>
      <c r="D12" s="139">
        <v>41609</v>
      </c>
      <c r="E12" s="139">
        <v>42027</v>
      </c>
      <c r="F12" s="137" t="s">
        <v>728</v>
      </c>
    </row>
    <row r="13" spans="1:27" ht="30" x14ac:dyDescent="0.25">
      <c r="A13" s="137" t="s">
        <v>736</v>
      </c>
      <c r="B13" s="138" t="s">
        <v>737</v>
      </c>
      <c r="C13" s="137" t="s">
        <v>727</v>
      </c>
      <c r="D13" s="139">
        <v>41852</v>
      </c>
      <c r="E13" s="139">
        <v>42027</v>
      </c>
      <c r="F13" s="137" t="s">
        <v>728</v>
      </c>
    </row>
    <row r="14" spans="1:27" ht="45" x14ac:dyDescent="0.25">
      <c r="A14" s="137" t="s">
        <v>736</v>
      </c>
      <c r="B14" s="138" t="s">
        <v>738</v>
      </c>
      <c r="C14" s="137" t="s">
        <v>727</v>
      </c>
      <c r="D14" s="139">
        <v>41852</v>
      </c>
      <c r="E14" s="139">
        <v>42027</v>
      </c>
      <c r="F14" s="137" t="s">
        <v>728</v>
      </c>
    </row>
    <row r="15" spans="1:27" ht="75" x14ac:dyDescent="0.25">
      <c r="A15" s="137" t="s">
        <v>739</v>
      </c>
      <c r="B15" s="138" t="s">
        <v>724</v>
      </c>
      <c r="C15" s="137" t="s">
        <v>727</v>
      </c>
      <c r="D15" s="139">
        <v>41548</v>
      </c>
      <c r="E15" s="139">
        <v>42018</v>
      </c>
      <c r="F15" s="137" t="s">
        <v>728</v>
      </c>
    </row>
    <row r="16" spans="1:27" ht="75" x14ac:dyDescent="0.25">
      <c r="A16" s="137" t="s">
        <v>734</v>
      </c>
      <c r="B16" s="138" t="s">
        <v>740</v>
      </c>
      <c r="C16" s="137" t="s">
        <v>741</v>
      </c>
      <c r="D16" s="139">
        <v>41999</v>
      </c>
      <c r="E16" s="139">
        <v>42038</v>
      </c>
      <c r="F16" s="137" t="s">
        <v>728</v>
      </c>
    </row>
    <row r="17" spans="1:6" ht="75" x14ac:dyDescent="0.25">
      <c r="A17" s="137" t="s">
        <v>742</v>
      </c>
      <c r="B17" s="138" t="s">
        <v>743</v>
      </c>
      <c r="C17" s="137" t="s">
        <v>729</v>
      </c>
      <c r="D17" s="139">
        <v>42017</v>
      </c>
      <c r="E17" s="139">
        <v>42122</v>
      </c>
      <c r="F17" s="137" t="s">
        <v>728</v>
      </c>
    </row>
    <row r="18" spans="1:6" ht="75" x14ac:dyDescent="0.25">
      <c r="A18" s="137" t="s">
        <v>742</v>
      </c>
      <c r="B18" s="138" t="s">
        <v>744</v>
      </c>
      <c r="C18" s="137" t="s">
        <v>729</v>
      </c>
      <c r="D18" s="139">
        <v>42017</v>
      </c>
      <c r="E18" s="137" t="s">
        <v>745</v>
      </c>
      <c r="F18" s="137" t="s">
        <v>745</v>
      </c>
    </row>
    <row r="19" spans="1:6" ht="60" x14ac:dyDescent="0.25">
      <c r="A19" s="137" t="s">
        <v>742</v>
      </c>
      <c r="B19" s="138" t="s">
        <v>746</v>
      </c>
      <c r="C19" s="137" t="s">
        <v>729</v>
      </c>
      <c r="D19" s="139">
        <v>42017</v>
      </c>
      <c r="E19" s="137" t="s">
        <v>745</v>
      </c>
      <c r="F19" s="137" t="s">
        <v>745</v>
      </c>
    </row>
    <row r="20" spans="1:6" ht="45" x14ac:dyDescent="0.25">
      <c r="A20" s="137" t="s">
        <v>742</v>
      </c>
      <c r="B20" s="138" t="s">
        <v>747</v>
      </c>
      <c r="C20" s="137" t="s">
        <v>727</v>
      </c>
      <c r="D20" s="139">
        <v>41963</v>
      </c>
      <c r="E20" s="139">
        <v>42017</v>
      </c>
      <c r="F20" s="137" t="s">
        <v>728</v>
      </c>
    </row>
    <row r="21" spans="1:6" ht="90" x14ac:dyDescent="0.25">
      <c r="A21" s="137" t="s">
        <v>748</v>
      </c>
      <c r="B21" s="138" t="s">
        <v>749</v>
      </c>
      <c r="C21" s="137" t="s">
        <v>729</v>
      </c>
      <c r="D21" s="139">
        <v>41900</v>
      </c>
      <c r="E21" s="139">
        <v>42045</v>
      </c>
      <c r="F21" s="137" t="s">
        <v>728</v>
      </c>
    </row>
    <row r="22" spans="1:6" ht="60" x14ac:dyDescent="0.25">
      <c r="A22" s="137" t="s">
        <v>750</v>
      </c>
      <c r="B22" s="138" t="s">
        <v>751</v>
      </c>
      <c r="C22" s="137" t="s">
        <v>727</v>
      </c>
      <c r="D22" s="139">
        <v>42024</v>
      </c>
      <c r="E22" s="139">
        <v>42060</v>
      </c>
      <c r="F22" s="137" t="s">
        <v>728</v>
      </c>
    </row>
    <row r="23" spans="1:6" ht="75" x14ac:dyDescent="0.25">
      <c r="A23" s="137" t="s">
        <v>752</v>
      </c>
      <c r="B23" s="138" t="s">
        <v>753</v>
      </c>
      <c r="C23" s="137" t="s">
        <v>729</v>
      </c>
      <c r="D23" s="139">
        <v>42033</v>
      </c>
      <c r="E23" s="137" t="s">
        <v>754</v>
      </c>
      <c r="F23" s="137" t="s">
        <v>754</v>
      </c>
    </row>
    <row r="24" spans="1:6" ht="60" x14ac:dyDescent="0.25">
      <c r="A24" s="137" t="s">
        <v>755</v>
      </c>
      <c r="B24" s="138" t="s">
        <v>756</v>
      </c>
      <c r="C24" s="137" t="s">
        <v>729</v>
      </c>
      <c r="D24" s="139">
        <v>42038</v>
      </c>
      <c r="E24" s="137" t="s">
        <v>754</v>
      </c>
      <c r="F24" s="137" t="s">
        <v>754</v>
      </c>
    </row>
    <row r="25" spans="1:6" ht="30" x14ac:dyDescent="0.25">
      <c r="A25" s="137" t="s">
        <v>734</v>
      </c>
      <c r="B25" s="138" t="s">
        <v>757</v>
      </c>
      <c r="C25" s="137" t="s">
        <v>729</v>
      </c>
      <c r="D25" s="139">
        <v>42072</v>
      </c>
      <c r="E25" s="137" t="s">
        <v>754</v>
      </c>
      <c r="F25" s="137" t="s">
        <v>754</v>
      </c>
    </row>
    <row r="26" spans="1:6" ht="60" x14ac:dyDescent="0.25">
      <c r="A26" s="137" t="s">
        <v>742</v>
      </c>
      <c r="B26" s="138" t="s">
        <v>758</v>
      </c>
      <c r="C26" s="137" t="s">
        <v>741</v>
      </c>
      <c r="D26" s="139">
        <v>42115</v>
      </c>
      <c r="E26" s="137" t="s">
        <v>745</v>
      </c>
      <c r="F26" s="137" t="s">
        <v>745</v>
      </c>
    </row>
    <row r="27" spans="1:6" ht="45" x14ac:dyDescent="0.25">
      <c r="A27" s="137" t="s">
        <v>742</v>
      </c>
      <c r="B27" s="138" t="s">
        <v>759</v>
      </c>
      <c r="C27" s="137" t="s">
        <v>74</v>
      </c>
      <c r="D27" s="139">
        <v>42163</v>
      </c>
      <c r="E27" s="137" t="s">
        <v>745</v>
      </c>
      <c r="F27" s="137" t="s">
        <v>745</v>
      </c>
    </row>
    <row r="28" spans="1:6" ht="45" x14ac:dyDescent="0.25">
      <c r="A28" s="137" t="s">
        <v>750</v>
      </c>
      <c r="B28" s="138" t="s">
        <v>760</v>
      </c>
      <c r="C28" s="137" t="s">
        <v>729</v>
      </c>
      <c r="D28" s="139">
        <v>42174</v>
      </c>
      <c r="E28" s="137" t="s">
        <v>754</v>
      </c>
      <c r="F28" s="137" t="s">
        <v>754</v>
      </c>
    </row>
    <row r="29" spans="1:6" ht="45" x14ac:dyDescent="0.25">
      <c r="A29" s="137" t="s">
        <v>750</v>
      </c>
      <c r="B29" s="138" t="s">
        <v>761</v>
      </c>
      <c r="C29" s="137" t="s">
        <v>727</v>
      </c>
      <c r="D29" s="139">
        <v>42174</v>
      </c>
      <c r="E29" s="137" t="s">
        <v>745</v>
      </c>
      <c r="F29" s="137" t="s">
        <v>745</v>
      </c>
    </row>
    <row r="30" spans="1:6" x14ac:dyDescent="0.25">
      <c r="A30" s="92"/>
      <c r="B30" s="92"/>
      <c r="C30" s="92"/>
      <c r="D30" s="92"/>
      <c r="E30" s="92"/>
      <c r="F30" s="92"/>
    </row>
    <row r="31" spans="1:6" x14ac:dyDescent="0.25">
      <c r="A31" s="92" t="s">
        <v>524</v>
      </c>
      <c r="B31" s="92"/>
      <c r="C31" s="92"/>
      <c r="D31" s="92"/>
      <c r="E31" s="92"/>
      <c r="F31" s="92"/>
    </row>
    <row r="32" spans="1:6" x14ac:dyDescent="0.25">
      <c r="A32" s="197" t="s">
        <v>721</v>
      </c>
      <c r="B32" s="198"/>
      <c r="C32" s="198"/>
      <c r="D32" s="198"/>
      <c r="E32" s="199"/>
      <c r="F32" s="200"/>
    </row>
    <row r="33" spans="1:6" x14ac:dyDescent="0.25">
      <c r="A33" s="201"/>
      <c r="B33" s="202"/>
      <c r="C33" s="202"/>
      <c r="D33" s="202"/>
      <c r="E33" s="202"/>
      <c r="F33" s="203"/>
    </row>
    <row r="34" spans="1:6" x14ac:dyDescent="0.25">
      <c r="A34" s="92"/>
      <c r="B34" s="92"/>
      <c r="C34" s="92"/>
      <c r="D34" s="92"/>
      <c r="E34" s="92"/>
      <c r="F34" s="92"/>
    </row>
    <row r="35" spans="1:6" x14ac:dyDescent="0.25">
      <c r="A35" s="92"/>
      <c r="B35" s="92"/>
      <c r="C35" s="92"/>
      <c r="D35" s="92"/>
      <c r="E35" s="92"/>
      <c r="F35" s="92"/>
    </row>
    <row r="36" spans="1:6" x14ac:dyDescent="0.25">
      <c r="A36" s="92"/>
      <c r="B36" s="92"/>
      <c r="C36" s="92"/>
      <c r="D36" s="92"/>
      <c r="E36" s="92"/>
      <c r="F36" s="92"/>
    </row>
    <row r="37" spans="1:6" x14ac:dyDescent="0.25">
      <c r="A37" s="92"/>
      <c r="B37" s="92"/>
      <c r="C37" s="92"/>
      <c r="D37" s="92"/>
      <c r="E37" s="92"/>
      <c r="F37" s="92"/>
    </row>
    <row r="38" spans="1:6" x14ac:dyDescent="0.25">
      <c r="A38" s="92"/>
      <c r="B38" s="92"/>
      <c r="C38" s="92"/>
      <c r="D38" s="92"/>
      <c r="E38" s="92"/>
      <c r="F38" s="92"/>
    </row>
    <row r="39" spans="1:6" x14ac:dyDescent="0.25">
      <c r="A39" s="92"/>
      <c r="B39" s="92"/>
      <c r="C39" s="92"/>
      <c r="D39" s="92"/>
      <c r="E39" s="92"/>
      <c r="F39" s="92"/>
    </row>
    <row r="40" spans="1:6" x14ac:dyDescent="0.25">
      <c r="A40" s="92"/>
      <c r="B40" s="92"/>
      <c r="C40" s="92"/>
      <c r="D40" s="92"/>
      <c r="E40" s="92"/>
      <c r="F40" s="92"/>
    </row>
    <row r="41" spans="1:6" x14ac:dyDescent="0.25">
      <c r="A41" s="92"/>
      <c r="B41" s="92"/>
      <c r="C41" s="92"/>
      <c r="D41" s="92"/>
      <c r="E41" s="92"/>
      <c r="F41" s="92"/>
    </row>
    <row r="42" spans="1:6" x14ac:dyDescent="0.25">
      <c r="A42" s="92"/>
      <c r="B42" s="92"/>
      <c r="C42" s="92"/>
      <c r="D42" s="92"/>
      <c r="E42" s="92"/>
      <c r="F42" s="92"/>
    </row>
    <row r="43" spans="1:6" x14ac:dyDescent="0.25">
      <c r="A43" s="92"/>
      <c r="B43" s="92"/>
      <c r="C43" s="92"/>
      <c r="D43" s="92"/>
      <c r="E43" s="92"/>
      <c r="F43" s="92"/>
    </row>
    <row r="44" spans="1:6" x14ac:dyDescent="0.25">
      <c r="A44" s="92"/>
      <c r="B44" s="92"/>
      <c r="C44" s="92"/>
      <c r="D44" s="92"/>
      <c r="E44" s="92"/>
      <c r="F44" s="92"/>
    </row>
    <row r="45" spans="1:6" x14ac:dyDescent="0.25">
      <c r="A45" s="92"/>
      <c r="B45" s="92"/>
      <c r="C45" s="92"/>
      <c r="D45" s="92"/>
      <c r="E45" s="92"/>
      <c r="F45" s="92"/>
    </row>
    <row r="46" spans="1:6" x14ac:dyDescent="0.25">
      <c r="A46" s="92"/>
      <c r="B46" s="92"/>
      <c r="C46" s="92"/>
      <c r="D46" s="92"/>
      <c r="E46" s="92"/>
      <c r="F46" s="92"/>
    </row>
    <row r="47" spans="1:6" x14ac:dyDescent="0.25">
      <c r="A47" s="92"/>
      <c r="B47" s="92"/>
      <c r="C47" s="92"/>
      <c r="D47" s="92"/>
      <c r="E47" s="92"/>
      <c r="F47" s="92"/>
    </row>
    <row r="48" spans="1:6" x14ac:dyDescent="0.25">
      <c r="A48" s="92"/>
      <c r="B48" s="92"/>
      <c r="C48" s="92"/>
      <c r="D48" s="92"/>
      <c r="E48" s="92"/>
      <c r="F48" s="92"/>
    </row>
    <row r="49" spans="1:6" x14ac:dyDescent="0.25">
      <c r="A49" s="92"/>
      <c r="B49" s="92"/>
      <c r="C49" s="92"/>
      <c r="D49" s="92"/>
      <c r="E49" s="92"/>
      <c r="F49" s="92"/>
    </row>
    <row r="50" spans="1:6" x14ac:dyDescent="0.25">
      <c r="A50" s="92"/>
      <c r="B50" s="92"/>
      <c r="C50" s="92"/>
      <c r="D50" s="92"/>
      <c r="E50" s="92"/>
      <c r="F50" s="92"/>
    </row>
    <row r="51" spans="1:6" x14ac:dyDescent="0.25">
      <c r="A51" s="92"/>
      <c r="B51" s="92"/>
      <c r="C51" s="92"/>
      <c r="D51" s="92"/>
      <c r="E51" s="92"/>
      <c r="F51" s="92"/>
    </row>
    <row r="52" spans="1:6" x14ac:dyDescent="0.25">
      <c r="A52" s="92"/>
      <c r="B52" s="92"/>
      <c r="C52" s="92"/>
      <c r="D52" s="92"/>
      <c r="E52" s="92"/>
      <c r="F52" s="92"/>
    </row>
    <row r="53" spans="1:6" x14ac:dyDescent="0.25">
      <c r="A53" s="92"/>
      <c r="B53" s="92"/>
      <c r="C53" s="92"/>
      <c r="D53" s="92"/>
      <c r="E53" s="92"/>
      <c r="F53" s="92"/>
    </row>
    <row r="54" spans="1:6" x14ac:dyDescent="0.25">
      <c r="A54" s="92"/>
      <c r="B54" s="92"/>
      <c r="C54" s="92"/>
      <c r="D54" s="92"/>
      <c r="E54" s="92"/>
      <c r="F54" s="92"/>
    </row>
    <row r="55" spans="1:6" x14ac:dyDescent="0.25">
      <c r="A55" s="92"/>
      <c r="B55" s="92"/>
      <c r="C55" s="92"/>
      <c r="D55" s="92"/>
      <c r="E55" s="92"/>
      <c r="F55" s="92"/>
    </row>
    <row r="56" spans="1:6" x14ac:dyDescent="0.25"/>
    <row r="57" spans="1:6" x14ac:dyDescent="0.25"/>
    <row r="58" spans="1:6" x14ac:dyDescent="0.25"/>
    <row r="59" spans="1:6" x14ac:dyDescent="0.25"/>
    <row r="60" spans="1:6" x14ac:dyDescent="0.25"/>
    <row r="61" spans="1:6" x14ac:dyDescent="0.25"/>
    <row r="62" spans="1:6" x14ac:dyDescent="0.25"/>
    <row r="63" spans="1:6" x14ac:dyDescent="0.25"/>
    <row r="64" spans="1:6" x14ac:dyDescent="0.25"/>
    <row r="65" x14ac:dyDescent="0.25"/>
    <row r="66" x14ac:dyDescent="0.25"/>
  </sheetData>
  <sheetProtection formatCells="0" formatColumns="0" formatRows="0"/>
  <mergeCells count="1">
    <mergeCell ref="A32:F33"/>
  </mergeCells>
  <pageMargins left="0.25" right="0.25" top="0.75" bottom="0.75" header="0.3" footer="0.3"/>
  <pageSetup scale="63"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31" zoomScaleNormal="100" workbookViewId="0">
      <selection activeCell="A14" sqref="A14:D4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0" t="s">
        <v>513</v>
      </c>
      <c r="B1" s="55"/>
      <c r="C1" s="55"/>
      <c r="AA1" s="43" t="s">
        <v>497</v>
      </c>
    </row>
    <row r="2" spans="1:27" x14ac:dyDescent="0.25">
      <c r="A2" s="67" t="s">
        <v>502</v>
      </c>
    </row>
    <row r="3" spans="1:27" ht="51" customHeight="1" thickBot="1" x14ac:dyDescent="0.3">
      <c r="A3" s="205" t="s">
        <v>292</v>
      </c>
      <c r="B3" s="206"/>
      <c r="C3" s="206"/>
    </row>
    <row r="4" spans="1:27" ht="15.75" thickBot="1" x14ac:dyDescent="0.3">
      <c r="A4" s="64" t="s">
        <v>3</v>
      </c>
      <c r="B4" s="65" t="s">
        <v>293</v>
      </c>
      <c r="C4" s="65" t="s">
        <v>294</v>
      </c>
    </row>
    <row r="5" spans="1:27" ht="243" thickBot="1" x14ac:dyDescent="0.3">
      <c r="A5" s="68" t="s">
        <v>39</v>
      </c>
      <c r="B5" s="112" t="s">
        <v>704</v>
      </c>
      <c r="C5" s="112" t="s">
        <v>705</v>
      </c>
    </row>
    <row r="6" spans="1:27" ht="102.75" thickBot="1" x14ac:dyDescent="0.3">
      <c r="A6" s="68" t="s">
        <v>38</v>
      </c>
      <c r="B6" s="112" t="s">
        <v>706</v>
      </c>
      <c r="C6" s="112" t="s">
        <v>707</v>
      </c>
    </row>
    <row r="7" spans="1:27" ht="16.5" thickBot="1" x14ac:dyDescent="0.3">
      <c r="A7" s="68" t="s">
        <v>37</v>
      </c>
      <c r="B7" s="112" t="s">
        <v>639</v>
      </c>
      <c r="C7" s="112" t="s">
        <v>639</v>
      </c>
    </row>
    <row r="8" spans="1:27" ht="16.5" thickBot="1" x14ac:dyDescent="0.3">
      <c r="A8" s="68" t="s">
        <v>34</v>
      </c>
      <c r="B8" s="112" t="s">
        <v>639</v>
      </c>
      <c r="C8" s="112" t="s">
        <v>639</v>
      </c>
    </row>
    <row r="9" spans="1:27" ht="179.25" thickBot="1" x14ac:dyDescent="0.3">
      <c r="A9" s="68" t="s">
        <v>33</v>
      </c>
      <c r="B9" s="112" t="s">
        <v>708</v>
      </c>
      <c r="C9" s="112" t="s">
        <v>709</v>
      </c>
    </row>
    <row r="10" spans="1:27" ht="77.25" thickBot="1" x14ac:dyDescent="0.3">
      <c r="A10" s="68" t="s">
        <v>32</v>
      </c>
      <c r="B10" s="112" t="s">
        <v>710</v>
      </c>
      <c r="C10" s="112" t="s">
        <v>711</v>
      </c>
    </row>
    <row r="11" spans="1:27" ht="115.5" thickBot="1" x14ac:dyDescent="0.3">
      <c r="A11" s="68" t="s">
        <v>30</v>
      </c>
      <c r="B11" s="112" t="s">
        <v>712</v>
      </c>
      <c r="C11" s="112" t="s">
        <v>713</v>
      </c>
    </row>
    <row r="12" spans="1:27" x14ac:dyDescent="0.25"/>
    <row r="13" spans="1:27" x14ac:dyDescent="0.25">
      <c r="A13" s="43" t="s">
        <v>295</v>
      </c>
    </row>
    <row r="14" spans="1:27" ht="126" customHeight="1" x14ac:dyDescent="0.25">
      <c r="A14" s="198" t="s">
        <v>715</v>
      </c>
      <c r="B14" s="204"/>
      <c r="C14" s="204"/>
    </row>
    <row r="15" spans="1:27" x14ac:dyDescent="0.25">
      <c r="A15" s="189"/>
      <c r="B15" s="189"/>
      <c r="C15" s="189"/>
    </row>
    <row r="16" spans="1:27" x14ac:dyDescent="0.25">
      <c r="A16" s="67" t="s">
        <v>503</v>
      </c>
    </row>
    <row r="17" spans="1:3" x14ac:dyDescent="0.25">
      <c r="A17" s="43" t="s">
        <v>296</v>
      </c>
    </row>
    <row r="18" spans="1:3" ht="151.5" customHeight="1" x14ac:dyDescent="0.25">
      <c r="A18" s="198" t="s">
        <v>716</v>
      </c>
      <c r="B18" s="204"/>
      <c r="C18" s="204"/>
    </row>
    <row r="19" spans="1:3" x14ac:dyDescent="0.25">
      <c r="A19" s="189"/>
      <c r="B19" s="189"/>
      <c r="C19" s="189"/>
    </row>
    <row r="20" spans="1:3" x14ac:dyDescent="0.25">
      <c r="A20" s="67" t="s">
        <v>504</v>
      </c>
    </row>
    <row r="21" spans="1:3" x14ac:dyDescent="0.25">
      <c r="A21" s="43" t="s">
        <v>297</v>
      </c>
    </row>
    <row r="22" spans="1:3" ht="267" customHeight="1" x14ac:dyDescent="0.25">
      <c r="A22" s="198" t="s">
        <v>717</v>
      </c>
      <c r="B22" s="204"/>
      <c r="C22" s="204"/>
    </row>
    <row r="23" spans="1:3" x14ac:dyDescent="0.25">
      <c r="A23" s="189"/>
      <c r="B23" s="189"/>
      <c r="C23" s="189"/>
    </row>
    <row r="24" spans="1:3" x14ac:dyDescent="0.25">
      <c r="A24" s="67" t="s">
        <v>505</v>
      </c>
    </row>
    <row r="25" spans="1:3" x14ac:dyDescent="0.25">
      <c r="A25" s="43" t="s">
        <v>296</v>
      </c>
    </row>
    <row r="26" spans="1:3" ht="45.75" customHeight="1" x14ac:dyDescent="0.25">
      <c r="A26" s="198" t="s">
        <v>718</v>
      </c>
      <c r="B26" s="204"/>
      <c r="C26" s="204"/>
    </row>
    <row r="27" spans="1:3" x14ac:dyDescent="0.25">
      <c r="A27" s="189"/>
      <c r="B27" s="189"/>
      <c r="C27" s="189"/>
    </row>
    <row r="28" spans="1:3" x14ac:dyDescent="0.25">
      <c r="A28" s="67" t="s">
        <v>506</v>
      </c>
    </row>
    <row r="29" spans="1:3" x14ac:dyDescent="0.25">
      <c r="A29" s="43" t="s">
        <v>298</v>
      </c>
    </row>
    <row r="30" spans="1:3" ht="164.25" customHeight="1" x14ac:dyDescent="0.25">
      <c r="A30" s="198" t="s">
        <v>719</v>
      </c>
      <c r="B30" s="204"/>
      <c r="C30" s="204"/>
    </row>
    <row r="31" spans="1:3" x14ac:dyDescent="0.25">
      <c r="A31" s="189"/>
      <c r="B31" s="189"/>
      <c r="C31" s="189"/>
    </row>
    <row r="32" spans="1:3" x14ac:dyDescent="0.25">
      <c r="A32" s="67" t="s">
        <v>507</v>
      </c>
    </row>
    <row r="33" spans="1:3" x14ac:dyDescent="0.25">
      <c r="A33" s="43" t="s">
        <v>299</v>
      </c>
    </row>
    <row r="34" spans="1:3" ht="42.75" customHeight="1" x14ac:dyDescent="0.25">
      <c r="A34" s="198" t="s">
        <v>720</v>
      </c>
      <c r="B34" s="204"/>
      <c r="C34" s="204"/>
    </row>
    <row r="35" spans="1:3" x14ac:dyDescent="0.25">
      <c r="A35" s="189"/>
      <c r="B35" s="189"/>
      <c r="C35" s="189"/>
    </row>
    <row r="36" spans="1:3" x14ac:dyDescent="0.25">
      <c r="A36" s="67" t="s">
        <v>508</v>
      </c>
    </row>
    <row r="37" spans="1:3" x14ac:dyDescent="0.25">
      <c r="A37" s="43" t="s">
        <v>300</v>
      </c>
    </row>
    <row r="38" spans="1:3" ht="21" customHeight="1" x14ac:dyDescent="0.25">
      <c r="A38" s="198" t="s">
        <v>721</v>
      </c>
      <c r="B38" s="204"/>
      <c r="C38" s="204"/>
    </row>
    <row r="39" spans="1:3" x14ac:dyDescent="0.25">
      <c r="A39" s="189"/>
      <c r="B39" s="189"/>
      <c r="C39" s="189"/>
    </row>
    <row r="40" spans="1:3" x14ac:dyDescent="0.25">
      <c r="A40" s="92"/>
      <c r="B40" s="92"/>
      <c r="C40" s="92"/>
    </row>
    <row r="41" spans="1:3" x14ac:dyDescent="0.25">
      <c r="A41" s="92"/>
      <c r="B41" s="92"/>
      <c r="C41" s="92"/>
    </row>
    <row r="42" spans="1:3" x14ac:dyDescent="0.25">
      <c r="A42" s="92"/>
      <c r="B42" s="92"/>
      <c r="C42" s="92"/>
    </row>
  </sheetData>
  <sheetProtection formatCells="0" formatColumns="0" formatRows="0"/>
  <mergeCells count="8">
    <mergeCell ref="A30:C31"/>
    <mergeCell ref="A34:C35"/>
    <mergeCell ref="A38:C39"/>
    <mergeCell ref="A3:C3"/>
    <mergeCell ref="A14:C15"/>
    <mergeCell ref="A18:C19"/>
    <mergeCell ref="A22:C23"/>
    <mergeCell ref="A26:C27"/>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60"/>
  <sheetViews>
    <sheetView view="pageLayout" topLeftCell="A4" zoomScaleNormal="100" workbookViewId="0">
      <selection activeCell="A14" sqref="A14:D40"/>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497</v>
      </c>
    </row>
    <row r="2" spans="1:27" x14ac:dyDescent="0.25">
      <c r="A2" s="101" t="s">
        <v>514</v>
      </c>
    </row>
    <row r="3" spans="1:27" ht="15.75" thickBot="1" x14ac:dyDescent="0.3">
      <c r="A3" s="43" t="s">
        <v>301</v>
      </c>
    </row>
    <row r="4" spans="1:27" ht="22.5" customHeight="1" thickBot="1" x14ac:dyDescent="0.3">
      <c r="A4" s="207" t="s">
        <v>302</v>
      </c>
      <c r="B4" s="209" t="s">
        <v>303</v>
      </c>
      <c r="C4" s="210"/>
      <c r="D4" s="210"/>
      <c r="E4" s="211"/>
      <c r="F4" s="209" t="s">
        <v>304</v>
      </c>
      <c r="G4" s="211"/>
    </row>
    <row r="5" spans="1:27" ht="15.75" thickBot="1" x14ac:dyDescent="0.3">
      <c r="A5" s="208"/>
      <c r="B5" s="96" t="s">
        <v>305</v>
      </c>
      <c r="C5" s="96" t="s">
        <v>306</v>
      </c>
      <c r="D5" s="96" t="s">
        <v>307</v>
      </c>
      <c r="E5" s="96" t="s">
        <v>308</v>
      </c>
      <c r="F5" s="96" t="s">
        <v>309</v>
      </c>
      <c r="G5" s="96" t="s">
        <v>310</v>
      </c>
    </row>
    <row r="6" spans="1:27" s="128" customFormat="1" ht="15.75" thickBot="1" x14ac:dyDescent="0.3">
      <c r="A6" s="95" t="s">
        <v>640</v>
      </c>
      <c r="B6" s="124" t="s">
        <v>641</v>
      </c>
      <c r="C6" s="124" t="s">
        <v>641</v>
      </c>
      <c r="D6" s="124" t="s">
        <v>641</v>
      </c>
      <c r="E6" s="125">
        <v>3</v>
      </c>
      <c r="F6" s="125">
        <v>11</v>
      </c>
      <c r="G6" s="126">
        <v>1</v>
      </c>
    </row>
    <row r="7" spans="1:27" s="128" customFormat="1" ht="15.75" thickBot="1" x14ac:dyDescent="0.3">
      <c r="A7" s="95" t="s">
        <v>642</v>
      </c>
      <c r="B7" s="124" t="s">
        <v>641</v>
      </c>
      <c r="C7" s="124" t="s">
        <v>641</v>
      </c>
      <c r="D7" s="124" t="s">
        <v>641</v>
      </c>
      <c r="E7" s="124" t="s">
        <v>641</v>
      </c>
      <c r="F7" s="125">
        <v>4</v>
      </c>
      <c r="G7" s="126">
        <v>3</v>
      </c>
    </row>
    <row r="8" spans="1:27" s="128" customFormat="1" ht="128.25" thickBot="1" x14ac:dyDescent="0.3">
      <c r="A8" s="95" t="s">
        <v>643</v>
      </c>
      <c r="B8" s="125" t="s">
        <v>641</v>
      </c>
      <c r="C8" s="125" t="s">
        <v>641</v>
      </c>
      <c r="D8" s="125" t="s">
        <v>649</v>
      </c>
      <c r="E8" s="125" t="s">
        <v>649</v>
      </c>
      <c r="F8" s="125" t="s">
        <v>644</v>
      </c>
      <c r="G8" s="126" t="s">
        <v>645</v>
      </c>
    </row>
    <row r="9" spans="1:27" s="128" customFormat="1" ht="26.25" thickBot="1" x14ac:dyDescent="0.3">
      <c r="A9" s="95" t="s">
        <v>646</v>
      </c>
      <c r="B9" s="124" t="s">
        <v>641</v>
      </c>
      <c r="C9" s="124" t="s">
        <v>641</v>
      </c>
      <c r="D9" s="124" t="s">
        <v>641</v>
      </c>
      <c r="E9" s="124" t="s">
        <v>641</v>
      </c>
      <c r="F9" s="127" t="s">
        <v>641</v>
      </c>
      <c r="G9" s="126">
        <v>146</v>
      </c>
    </row>
    <row r="10" spans="1:27" s="128" customFormat="1" ht="39" thickBot="1" x14ac:dyDescent="0.3">
      <c r="A10" s="95" t="s">
        <v>647</v>
      </c>
      <c r="B10" s="124" t="s">
        <v>641</v>
      </c>
      <c r="C10" s="124" t="s">
        <v>641</v>
      </c>
      <c r="D10" s="124" t="s">
        <v>641</v>
      </c>
      <c r="E10" s="124" t="s">
        <v>641</v>
      </c>
      <c r="F10" s="124" t="s">
        <v>641</v>
      </c>
      <c r="G10" s="126" t="s">
        <v>648</v>
      </c>
    </row>
    <row r="11" spans="1:27" s="128" customFormat="1" ht="26.25" thickBot="1" x14ac:dyDescent="0.3">
      <c r="A11" s="95" t="s">
        <v>650</v>
      </c>
      <c r="B11" s="125"/>
      <c r="C11" s="125"/>
      <c r="D11" s="125"/>
      <c r="E11" s="125" t="s">
        <v>651</v>
      </c>
      <c r="F11" s="125" t="s">
        <v>652</v>
      </c>
      <c r="G11" s="125" t="s">
        <v>653</v>
      </c>
    </row>
    <row r="12" spans="1:27" s="128" customFormat="1" ht="15.75" thickBot="1" x14ac:dyDescent="0.3">
      <c r="A12" s="95" t="s">
        <v>654</v>
      </c>
      <c r="B12" s="125"/>
      <c r="C12" s="125"/>
      <c r="D12" s="125"/>
      <c r="E12" s="125"/>
      <c r="F12" s="129">
        <v>0.48</v>
      </c>
      <c r="G12" s="129">
        <v>0.51</v>
      </c>
    </row>
    <row r="13" spans="1:27" s="128" customFormat="1" ht="15.75" thickBot="1" x14ac:dyDescent="0.3">
      <c r="A13" s="95" t="s">
        <v>655</v>
      </c>
      <c r="B13" s="125"/>
      <c r="C13" s="125"/>
      <c r="D13" s="125"/>
      <c r="E13" s="129">
        <v>0.56999999999999995</v>
      </c>
      <c r="F13" s="129">
        <v>0.6</v>
      </c>
      <c r="G13" s="129">
        <v>0.64</v>
      </c>
    </row>
    <row r="14" spans="1:27" ht="15.75" thickBot="1" x14ac:dyDescent="0.3">
      <c r="A14" s="95" t="s">
        <v>664</v>
      </c>
      <c r="B14" s="125">
        <v>685</v>
      </c>
      <c r="C14" s="131">
        <v>1127</v>
      </c>
      <c r="D14" s="125">
        <v>802</v>
      </c>
      <c r="E14" s="125">
        <v>927</v>
      </c>
      <c r="F14" s="131">
        <v>1367</v>
      </c>
      <c r="G14" s="93"/>
    </row>
    <row r="15" spans="1:27" ht="15.75" thickBot="1" x14ac:dyDescent="0.3">
      <c r="A15" s="95" t="s">
        <v>665</v>
      </c>
      <c r="B15" s="125">
        <v>422</v>
      </c>
      <c r="C15" s="131">
        <v>598</v>
      </c>
      <c r="D15" s="125">
        <v>764</v>
      </c>
      <c r="E15" s="125">
        <v>669</v>
      </c>
      <c r="F15" s="125">
        <v>736</v>
      </c>
      <c r="G15" s="93"/>
    </row>
    <row r="16" spans="1:27" ht="15.75" thickBot="1" x14ac:dyDescent="0.3">
      <c r="A16" s="95" t="s">
        <v>666</v>
      </c>
      <c r="B16" s="125">
        <v>190</v>
      </c>
      <c r="C16" s="131">
        <v>228</v>
      </c>
      <c r="D16" s="125">
        <v>382</v>
      </c>
      <c r="E16" s="125">
        <v>387</v>
      </c>
      <c r="F16" s="125">
        <v>371</v>
      </c>
      <c r="G16" s="93"/>
    </row>
    <row r="17" spans="1:7" ht="15.75" thickBot="1" x14ac:dyDescent="0.3">
      <c r="A17" s="95" t="s">
        <v>667</v>
      </c>
      <c r="B17" s="132">
        <v>1.7600000000000001E-2</v>
      </c>
      <c r="C17" s="132">
        <v>1.37E-2</v>
      </c>
      <c r="D17" s="132">
        <v>1.35E-2</v>
      </c>
      <c r="E17" s="132">
        <v>1.26E-2</v>
      </c>
      <c r="F17" s="132">
        <v>1.37E-2</v>
      </c>
      <c r="G17" s="93"/>
    </row>
    <row r="18" spans="1:7" ht="26.25" thickBot="1" x14ac:dyDescent="0.3">
      <c r="A18" s="95" t="s">
        <v>668</v>
      </c>
      <c r="B18" s="131">
        <v>14382</v>
      </c>
      <c r="C18" s="131">
        <v>14168</v>
      </c>
      <c r="D18" s="131">
        <v>16232</v>
      </c>
      <c r="E18" s="131">
        <v>15977</v>
      </c>
      <c r="F18" s="131">
        <v>15767</v>
      </c>
      <c r="G18" s="93"/>
    </row>
    <row r="19" spans="1:7" ht="26.25" thickBot="1" x14ac:dyDescent="0.3">
      <c r="A19" s="95" t="s">
        <v>669</v>
      </c>
      <c r="B19" s="131">
        <v>9641</v>
      </c>
      <c r="C19" s="131">
        <v>9618</v>
      </c>
      <c r="D19" s="131">
        <v>9584</v>
      </c>
      <c r="E19" s="131">
        <v>8963</v>
      </c>
      <c r="F19" s="131">
        <v>6909</v>
      </c>
      <c r="G19" s="93"/>
    </row>
    <row r="20" spans="1:7" ht="15.75" thickBot="1" x14ac:dyDescent="0.3">
      <c r="A20" s="95" t="s">
        <v>670</v>
      </c>
      <c r="B20" s="132">
        <v>1.1650000000000001E-2</v>
      </c>
      <c r="C20" s="132">
        <v>1.155E-2</v>
      </c>
      <c r="D20" s="132">
        <v>1.163E-2</v>
      </c>
      <c r="E20" s="132">
        <v>1.2070000000000001E-2</v>
      </c>
      <c r="F20" s="132">
        <v>1.2749999999999999E-2</v>
      </c>
      <c r="G20" s="93"/>
    </row>
    <row r="21" spans="1:7" ht="26.25" thickBot="1" x14ac:dyDescent="0.3">
      <c r="A21" s="95" t="s">
        <v>671</v>
      </c>
      <c r="B21" s="125">
        <v>201</v>
      </c>
      <c r="C21" s="131">
        <v>288</v>
      </c>
      <c r="D21" s="125">
        <v>310</v>
      </c>
      <c r="E21" s="125">
        <v>783</v>
      </c>
      <c r="F21" s="125">
        <v>2318</v>
      </c>
      <c r="G21" s="93"/>
    </row>
    <row r="22" spans="1:7" ht="15.75" thickBot="1" x14ac:dyDescent="0.3">
      <c r="A22" s="95" t="s">
        <v>672</v>
      </c>
      <c r="B22" s="132">
        <v>2.1999999999999999E-2</v>
      </c>
      <c r="C22" s="132">
        <v>1.7489999999999999E-2</v>
      </c>
      <c r="D22" s="132">
        <v>1.6910000000000001E-2</v>
      </c>
      <c r="E22" s="132">
        <v>1.3559999999999999E-2</v>
      </c>
      <c r="F22" s="132">
        <v>1.289E-2</v>
      </c>
      <c r="G22" s="93"/>
    </row>
    <row r="23" spans="1:7" ht="15.75" thickBot="1" x14ac:dyDescent="0.3">
      <c r="A23" s="95" t="s">
        <v>673</v>
      </c>
      <c r="B23" s="131">
        <v>3136</v>
      </c>
      <c r="C23" s="131">
        <v>2983</v>
      </c>
      <c r="D23" s="131">
        <v>2709</v>
      </c>
      <c r="E23" s="131">
        <v>2064</v>
      </c>
      <c r="F23" s="131">
        <v>2122</v>
      </c>
      <c r="G23" s="93"/>
    </row>
    <row r="24" spans="1:7" ht="15.75" thickBot="1" x14ac:dyDescent="0.3">
      <c r="A24" s="95" t="s">
        <v>674</v>
      </c>
      <c r="B24" s="131">
        <v>1177</v>
      </c>
      <c r="C24" s="131">
        <v>1188</v>
      </c>
      <c r="D24" s="131">
        <v>1115</v>
      </c>
      <c r="E24" s="131">
        <v>935</v>
      </c>
      <c r="F24" s="125">
        <v>867</v>
      </c>
      <c r="G24" s="93"/>
    </row>
    <row r="25" spans="1:7" ht="26.25" thickBot="1" x14ac:dyDescent="0.3">
      <c r="A25" s="95" t="s">
        <v>675</v>
      </c>
      <c r="B25" s="131">
        <v>1408</v>
      </c>
      <c r="C25" s="131">
        <v>1314</v>
      </c>
      <c r="D25" s="131">
        <v>1198</v>
      </c>
      <c r="E25" s="131">
        <v>1131</v>
      </c>
      <c r="F25" s="131">
        <v>926</v>
      </c>
      <c r="G25" s="93"/>
    </row>
    <row r="26" spans="1:7" ht="26.25" thickBot="1" x14ac:dyDescent="0.3">
      <c r="A26" s="95" t="s">
        <v>676</v>
      </c>
      <c r="B26" s="133">
        <v>0.8</v>
      </c>
      <c r="C26" s="133">
        <v>0.72499999999999998</v>
      </c>
      <c r="D26" s="133">
        <v>0.70399999999999996</v>
      </c>
      <c r="E26" s="133">
        <v>0.746</v>
      </c>
      <c r="F26" s="133">
        <v>0.76</v>
      </c>
      <c r="G26" s="93"/>
    </row>
    <row r="27" spans="1:7" ht="26.25" thickBot="1" x14ac:dyDescent="0.3">
      <c r="A27" s="95" t="s">
        <v>677</v>
      </c>
      <c r="B27" s="133">
        <v>0.45</v>
      </c>
      <c r="C27" s="133">
        <v>0.46</v>
      </c>
      <c r="D27" s="133">
        <v>0.46</v>
      </c>
      <c r="E27" s="133">
        <v>0.36</v>
      </c>
      <c r="F27" s="133">
        <v>0.42</v>
      </c>
      <c r="G27" s="93"/>
    </row>
    <row r="28" spans="1:7" ht="26.25" thickBot="1" x14ac:dyDescent="0.3">
      <c r="A28" s="95" t="s">
        <v>678</v>
      </c>
      <c r="B28" s="133">
        <v>0.99</v>
      </c>
      <c r="C28" s="133">
        <v>0.99</v>
      </c>
      <c r="D28" s="133">
        <v>0.99</v>
      </c>
      <c r="E28" s="133">
        <v>0.99</v>
      </c>
      <c r="F28" s="133">
        <v>0.99</v>
      </c>
      <c r="G28" s="93"/>
    </row>
    <row r="29" spans="1:7" ht="15.75" thickBot="1" x14ac:dyDescent="0.3">
      <c r="A29" s="95" t="s">
        <v>679</v>
      </c>
      <c r="B29" s="133">
        <v>0.97199999999999998</v>
      </c>
      <c r="C29" s="133">
        <v>0.98499999999999999</v>
      </c>
      <c r="D29" s="133">
        <v>0.95</v>
      </c>
      <c r="E29" s="133">
        <v>0.95699999999999996</v>
      </c>
      <c r="F29" s="133">
        <v>0.96</v>
      </c>
      <c r="G29" s="93"/>
    </row>
    <row r="30" spans="1:7" ht="15.75" thickBot="1" x14ac:dyDescent="0.3">
      <c r="A30" s="95" t="s">
        <v>680</v>
      </c>
      <c r="B30" s="131">
        <v>255</v>
      </c>
      <c r="C30" s="131">
        <v>266</v>
      </c>
      <c r="D30" s="131">
        <v>164</v>
      </c>
      <c r="E30" s="131">
        <v>154</v>
      </c>
      <c r="F30" s="131">
        <v>139</v>
      </c>
      <c r="G30" s="93"/>
    </row>
    <row r="31" spans="1:7" ht="26.25" thickBot="1" x14ac:dyDescent="0.3">
      <c r="A31" s="95" t="s">
        <v>681</v>
      </c>
      <c r="B31" s="133">
        <v>0.05</v>
      </c>
      <c r="C31" s="133">
        <v>0.03</v>
      </c>
      <c r="D31" s="133">
        <v>0.03</v>
      </c>
      <c r="E31" s="130" t="s">
        <v>682</v>
      </c>
      <c r="F31" s="130" t="s">
        <v>682</v>
      </c>
      <c r="G31" s="93"/>
    </row>
    <row r="32" spans="1:7" ht="15.75" thickBot="1" x14ac:dyDescent="0.3">
      <c r="A32" s="95" t="s">
        <v>683</v>
      </c>
      <c r="B32" s="134">
        <v>7831</v>
      </c>
      <c r="C32" s="134">
        <v>6613</v>
      </c>
      <c r="D32" s="134">
        <v>2665</v>
      </c>
      <c r="E32" s="134">
        <v>2211</v>
      </c>
      <c r="F32" s="134">
        <v>5294</v>
      </c>
      <c r="G32" s="93"/>
    </row>
    <row r="33" spans="1:7" ht="15.75" thickBot="1" x14ac:dyDescent="0.3">
      <c r="A33" s="95" t="s">
        <v>684</v>
      </c>
      <c r="B33" s="133">
        <v>0.06</v>
      </c>
      <c r="C33" s="133">
        <v>0.06</v>
      </c>
      <c r="D33" s="133">
        <v>0.05</v>
      </c>
      <c r="E33" s="133">
        <v>0.05</v>
      </c>
      <c r="F33" s="133">
        <v>0.05</v>
      </c>
      <c r="G33" s="93"/>
    </row>
    <row r="34" spans="1:7" x14ac:dyDescent="0.25"/>
    <row r="35" spans="1:7" x14ac:dyDescent="0.25">
      <c r="A35" s="43" t="s">
        <v>311</v>
      </c>
    </row>
    <row r="36" spans="1:7" ht="63.75" customHeight="1" x14ac:dyDescent="0.25">
      <c r="A36" s="198" t="s">
        <v>714</v>
      </c>
      <c r="B36" s="198"/>
      <c r="C36" s="198"/>
      <c r="D36" s="198"/>
      <c r="E36" s="198"/>
      <c r="F36" s="198"/>
      <c r="G36" s="198"/>
    </row>
    <row r="37" spans="1:7" x14ac:dyDescent="0.25">
      <c r="A37" s="176"/>
      <c r="B37" s="176"/>
      <c r="C37" s="176"/>
      <c r="D37" s="176"/>
      <c r="E37" s="176"/>
      <c r="F37" s="176"/>
      <c r="G37" s="176"/>
    </row>
    <row r="38" spans="1:7" x14ac:dyDescent="0.25">
      <c r="A38" s="176"/>
      <c r="B38" s="176"/>
      <c r="C38" s="176"/>
      <c r="D38" s="176"/>
      <c r="E38" s="176"/>
      <c r="F38" s="176"/>
      <c r="G38" s="176"/>
    </row>
    <row r="39" spans="1:7" x14ac:dyDescent="0.25">
      <c r="A39" s="92"/>
      <c r="B39" s="92"/>
      <c r="C39" s="92"/>
      <c r="D39" s="92"/>
      <c r="E39" s="92"/>
      <c r="F39" s="92"/>
      <c r="G39" s="92"/>
    </row>
    <row r="40" spans="1:7" x14ac:dyDescent="0.25">
      <c r="A40" s="92"/>
      <c r="B40" s="92"/>
      <c r="C40" s="92"/>
      <c r="D40" s="92"/>
      <c r="E40" s="92"/>
      <c r="F40" s="92"/>
      <c r="G40" s="92"/>
    </row>
    <row r="41" spans="1:7" x14ac:dyDescent="0.25">
      <c r="A41" s="92"/>
      <c r="B41" s="92"/>
      <c r="C41" s="92"/>
      <c r="D41" s="94"/>
      <c r="E41" s="92"/>
      <c r="F41" s="92"/>
      <c r="G41" s="92"/>
    </row>
    <row r="42" spans="1:7" x14ac:dyDescent="0.25">
      <c r="A42" s="92"/>
      <c r="B42" s="92"/>
      <c r="C42" s="92"/>
      <c r="D42" s="92"/>
      <c r="E42" s="92"/>
      <c r="F42" s="92"/>
      <c r="G42" s="92"/>
    </row>
    <row r="43" spans="1:7" x14ac:dyDescent="0.25">
      <c r="A43" s="92"/>
      <c r="B43" s="92"/>
      <c r="C43" s="92"/>
      <c r="D43" s="92"/>
      <c r="E43" s="92"/>
      <c r="F43" s="92"/>
      <c r="G43" s="92"/>
    </row>
    <row r="44" spans="1:7" x14ac:dyDescent="0.25">
      <c r="A44" s="92"/>
      <c r="B44" s="92"/>
      <c r="C44" s="92"/>
      <c r="D44" s="92"/>
      <c r="E44" s="92"/>
      <c r="F44" s="92"/>
      <c r="G44" s="92"/>
    </row>
    <row r="45" spans="1:7" x14ac:dyDescent="0.25">
      <c r="A45" s="92"/>
      <c r="B45" s="92"/>
      <c r="C45" s="92"/>
      <c r="D45" s="92"/>
      <c r="E45" s="92"/>
      <c r="F45" s="92"/>
      <c r="G45" s="92"/>
    </row>
    <row r="46" spans="1:7" x14ac:dyDescent="0.25">
      <c r="A46" s="92"/>
      <c r="B46" s="92"/>
      <c r="C46" s="92"/>
      <c r="D46" s="92"/>
      <c r="E46" s="92"/>
      <c r="F46" s="92"/>
      <c r="G46" s="92"/>
    </row>
    <row r="47" spans="1:7" x14ac:dyDescent="0.25">
      <c r="A47" s="92"/>
      <c r="B47" s="92"/>
      <c r="C47" s="92"/>
      <c r="D47" s="92"/>
      <c r="E47" s="92"/>
      <c r="F47" s="92"/>
      <c r="G47" s="92"/>
    </row>
    <row r="48" spans="1:7" x14ac:dyDescent="0.25">
      <c r="A48" s="92"/>
      <c r="B48" s="92"/>
      <c r="C48" s="92"/>
      <c r="D48" s="92"/>
      <c r="E48" s="92"/>
      <c r="F48" s="92"/>
      <c r="G48" s="92"/>
    </row>
    <row r="49" spans="1:7" x14ac:dyDescent="0.25">
      <c r="A49" s="92"/>
      <c r="B49" s="92"/>
      <c r="C49" s="92"/>
      <c r="D49" s="92"/>
      <c r="E49" s="92"/>
      <c r="F49" s="92"/>
      <c r="G49" s="92"/>
    </row>
    <row r="50" spans="1:7" x14ac:dyDescent="0.25">
      <c r="A50" s="92"/>
      <c r="B50" s="92"/>
      <c r="C50" s="92"/>
      <c r="D50" s="92"/>
      <c r="E50" s="92"/>
      <c r="F50" s="92"/>
      <c r="G50" s="92"/>
    </row>
    <row r="51" spans="1:7" x14ac:dyDescent="0.25">
      <c r="A51" s="92"/>
      <c r="B51" s="92"/>
      <c r="C51" s="92"/>
      <c r="D51" s="92"/>
      <c r="E51" s="92"/>
      <c r="F51" s="92"/>
      <c r="G51" s="92"/>
    </row>
    <row r="52" spans="1:7" x14ac:dyDescent="0.25">
      <c r="A52" s="92"/>
      <c r="B52" s="92"/>
      <c r="C52" s="92"/>
      <c r="D52" s="92"/>
      <c r="E52" s="92"/>
      <c r="F52" s="92"/>
      <c r="G52" s="92"/>
    </row>
    <row r="53" spans="1:7" x14ac:dyDescent="0.25">
      <c r="A53" s="92"/>
      <c r="B53" s="92"/>
      <c r="C53" s="92"/>
      <c r="D53" s="92"/>
      <c r="E53" s="92"/>
      <c r="F53" s="92"/>
      <c r="G53" s="92"/>
    </row>
    <row r="54" spans="1:7" x14ac:dyDescent="0.25">
      <c r="A54" s="92"/>
      <c r="B54" s="92"/>
      <c r="C54" s="92"/>
      <c r="D54" s="92"/>
      <c r="E54" s="92"/>
      <c r="F54" s="92"/>
      <c r="G54" s="92"/>
    </row>
    <row r="55" spans="1:7" x14ac:dyDescent="0.25">
      <c r="A55" s="92"/>
      <c r="B55" s="92"/>
      <c r="C55" s="92"/>
      <c r="D55" s="92"/>
      <c r="E55" s="92"/>
      <c r="F55" s="92"/>
      <c r="G55" s="92"/>
    </row>
    <row r="56" spans="1:7" x14ac:dyDescent="0.25">
      <c r="A56" s="92"/>
      <c r="B56" s="92"/>
      <c r="C56" s="92"/>
      <c r="D56" s="92"/>
      <c r="E56" s="92"/>
      <c r="F56" s="92"/>
      <c r="G56" s="92"/>
    </row>
    <row r="57" spans="1:7" x14ac:dyDescent="0.25">
      <c r="A57" s="92"/>
      <c r="B57" s="92"/>
      <c r="C57" s="92"/>
      <c r="D57" s="92"/>
      <c r="E57" s="92"/>
      <c r="F57" s="92"/>
      <c r="G57" s="92"/>
    </row>
    <row r="58" spans="1:7" x14ac:dyDescent="0.25"/>
    <row r="59" spans="1:7" x14ac:dyDescent="0.25"/>
    <row r="60" spans="1:7" x14ac:dyDescent="0.25"/>
  </sheetData>
  <sheetProtection formatCells="0" formatColumns="0" formatRows="0"/>
  <mergeCells count="4">
    <mergeCell ref="A4:A5"/>
    <mergeCell ref="B4:E4"/>
    <mergeCell ref="F4:G4"/>
    <mergeCell ref="A36:G38"/>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525</v>
      </c>
    </row>
    <row r="88" spans="1:4" x14ac:dyDescent="0.25">
      <c r="A88" t="s">
        <v>31</v>
      </c>
      <c r="B88" s="13" t="s">
        <v>183</v>
      </c>
    </row>
    <row r="89" spans="1:4" x14ac:dyDescent="0.25">
      <c r="A89" t="s">
        <v>31</v>
      </c>
      <c r="B89" s="13" t="s">
        <v>526</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313</v>
      </c>
      <c r="C1" s="1" t="s">
        <v>1</v>
      </c>
      <c r="D1" s="2" t="s">
        <v>2</v>
      </c>
      <c r="E1" s="3" t="s">
        <v>3</v>
      </c>
      <c r="F1" s="2" t="s">
        <v>226</v>
      </c>
      <c r="G1" s="2" t="s">
        <v>76</v>
      </c>
      <c r="H1" s="4" t="s">
        <v>6</v>
      </c>
      <c r="I1" s="2" t="s">
        <v>65</v>
      </c>
      <c r="J1" s="1" t="s">
        <v>4</v>
      </c>
      <c r="K1" s="4" t="s">
        <v>224</v>
      </c>
      <c r="L1" s="4" t="s">
        <v>110</v>
      </c>
      <c r="M1" s="1" t="s">
        <v>5</v>
      </c>
      <c r="N1" s="4" t="s">
        <v>509</v>
      </c>
      <c r="O1" s="4" t="s">
        <v>486</v>
      </c>
    </row>
    <row r="2" spans="1:15" ht="105.75" customHeight="1" x14ac:dyDescent="0.25">
      <c r="A2" s="5" t="s">
        <v>0</v>
      </c>
      <c r="B2" s="5" t="s">
        <v>522</v>
      </c>
      <c r="C2" s="5" t="s">
        <v>66</v>
      </c>
      <c r="D2" s="5" t="s">
        <v>7</v>
      </c>
      <c r="E2" s="6" t="s">
        <v>229</v>
      </c>
      <c r="F2" s="5" t="s">
        <v>228</v>
      </c>
      <c r="G2" s="5" t="s">
        <v>230</v>
      </c>
      <c r="H2" s="25" t="s">
        <v>223</v>
      </c>
      <c r="I2" s="5" t="s">
        <v>111</v>
      </c>
      <c r="J2" s="25" t="s">
        <v>231</v>
      </c>
      <c r="K2" s="5" t="s">
        <v>225</v>
      </c>
      <c r="L2" s="5" t="s">
        <v>227</v>
      </c>
      <c r="M2" s="5" t="s">
        <v>250</v>
      </c>
      <c r="N2" s="37" t="s">
        <v>516</v>
      </c>
      <c r="O2" s="37" t="s">
        <v>487</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489</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490</v>
      </c>
      <c r="E2" s="5" t="s">
        <v>7</v>
      </c>
      <c r="F2" s="6" t="s">
        <v>229</v>
      </c>
      <c r="G2" s="5" t="s">
        <v>228</v>
      </c>
      <c r="H2" s="5" t="s">
        <v>230</v>
      </c>
      <c r="I2" s="25" t="s">
        <v>223</v>
      </c>
      <c r="J2" s="5" t="s">
        <v>111</v>
      </c>
      <c r="K2" s="25" t="s">
        <v>231</v>
      </c>
      <c r="L2" s="5" t="s">
        <v>225</v>
      </c>
      <c r="M2" s="5" t="s">
        <v>227</v>
      </c>
      <c r="N2" s="5" t="s">
        <v>250</v>
      </c>
      <c r="O2" s="37" t="s">
        <v>247</v>
      </c>
    </row>
    <row r="3" spans="1:15" x14ac:dyDescent="0.25">
      <c r="B3" s="7" t="str">
        <f>'Approval and Documentation'!C$4</f>
        <v>Retail Banking and Customer Experience</v>
      </c>
      <c r="C3" s="7" t="str">
        <f>'Approval and Documentation'!C$6</f>
        <v>N/A</v>
      </c>
      <c r="D3" s="8" t="str">
        <f>'1'!$C$1</f>
        <v>Cards Business, Customer Relationship Management, Products and Segments, Small Business Banking</v>
      </c>
      <c r="E3" s="7">
        <v>1</v>
      </c>
      <c r="F3" s="8" t="str">
        <f>'1'!$C$2</f>
        <v>Model</v>
      </c>
      <c r="G3" s="8" t="str">
        <f>'1'!$C$3</f>
        <v>Data Availability</v>
      </c>
      <c r="H3" s="8" t="str">
        <f>'1'!$C$4</f>
        <v>Quality of data, one source of data</v>
      </c>
      <c r="I3" s="8" t="str">
        <f>'1'!$A$12</f>
        <v>Risk of inaccurate customer and campaign models, financial reporting activities, and data quality errors caused by not maintaining an enterprise-wide single source of customer data and information infrastructure which may result in misuse of customer information to appropriately create campaign modeling techniques, inaccurate sales and marketing outreach focus, and failure to produce accurate financial reporting and non-compliance with applicable laws.</v>
      </c>
      <c r="J3" s="8" t="str">
        <f>'1'!$C$5</f>
        <v>Consumer Confidence (Down)</v>
      </c>
      <c r="K3" s="8" t="str">
        <f>'1'!$A$9</f>
        <v>1. CRM control model phase 1, additional enhancements to CRM model to include monitoring and measurement of data elements against expected targets.
2. ONE application - CIP/KYC required inputs at New Account Opening and compliance review of data displayed.
3. Line of Business manual reconciliations and quality control oversight activities are in place for specified data elements and systems.</v>
      </c>
      <c r="L3" s="8" t="str">
        <f>'1'!$C$6</f>
        <v>$5 M - $50 M</v>
      </c>
      <c r="M3" s="8" t="str">
        <f>'1'!$C$7</f>
        <v>$50 M - $250 M</v>
      </c>
      <c r="N3" s="8" t="str">
        <f>'1'!$B$10</f>
        <v>Retail Banking customer data is utilized for Sales &amp; Marketing, Portfolio Management, Strategic Planning.  Within Retail Banking, data inputs are relied upon in order to compile financial forecasts (strategic plan, budget, etc).  Inaccurate or inconsistent data can lead to compliance issues related to privacy breaches or fair lending issues in addition to decision making based on wrong assumptions resulting in programs that don't meet financial objectives. Impact to Retail programs at a rate of 10% reduction in revenue due to faulty assumptions will yield multi-million dollar P&amp;L reduction. Marketing to customers who have opted out of marketing will result in penalties, fines, reputational risk, and customer attrition accumulating to well above $5M annually. Inaccurate data inputs may result in inaccurate financial forecasting models with residual impact to the business for producing inaccurate resource and budget planning with direct impact to achieving Retail Banking strategic objectives. Review of the small business accounts cited with CIP or CDD gaps closed annually multiplied by the average revenue per account resulted in credit application processing time to decision increased by an average of 3 days.  The impact of the extra manual activity and time of Q1 was estimated to be a negative net impact of 10% to sales and a loss of commitments of $6MM. Overall data quality inefficiencies may result in losses that exceed $50MM in stressed environments.</v>
      </c>
      <c r="O3" s="10"/>
    </row>
    <row r="4" spans="1:15" x14ac:dyDescent="0.25">
      <c r="A4" s="7"/>
      <c r="B4" s="7" t="str">
        <f>'Approval and Documentation'!C$4</f>
        <v>Retail Banking and Customer Experience</v>
      </c>
      <c r="C4" s="7" t="str">
        <f>'Approval and Documentation'!C$6</f>
        <v>N/A</v>
      </c>
      <c r="D4" s="8" t="str">
        <f>'2'!$C$1</f>
        <v>Cards Business, Mortgage, Small Business Banking</v>
      </c>
      <c r="E4" s="11">
        <v>2</v>
      </c>
      <c r="F4" s="8" t="str">
        <f>'2'!$C$2</f>
        <v>Credit</v>
      </c>
      <c r="G4" s="8" t="str">
        <f>'2'!$C$3</f>
        <v>Default</v>
      </c>
      <c r="H4" s="8" t="str">
        <f>'2'!$C$4</f>
        <v>Default risk due to extension of credit dependent on macro-economic environment</v>
      </c>
      <c r="I4" s="8" t="str">
        <f>'2'!$A$12</f>
        <v>Risk of default for Santander customer base caused by various macro-economic environment impacts to customers due to increasing unemployment rates and/or loss of income, along with increasing interest rates which may result in Santander liability to cover consumer debt obligations.</v>
      </c>
      <c r="J4" s="8" t="str">
        <f>'2'!$C$5</f>
        <v>Unemployment (Up), Interest Rates (Up), Consumer Confidence (Down), Housing Prices (Up)</v>
      </c>
      <c r="K4" s="8" t="str">
        <f>'2'!$A$9</f>
        <v>1. Portfolio minimum credit requirements reduce loss exposure by limiting origination LTV to less than 80% &amp; Fico scores over 680. 
2. Underwriting exceptions monitored each month; use of automated underwriting engines.
3. Cards Portfolio Management monitoring health of portfolio to determine portfolio strategies requiring adjustment to mitigate loss due to conditions not under the bank's control.
4. Small Business monitoring of key metrics and use of credit risk mitigants (i.e. collateral). 
5. Retail Banking Line of Business scorecards and oversight/evaluation of customer creditworthiness.</v>
      </c>
      <c r="L4" s="8" t="str">
        <f>'2'!$C$6</f>
        <v>$5 M - $50 M</v>
      </c>
      <c r="M4" s="8" t="str">
        <f>'2'!$C$7</f>
        <v>$250 M - $500 M</v>
      </c>
      <c r="N4" s="8" t="str">
        <f>'2'!$B$10</f>
        <v>Macroeconomic shocks in the economy can have a direct impact on the Bank's credit card customers, and the profitability of our credit card portfolio. A sudden increase in unemployment, decrease in housing prices, or a shock in interest rates can result in an increase in losses and charged off accounts.  Small business sector concentration of 15% and geographic concentration of 30% impact; under the distressed conditions approximately 30% of the sector or region would result in loss revenue. Mortgage annual impact to delinquency will start to grow as unemployment continues to increase; PD increases 10% resulting in approximate impact of $2.8MM.  Stressed environment impact results in PD increases from 2% to 5%; resulting in constant impact of $42 million. Anticipation of 35% reduction in home values, PD increases from 2% to 5% due to credit and unemployment, another 2% due to strategic defaults and LGD grows from 20% to 30%; total stressed loss is at minimum of $105MM. Given the size of Retail Banking Card/Mortgage/Small Business portfolio, consolidated with the difficulty to predict economic trending movements, Retail Banking impact to result in losses of approximately $5-50MM in the next 12 months, and $250-$500MM under stressed conditions. Estimate assumes particular business sector or geographic region could be impacted by external conditions, and as a result suffer a deterioration in credit quality.   The deterioration in credit quality would result in increased NPL levels and loss of revenue within the sector or region (for stressed scenario).</v>
      </c>
      <c r="O4" s="10"/>
    </row>
    <row r="5" spans="1:15" x14ac:dyDescent="0.25">
      <c r="A5" s="7"/>
      <c r="B5" s="7" t="str">
        <f>'Approval and Documentation'!C$4</f>
        <v>Retail Banking and Customer Experience</v>
      </c>
      <c r="C5" s="7" t="str">
        <f>'Approval and Documentation'!C$6</f>
        <v>N/A</v>
      </c>
      <c r="D5" s="8" t="str">
        <f>'3'!$C$1</f>
        <v>Cards Business, Customer Relationship Management, Small Business, Digital Banking, Marketing</v>
      </c>
      <c r="E5" s="7">
        <v>3</v>
      </c>
      <c r="F5" s="8" t="str">
        <f>'3'!$C$2</f>
        <v>Operational</v>
      </c>
      <c r="G5" s="8" t="str">
        <f>'3'!$C$3</f>
        <v>Business Disruption and System Failures - External Service Disruption or Denial of Service</v>
      </c>
      <c r="H5" s="8" t="str">
        <f>'3'!$C$4</f>
        <v>Cyber attacks and technology system infrastructure inefficiencies</v>
      </c>
      <c r="I5" s="8" t="str">
        <f>'3'!$A$12</f>
        <v xml:space="preserve">Risk of cyber attacks, business disruption, and service failures within Retail Banking Lines of Business caused by changing technology environment coupled with Santander technology system infrastructure support inefficiencies and security safeguard enhancement requirements which may result in information security breaches &amp; decreasing customer confidence </v>
      </c>
      <c r="J5" s="8" t="str">
        <f>'3'!$C$5</f>
        <v>Consumer Confidence (Down)</v>
      </c>
      <c r="K5" s="8" t="str">
        <f>'3'!$A$9</f>
        <v>1. Technology and Operations safeguards in place to detect and prevent external system attacks.  
2. Management engagement and continual IT/Produban system monitoring to assess degradation to system infrastructure; Initiating Informent job scheduling review and impacts with Produban
3. Monitoring and assessment of CRM/SAS environment
4. Retail vendor maintain comprehensive continuity plans including back-up data centers.  
5. IT and Operations rapid response team activation during major system failure; minimize disruption in service.</v>
      </c>
      <c r="L5" s="8" t="str">
        <f>'3'!$C$6</f>
        <v>$5 M - $50 M</v>
      </c>
      <c r="M5" s="8" t="str">
        <f>'3'!$C$7</f>
        <v>$50 M - $250 M</v>
      </c>
      <c r="N5" s="8" t="str">
        <f>'3'!$B$10</f>
        <v>Given the environment of fraud and security incidents prevalent within the current payments industry, large dollar impacts are anticipated within the Retail Banking environment. Increased exposure and possibility of increased fraud losses are a result of the Banks non-compliance with Payment Card Industry Data Security Standards. Risk of Data Storage Availability both internally and within supported vendors have a direct impact on productivity within the Retail Lines of Business resulting in a minimum of 70 hours productivity loss/week due to system infrastructure (SAS/CRM) slow performance and decreased connectivity access. Continual risk of internal system failure has resulted and will continue to increase call center volume and card and branch transaction disruption. Retail Banking's dependency on vendor business continuity and contingency plan may result in disruption of service to the magnitude of direct impact within first year of $1-$5MM. Additional long term reliance on systems, and probability of cyber-attacks to continue to increase, repeat events are anticipated with a potential financial impact in an stressed environment of $50-250MM.  Retail Banking exposure may result reduction in capital through fines, customer reimbursements, customer attrition, with ultimate impact the Bank's reputation to support the customer experience.</v>
      </c>
      <c r="O5" s="10"/>
    </row>
    <row r="6" spans="1:15" x14ac:dyDescent="0.25">
      <c r="A6" s="7"/>
      <c r="B6" s="7" t="str">
        <f>'Approval and Documentation'!C$4</f>
        <v>Retail Banking and Customer Experience</v>
      </c>
      <c r="C6" s="7" t="str">
        <f>'Approval and Documentation'!C$6</f>
        <v>N/A</v>
      </c>
      <c r="D6" s="8" t="str">
        <f>'4'!$C$1</f>
        <v>Products and Segments, Small Business Banking, Customer Experience/Complaints Management</v>
      </c>
      <c r="E6" s="11">
        <v>4</v>
      </c>
      <c r="F6" s="8" t="str">
        <f>'4'!$C$2</f>
        <v>Reputational</v>
      </c>
      <c r="G6" s="8" t="str">
        <f>'4'!$C$3</f>
        <v>Brand Image/Customers Experience</v>
      </c>
      <c r="H6" s="8" t="str">
        <f>'4'!$C$4</f>
        <v>Negative customer satisfaction; effective management of customer complaints</v>
      </c>
      <c r="I6" s="8" t="str">
        <f>'4'!$A$12</f>
        <v>Risk of heightened customer dissatisfaction and negative customer experience due to perceived lack of segmentation, processing and servicing abilities, and reduced product offering and support compared to competitors which may result in negative social media attention or news coverage and reduction in onboarding and retaining customer base.</v>
      </c>
      <c r="J6" s="8" t="str">
        <f>'4'!$C$5</f>
        <v>Consumer Confidence (Down)</v>
      </c>
      <c r="K6" s="8" t="str">
        <f>'4'!$A$9</f>
        <v>1. Complaints management Quality Control monitoring, root cause analysis, and implementation of mitigation action.
2. Customer experience improvement to include "Happy Branch" and "Happy Customer", ONE Customer relationship tool; Santander Assist Line;  CARE; 360 Service Satisfaction Process; Advanced Teller enhancements ; Image-enabled ATM's; PC upgrades in branches and training rooms
3. Line of Business specific monitoring and reporting of customer satisfaction and identify areas of concerns
4. Leadership focused  problem resolution for escalated complaints</v>
      </c>
      <c r="L6" s="8" t="str">
        <f>'4'!$C$6</f>
        <v>$5 M - $50 M</v>
      </c>
      <c r="M6" s="8" t="str">
        <f>'4'!$C$7</f>
        <v>$50 M - $250 M</v>
      </c>
      <c r="N6" s="8" t="str">
        <f>'4'!$B$10</f>
        <v>Customer experience and dissatisfaction has a direct financial Impact to the Retail Bank as business revenue is driven by perception of consumer interactions (positive and negative).  Competitive banking industry and environment is heavily dependent on consumer satisfaction and consumer volatility due to negative experiences may results in a direct loss of customer base resulting in immediate annual impact of $1-5MM. Continual loss of revenue may be experienced with Santander's Bank inability to deliver exception customer experience enhancements with residual result in a stressed environment being materialized by a loss in customer revenue, account closures, and decrease in customer base by 5% annually; net material impact in a stressed environment anticipated at $50-$250MM.</v>
      </c>
      <c r="O6" s="10"/>
    </row>
    <row r="7" spans="1:15" x14ac:dyDescent="0.25">
      <c r="A7" s="7"/>
      <c r="B7" s="7" t="str">
        <f>'Approval and Documentation'!C$4</f>
        <v>Retail Banking and Customer Experience</v>
      </c>
      <c r="C7" s="7" t="str">
        <f>'Approval and Documentation'!C$6</f>
        <v>N/A</v>
      </c>
      <c r="D7" s="8" t="str">
        <f>'5'!$C$1</f>
        <v>Products and Segments, Digital Banking, Network, Retail Banking</v>
      </c>
      <c r="E7" s="7">
        <v>5</v>
      </c>
      <c r="F7" s="8" t="str">
        <f>'5'!$C$2</f>
        <v xml:space="preserve">Strategic </v>
      </c>
      <c r="G7" s="8" t="str">
        <f>'5'!$C$3</f>
        <v>Management and Other Personnel - Expertise</v>
      </c>
      <c r="H7" s="8" t="str">
        <f>'5'!$C$4</f>
        <v xml:space="preserve">Management succession planning, retention of risk expertise colleagues </v>
      </c>
      <c r="I7" s="8" t="str">
        <f>'5'!$A$12</f>
        <v>Risk of Santander Bank to adequately identify, onboard and retain team members with the appropriate level of risk management expertise/awareness required to recognize inherent risks within the Retail Lines of Business as well as implement risk management methodology within the Retail Bank caused by a lack of personnel resources available internal to the Bank and within the market place which may result in lack of ability to manage/identify risk exposure, maintain high risk practices standards, and decreased ability to maintain proper succession planning.</v>
      </c>
      <c r="J7" s="8" t="str">
        <f>'5'!$C$5</f>
        <v>Unemployment (Up)</v>
      </c>
      <c r="K7" s="8" t="str">
        <f>'5'!$A$9</f>
        <v>1. Focus recruiting activities aimed to identify and recruit top risk talent external to Santander Bank
2. Business reviews and frequent management meetings focused on Risk Management practices and business strategy; knowledge transfer between peers within the Lines of Business 
3. Internal Saba Learning System training designed to specifically requiring risk management focus. 
4. Internal Line of Business focus on employee engagement activities; retention of key employees</v>
      </c>
      <c r="L7" s="8" t="str">
        <f>'5'!$C$6</f>
        <v>$1 - $5 M</v>
      </c>
      <c r="M7" s="8" t="str">
        <f>'5'!$C$7</f>
        <v>$5 M - $50 M</v>
      </c>
      <c r="N7" s="8" t="str">
        <f>'5'!$B$10</f>
        <v>Inability for Retail Banking to onboard and identify key personnel to oversee risk management principles within each Line of Business may result in the lack of identification of key material risks impact each business unit.  Lack of establishing risk-focused business routines decreased awareness of regulatory and operational shortfalls within the business which may result in direct loss to revenue due to increased fraud activity, operational inefficiency constraints on budget, and potential violations and fines for lack of maintaining strong control environment within each Line of Business.</v>
      </c>
      <c r="O7" s="10"/>
    </row>
    <row r="8" spans="1:15" x14ac:dyDescent="0.25">
      <c r="A8" s="7"/>
      <c r="B8" s="7" t="str">
        <f>'Approval and Documentation'!C$4</f>
        <v>Retail Banking and Customer Experience</v>
      </c>
      <c r="C8" s="7" t="str">
        <f>'Approval and Documentation'!C$6</f>
        <v>N/A</v>
      </c>
      <c r="D8" s="8" t="str">
        <f>'6'!$C$1</f>
        <v>Digital Banking, Network</v>
      </c>
      <c r="E8" s="11">
        <v>6</v>
      </c>
      <c r="F8" s="8" t="str">
        <f>'6'!$C$2</f>
        <v>Operational</v>
      </c>
      <c r="G8" s="8" t="str">
        <f>'6'!$C$3</f>
        <v>Execution, Delivery and Process Management</v>
      </c>
      <c r="H8" s="8" t="str">
        <f>'6'!$C$4</f>
        <v>Adequacy of control monitoring and Quality Assurance oversight within FLOD</v>
      </c>
      <c r="I8" s="8" t="str">
        <f>'6'!$A$12</f>
        <v>Risk of Retail Banking Lines of Business inability to properly identify key policy and procedure inefficiencies or breakdowns, as well as a lack of maintaining appropriate visibility to business activities through risk identification practices caused by the lack of implementation of a properly defined and segregated control testing framework across the Retail Banking Lines of Business which may result in a decreased ability to identify key process breakdowns leading to business procedure inefficiencies and heightened risk exposure levels.</v>
      </c>
      <c r="J8" s="8">
        <f>'6'!$C$5</f>
        <v>0</v>
      </c>
      <c r="K8" s="8" t="str">
        <f>'6'!$A$9</f>
        <v xml:space="preserve">1. Line of Business specific control testing activities occur; however formalization of control inventory is required for adequate oversight and testing. 
2. Management oversight practices exist to ensure team members are complying with business procedures
3. Access management within the business line is centralized for the Lines of Business such as the Contact Center; additional process improvement are required to determine how access is requested, approved, granted and completed by SA&amp;C Team.  
4. Network Line of Business maintains standard Operational protocols for Branch Network to include Field Operation Team routine visits to monitor adherence to established operational tasks and frequency completion, District Executives routinely monitor branch adherence to established protocol and record results
5. Branch Control Inspection team inspects Branches adherence to protocol.  </v>
      </c>
      <c r="L8" s="8" t="str">
        <f>'6'!$C$6</f>
        <v>$5 M - $50 M</v>
      </c>
      <c r="M8" s="8" t="str">
        <f>'6'!$C$7</f>
        <v>$50 M - $250 M</v>
      </c>
      <c r="N8" s="8" t="str">
        <f>'6'!$B$10</f>
        <v xml:space="preserve">Business practices are serving as controls to ensure servicing functions are being executed as per procedures; however there exists a lack of strong control oversight and formal control testing in place for the Retail Banking Lines of Business. Access management procedures minimizes the impact to the business; however additional enhancements are required to address additional operational inefficiencies. Lack of a control testing and monitoring environment results in losses due to an inability to properly identify and address fraudulent activities and execution failures which are materialized annually in the $5-$50MM range. Stressed environment and additional risk exposure may manifest into Bank wide inefficiencies, external/internal theft, improper activities such as new account opening and customer authentication, and data breaches with a residual stressed impact of $50-$250MM.
</v>
      </c>
      <c r="O8" s="10"/>
    </row>
    <row r="9" spans="1:15" x14ac:dyDescent="0.25">
      <c r="A9" s="7"/>
      <c r="B9" s="7" t="str">
        <f>'Approval and Documentation'!C$4</f>
        <v>Retail Banking and Customer Experience</v>
      </c>
      <c r="C9" s="7" t="str">
        <f>'Approval and Documentation'!C$6</f>
        <v>N/A</v>
      </c>
      <c r="D9" s="8" t="str">
        <f>'7'!$C$1</f>
        <v xml:space="preserve">Digital Banking, Marketing, Customer Relationship Management </v>
      </c>
      <c r="E9" s="7">
        <v>7</v>
      </c>
      <c r="F9" s="8" t="str">
        <f>'7'!$C$2</f>
        <v>Operational</v>
      </c>
      <c r="G9" s="8" t="str">
        <f>'7'!$C$3</f>
        <v>Execution, Delivery and Process Management - Inadequate Management of Suppliers/Vendors</v>
      </c>
      <c r="H9" s="8" t="str">
        <f>'7'!$C$4</f>
        <v>Vendor management contingency, activity monitoring, and contract adherence</v>
      </c>
      <c r="I9" s="8" t="str">
        <f>'7'!$A$12</f>
        <v>Risk of maintaining appropriate oversight management activities for Retail Banking vendors as well as risk of ensuring Retail Banking has an appropriate vendor contingency plan for continual service/product support caused by lack of identified backup vendor support and inadequate control environment to ensure vendor adherence to contract requirements, customer data storage protocols, and service level agreement objectives are met across Santander Business Units; may result in negative impact to customer service model &amp; support for Santander Bank customer base.</v>
      </c>
      <c r="J9" s="8">
        <f>'7'!$C$5</f>
        <v>0</v>
      </c>
      <c r="K9" s="8" t="str">
        <f>'7'!$A$9</f>
        <v>1. Existing Vendor Management assessment practices for vetting of new vendor relationships; completion of vendor risk rating/assessments 
2. Ongoing vendor due diligence including onsite visit and audit of vendor and sub-contractors with particular attention to storage and security of the bank's customer data
3. Contractual documented provisions to protect Santander liabilities
4. Implemented data access and transfer controls using encryption and secure FTP
5. PIF process for contracting approved vendors</v>
      </c>
      <c r="L9" s="8" t="str">
        <f>'7'!$C$6</f>
        <v>$1 - $5 M</v>
      </c>
      <c r="M9" s="8" t="str">
        <f>'7'!$C$7</f>
        <v>$5 M - $50 M</v>
      </c>
      <c r="N9" s="8" t="str">
        <f>'7'!$B$10</f>
        <v>Although the business has not experience a financial loss due to accepted vendor risks, the potential for a loss considering the channel business could escalate to a significant financial impact.  Multiple vendor relationships managed by the Retail Banking organization incorporate customer data transfer and subsequent exposure to loss of customer data.  Line of Business analysis shows customer data exposure of $200/customer (fully loaded data breach cost per record - Ponemon Institute, pre-eminent research center dedicated to privacy, data protection and information security).  With a customer base of 2 million anticipated within next 20 years, potential customer data breach loss along with associated regulatory fines/attention would result in $40M potential loss in a 1 in 10 stressed scenario. Retail Banking has experience significant customer data loss as a result of vendor misuse over the past year, therefore expected annual financial loss would be approximate $1M-$5M due to activities required to protect reputational risk, such as investigative and legal expenses.</v>
      </c>
      <c r="O9" s="10"/>
    </row>
    <row r="10" spans="1:15" x14ac:dyDescent="0.25">
      <c r="A10" s="7"/>
      <c r="B10" s="7" t="str">
        <f>'Approval and Documentation'!C$4</f>
        <v>Retail Banking and Customer Experience</v>
      </c>
      <c r="C10" s="7" t="str">
        <f>'Approval and Documentation'!C$6</f>
        <v>N/A</v>
      </c>
      <c r="D10" s="8" t="str">
        <f>'8'!$C$1</f>
        <v>Digital Banking, Marketing, Small Business Banking, Network</v>
      </c>
      <c r="E10" s="11">
        <v>8</v>
      </c>
      <c r="F10" s="8" t="str">
        <f>'8'!$C$2</f>
        <v>Operational</v>
      </c>
      <c r="G10" s="8" t="str">
        <f>'8'!$C$3</f>
        <v>Execution, Delivery and Process Management</v>
      </c>
      <c r="H10" s="8" t="str">
        <f>'8'!$C$4</f>
        <v>Disruptions in systems/processes due to manual processing requirements</v>
      </c>
      <c r="I10" s="8" t="str">
        <f>'8'!$A$12</f>
        <v>Risk of execution and delivery failure due to the extensive levels of manual processing requirements across Retail Lines of Business which may result in transaction or account maintenance discrepancies, non-compliance with applicable regulations, inadvertent release of customer sensitive information, exposure to internal and external fraud activity</v>
      </c>
      <c r="J10" s="8">
        <f>'8'!$C$5</f>
        <v>0</v>
      </c>
      <c r="K10" s="8" t="str">
        <f>'8'!$A$9</f>
        <v>1. Implementation of quality control and second reviews/approvals for Line of Business functions (BCI, call monitoring, manual second reviews for identified high risk transaction types). 
2. Key Risk Indicator and trending analysis on high risk activities
3. Procedure documentation within Line of Businesses
4. Authority Level Matrix and transaction threshold implemented for systematic limitations of process risk exposure.</v>
      </c>
      <c r="L10" s="8" t="str">
        <f>'8'!$C$6</f>
        <v>$1 - $5 M</v>
      </c>
      <c r="M10" s="8" t="str">
        <f>'8'!$C$7</f>
        <v>$50 M - $250 M</v>
      </c>
      <c r="N10" s="8" t="str">
        <f>'8'!$B$10</f>
        <v>Retail Banking environment and business practices a large percentage of manually controlled processing requirements. Lines of Business utilize personnel resources to adequately oversee processing controls, however, the existence of manual controls leads to human error and execution breakdowns that has resulted in $2.3MM in loss through 2014.  Manual oversight and controls are apparent in higher risk processes within the Retail Banking organization (western union, teller transactions, customer authentication) and experienced breakdowns due to execution failure and fraud will be exponentially increased in stressed situations.  Resulting impact across Retail Banking LOB's may materialize into compliance violations and regulatory fines, as well as operational losses in excess of $50MM during stressed situations.</v>
      </c>
      <c r="O10" s="10"/>
    </row>
    <row r="11" spans="1:15" x14ac:dyDescent="0.25">
      <c r="A11" s="7"/>
      <c r="B11" s="7" t="str">
        <f>'Approval and Documentation'!C$4</f>
        <v>Retail Banking and Customer Experience</v>
      </c>
      <c r="C11" s="7" t="str">
        <f>'Approval and Documentation'!C$6</f>
        <v>N/A</v>
      </c>
      <c r="D11" s="8" t="str">
        <f>'9'!$C$1</f>
        <v>Digital Banking, Products and Segments, Cards Business</v>
      </c>
      <c r="E11" s="7">
        <v>9</v>
      </c>
      <c r="F11" s="8" t="str">
        <f>'9'!$C$2</f>
        <v xml:space="preserve">Strategic </v>
      </c>
      <c r="G11" s="8" t="str">
        <f>'9'!$C$3</f>
        <v>Systems strategy and data architecture</v>
      </c>
      <c r="H11" s="8" t="str">
        <f>'9'!$C$4</f>
        <v xml:space="preserve">Change management practices and timely delivery of technology/projects </v>
      </c>
      <c r="I11" s="8" t="str">
        <f>'9'!$A$12</f>
        <v>Risk of unsuitable product design practices, failure to meet New to Bank product expectations, and unfavorable design of new business activity initiatives within competitive market caused by lack of full transparency across Santander Business Units to adequately implement design requirements which may result in product/segment changes or delays in project timelines which will  cause reputational damage and inability to meet strategic objectives of the Retail Bank.</v>
      </c>
      <c r="J11" s="8" t="str">
        <f>'9'!$C$5</f>
        <v>Consumer Confidence (Down), Interest Rates (Up), Equity Prices (Down), Unemployment (Up)</v>
      </c>
      <c r="K11" s="8" t="str">
        <f>'9'!$A$9</f>
        <v>1. Technology and Operations application testing protocols, management requirement document completion, pre-production testing and control oversight during new product roll-outs.
2. New-to-Bank initiative pilot roll-out phases within the Lines of Business for customer adoption periods.
3. Ongoing participation in various working groups and committees across Retail allows for the business to gain awareness of upcoming initiatives and campaigns that impact the everyday operations of the business.  
4. New-to-Bank specific initiative (Cards Business) will be introduced in a phased approach to include New-to-Bank Pilot (controlled test of the platform), Direct Mail Launch (Risk scorecards and targeting models designed specifically for New-to-Bank acquisitions), Channels Launch (testing online and through the other channels like Telemarketing), and Branch Roll-out.</v>
      </c>
      <c r="L11" s="8" t="str">
        <f>'9'!$C$6</f>
        <v>$5 M - $50 M</v>
      </c>
      <c r="M11" s="8" t="str">
        <f>'9'!$C$7</f>
        <v>$50 M - $250 M</v>
      </c>
      <c r="N11" s="8" t="str">
        <f>'9'!$B$10</f>
        <v>Lack of a full implemented change management process within the bank poses a key risk to the Retail business resulting in negative impacts to revenue/profits and contribute to losses due to lack of customer adoption. Specific to the New-to-Bank initiative,  the Acquisitions/ Originations platform may fail in production resulting in loss of applicants, reputational damage and regulatory fines which has an immediate annual materialized financial impact of $1.5MM.  Change management initiatives are forecasting to impact over 100,000 customers/accounts (70K for NTB initiative) within the next year, and approximately $5-15MM in total revenue for 2016. Additional costs are realized through current commitments to vendors within 2015 ($3.5MM) and 2016 ($5MM) for initiatives, therefore cost must be paid regardless of the timing of initiatives and in stressed environment adds additional profitability stress and impact.  Credit Card balances from the NTB initiative are forecasted to reach $500MM by the end of 2018. On a portfolio of that size, if the financial industry experiences shocks in certain macroeconomic variables such as a decrease in consumer confidence or an increase unemployment, Retail Banking may see a significant increase in losses exceeding $5MM.  In stressed situations, change management failures also result in execution failures for key processes within the business, impacting business as usual activity which could result in estimated losses between $5MM and $20MM due to increased costs, increased regulatory losses, direct credit losses.</v>
      </c>
      <c r="O11" s="10"/>
    </row>
    <row r="12" spans="1:15" x14ac:dyDescent="0.25">
      <c r="A12" s="7"/>
      <c r="B12" s="7" t="str">
        <f>'Approval and Documentation'!C$4</f>
        <v>Retail Banking and Customer Experience</v>
      </c>
      <c r="C12" s="7" t="str">
        <f>'Approval and Documentation'!C$6</f>
        <v>N/A</v>
      </c>
      <c r="D12" s="8" t="str">
        <f>'10'!$C$1</f>
        <v>Cards Business</v>
      </c>
      <c r="E12" s="11">
        <v>10</v>
      </c>
      <c r="F12" s="8" t="str">
        <f>'10'!$C$2</f>
        <v xml:space="preserve">Strategic </v>
      </c>
      <c r="G12" s="8" t="str">
        <f>'10'!$C$3</f>
        <v>External Factors - Industry</v>
      </c>
      <c r="H12" s="8" t="str">
        <f>'10'!$C$4</f>
        <v>Implementation of chip technology to Credit and Debit Cards (EMV)</v>
      </c>
      <c r="I12" s="8" t="str">
        <f>'10'!$A$12</f>
        <v xml:space="preserve">Risk to Santander Bank to ensure appropriate response to industry changes and ability to demonstrate enhanced security standards for Credit/Debit with the implementation of EMV chip card project prior to MasterCard and Visa shift in liability date caused by internal delivery timeline requirements for distribution, execution risk of product roll out in an error free and efficient manner, and the quality of introduction for full market issuance of cards to Santander customer portfolio which could result in negative perception of Santander Banks ability to implement additional card security standards and increased exposure to fraud activity. </v>
      </c>
      <c r="J12" s="8">
        <f>'10'!$C$5</f>
        <v>0</v>
      </c>
      <c r="K12" s="8" t="str">
        <f>'10'!$A$9</f>
        <v xml:space="preserve">Current credit and Debit card fraud incorporates a variety of fraud controls and oversight to minimize financial loss to Santander.  EMV Chip Card rollout strategy can be managed by prioritizing highly active cards for reissuance throughout remainder of 2015, with remainder of lower risk and minimally utilized cards being distributed in early 2016. Strong project management discipline and prioritization of focus and capacity during project lifecycle allows effective oversight of project initiatives and guidelines to ensure product expectations are fulfilled. </v>
      </c>
      <c r="L12" s="8" t="str">
        <f>'10'!$C$6</f>
        <v>$5 M - $50 M</v>
      </c>
      <c r="M12" s="8" t="str">
        <f>'10'!$C$7</f>
        <v>$5 M - $50 M</v>
      </c>
      <c r="N12" s="8" t="str">
        <f>'10'!$B$10</f>
        <v>Immediate financial impact incorporates 2016 temporary expenses for Retail Lines of Business (customer contact center) to be staffed accordingly for project implementation with an associated cost of approximately $1MM. EMV chip card project delays of completing the reissuance beyond 2015 will be realized through continual increases in fraud loss exposure of $5.6 million in an 18 month timeframe; mainly due to late adoption of enhanced security measures in comparison to competitive market.  In stressed environments, the financial impact will be projected to increase annualized fraud losses of over $8MM per year, due to MC and Visa networks' shift in liability, which begins in Oct 2015; delays to the EMV Chip project in stressed situations will prevent full reissuance and activation of cards in 2015 and delay projected fraud loss reduction to later in 2016 and 2017.</v>
      </c>
      <c r="O12" s="10"/>
    </row>
    <row r="13" spans="1:15" x14ac:dyDescent="0.25">
      <c r="A13" s="7"/>
      <c r="B13" s="7" t="str">
        <f>'Approval and Documentation'!C$4</f>
        <v>Retail Banking and Customer Experience</v>
      </c>
      <c r="C13" s="7" t="str">
        <f>'Approval and Documentation'!C$6</f>
        <v>N/A</v>
      </c>
      <c r="D13" s="8" t="str">
        <f>'11'!$C$1</f>
        <v>Network, Digital Banking, Products and Segments</v>
      </c>
      <c r="E13" s="7">
        <v>11</v>
      </c>
      <c r="F13" s="8" t="str">
        <f>'11'!$C$2</f>
        <v>Compliance</v>
      </c>
      <c r="G13" s="8" t="str">
        <f>'11'!$C$3</f>
        <v>Regulatory Compliance - Bank Operations Laws/Regulations</v>
      </c>
      <c r="H13" s="8" t="str">
        <f>'11'!$C$4</f>
        <v>Control breakdowns for fee and billing management systems</v>
      </c>
      <c r="I13" s="8" t="str">
        <f>'11'!$A$12</f>
        <v>Risk of oversight and control breakdowns for fee reversal activity across Retail Banking Lines of Business caused by a decentralized fee and billing management control framework and non-alignment to systematically enforce  Authority Level Management limits and controls which may result in financial loss and regulatory scrutiny for Santander.</v>
      </c>
      <c r="J13" s="8">
        <f>'11'!$C$5</f>
        <v>0</v>
      </c>
      <c r="K13" s="8" t="str">
        <f>'11'!$A$9</f>
        <v>1. Authority Level Matrix and dollar limit thresholds placed on fee reimbursement activities
2. Required usage of Courtesy Refund tool model designed to provide guidance for non-bank error refunds
3. Sales Integrity reporting and oversight activities conducted to maintain visibility of billing system and fee management activity.</v>
      </c>
      <c r="L13" s="8" t="str">
        <f>'11'!$C$6</f>
        <v>$1 - $5 M</v>
      </c>
      <c r="M13" s="8" t="str">
        <f>'11'!$C$7</f>
        <v>$5 M - $50 M</v>
      </c>
      <c r="N13" s="8" t="str">
        <f>'11'!$B$10</f>
        <v>Retail Banking fee management and billing management systems are largely manually controlled and unable to be audited to appropriate industry standards. Refunded fees outside the fee management system provide annual exposure to the Retail Bank in excess of $1MM annually with additional exposure in stressed environments of potentially $8MM to $12MM.  Specific to Safe Deposit Box, there is a total back-due fee exposure of $5.3MM (1989 to current).  Without additional billing management system enhancements slated for 2016, additional fee  revenue within the Safe Deposit portfolio will not be realized and continue to expand to significantly higher dollar amounts.</v>
      </c>
      <c r="O13" s="10"/>
    </row>
    <row r="14" spans="1:15" ht="330" x14ac:dyDescent="0.25">
      <c r="A14" s="7"/>
      <c r="B14" s="7" t="str">
        <f>'Approval and Documentation'!C$4</f>
        <v>Retail Banking and Customer Experience</v>
      </c>
      <c r="C14" s="7" t="str">
        <f>'Approval and Documentation'!C$6</f>
        <v>N/A</v>
      </c>
      <c r="D14" s="8" t="str">
        <f>'12'!$C$1</f>
        <v>Mortgage, Cards, Small Business Banking</v>
      </c>
      <c r="E14" s="11">
        <v>12</v>
      </c>
      <c r="F14" s="8" t="str">
        <f>'12'!$C$2</f>
        <v>Compliance</v>
      </c>
      <c r="G14" s="8" t="str">
        <f>'12'!$C$3</f>
        <v>Regulatory Compliance</v>
      </c>
      <c r="H14" s="8" t="str">
        <f>'12'!$C$4</f>
        <v xml:space="preserve">Adequate implementation of new/enhanced regulatory requirements </v>
      </c>
      <c r="I14" s="8" t="str">
        <f>'12'!$A$12</f>
        <v>Risk of Retail Banking’s adherence to adequately implement changes to business strategy and Line of Business processes caused by changes in the regulatory environment and requirements required of financial organizations to adhere to consumer compliance regulations; need to enhance system infrastructure and processing requirements to support required changes may result in a non-compliance risk of meeting regulatory requirements within the Retail Banking environment (collection practices, AML/OFAC/KYC for electronic banking, transaction disputes, collection of CIP, customer eligibility, “know before you owe” requirements).</v>
      </c>
      <c r="J14" s="8" t="str">
        <f>'12'!$C$5</f>
        <v>Consumer Confidence (Down), Unemployment (Up), Interest Rates (Up)</v>
      </c>
      <c r="K14" s="8" t="str">
        <f>'12'!$A$9</f>
        <v xml:space="preserve">1. Policies and Procedures for each regulation, quality control monthly reviews, core banking reviews, training courses, checklist for loan origination functions, OFAC screening.
2. Implementation of the first line of defense risk, compliance , and governance structure has been implemented in Retail Banking Lines of Business.   
3. Manual accountability and oversight for marketing, advertising, and customer notification materials (reviewed by Legal and Compliance) 
4. All new products and services must also go through a New Product Business Activity enterprise-level approval process; including detailed risk assessment identifying Legal and compliance risk exposures.  
5. Collection / validation of CIP information (on-boarding processes for new customers and applications for credit. </v>
      </c>
      <c r="L14" s="8" t="str">
        <f>'12'!$C$6</f>
        <v>$5 M - $50 M</v>
      </c>
      <c r="M14" s="8" t="str">
        <f>'12'!$C$7</f>
        <v>$50 M - $250 M</v>
      </c>
      <c r="N14" s="8" t="str">
        <f>'12'!$B$10</f>
        <v xml:space="preserve">Retail Banking adherence to changes, additions, or existing regulatory requirements has realized a variety of breaches over the last several years. A list of enforcement actions levied against financial institutions for BSA/AML and OFAC violations over the period of 2009 - 2015 revealed significant quantities of violations issued with each violation averaging in excess of $1MM in fines, penalties or restitution.  In the case of a situation where a fine is not incurred, but a recommendation to cease portfolio growth is made, it would result in the loss of significant Line of Business revenue. Retail Banking exposure to adequately implement and manage regulatory changes assumes current trending to be between $1MM and $5MM annually with stressed environment impacts in excess of $25MM based on industry trends. This is a broad estimate based upon the review of a multitude of enforcement actions and class action settlements for violations of various compliance regulations as reported by other institutions, as well as comparing that research against Santander Banks loss exposure due to regulatory actions.  </v>
      </c>
      <c r="O14" s="10"/>
    </row>
    <row r="15" spans="1:15" ht="210" x14ac:dyDescent="0.25">
      <c r="A15" s="7"/>
      <c r="B15" s="7" t="str">
        <f>'Approval and Documentation'!C$4</f>
        <v>Retail Banking and Customer Experience</v>
      </c>
      <c r="C15" s="7" t="str">
        <f>'Approval and Documentation'!C$6</f>
        <v>N/A</v>
      </c>
      <c r="D15" s="8" t="str">
        <f>'13'!$C$1</f>
        <v>Products and Segments</v>
      </c>
      <c r="E15" s="7">
        <v>13</v>
      </c>
      <c r="F15" s="8" t="str">
        <f>'13'!$C$2</f>
        <v>Compliance</v>
      </c>
      <c r="G15" s="8" t="str">
        <f>'13'!$C$3</f>
        <v>Regulatory Compliance - Bank Operations Laws/Regulations</v>
      </c>
      <c r="H15" s="8" t="str">
        <f>'13'!$C$4</f>
        <v>Lack documentation for funds availability</v>
      </c>
      <c r="I15" s="8" t="str">
        <f>'13'!$A$12</f>
        <v>There is a regulatory risk in the funds availability program within Santander Bank which could negatively impact the Banks customer base which is caused by inconsistent rules, process, and system infrastructure across the Retail organization which could result in processing errors regulatory violations.</v>
      </c>
      <c r="J15" s="8" t="str">
        <f>'13'!$C$5</f>
        <v>Consumer Confidence (Down)</v>
      </c>
      <c r="K15" s="8" t="str">
        <f>'13'!$A$9</f>
        <v xml:space="preserve">1. Overdraft protection and loan protection products available to Santander customers
2. Fee Management system and refunds available to consumers
3. Float and funds availability file processing on a daily basis.
</v>
      </c>
      <c r="L15" s="8" t="str">
        <f>'13'!$C$6</f>
        <v>$1 - $5 M</v>
      </c>
      <c r="M15" s="8" t="str">
        <f>'13'!$C$7</f>
        <v>$5 M - $50 M</v>
      </c>
      <c r="N15" s="8" t="str">
        <f>'13'!$B$10</f>
        <v>Retail Banking products and channels for funds availability are at risk of not adhering to funds availability regulatory requirements.  Immediate financial impact to the Retail Banking organization is materialized in forms of fee rebates to customers and potential regulatory fines for not acting within requirements for consumer funds availability, exposure annually is realized in the $1MM to $2MM dollar range.  In a stressed environment, and based on the current Retail Banking consumer population, regulatory fines and operational expenses can potentially reach between $5MM and $10MM with the majority of financial impact being realized through regulatory fines on average (based on industry) of $500K to $1MM.</v>
      </c>
      <c r="O15" s="10"/>
    </row>
    <row r="16" spans="1:15" ht="270" x14ac:dyDescent="0.25">
      <c r="A16" s="7"/>
      <c r="B16" s="7" t="str">
        <f>'Approval and Documentation'!C$4</f>
        <v>Retail Banking and Customer Experience</v>
      </c>
      <c r="C16" s="7" t="str">
        <f>'Approval and Documentation'!C$6</f>
        <v>N/A</v>
      </c>
      <c r="D16" s="8" t="str">
        <f>'14'!$C$1</f>
        <v>Network, Small Business Banking, Digital Banking</v>
      </c>
      <c r="E16" s="11">
        <v>14</v>
      </c>
      <c r="F16" s="8" t="str">
        <f>'14'!$C$2</f>
        <v>Compliance</v>
      </c>
      <c r="G16" s="8" t="str">
        <f>'14'!$C$3</f>
        <v>Regulatory Compliance</v>
      </c>
      <c r="H16" s="8" t="str">
        <f>'14'!$C$4</f>
        <v xml:space="preserve">Privacy vulnerabilities within core business processes </v>
      </c>
      <c r="I16" s="8" t="str">
        <f>'14'!$A$12</f>
        <v>Risk of unauthorized exposure to customer sensitive information caused by lack of controls and oversight within various Retail Banking Line of Business processes and systems due to manual decisioning processes and adherence to procedures which may result in the inadvertent or unauthorized release of customer information to inappropriate or undesignated individuals/customers.</v>
      </c>
      <c r="J16" s="8">
        <f>'14'!$C$5</f>
        <v>0</v>
      </c>
      <c r="K16" s="8" t="str">
        <f>'14'!$A$9</f>
        <v>1. Monitoring of suspicious activity and release of customer personal information via email monitoring
2. Detailed privacy policy and procedure to guide employees when they are unclear as to the proper process
3. reporting created to detect major defects in order to remediate or mitigate on most major processes.
4. Email monitoring systems based on data elements and criteria to identify potential release of customer information.</v>
      </c>
      <c r="L16" s="8" t="str">
        <f>'14'!$C$6</f>
        <v>$1 - $5 M</v>
      </c>
      <c r="M16" s="8" t="str">
        <f>'14'!$C$7</f>
        <v>$5 M - $50 M</v>
      </c>
      <c r="N16" s="8" t="str">
        <f>'14'!$B$10</f>
        <v>In 2015, Retail Bank has experienced a monthly average of 23 (283 annually) potentially privacy issues via a multitude of avenues including Teller processing of items to the wrong account, statements being sent to inaccurate locations, loss of customer data within the Branch Network, and inadvertent release of information via email.  The increasing trend of customer exposure has an impact to the Retail Banking Lines of Business through realization of decreasing customer base and increased actual loss due to compromise of customer personal information; approximately $1.5MM over last 12 months.  Increasing trends of privacy release awareness and lack of movement on systematic mechanisms to prevent occurrences leads to stressed exposure of approximately $5MM to $6MM which is materialized through reputational impact and negative customer satisfaction leading to a decrease in customer base of 1% to 2% annually.</v>
      </c>
      <c r="O16" s="10"/>
    </row>
    <row r="17" spans="1:15" ht="165" x14ac:dyDescent="0.25">
      <c r="A17" s="7"/>
      <c r="B17" s="7" t="str">
        <f>'Approval and Documentation'!C$4</f>
        <v>Retail Banking and Customer Experience</v>
      </c>
      <c r="C17" s="7" t="str">
        <f>'Approval and Documentation'!C$6</f>
        <v>N/A</v>
      </c>
      <c r="D17" s="8" t="str">
        <f>'15'!$C$1</f>
        <v>Digital Banking, Marketing</v>
      </c>
      <c r="E17" s="7">
        <v>15</v>
      </c>
      <c r="F17" s="8" t="str">
        <f>'15'!$C$2</f>
        <v>Compliance</v>
      </c>
      <c r="G17" s="8" t="str">
        <f>'15'!$C$3</f>
        <v>Regulatory Programs</v>
      </c>
      <c r="H17" s="8" t="str">
        <f>'15'!$C$4</f>
        <v>Disclosure requirements, script oversight, campaign management</v>
      </c>
      <c r="I17" s="8" t="str">
        <f>'15'!$A$12</f>
        <v>Risk of maintaining and delivering consistent information and regulatory compliant consumer disclosures/campaign material in accordance with regulation and US law caused by segregated campaign management activities within the Cards Business portfolio, manually enforced oversight controls for script creation and adherence, and lack of workflow automation tools to adequately enforce consistency in approvals for disclosure/material information. Risk may result in legal and compliance violations and fines due to Santander's inability to act in accordance with disclosure requirements.</v>
      </c>
      <c r="J17" s="8" t="str">
        <f>'15'!$C$5</f>
        <v>Interest Rates (Up)</v>
      </c>
      <c r="K17" s="8" t="str">
        <f>'15'!$A$9</f>
        <v>1. Line of Business training and monitoring through Quality Assurance activities for script adherence
2. Manual tracking of marketing and campaign material approvals through screen dragon application
3. Line of Business governance and approval committee's to maintain adequate oversight and disclosure modification approvals.</v>
      </c>
      <c r="L17" s="8" t="str">
        <f>'15'!$C$6</f>
        <v>$1 - $5 M</v>
      </c>
      <c r="M17" s="8" t="str">
        <f>'15'!$C$7</f>
        <v>$5 M - $50 M</v>
      </c>
      <c r="N17" s="8" t="str">
        <f>'15'!$B$10</f>
        <v>Short term anticipation of disclosure or marketing material campaigns is expected to impact $1MM to $5MM in regulatory actions and enforceable fines. Stressed environment of inconsistent dissemination of out of compliance scripting and disclosures would have significant impact to Retail Banking resulting in high regulatory attention, cease and desist orders, as well as significant decrease (&gt;10%) in customer base due to inconsistent delivery model to customer expectations and requirements.</v>
      </c>
      <c r="O17" s="10"/>
    </row>
    <row r="18" spans="1:15" x14ac:dyDescent="0.25">
      <c r="A18" s="7"/>
      <c r="B18" s="7" t="str">
        <f>'Approval and Documentation'!C$4</f>
        <v>Retail Banking and Customer Experience</v>
      </c>
      <c r="C18" s="7" t="str">
        <f>'Approval and Documentation'!C$6</f>
        <v>N/A</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Retail Banking and Customer Experience</v>
      </c>
      <c r="C19" s="7" t="str">
        <f>'Approval and Documentation'!C$6</f>
        <v>N/A</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Retail Banking and Customer Experience</v>
      </c>
      <c r="C20" s="7" t="str">
        <f>'Approval and Documentation'!C$6</f>
        <v>N/A</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Retail Banking and Customer Experience</v>
      </c>
      <c r="C21" s="7" t="str">
        <f>'Approval and Documentation'!C$6</f>
        <v>N/A</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Retail Banking and Customer Experience</v>
      </c>
      <c r="C22" s="7" t="str">
        <f>'Approval and Documentation'!C$6</f>
        <v>N/A</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Retail Banking and Customer Experience</v>
      </c>
      <c r="C23" s="7" t="str">
        <f>'Approval and Documentation'!C$6</f>
        <v>N/A</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Retail Banking and Customer Experience</v>
      </c>
      <c r="C24" s="7" t="str">
        <f>'Approval and Documentation'!C$6</f>
        <v>N/A</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Retail Banking and Customer Experience</v>
      </c>
      <c r="C25" s="7" t="str">
        <f>'Approval and Documentation'!C$6</f>
        <v>N/A</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Retail Banking and Customer Experience</v>
      </c>
      <c r="C26" s="7" t="str">
        <f>'Approval and Documentation'!C$6</f>
        <v>N/A</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Retail Banking and Customer Experience</v>
      </c>
      <c r="C27" s="7" t="str">
        <f>'Approval and Documentation'!C$6</f>
        <v>N/A</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Retail Banking and Customer Experience</v>
      </c>
      <c r="C28" s="7" t="str">
        <f>'Approval and Documentation'!C$6</f>
        <v>N/A</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Retail Banking and Customer Experience</v>
      </c>
      <c r="C29" s="7" t="str">
        <f>'Approval and Documentation'!C$6</f>
        <v>N/A</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Retail Banking and Customer Experience</v>
      </c>
      <c r="C30" s="7" t="str">
        <f>'Approval and Documentation'!C$6</f>
        <v>N/A</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Retail Banking and Customer Experience</v>
      </c>
      <c r="C31" s="7" t="str">
        <f>'Approval and Documentation'!C$6</f>
        <v>N/A</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Retail Banking and Customer Experience</v>
      </c>
      <c r="C32" s="7" t="str">
        <f>'Approval and Documentation'!C$6</f>
        <v>N/A</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Retail Banking and Customer Experience</v>
      </c>
      <c r="C33" s="7" t="str">
        <f>'Approval and Documentation'!C$6</f>
        <v>N/A</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Retail Banking and Customer Experience</v>
      </c>
      <c r="C34" s="7" t="str">
        <f>'Approval and Documentation'!C$6</f>
        <v>N/A</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Retail Banking and Customer Experience</v>
      </c>
      <c r="C35" s="7" t="str">
        <f>'Approval and Documentation'!C$6</f>
        <v>N/A</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Retail Banking and Customer Experience</v>
      </c>
      <c r="C36" s="7" t="str">
        <f>'Approval and Documentation'!C$6</f>
        <v>N/A</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Retail Banking and Customer Experience</v>
      </c>
      <c r="C37" s="7" t="str">
        <f>'Approval and Documentation'!C$6</f>
        <v>N/A</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Retail Banking and Customer Experience</v>
      </c>
      <c r="C38" s="7" t="str">
        <f>'Approval and Documentation'!C$6</f>
        <v>N/A</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Retail Banking and Customer Experience</v>
      </c>
      <c r="C39" s="7" t="str">
        <f>'Approval and Documentation'!C$6</f>
        <v>N/A</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Retail Banking and Customer Experience</v>
      </c>
      <c r="C40" s="7" t="str">
        <f>'Approval and Documentation'!C$6</f>
        <v>N/A</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Retail Banking and Customer Experience</v>
      </c>
      <c r="C41" s="7" t="str">
        <f>'Approval and Documentation'!C$6</f>
        <v>N/A</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Retail Banking and Customer Experience</v>
      </c>
      <c r="C42" s="7" t="str">
        <f>'Approval and Documentation'!C$6</f>
        <v>N/A</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0" zoomScaleNormal="100" zoomScalePageLayoutView="8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62.25" customHeight="1" thickBot="1" x14ac:dyDescent="0.3">
      <c r="A1" s="217" t="s">
        <v>492</v>
      </c>
      <c r="B1" s="163"/>
      <c r="C1" s="72" t="s">
        <v>534</v>
      </c>
      <c r="Q1" s="80"/>
      <c r="R1" s="80"/>
      <c r="AA1" s="39" t="str">
        <f>C2</f>
        <v>Model</v>
      </c>
    </row>
    <row r="2" spans="1:27" ht="30.75" customHeight="1" thickBot="1" x14ac:dyDescent="0.3">
      <c r="A2" s="225" t="s">
        <v>257</v>
      </c>
      <c r="B2" s="216"/>
      <c r="C2" s="89" t="s">
        <v>9</v>
      </c>
      <c r="R2" s="42" t="str">
        <f t="shared" ref="R2:R7" si="0">A2</f>
        <v>Risk Type  - The Risk Type from the SHUSA ERM Risk Taxonomy</v>
      </c>
    </row>
    <row r="3" spans="1:27" ht="24" customHeight="1" thickBot="1" x14ac:dyDescent="0.3">
      <c r="A3" s="217" t="s">
        <v>251</v>
      </c>
      <c r="B3" s="163"/>
      <c r="C3" s="69" t="s">
        <v>43</v>
      </c>
      <c r="R3" s="42" t="str">
        <f t="shared" si="0"/>
        <v>Risk Sub Type  - The Risk Sub-Category from the SHUSA ERM Risk Taxonomy</v>
      </c>
    </row>
    <row r="4" spans="1:27" ht="31.5" customHeight="1" thickBot="1" x14ac:dyDescent="0.3">
      <c r="A4" s="217" t="s">
        <v>252</v>
      </c>
      <c r="B4" s="163"/>
      <c r="C4" s="72" t="s">
        <v>535</v>
      </c>
      <c r="R4" s="42" t="str">
        <f t="shared" si="0"/>
        <v>Risk Name - The name of the risk which helps define it and differentiate it from other risks in other Business Lines with a similar Risk Category</v>
      </c>
    </row>
    <row r="5" spans="1:27" ht="39" customHeight="1" thickBot="1" x14ac:dyDescent="0.3">
      <c r="A5" s="217" t="s">
        <v>531</v>
      </c>
      <c r="B5" s="163"/>
      <c r="C5" s="70" t="s">
        <v>79</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9.5" customHeight="1" thickBot="1" x14ac:dyDescent="0.3">
      <c r="A9" s="222" t="s">
        <v>537</v>
      </c>
      <c r="B9" s="223"/>
      <c r="C9" s="224"/>
      <c r="Q9" s="38" t="str">
        <f>A9</f>
        <v>1. CRM control model phase 1, additional enhancements to CRM model to include monitoring and measurement of data elements against expected targets.
2. ONE application - CIP/KYC required inputs at New Account Opening and compliance review of data displayed.
3. Line of Business manual reconciliations and quality control oversight activities are in place for specified data elements and systems.</v>
      </c>
    </row>
    <row r="10" spans="1:27" ht="396.75" customHeight="1" thickBot="1" x14ac:dyDescent="0.3">
      <c r="A10" s="41" t="s">
        <v>493</v>
      </c>
      <c r="B10" s="212" t="s">
        <v>538</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536</v>
      </c>
      <c r="B12" s="213"/>
      <c r="C12" s="214"/>
      <c r="Q12" s="38" t="str">
        <f>A12</f>
        <v>Risk of inaccurate customer and campaign models, financial reporting activities, and data quality errors caused by not maintaining an enterprise-wide single source of customer data and information infrastructure which may result in misuse of customer information to appropriately create campaign modeling techniques, inaccurate sales and marketing outreach focus, and failure to produce accurate financial reporting and non-compliance with applicable laws.</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headerFooter>
    <oddHeader>&amp;CQuality of data, one source of data</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10" zoomScale="70" zoomScaleNormal="100" zoomScalePageLayoutView="7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492</v>
      </c>
      <c r="B1" s="227"/>
      <c r="C1" s="81" t="s">
        <v>539</v>
      </c>
      <c r="Q1" s="80"/>
      <c r="R1" s="80"/>
      <c r="AA1" s="39" t="str">
        <f>C2</f>
        <v>Credit</v>
      </c>
    </row>
    <row r="2" spans="1:27" ht="30.75" customHeight="1" thickBot="1" x14ac:dyDescent="0.3">
      <c r="A2" s="225" t="s">
        <v>257</v>
      </c>
      <c r="B2" s="216"/>
      <c r="C2" s="89" t="s">
        <v>17</v>
      </c>
      <c r="R2" s="42" t="str">
        <f t="shared" ref="R2:R7" si="0">A2</f>
        <v>Risk Type  - The Risk Type from the SHUSA ERM Risk Taxonomy</v>
      </c>
    </row>
    <row r="3" spans="1:27" ht="24" customHeight="1" thickBot="1" x14ac:dyDescent="0.3">
      <c r="A3" s="217" t="s">
        <v>251</v>
      </c>
      <c r="B3" s="163"/>
      <c r="C3" s="69" t="s">
        <v>64</v>
      </c>
      <c r="R3" s="42" t="str">
        <f t="shared" si="0"/>
        <v>Risk Sub Type  - The Risk Sub-Category from the SHUSA ERM Risk Taxonomy</v>
      </c>
    </row>
    <row r="4" spans="1:27" ht="50.25" customHeight="1" thickBot="1" x14ac:dyDescent="0.3">
      <c r="A4" s="217" t="s">
        <v>252</v>
      </c>
      <c r="B4" s="163"/>
      <c r="C4" s="72" t="s">
        <v>540</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541</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234</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6.75" customHeight="1" thickBot="1" x14ac:dyDescent="0.3">
      <c r="A9" s="222" t="s">
        <v>543</v>
      </c>
      <c r="B9" s="223"/>
      <c r="C9" s="224"/>
      <c r="Q9" s="38" t="str">
        <f>A9</f>
        <v>1. Portfolio minimum credit requirements reduce loss exposure by limiting origination LTV to less than 80% &amp; Fico scores over 680. 
2. Underwriting exceptions monitored each month; use of automated underwriting engines.
3. Cards Portfolio Management monitoring health of portfolio to determine portfolio strategies requiring adjustment to mitigate loss due to conditions not under the bank's control.
4. Small Business monitoring of key metrics and use of credit risk mitigants (i.e. collateral). 
5. Retail Banking Line of Business scorecards and oversight/evaluation of customer creditworthiness.</v>
      </c>
    </row>
    <row r="10" spans="1:27" ht="409.5" customHeight="1" thickBot="1" x14ac:dyDescent="0.3">
      <c r="A10" s="41" t="s">
        <v>494</v>
      </c>
      <c r="B10" s="212" t="s">
        <v>544</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46.5" customHeight="1" thickBot="1" x14ac:dyDescent="0.3">
      <c r="A12" s="212" t="s">
        <v>542</v>
      </c>
      <c r="B12" s="213"/>
      <c r="C12" s="214"/>
      <c r="Q12" s="38" t="str">
        <f>A12</f>
        <v>Risk of default for Santander customer base caused by various macro-economic environment impacts to customers due to increasing unemployment rates and/or loss of income, along with increasing interest rates which may result in Santander liability to cover consumer debt obligations.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&amp;CDefault risk due to extension of credit dependent on macro-economic environment</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90" zoomScaleNormal="100" zoomScalePageLayoutView="9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45" customHeight="1" thickBot="1" x14ac:dyDescent="0.3">
      <c r="A1" s="219" t="s">
        <v>488</v>
      </c>
      <c r="B1" s="163"/>
      <c r="C1" s="72" t="s">
        <v>545</v>
      </c>
      <c r="Q1" s="80"/>
      <c r="R1" s="80"/>
      <c r="AA1" s="39" t="str">
        <f>C2</f>
        <v>Operational</v>
      </c>
    </row>
    <row r="2" spans="1:27" ht="30.75" customHeight="1" thickBot="1" x14ac:dyDescent="0.3">
      <c r="A2" s="225" t="s">
        <v>257</v>
      </c>
      <c r="B2" s="216"/>
      <c r="C2" s="89" t="s">
        <v>31</v>
      </c>
      <c r="R2" s="42" t="str">
        <f t="shared" ref="R2:R7" si="0">A2</f>
        <v>Risk Type  - The Risk Type from the SHUSA ERM Risk Taxonomy</v>
      </c>
    </row>
    <row r="3" spans="1:27" ht="24" customHeight="1" thickBot="1" x14ac:dyDescent="0.3">
      <c r="A3" s="217" t="s">
        <v>251</v>
      </c>
      <c r="B3" s="163"/>
      <c r="C3" s="69" t="s">
        <v>189</v>
      </c>
      <c r="R3" s="42" t="str">
        <f t="shared" si="0"/>
        <v>Risk Sub Type  - The Risk Sub-Category from the SHUSA ERM Risk Taxonomy</v>
      </c>
    </row>
    <row r="4" spans="1:27" ht="31.5" customHeight="1" thickBot="1" x14ac:dyDescent="0.3">
      <c r="A4" s="217" t="s">
        <v>252</v>
      </c>
      <c r="B4" s="163"/>
      <c r="C4" s="72" t="s">
        <v>546</v>
      </c>
      <c r="R4" s="42" t="str">
        <f t="shared" si="0"/>
        <v>Risk Name - The name of the risk which helps define it and differentiate it from other risks in other Business Lines with a similar Risk Category</v>
      </c>
    </row>
    <row r="5" spans="1:27" ht="27" customHeight="1" thickBot="1" x14ac:dyDescent="0.3">
      <c r="A5" s="217" t="s">
        <v>532</v>
      </c>
      <c r="B5" s="163"/>
      <c r="C5" s="70" t="s">
        <v>79</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3" customHeight="1" thickBot="1" x14ac:dyDescent="0.3">
      <c r="A9" s="222" t="s">
        <v>611</v>
      </c>
      <c r="B9" s="223"/>
      <c r="C9" s="224"/>
      <c r="Q9" s="38" t="str">
        <f>A9</f>
        <v>1. Technology and Operations safeguards in place to detect and prevent external system attacks.  
2. Management engagement and continual IT/Produban system monitoring to assess degradation to system infrastructure; Initiating Informent job scheduling review and impacts with Produban
3. Monitoring and assessment of CRM/SAS environment
4. Retail vendor maintain comprehensive continuity plans including back-up data centers.  
5. IT and Operations rapid response team activation during major system failure; minimize disruption in service.</v>
      </c>
    </row>
    <row r="10" spans="1:27" ht="319.5" customHeight="1" thickBot="1" x14ac:dyDescent="0.3">
      <c r="A10" s="41" t="s">
        <v>494</v>
      </c>
      <c r="B10" s="212" t="s">
        <v>610</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46.5" customHeight="1" thickBot="1" x14ac:dyDescent="0.3">
      <c r="A12" s="212" t="s">
        <v>547</v>
      </c>
      <c r="B12" s="213"/>
      <c r="C12" s="214"/>
      <c r="Q12" s="38" t="str">
        <f>A12</f>
        <v xml:space="preserve">Risk of cyber attacks, business disruption, and service failures within Retail Banking Lines of Business caused by changing technology environment coupled with Santander technology system infrastructure support inefficiencies and security safeguard enhancement requirements which may result in information security breaches &amp; decreasing customer confidence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headerFooter>
    <oddHeader>&amp;CCyber attacks and technology system infrastructure inefficiencies</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9"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49.5" customHeight="1" thickBot="1" x14ac:dyDescent="0.3">
      <c r="A1" s="219" t="s">
        <v>488</v>
      </c>
      <c r="B1" s="163"/>
      <c r="C1" s="72" t="s">
        <v>550</v>
      </c>
      <c r="Q1" s="80"/>
      <c r="R1" s="80"/>
      <c r="AA1" s="39" t="str">
        <f>C2</f>
        <v>Reputational</v>
      </c>
    </row>
    <row r="2" spans="1:27" ht="30.75" customHeight="1" thickBot="1" x14ac:dyDescent="0.3">
      <c r="A2" s="225" t="s">
        <v>257</v>
      </c>
      <c r="B2" s="216"/>
      <c r="C2" s="89" t="s">
        <v>25</v>
      </c>
      <c r="R2" s="42" t="str">
        <f t="shared" ref="R2:R7" si="0">A2</f>
        <v>Risk Type  - The Risk Type from the SHUSA ERM Risk Taxonomy</v>
      </c>
    </row>
    <row r="3" spans="1:27" ht="24" customHeight="1" thickBot="1" x14ac:dyDescent="0.3">
      <c r="A3" s="217" t="s">
        <v>251</v>
      </c>
      <c r="B3" s="163"/>
      <c r="C3" s="69" t="s">
        <v>29</v>
      </c>
      <c r="R3" s="42" t="str">
        <f t="shared" si="0"/>
        <v>Risk Sub Type  - The Risk Sub-Category from the SHUSA ERM Risk Taxonomy</v>
      </c>
    </row>
    <row r="4" spans="1:27" ht="45.75" customHeight="1" thickBot="1" x14ac:dyDescent="0.3">
      <c r="A4" s="217" t="s">
        <v>252</v>
      </c>
      <c r="B4" s="163"/>
      <c r="C4" s="72" t="s">
        <v>549</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79</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9.5" customHeight="1" thickBot="1" x14ac:dyDescent="0.3">
      <c r="A9" s="222" t="s">
        <v>551</v>
      </c>
      <c r="B9" s="223"/>
      <c r="C9" s="224"/>
      <c r="Q9" s="38" t="str">
        <f>A9</f>
        <v>1. Complaints management Quality Control monitoring, root cause analysis, and implementation of mitigation action.
2. Customer experience improvement to include "Happy Branch" and "Happy Customer", ONE Customer relationship tool; Santander Assist Line;  CARE; 360 Service Satisfaction Process; Advanced Teller enhancements ; Image-enabled ATM's; PC upgrades in branches and training rooms
3. Line of Business specific monitoring and reporting of customer satisfaction and identify areas of concerns
4. Leadership focused  problem resolution for escalated complaints</v>
      </c>
    </row>
    <row r="10" spans="1:27" ht="198.75" customHeight="1" thickBot="1" x14ac:dyDescent="0.3">
      <c r="A10" s="41" t="s">
        <v>494</v>
      </c>
      <c r="B10" s="212" t="s">
        <v>552</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47.25" customHeight="1" thickBot="1" x14ac:dyDescent="0.3">
      <c r="A12" s="212" t="s">
        <v>548</v>
      </c>
      <c r="B12" s="213"/>
      <c r="C12" s="214"/>
      <c r="Q12" s="38" t="str">
        <f>A12</f>
        <v>Risk of heightened customer dissatisfaction and negative customer experience due to perceived lack of segmentation, processing and servicing abilities, and reduced product offering and support compared to competitors which may result in negative social media attention or news coverage and reduction in onboarding and retaining customer base.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headerFooter>
    <oddHeader>&amp;CNegative customer satisfaction; effective management of customer complaints</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554</v>
      </c>
      <c r="Q1" s="80"/>
      <c r="R1" s="80"/>
      <c r="AA1" s="39" t="str">
        <f>C2</f>
        <v xml:space="preserve">Strategic </v>
      </c>
    </row>
    <row r="2" spans="1:27" ht="30.75" customHeight="1" thickBot="1" x14ac:dyDescent="0.3">
      <c r="A2" s="225" t="s">
        <v>257</v>
      </c>
      <c r="B2" s="216"/>
      <c r="C2" s="89" t="s">
        <v>20</v>
      </c>
      <c r="R2" s="42" t="str">
        <f t="shared" ref="R2:R7" si="0">A2</f>
        <v>Risk Type  - The Risk Type from the SHUSA ERM Risk Taxonomy</v>
      </c>
    </row>
    <row r="3" spans="1:27" ht="24" customHeight="1" thickBot="1" x14ac:dyDescent="0.3">
      <c r="A3" s="217" t="s">
        <v>251</v>
      </c>
      <c r="B3" s="163"/>
      <c r="C3" s="69" t="s">
        <v>218</v>
      </c>
      <c r="R3" s="42" t="str">
        <f t="shared" si="0"/>
        <v>Risk Sub Type  - The Risk Sub-Category from the SHUSA ERM Risk Taxonomy</v>
      </c>
    </row>
    <row r="4" spans="1:27" ht="31.5" customHeight="1" thickBot="1" x14ac:dyDescent="0.3">
      <c r="A4" s="217" t="s">
        <v>252</v>
      </c>
      <c r="B4" s="163"/>
      <c r="C4" s="72" t="s">
        <v>553</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80</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5.75" customHeight="1" thickBot="1" x14ac:dyDescent="0.3">
      <c r="A9" s="222" t="s">
        <v>609</v>
      </c>
      <c r="B9" s="223"/>
      <c r="C9" s="224"/>
      <c r="Q9" s="38" t="str">
        <f>A9</f>
        <v>1. Focus recruiting activities aimed to identify and recruit top risk talent external to Santander Bank
2. Business reviews and frequent management meetings focused on Risk Management practices and business strategy; knowledge transfer between peers within the Lines of Business 
3. Internal Saba Learning System training designed to specifically requiring risk management focus. 
4. Internal Line of Business focus on employee engagement activities; retention of key employees</v>
      </c>
    </row>
    <row r="10" spans="1:27" ht="159" customHeight="1" thickBot="1" x14ac:dyDescent="0.3">
      <c r="A10" s="41" t="s">
        <v>494</v>
      </c>
      <c r="B10" s="212" t="s">
        <v>556</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61.5" customHeight="1" thickBot="1" x14ac:dyDescent="0.3">
      <c r="A12" s="212" t="s">
        <v>555</v>
      </c>
      <c r="B12" s="213"/>
      <c r="C12" s="214"/>
      <c r="Q12" s="38" t="str">
        <f>A12</f>
        <v>Risk of Santander Bank to adequately identify, onboard and retain team members with the appropriate level of risk management expertise/awareness required to recognize inherent risks within the Retail Lines of Business as well as implement risk management methodology within the Retail Bank caused by a lack of personnel resources available internal to the Bank and within the market place which may result in lack of ability to manage/identify risk exposure, maintain high risk practices standards, and decreased ability to maintain proper succession planning.</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headerFooter>
    <oddHeader>&amp;CManagement succession planning, retention of risk expertise colleagues</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9" zoomScale="70" zoomScaleNormal="100" zoomScalePageLayoutView="7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558</v>
      </c>
      <c r="Q1" s="80"/>
      <c r="R1" s="80"/>
      <c r="AA1" s="39" t="str">
        <f>C2</f>
        <v>Operational</v>
      </c>
    </row>
    <row r="2" spans="1:27" ht="30.75" customHeight="1" thickBot="1" x14ac:dyDescent="0.3">
      <c r="A2" s="225" t="s">
        <v>257</v>
      </c>
      <c r="B2" s="216"/>
      <c r="C2" s="89" t="s">
        <v>31</v>
      </c>
      <c r="R2" s="42" t="str">
        <f t="shared" ref="R2:R7" si="0">A2</f>
        <v>Risk Type  - The Risk Type from the SHUSA ERM Risk Taxonomy</v>
      </c>
    </row>
    <row r="3" spans="1:27" ht="24" customHeight="1" thickBot="1" x14ac:dyDescent="0.3">
      <c r="A3" s="217" t="s">
        <v>251</v>
      </c>
      <c r="B3" s="163"/>
      <c r="C3" s="69" t="s">
        <v>33</v>
      </c>
      <c r="R3" s="42" t="str">
        <f t="shared" si="0"/>
        <v>Risk Sub Type  - The Risk Sub-Category from the SHUSA ERM Risk Taxonomy</v>
      </c>
    </row>
    <row r="4" spans="1:27" ht="44.25" customHeight="1" thickBot="1" x14ac:dyDescent="0.3">
      <c r="A4" s="217" t="s">
        <v>252</v>
      </c>
      <c r="B4" s="163"/>
      <c r="C4" s="72" t="s">
        <v>557</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9.5" customHeight="1" thickBot="1" x14ac:dyDescent="0.3">
      <c r="A9" s="222" t="s">
        <v>608</v>
      </c>
      <c r="B9" s="223"/>
      <c r="C9" s="224"/>
      <c r="Q9" s="38" t="str">
        <f>A9</f>
        <v xml:space="preserve">1. Line of Business specific control testing activities occur; however formalization of control inventory is required for adequate oversight and testing. 
2. Management oversight practices exist to ensure team members are complying with business procedures
3. Access management within the business line is centralized for the Lines of Business such as the Contact Center; additional process improvement are required to determine how access is requested, approved, granted and completed by SA&amp;C Team.  
4. Network Line of Business maintains standard Operational protocols for Branch Network to include Field Operation Team routine visits to monitor adherence to established operational tasks and frequency completion, District Executives routinely monitor branch adherence to established protocol and record results
5. Branch Control Inspection team inspects Branches adherence to protocol.  </v>
      </c>
    </row>
    <row r="10" spans="1:27" ht="229.5" customHeight="1" thickBot="1" x14ac:dyDescent="0.3">
      <c r="A10" s="41" t="s">
        <v>494</v>
      </c>
      <c r="B10" s="212" t="s">
        <v>560</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63" customHeight="1" thickBot="1" x14ac:dyDescent="0.3">
      <c r="A12" s="212" t="s">
        <v>559</v>
      </c>
      <c r="B12" s="213"/>
      <c r="C12" s="214"/>
      <c r="Q12" s="38" t="str">
        <f>A12</f>
        <v>Risk of Retail Banking Lines of Business inability to properly identify key policy and procedure inefficiencies or breakdowns, as well as a lack of maintaining appropriate visibility to business activities through risk identification practices caused by the lack of implementation of a properly defined and segregated control testing framework across the Retail Banking Lines of Business which may result in a decreased ability to identify key process breakdowns leading to business procedure inefficiencies and heightened risk exposure levels.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&amp;CAdequacy of control monitoring and Quality Assurance oversight within FLOD</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topLeftCell="A9" zoomScale="90" zoomScaleNormal="100" zoomScalePageLayoutView="9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563</v>
      </c>
      <c r="Q1" s="80"/>
      <c r="R1" s="80"/>
      <c r="AA1" s="39" t="str">
        <f>C2</f>
        <v>Operational</v>
      </c>
    </row>
    <row r="2" spans="1:27" ht="30.75" customHeight="1" thickBot="1" x14ac:dyDescent="0.3">
      <c r="A2" s="225" t="s">
        <v>257</v>
      </c>
      <c r="B2" s="216"/>
      <c r="C2" s="89" t="s">
        <v>31</v>
      </c>
      <c r="R2" s="42" t="str">
        <f t="shared" ref="R2:R7" si="0">A2</f>
        <v>Risk Type  - The Risk Type from the SHUSA ERM Risk Taxonomy</v>
      </c>
    </row>
    <row r="3" spans="1:27" ht="40.5" customHeight="1" thickBot="1" x14ac:dyDescent="0.3">
      <c r="A3" s="217" t="s">
        <v>251</v>
      </c>
      <c r="B3" s="163"/>
      <c r="C3" s="69" t="s">
        <v>196</v>
      </c>
      <c r="R3" s="42" t="str">
        <f t="shared" si="0"/>
        <v>Risk Sub Type  - The Risk Sub-Category from the SHUSA ERM Risk Taxonomy</v>
      </c>
    </row>
    <row r="4" spans="1:27" ht="31.5" customHeight="1" thickBot="1" x14ac:dyDescent="0.3">
      <c r="A4" s="217" t="s">
        <v>252</v>
      </c>
      <c r="B4" s="163"/>
      <c r="C4" s="72" t="s">
        <v>561</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3" customHeight="1" thickBot="1" x14ac:dyDescent="0.3">
      <c r="A9" s="222" t="s">
        <v>607</v>
      </c>
      <c r="B9" s="223"/>
      <c r="C9" s="224"/>
      <c r="Q9" s="38" t="str">
        <f>A9</f>
        <v>1. Existing Vendor Management assessment practices for vetting of new vendor relationships; completion of vendor risk rating/assessments 
2. Ongoing vendor due diligence including onsite visit and audit of vendor and sub-contractors with particular attention to storage and security of the bank's customer data
3. Contractual documented provisions to protect Santander liabilities
4. Implemented data access and transfer controls using encryption and secure FTP
5. PIF process for contracting approved vendors</v>
      </c>
    </row>
    <row r="10" spans="1:27" ht="260.25" customHeight="1" thickBot="1" x14ac:dyDescent="0.3">
      <c r="A10" s="41" t="s">
        <v>494</v>
      </c>
      <c r="B10" s="212" t="s">
        <v>606</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562</v>
      </c>
      <c r="B12" s="213"/>
      <c r="C12" s="214"/>
      <c r="Q12" s="38" t="str">
        <f>A12</f>
        <v>Risk of maintaining appropriate oversight management activities for Retail Banking vendors as well as risk of ensuring Retail Banking has an appropriate vendor contingency plan for continual service/product support caused by lack of identified backup vendor support and inadequate control environment to ensure vendor adherence to contract requirements, customer data storage protocols, and service level agreement objectives are met across Santander Business Units; may result in negative impact to customer service model &amp; support for Santander Bank customer base.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&amp;CVendor management contingency, activity monitoring, and contract adherence</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9"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2" t="s">
        <v>491</v>
      </c>
      <c r="B1" s="163"/>
      <c r="C1" s="72" t="s">
        <v>565</v>
      </c>
      <c r="Q1" s="80"/>
      <c r="R1" s="80"/>
      <c r="AA1" s="39" t="str">
        <f>C2</f>
        <v>Operational</v>
      </c>
    </row>
    <row r="2" spans="1:27" ht="30.75" customHeight="1" thickBot="1" x14ac:dyDescent="0.3">
      <c r="A2" s="225" t="s">
        <v>257</v>
      </c>
      <c r="B2" s="216"/>
      <c r="C2" s="90" t="s">
        <v>31</v>
      </c>
      <c r="R2" s="42" t="str">
        <f t="shared" ref="R2:R7" si="0">A2</f>
        <v>Risk Type  - The Risk Type from the SHUSA ERM Risk Taxonomy</v>
      </c>
    </row>
    <row r="3" spans="1:27" ht="24" customHeight="1" thickBot="1" x14ac:dyDescent="0.3">
      <c r="A3" s="217" t="s">
        <v>251</v>
      </c>
      <c r="B3" s="163"/>
      <c r="C3" s="83" t="s">
        <v>33</v>
      </c>
      <c r="R3" s="42" t="str">
        <f t="shared" si="0"/>
        <v>Risk Sub Type  - The Risk Sub-Category from the SHUSA ERM Risk Taxonomy</v>
      </c>
    </row>
    <row r="4" spans="1:27" ht="31.5" customHeight="1" thickBot="1" x14ac:dyDescent="0.3">
      <c r="A4" s="217" t="s">
        <v>252</v>
      </c>
      <c r="B4" s="163"/>
      <c r="C4" s="82" t="s">
        <v>564</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84"/>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83"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83"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80.25" customHeight="1" thickBot="1" x14ac:dyDescent="0.3">
      <c r="A9" s="222" t="s">
        <v>566</v>
      </c>
      <c r="B9" s="223"/>
      <c r="C9" s="229"/>
      <c r="Q9" s="38" t="str">
        <f>A9</f>
        <v>1. Implementation of quality control and second reviews/approvals for Line of Business functions (BCI, call monitoring, manual second reviews for identified high risk transaction types). 
2. Key Risk Indicator and trending analysis on high risk activities
3. Procedure documentation within Line of Businesses
4. Authority Level Matrix and transaction threshold implemented for systematic limitations of process risk exposure.</v>
      </c>
    </row>
    <row r="10" spans="1:27" ht="200.25" customHeight="1" thickBot="1" x14ac:dyDescent="0.3">
      <c r="A10" s="41" t="s">
        <v>494</v>
      </c>
      <c r="B10" s="212" t="s">
        <v>605</v>
      </c>
      <c r="C10" s="230"/>
    </row>
    <row r="11" spans="1:27" ht="31.5" customHeight="1" thickBot="1" x14ac:dyDescent="0.3">
      <c r="A11" s="219" t="s">
        <v>256</v>
      </c>
      <c r="B11" s="220"/>
      <c r="C11" s="22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567</v>
      </c>
      <c r="B12" s="213"/>
      <c r="C12" s="231"/>
      <c r="Q12" s="38" t="str">
        <f>A12</f>
        <v>Risk of execution and delivery failure due to the extensive levels of manual processing requirements across Retail Lines of Business which may result in transaction or account maintenance discrepancies, non-compliance with applicable regulations, inadvertent release of customer sensitive information, exposure to internal and external fraud activity</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&amp;CDisruptions in systems/processes due to manual processing requirements</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topLeftCell="A9" zoomScale="80" zoomScaleNormal="100" zoomScalePageLayoutView="8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570</v>
      </c>
      <c r="Q1" s="80"/>
      <c r="R1" s="80"/>
      <c r="AA1" s="39" t="str">
        <f>C2</f>
        <v xml:space="preserve">Strategic </v>
      </c>
    </row>
    <row r="2" spans="1:27" ht="30.75" customHeight="1" thickBot="1" x14ac:dyDescent="0.3">
      <c r="A2" s="225" t="s">
        <v>257</v>
      </c>
      <c r="B2" s="216"/>
      <c r="C2" s="89" t="s">
        <v>20</v>
      </c>
      <c r="R2" s="42" t="str">
        <f t="shared" ref="R2:R7" si="0">A2</f>
        <v>Risk Type  - The Risk Type from the SHUSA ERM Risk Taxonomy</v>
      </c>
    </row>
    <row r="3" spans="1:27" ht="24" customHeight="1" thickBot="1" x14ac:dyDescent="0.3">
      <c r="A3" s="217" t="s">
        <v>251</v>
      </c>
      <c r="B3" s="163"/>
      <c r="C3" s="69" t="s">
        <v>213</v>
      </c>
      <c r="R3" s="42" t="str">
        <f t="shared" si="0"/>
        <v>Risk Sub Type  - The Risk Sub-Category from the SHUSA ERM Risk Taxonomy</v>
      </c>
    </row>
    <row r="4" spans="1:27" ht="31.5" customHeight="1" thickBot="1" x14ac:dyDescent="0.3">
      <c r="A4" s="217" t="s">
        <v>252</v>
      </c>
      <c r="B4" s="163"/>
      <c r="C4" s="72" t="s">
        <v>569</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571</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5.25" customHeight="1" thickBot="1" x14ac:dyDescent="0.3">
      <c r="A9" s="222" t="s">
        <v>604</v>
      </c>
      <c r="B9" s="223"/>
      <c r="C9" s="224"/>
      <c r="Q9" s="38" t="str">
        <f>A9</f>
        <v>1. Technology and Operations application testing protocols, management requirement document completion, pre-production testing and control oversight during new product roll-outs.
2. New-to-Bank initiative pilot roll-out phases within the Lines of Business for customer adoption periods.
3. Ongoing participation in various working groups and committees across Retail allows for the business to gain awareness of upcoming initiatives and campaigns that impact the everyday operations of the business.  
4. New-to-Bank specific initiative (Cards Business) will be introduced in a phased approach to include New-to-Bank Pilot (controlled test of the platform), Direct Mail Launch (Risk scorecards and targeting models designed specifically for New-to-Bank acquisitions), Channels Launch (testing online and through the other channels like Telemarketing), and Branch Roll-out.</v>
      </c>
    </row>
    <row r="10" spans="1:27" ht="409.5" customHeight="1" thickBot="1" x14ac:dyDescent="0.3">
      <c r="A10" s="41" t="s">
        <v>494</v>
      </c>
      <c r="B10" s="212" t="s">
        <v>603</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63.75" customHeight="1" thickBot="1" x14ac:dyDescent="0.3">
      <c r="A12" s="212" t="s">
        <v>568</v>
      </c>
      <c r="B12" s="213"/>
      <c r="C12" s="214"/>
      <c r="Q12" s="38" t="str">
        <f>A12</f>
        <v>Risk of unsuitable product design practices, failure to meet New to Bank product expectations, and unfavorable design of new business activity initiatives within competitive market caused by lack of full transparency across Santander Business Units to adequately implement design requirements which may result in product/segment changes or delays in project timelines which will  cause reputational damage and inability to meet strategic objectives of the Retail Bank.</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 xml:space="preserve">&amp;CChange management practices and timely delivery of technology/projects </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9"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574</v>
      </c>
      <c r="Q1" s="80"/>
      <c r="R1" s="80"/>
      <c r="AA1" s="39" t="str">
        <f>C2</f>
        <v xml:space="preserve">Strategic </v>
      </c>
    </row>
    <row r="2" spans="1:27" ht="30.75" customHeight="1" thickBot="1" x14ac:dyDescent="0.3">
      <c r="A2" s="225" t="s">
        <v>257</v>
      </c>
      <c r="B2" s="216"/>
      <c r="C2" s="89" t="s">
        <v>20</v>
      </c>
      <c r="R2" s="42" t="str">
        <f t="shared" ref="R2:R7" si="0">A2</f>
        <v>Risk Type  - The Risk Type from the SHUSA ERM Risk Taxonomy</v>
      </c>
    </row>
    <row r="3" spans="1:27" ht="24" customHeight="1" thickBot="1" x14ac:dyDescent="0.3">
      <c r="A3" s="217" t="s">
        <v>251</v>
      </c>
      <c r="B3" s="163"/>
      <c r="C3" s="69" t="s">
        <v>215</v>
      </c>
      <c r="R3" s="42" t="str">
        <f t="shared" si="0"/>
        <v>Risk Sub Type  - The Risk Sub-Category from the SHUSA ERM Risk Taxonomy</v>
      </c>
    </row>
    <row r="4" spans="1:27" ht="31.5" customHeight="1" thickBot="1" x14ac:dyDescent="0.3">
      <c r="A4" s="217" t="s">
        <v>252</v>
      </c>
      <c r="B4" s="163"/>
      <c r="C4" s="72" t="s">
        <v>572</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4.5" customHeight="1" thickBot="1" x14ac:dyDescent="0.3">
      <c r="A9" s="222" t="s">
        <v>575</v>
      </c>
      <c r="B9" s="223"/>
      <c r="C9" s="224"/>
      <c r="Q9" s="38" t="str">
        <f>A9</f>
        <v xml:space="preserve">Current credit and Debit card fraud incorporates a variety of fraud controls and oversight to minimize financial loss to Santander.  EMV Chip Card rollout strategy can be managed by prioritizing highly active cards for reissuance throughout remainder of 2015, with remainder of lower risk and minimally utilized cards being distributed in early 2016. Strong project management discipline and prioritization of focus and capacity during project lifecycle allows effective oversight of project initiatives and guidelines to ensure product expectations are fulfilled. </v>
      </c>
    </row>
    <row r="10" spans="1:27" ht="211.5" customHeight="1" thickBot="1" x14ac:dyDescent="0.3">
      <c r="A10" s="41" t="s">
        <v>494</v>
      </c>
      <c r="B10" s="212" t="s">
        <v>576</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573</v>
      </c>
      <c r="B12" s="213"/>
      <c r="C12" s="214"/>
      <c r="Q12" s="38" t="str">
        <f>A12</f>
        <v xml:space="preserve">Risk to Santander Bank to ensure appropriate response to industry changes and ability to demonstrate enhanced security standards for Credit/Debit with the implementation of EMV chip card project prior to MasterCard and Visa shift in liability date caused by internal delivery timeline requirements for distribution, execution risk of product roll out in an error free and efficient manner, and the quality of introduction for full market issuance of cards to Santander customer portfolio which could result in negative perception of Santander Banks ability to implement additional card security standards and increased exposure to fraud activity.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 xml:space="preserve">&amp;CImplementation of chip technology to Credit and Debit Cards (EMV)
</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topLeftCell="A8"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579</v>
      </c>
      <c r="Q1" s="80"/>
      <c r="R1" s="80"/>
      <c r="AA1" s="39" t="str">
        <f>C2</f>
        <v>Compliance</v>
      </c>
    </row>
    <row r="2" spans="1:27" ht="30.75" customHeight="1" thickBot="1" x14ac:dyDescent="0.3">
      <c r="A2" s="225" t="s">
        <v>257</v>
      </c>
      <c r="B2" s="216"/>
      <c r="C2" s="89" t="s">
        <v>11</v>
      </c>
      <c r="R2" s="42" t="str">
        <f t="shared" ref="R2:R7" si="0">A2</f>
        <v>Risk Type  - The Risk Type from the SHUSA ERM Risk Taxonomy</v>
      </c>
    </row>
    <row r="3" spans="1:27" ht="24" customHeight="1" thickBot="1" x14ac:dyDescent="0.3">
      <c r="A3" s="217" t="s">
        <v>251</v>
      </c>
      <c r="B3" s="163"/>
      <c r="C3" s="69" t="s">
        <v>113</v>
      </c>
      <c r="R3" s="42" t="str">
        <f t="shared" si="0"/>
        <v>Risk Sub Type  - The Risk Sub-Category from the SHUSA ERM Risk Taxonomy</v>
      </c>
    </row>
    <row r="4" spans="1:27" ht="31.5" customHeight="1" thickBot="1" x14ac:dyDescent="0.3">
      <c r="A4" s="217" t="s">
        <v>252</v>
      </c>
      <c r="B4" s="163"/>
      <c r="C4" s="72" t="s">
        <v>578</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t="s">
        <v>580</v>
      </c>
      <c r="B9" s="223"/>
      <c r="C9" s="224"/>
      <c r="Q9" s="38" t="str">
        <f>A9</f>
        <v>1. Authority Level Matrix and dollar limit thresholds placed on fee reimbursement activities
2. Required usage of Courtesy Refund tool model designed to provide guidance for non-bank error refunds
3. Sales Integrity reporting and oversight activities conducted to maintain visibility of billing system and fee management activity.</v>
      </c>
    </row>
    <row r="10" spans="1:27" ht="170.25" customHeight="1" thickBot="1" x14ac:dyDescent="0.3">
      <c r="A10" s="41" t="s">
        <v>494</v>
      </c>
      <c r="B10" s="212" t="s">
        <v>581</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48" customHeight="1" thickBot="1" x14ac:dyDescent="0.3">
      <c r="A12" s="212" t="s">
        <v>577</v>
      </c>
      <c r="B12" s="213"/>
      <c r="C12" s="214"/>
      <c r="Q12" s="38" t="str">
        <f>A12</f>
        <v>Risk of oversight and control breakdowns for fee reversal activity across Retail Banking Lines of Business caused by a decentralized fee and billing management control framework and non-alignment to systematically enforce  Authority Level Management limits and controls which may result in financial loss and regulatory scrutiny for Santander.</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&amp;CControl breakdowns for fee and billing management systems</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topLeftCell="A10" zoomScale="90" zoomScaleNormal="100" zoomScalePageLayoutView="9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583</v>
      </c>
      <c r="Q1" s="80"/>
      <c r="R1" s="80"/>
      <c r="AA1" s="39" t="str">
        <f>C2</f>
        <v>Compliance</v>
      </c>
    </row>
    <row r="2" spans="1:27" ht="30.75" customHeight="1" thickBot="1" x14ac:dyDescent="0.3">
      <c r="A2" s="225" t="s">
        <v>257</v>
      </c>
      <c r="B2" s="216"/>
      <c r="C2" s="89" t="s">
        <v>11</v>
      </c>
      <c r="R2" s="42" t="str">
        <f t="shared" ref="R2:R7" si="0">A2</f>
        <v>Risk Type  - The Risk Type from the SHUSA ERM Risk Taxonomy</v>
      </c>
    </row>
    <row r="3" spans="1:27" ht="24" customHeight="1" thickBot="1" x14ac:dyDescent="0.3">
      <c r="A3" s="217" t="s">
        <v>251</v>
      </c>
      <c r="B3" s="163"/>
      <c r="C3" s="69" t="s">
        <v>60</v>
      </c>
      <c r="R3" s="42" t="str">
        <f t="shared" si="0"/>
        <v>Risk Sub Type  - The Risk Sub-Category from the SHUSA ERM Risk Taxonomy</v>
      </c>
    </row>
    <row r="4" spans="1:27" ht="45.75" customHeight="1" thickBot="1" x14ac:dyDescent="0.3">
      <c r="A4" s="217" t="s">
        <v>252</v>
      </c>
      <c r="B4" s="163"/>
      <c r="C4" s="72" t="s">
        <v>582</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584</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233</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24.5" customHeight="1" thickBot="1" x14ac:dyDescent="0.3">
      <c r="A9" s="222" t="s">
        <v>601</v>
      </c>
      <c r="B9" s="223"/>
      <c r="C9" s="224"/>
      <c r="Q9" s="38" t="str">
        <f>A9</f>
        <v xml:space="preserve">1. Policies and Procedures for each regulation, quality control monthly reviews, core banking reviews, training courses, checklist for loan origination functions, OFAC screening.
2. Implementation of the first line of defense risk, compliance , and governance structure has been implemented in Retail Banking Lines of Business.   
3. Manual accountability and oversight for marketing, advertising, and customer notification materials (reviewed by Legal and Compliance) 
4. All new products and services must also go through a New Product Business Activity enterprise-level approval process; including detailed risk assessment identifying Legal and compliance risk exposures.  
5. Collection / validation of CIP information (on-boarding processes for new customers and applications for credit. </v>
      </c>
    </row>
    <row r="10" spans="1:27" ht="260.25" customHeight="1" thickBot="1" x14ac:dyDescent="0.3">
      <c r="A10" s="41" t="s">
        <v>494</v>
      </c>
      <c r="B10" s="212" t="s">
        <v>602</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585</v>
      </c>
      <c r="B12" s="213"/>
      <c r="C12" s="214"/>
      <c r="Q12" s="38" t="str">
        <f>A12</f>
        <v>Risk of Retail Banking’s adherence to adequately implement changes to business strategy and Line of Business processes caused by changes in the regulatory environment and requirements required of financial organizations to adhere to consumer compliance regulations; need to enhance system infrastructure and processing requirements to support required changes may result in a non-compliance risk of meeting regulatory requirements within the Retail Banking environment (collection practices, AML/OFAC/KYC for electronic banking, transaction disputes, collection of CIP, customer eligibility, “know before you owe” requirements).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 xml:space="preserve">&amp;CAdequate implementation of new/enhanced regulatory requirements </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590</v>
      </c>
      <c r="Q1" s="80"/>
      <c r="R1" s="80"/>
      <c r="AA1" s="39" t="str">
        <f>C2</f>
        <v>Compliance</v>
      </c>
    </row>
    <row r="2" spans="1:27" ht="30.75" customHeight="1" thickBot="1" x14ac:dyDescent="0.3">
      <c r="A2" s="225" t="s">
        <v>257</v>
      </c>
      <c r="B2" s="216"/>
      <c r="C2" s="89" t="s">
        <v>11</v>
      </c>
      <c r="R2" s="42" t="str">
        <f t="shared" ref="R2:R7" si="0">A2</f>
        <v>Risk Type  - The Risk Type from the SHUSA ERM Risk Taxonomy</v>
      </c>
    </row>
    <row r="3" spans="1:27" ht="24" customHeight="1" thickBot="1" x14ac:dyDescent="0.3">
      <c r="A3" s="217" t="s">
        <v>251</v>
      </c>
      <c r="B3" s="163"/>
      <c r="C3" s="69" t="s">
        <v>113</v>
      </c>
      <c r="R3" s="42" t="str">
        <f t="shared" si="0"/>
        <v>Risk Sub Type  - The Risk Sub-Category from the SHUSA ERM Risk Taxonomy</v>
      </c>
    </row>
    <row r="4" spans="1:27" ht="31.5" customHeight="1" thickBot="1" x14ac:dyDescent="0.3">
      <c r="A4" s="217" t="s">
        <v>252</v>
      </c>
      <c r="B4" s="163"/>
      <c r="C4" s="72" t="s">
        <v>586</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79</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t="s">
        <v>600</v>
      </c>
      <c r="B9" s="223"/>
      <c r="C9" s="224"/>
      <c r="Q9" s="38" t="str">
        <f>A9</f>
        <v xml:space="preserve">1. Overdraft protection and loan protection products available to Santander customers
2. Fee Management system and refunds available to consumers
3. Float and funds availability file processing on a daily basis.
</v>
      </c>
    </row>
    <row r="10" spans="1:27" ht="171" customHeight="1" thickBot="1" x14ac:dyDescent="0.3">
      <c r="A10" s="41" t="s">
        <v>494</v>
      </c>
      <c r="B10" s="212" t="s">
        <v>599</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587</v>
      </c>
      <c r="B12" s="213"/>
      <c r="C12" s="214"/>
      <c r="Q12" s="38" t="str">
        <f>A12</f>
        <v>There is a regulatory risk in the funds availability program within Santander Bank which could negatively impact the Banks customer base which is caused by inconsistent rules, process, and system infrastructure across the Retail organization which could result in processing errors regulatory violations.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&amp;CLack documentation for funds availability</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topLeftCell="A9"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591</v>
      </c>
      <c r="Q1" s="80"/>
      <c r="R1" s="80"/>
      <c r="AA1" s="39" t="str">
        <f>C2</f>
        <v>Compliance</v>
      </c>
    </row>
    <row r="2" spans="1:27" ht="30.75" customHeight="1" thickBot="1" x14ac:dyDescent="0.3">
      <c r="A2" s="225" t="s">
        <v>257</v>
      </c>
      <c r="B2" s="216"/>
      <c r="C2" s="89" t="s">
        <v>11</v>
      </c>
      <c r="R2" s="42" t="str">
        <f t="shared" ref="R2:R7" si="0">A2</f>
        <v>Risk Type  - The Risk Type from the SHUSA ERM Risk Taxonomy</v>
      </c>
    </row>
    <row r="3" spans="1:27" ht="24" customHeight="1" thickBot="1" x14ac:dyDescent="0.3">
      <c r="A3" s="217" t="s">
        <v>251</v>
      </c>
      <c r="B3" s="163"/>
      <c r="C3" s="69" t="s">
        <v>60</v>
      </c>
      <c r="R3" s="42" t="str">
        <f t="shared" si="0"/>
        <v>Risk Sub Type  - The Risk Sub-Category from the SHUSA ERM Risk Taxonomy</v>
      </c>
    </row>
    <row r="4" spans="1:27" ht="31.5" customHeight="1" thickBot="1" x14ac:dyDescent="0.3">
      <c r="A4" s="217" t="s">
        <v>252</v>
      </c>
      <c r="B4" s="163"/>
      <c r="C4" s="72" t="s">
        <v>588</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6.75" customHeight="1" thickBot="1" x14ac:dyDescent="0.3">
      <c r="A9" s="222" t="s">
        <v>598</v>
      </c>
      <c r="B9" s="223"/>
      <c r="C9" s="224"/>
      <c r="Q9" s="38" t="str">
        <f>A9</f>
        <v>1. Monitoring of suspicious activity and release of customer personal information via email monitoring
2. Detailed privacy policy and procedure to guide employees when they are unclear as to the proper process
3. reporting created to detect major defects in order to remediate or mitigate on most major processes.
4. Email monitoring systems based on data elements and criteria to identify potential release of customer information.</v>
      </c>
    </row>
    <row r="10" spans="1:27" ht="229.5" customHeight="1" thickBot="1" x14ac:dyDescent="0.3">
      <c r="A10" s="41" t="s">
        <v>494</v>
      </c>
      <c r="B10" s="212" t="s">
        <v>597</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49.5" customHeight="1" thickBot="1" x14ac:dyDescent="0.3">
      <c r="A12" s="212" t="s">
        <v>589</v>
      </c>
      <c r="B12" s="213"/>
      <c r="C12" s="214"/>
      <c r="Q12" s="38" t="str">
        <f>A12</f>
        <v>Risk of unauthorized exposure to customer sensitive information caused by lack of controls and oversight within various Retail Banking Line of Business processes and systems due to manual decisioning processes and adherence to procedures which may result in the inadvertent or unauthorized release of customer information to inappropriate or undesignated individuals/customers.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 xml:space="preserve">&amp;CPrivacy vulnerabilities within core business processes </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14" sqref="A14:D4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t="s">
        <v>593</v>
      </c>
      <c r="Q1" s="80"/>
      <c r="R1" s="80"/>
      <c r="AA1" s="39" t="str">
        <f>C2</f>
        <v>Compliance</v>
      </c>
    </row>
    <row r="2" spans="1:27" ht="30.75" customHeight="1" thickBot="1" x14ac:dyDescent="0.3">
      <c r="A2" s="225" t="s">
        <v>257</v>
      </c>
      <c r="B2" s="216"/>
      <c r="C2" s="89" t="s">
        <v>11</v>
      </c>
      <c r="R2" s="42" t="str">
        <f t="shared" ref="R2:R7" si="0">A2</f>
        <v>Risk Type  - The Risk Type from the SHUSA ERM Risk Taxonomy</v>
      </c>
    </row>
    <row r="3" spans="1:27" ht="24" customHeight="1" thickBot="1" x14ac:dyDescent="0.3">
      <c r="A3" s="217" t="s">
        <v>251</v>
      </c>
      <c r="B3" s="163"/>
      <c r="C3" s="69" t="s">
        <v>59</v>
      </c>
      <c r="R3" s="42" t="str">
        <f t="shared" si="0"/>
        <v>Risk Sub Type  - The Risk Sub-Category from the SHUSA ERM Risk Taxonomy</v>
      </c>
    </row>
    <row r="4" spans="1:27" ht="31.5" customHeight="1" thickBot="1" x14ac:dyDescent="0.3">
      <c r="A4" s="217" t="s">
        <v>252</v>
      </c>
      <c r="B4" s="163"/>
      <c r="C4" s="72" t="s">
        <v>592</v>
      </c>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t="s">
        <v>84</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t="s">
        <v>595</v>
      </c>
      <c r="B9" s="223"/>
      <c r="C9" s="224"/>
      <c r="Q9" s="38" t="str">
        <f>A9</f>
        <v>1. Line of Business training and monitoring through Quality Assurance activities for script adherence
2. Manual tracking of marketing and campaign material approvals through screen dragon application
3. Line of Business governance and approval committee's to maintain adequate oversight and disclosure modification approvals.</v>
      </c>
    </row>
    <row r="10" spans="1:27" ht="123.75" customHeight="1" thickBot="1" x14ac:dyDescent="0.3">
      <c r="A10" s="41" t="s">
        <v>494</v>
      </c>
      <c r="B10" s="212" t="s">
        <v>596</v>
      </c>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t="s">
        <v>594</v>
      </c>
      <c r="B12" s="213"/>
      <c r="C12" s="214"/>
      <c r="Q12" s="38" t="str">
        <f>A12</f>
        <v>Risk of maintaining and delivering consistent information and regulatory compliant consumer disclosures/campaign material in accordance with regulation and US law caused by segregated campaign management activities within the Cards Business portfolio, manually enforced oversight controls for script creation and adherence, and lack of workflow automation tools to adequately enforce consistency in approvals for disclosure/material information. Risk may result in legal and compliance violations and fines due to Santander's inability to act in accordance with disclosure requirements.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&amp;CDisclosure requirements, script oversight, campaign management</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5" sqref="A5:B5"/>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9" t="s">
        <v>488</v>
      </c>
      <c r="B1" s="163"/>
      <c r="C1" s="72"/>
      <c r="Q1" s="80"/>
      <c r="R1" s="80"/>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38">
        <f>A9</f>
        <v>0</v>
      </c>
    </row>
    <row r="10" spans="1:27" ht="81.75" customHeight="1" thickBot="1" x14ac:dyDescent="0.3">
      <c r="A10" s="41" t="s">
        <v>494</v>
      </c>
      <c r="B10" s="212"/>
      <c r="C10" s="218"/>
    </row>
    <row r="11" spans="1:27" ht="31.5" customHeight="1" thickBot="1" x14ac:dyDescent="0.3">
      <c r="A11" s="219" t="s">
        <v>256</v>
      </c>
      <c r="B11" s="220"/>
      <c r="C11" s="221"/>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C3" sqref="C3"/>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C5" sqref="C4:C5"/>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C4" sqref="C4"/>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19" t="s">
        <v>488</v>
      </c>
      <c r="B1" s="163"/>
      <c r="C1" s="72"/>
      <c r="AA1" s="39">
        <f>C2</f>
        <v>0</v>
      </c>
    </row>
    <row r="2" spans="1:27" ht="30.75" customHeight="1" thickBot="1" x14ac:dyDescent="0.3">
      <c r="A2" s="225" t="s">
        <v>257</v>
      </c>
      <c r="B2" s="216"/>
      <c r="C2" s="89"/>
      <c r="R2" s="42" t="str">
        <f t="shared" ref="R2:R7" si="0">A2</f>
        <v>Risk Type  - The Risk Type from the SHUSA ERM Risk Taxonomy</v>
      </c>
    </row>
    <row r="3" spans="1:27" ht="24" customHeight="1" thickBot="1" x14ac:dyDescent="0.3">
      <c r="A3" s="217" t="s">
        <v>251</v>
      </c>
      <c r="B3" s="163"/>
      <c r="C3" s="69"/>
      <c r="R3" s="42" t="str">
        <f t="shared" si="0"/>
        <v>Risk Sub Type  - The Risk Sub-Category from the SHUSA ERM Risk Taxonomy</v>
      </c>
    </row>
    <row r="4" spans="1:27" ht="31.5" customHeight="1" thickBot="1" x14ac:dyDescent="0.3">
      <c r="A4" s="217" t="s">
        <v>252</v>
      </c>
      <c r="B4" s="163"/>
      <c r="C4" s="72"/>
      <c r="R4" s="42" t="str">
        <f t="shared" si="0"/>
        <v>Risk Name - The name of the risk which helps define it and differentiate it from other risks in other Business Lines with a similar Risk Category</v>
      </c>
    </row>
    <row r="5" spans="1:27" ht="39" customHeight="1" thickBot="1" x14ac:dyDescent="0.3">
      <c r="A5" s="217" t="s">
        <v>532</v>
      </c>
      <c r="B5" s="163"/>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17" t="s">
        <v>253</v>
      </c>
      <c r="B6" s="163"/>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5" t="s">
        <v>254</v>
      </c>
      <c r="B7" s="216"/>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9" t="s">
        <v>255</v>
      </c>
      <c r="B8" s="220"/>
      <c r="C8" s="221"/>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2"/>
      <c r="B9" s="223"/>
      <c r="C9" s="224"/>
      <c r="Q9" s="85">
        <f>A9</f>
        <v>0</v>
      </c>
    </row>
    <row r="10" spans="1:27" ht="81.75" customHeight="1" thickBot="1" x14ac:dyDescent="0.3">
      <c r="A10" s="41" t="s">
        <v>493</v>
      </c>
      <c r="B10" s="212"/>
      <c r="C10" s="218"/>
    </row>
    <row r="11" spans="1:27" ht="31.5" customHeight="1" thickBot="1" x14ac:dyDescent="0.3">
      <c r="A11" s="219" t="s">
        <v>256</v>
      </c>
      <c r="B11" s="220"/>
      <c r="C11" s="221"/>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A14" sqref="A14:D40"/>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41" t="s">
        <v>338</v>
      </c>
      <c r="B1" s="242"/>
      <c r="C1" s="242"/>
    </row>
    <row r="2" spans="1:3" ht="15.75" thickBot="1" x14ac:dyDescent="0.3">
      <c r="A2" s="73" t="s">
        <v>226</v>
      </c>
      <c r="B2" s="74" t="s">
        <v>315</v>
      </c>
      <c r="C2" s="74" t="s">
        <v>316</v>
      </c>
    </row>
    <row r="3" spans="1:3" ht="15.75" thickBot="1" x14ac:dyDescent="0.3">
      <c r="A3" s="233" t="s">
        <v>146</v>
      </c>
      <c r="B3" s="233" t="s">
        <v>317</v>
      </c>
      <c r="C3" s="53" t="s">
        <v>318</v>
      </c>
    </row>
    <row r="4" spans="1:3" ht="15.75" thickBot="1" x14ac:dyDescent="0.3">
      <c r="A4" s="234"/>
      <c r="B4" s="234"/>
      <c r="C4" s="53" t="s">
        <v>319</v>
      </c>
    </row>
    <row r="5" spans="1:3" ht="15.75" thickBot="1" x14ac:dyDescent="0.3">
      <c r="A5" s="234"/>
      <c r="B5" s="234"/>
      <c r="C5" s="53" t="s">
        <v>320</v>
      </c>
    </row>
    <row r="6" spans="1:3" ht="15.75" thickBot="1" x14ac:dyDescent="0.3">
      <c r="A6" s="234"/>
      <c r="B6" s="234"/>
      <c r="C6" s="53" t="s">
        <v>321</v>
      </c>
    </row>
    <row r="7" spans="1:3" ht="15.75" thickBot="1" x14ac:dyDescent="0.3">
      <c r="A7" s="234"/>
      <c r="B7" s="234"/>
      <c r="C7" s="53" t="s">
        <v>322</v>
      </c>
    </row>
    <row r="8" spans="1:3" ht="15.75" thickBot="1" x14ac:dyDescent="0.3">
      <c r="A8" s="235"/>
      <c r="B8" s="235"/>
      <c r="C8" s="53" t="s">
        <v>323</v>
      </c>
    </row>
    <row r="9" spans="1:3" ht="15.75" thickBot="1" x14ac:dyDescent="0.3">
      <c r="A9" s="233" t="s">
        <v>23</v>
      </c>
      <c r="B9" s="233" t="s">
        <v>324</v>
      </c>
      <c r="C9" s="53" t="s">
        <v>325</v>
      </c>
    </row>
    <row r="10" spans="1:3" ht="15.75" thickBot="1" x14ac:dyDescent="0.3">
      <c r="A10" s="234"/>
      <c r="B10" s="234"/>
      <c r="C10" s="53" t="s">
        <v>326</v>
      </c>
    </row>
    <row r="11" spans="1:3" ht="15.75" thickBot="1" x14ac:dyDescent="0.3">
      <c r="A11" s="234"/>
      <c r="B11" s="234"/>
      <c r="C11" s="53" t="s">
        <v>327</v>
      </c>
    </row>
    <row r="12" spans="1:3" ht="15.75" thickBot="1" x14ac:dyDescent="0.3">
      <c r="A12" s="235"/>
      <c r="B12" s="235"/>
      <c r="C12" s="53" t="s">
        <v>328</v>
      </c>
    </row>
    <row r="13" spans="1:3" ht="30.75" thickBot="1" x14ac:dyDescent="0.3">
      <c r="A13" s="46" t="s">
        <v>213</v>
      </c>
      <c r="B13" s="53" t="s">
        <v>213</v>
      </c>
      <c r="C13" s="53" t="s">
        <v>213</v>
      </c>
    </row>
    <row r="14" spans="1:3" ht="15.75" thickBot="1" x14ac:dyDescent="0.3">
      <c r="A14" s="233" t="s">
        <v>10</v>
      </c>
      <c r="B14" s="233" t="s">
        <v>339</v>
      </c>
      <c r="C14" s="53" t="s">
        <v>329</v>
      </c>
    </row>
    <row r="15" spans="1:3" ht="15.75" thickBot="1" x14ac:dyDescent="0.3">
      <c r="A15" s="234"/>
      <c r="B15" s="234"/>
      <c r="C15" s="53" t="s">
        <v>330</v>
      </c>
    </row>
    <row r="16" spans="1:3" ht="15.75" thickBot="1" x14ac:dyDescent="0.3">
      <c r="A16" s="234"/>
      <c r="B16" s="234"/>
      <c r="C16" s="53" t="s">
        <v>331</v>
      </c>
    </row>
    <row r="17" spans="1:3" ht="15.75" thickBot="1" x14ac:dyDescent="0.3">
      <c r="A17" s="235"/>
      <c r="B17" s="235"/>
      <c r="C17" s="53" t="s">
        <v>332</v>
      </c>
    </row>
    <row r="18" spans="1:3" ht="15.75" thickBot="1" x14ac:dyDescent="0.3">
      <c r="A18" s="233" t="s">
        <v>22</v>
      </c>
      <c r="B18" s="233" t="s">
        <v>333</v>
      </c>
      <c r="C18" s="53" t="s">
        <v>334</v>
      </c>
    </row>
    <row r="19" spans="1:3" ht="15.75" thickBot="1" x14ac:dyDescent="0.3">
      <c r="A19" s="234"/>
      <c r="B19" s="234"/>
      <c r="C19" s="53" t="s">
        <v>335</v>
      </c>
    </row>
    <row r="20" spans="1:3" ht="15.75" thickBot="1" x14ac:dyDescent="0.3">
      <c r="A20" s="234"/>
      <c r="B20" s="234"/>
      <c r="C20" s="53" t="s">
        <v>336</v>
      </c>
    </row>
    <row r="21" spans="1:3" ht="15.75" thickBot="1" x14ac:dyDescent="0.3">
      <c r="A21" s="235"/>
      <c r="B21" s="235"/>
      <c r="C21" s="53" t="s">
        <v>340</v>
      </c>
    </row>
    <row r="22" spans="1:3" ht="15.75" thickBot="1" x14ac:dyDescent="0.3">
      <c r="A22" s="46" t="s">
        <v>222</v>
      </c>
      <c r="B22" s="53" t="s">
        <v>337</v>
      </c>
      <c r="C22" s="53" t="s">
        <v>222</v>
      </c>
    </row>
    <row r="23" spans="1:3" x14ac:dyDescent="0.25">
      <c r="A23" s="79"/>
      <c r="B23" s="79"/>
      <c r="C23" s="79"/>
    </row>
    <row r="24" spans="1:3" ht="45.75" customHeight="1" x14ac:dyDescent="0.25">
      <c r="A24" s="239" t="s">
        <v>341</v>
      </c>
      <c r="B24" s="240"/>
      <c r="C24" s="240"/>
    </row>
    <row r="25" spans="1:3" ht="16.5" thickBot="1" x14ac:dyDescent="0.3">
      <c r="A25" s="76"/>
      <c r="B25"/>
      <c r="C25"/>
    </row>
    <row r="26" spans="1:3" ht="15.75" thickBot="1" x14ac:dyDescent="0.3">
      <c r="A26" s="73" t="s">
        <v>226</v>
      </c>
      <c r="B26" s="74" t="s">
        <v>315</v>
      </c>
      <c r="C26" s="74" t="s">
        <v>316</v>
      </c>
    </row>
    <row r="27" spans="1:3" ht="15.75" thickBot="1" x14ac:dyDescent="0.3">
      <c r="A27" s="233" t="s">
        <v>145</v>
      </c>
      <c r="B27" s="233" t="s">
        <v>342</v>
      </c>
      <c r="C27" s="53" t="s">
        <v>343</v>
      </c>
    </row>
    <row r="28" spans="1:3" ht="15.75" thickBot="1" x14ac:dyDescent="0.3">
      <c r="A28" s="234"/>
      <c r="B28" s="234"/>
      <c r="C28" s="53" t="s">
        <v>344</v>
      </c>
    </row>
    <row r="29" spans="1:3" ht="15.75" thickBot="1" x14ac:dyDescent="0.3">
      <c r="A29" s="234"/>
      <c r="B29" s="234"/>
      <c r="C29" s="53" t="s">
        <v>345</v>
      </c>
    </row>
    <row r="30" spans="1:3" ht="15.75" thickBot="1" x14ac:dyDescent="0.3">
      <c r="A30" s="234"/>
      <c r="B30" s="234"/>
      <c r="C30" s="53" t="s">
        <v>28</v>
      </c>
    </row>
    <row r="31" spans="1:3" ht="15.75" thickBot="1" x14ac:dyDescent="0.3">
      <c r="A31" s="234"/>
      <c r="B31" s="234"/>
      <c r="C31" s="53" t="s">
        <v>26</v>
      </c>
    </row>
    <row r="32" spans="1:3" ht="15.75" thickBot="1" x14ac:dyDescent="0.3">
      <c r="A32" s="235"/>
      <c r="B32" s="235"/>
      <c r="C32" s="53" t="s">
        <v>346</v>
      </c>
    </row>
    <row r="33" spans="1:3" ht="15.75" x14ac:dyDescent="0.25">
      <c r="A33" s="76"/>
      <c r="B33"/>
      <c r="C33"/>
    </row>
    <row r="34" spans="1:3" ht="42" customHeight="1" x14ac:dyDescent="0.25">
      <c r="A34" s="239" t="s">
        <v>347</v>
      </c>
      <c r="B34" s="240"/>
      <c r="C34" s="240"/>
    </row>
    <row r="35" spans="1:3" ht="15.75" thickBot="1" x14ac:dyDescent="0.3">
      <c r="A35" s="44"/>
      <c r="B35"/>
      <c r="C35"/>
    </row>
    <row r="36" spans="1:3" ht="15.75" thickBot="1" x14ac:dyDescent="0.3">
      <c r="A36" s="73" t="s">
        <v>226</v>
      </c>
      <c r="B36" s="74" t="s">
        <v>315</v>
      </c>
      <c r="C36" s="74" t="s">
        <v>316</v>
      </c>
    </row>
    <row r="37" spans="1:3" ht="30.75" thickBot="1" x14ac:dyDescent="0.3">
      <c r="A37" s="46" t="s">
        <v>53</v>
      </c>
      <c r="B37" s="53" t="s">
        <v>348</v>
      </c>
      <c r="C37" s="53" t="s">
        <v>53</v>
      </c>
    </row>
    <row r="38" spans="1:3" ht="75" x14ac:dyDescent="0.25">
      <c r="A38" s="233" t="s">
        <v>64</v>
      </c>
      <c r="B38" s="75" t="s">
        <v>349</v>
      </c>
      <c r="C38" s="233" t="s">
        <v>64</v>
      </c>
    </row>
    <row r="39" spans="1:3" ht="30" x14ac:dyDescent="0.25">
      <c r="A39" s="234"/>
      <c r="B39" s="75" t="s">
        <v>350</v>
      </c>
      <c r="C39" s="234"/>
    </row>
    <row r="40" spans="1:3" ht="30" x14ac:dyDescent="0.25">
      <c r="A40" s="234"/>
      <c r="B40" s="75" t="s">
        <v>351</v>
      </c>
      <c r="C40" s="234"/>
    </row>
    <row r="41" spans="1:3" x14ac:dyDescent="0.25">
      <c r="A41" s="234"/>
      <c r="B41" s="75" t="s">
        <v>352</v>
      </c>
      <c r="C41" s="234"/>
    </row>
    <row r="42" spans="1:3" ht="15.75" thickBot="1" x14ac:dyDescent="0.3">
      <c r="A42" s="235"/>
      <c r="B42" s="53" t="s">
        <v>353</v>
      </c>
      <c r="C42" s="235"/>
    </row>
    <row r="43" spans="1:3" ht="135.75" thickBot="1" x14ac:dyDescent="0.3">
      <c r="A43" s="46" t="s">
        <v>56</v>
      </c>
      <c r="B43" s="53" t="s">
        <v>354</v>
      </c>
      <c r="C43" s="53" t="s">
        <v>56</v>
      </c>
    </row>
    <row r="44" spans="1:3" ht="75.75" thickBot="1" x14ac:dyDescent="0.3">
      <c r="A44" s="46" t="s">
        <v>138</v>
      </c>
      <c r="B44" s="53" t="s">
        <v>355</v>
      </c>
      <c r="C44" s="53" t="s">
        <v>138</v>
      </c>
    </row>
    <row r="45" spans="1:3" ht="15.75" thickBot="1" x14ac:dyDescent="0.3">
      <c r="A45" s="233" t="s">
        <v>57</v>
      </c>
      <c r="B45" s="233" t="s">
        <v>356</v>
      </c>
      <c r="C45" s="53" t="s">
        <v>357</v>
      </c>
    </row>
    <row r="46" spans="1:3" ht="15.75" thickBot="1" x14ac:dyDescent="0.3">
      <c r="A46" s="234"/>
      <c r="B46" s="234"/>
      <c r="C46" s="53" t="s">
        <v>330</v>
      </c>
    </row>
    <row r="47" spans="1:3" ht="15.75" thickBot="1" x14ac:dyDescent="0.3">
      <c r="A47" s="234"/>
      <c r="B47" s="234"/>
      <c r="C47" s="53" t="s">
        <v>325</v>
      </c>
    </row>
    <row r="48" spans="1:3" ht="15.75" thickBot="1" x14ac:dyDescent="0.3">
      <c r="A48" s="234"/>
      <c r="B48" s="234"/>
      <c r="C48" s="53" t="s">
        <v>358</v>
      </c>
    </row>
    <row r="49" spans="1:3" ht="15.75" thickBot="1" x14ac:dyDescent="0.3">
      <c r="A49" s="235"/>
      <c r="B49" s="235"/>
      <c r="C49" s="53" t="s">
        <v>359</v>
      </c>
    </row>
    <row r="50" spans="1:3" ht="60.75" thickBot="1" x14ac:dyDescent="0.3">
      <c r="A50" s="46" t="s">
        <v>55</v>
      </c>
      <c r="B50" s="53" t="s">
        <v>360</v>
      </c>
      <c r="C50" s="53" t="s">
        <v>55</v>
      </c>
    </row>
    <row r="51" spans="1:3" ht="30" x14ac:dyDescent="0.25">
      <c r="A51" s="233" t="s">
        <v>52</v>
      </c>
      <c r="B51" s="75" t="s">
        <v>361</v>
      </c>
      <c r="C51" s="233" t="s">
        <v>52</v>
      </c>
    </row>
    <row r="52" spans="1:3" ht="45.75" thickBot="1" x14ac:dyDescent="0.3">
      <c r="A52" s="235"/>
      <c r="B52" s="53" t="s">
        <v>362</v>
      </c>
      <c r="C52" s="235"/>
    </row>
    <row r="53" spans="1:3" ht="45.75" thickBot="1" x14ac:dyDescent="0.3">
      <c r="A53" s="46" t="s">
        <v>18</v>
      </c>
      <c r="B53" s="53" t="s">
        <v>363</v>
      </c>
      <c r="C53" s="53" t="s">
        <v>18</v>
      </c>
    </row>
    <row r="54" spans="1:3" ht="30.75" thickBot="1" x14ac:dyDescent="0.3">
      <c r="A54" s="46" t="s">
        <v>144</v>
      </c>
      <c r="B54" s="53" t="s">
        <v>364</v>
      </c>
      <c r="C54" s="53" t="s">
        <v>365</v>
      </c>
    </row>
    <row r="55" spans="1:3" ht="15.75" x14ac:dyDescent="0.25">
      <c r="A55" s="76"/>
      <c r="B55"/>
      <c r="C55"/>
    </row>
    <row r="56" spans="1:3" ht="39" customHeight="1" x14ac:dyDescent="0.25">
      <c r="A56" s="239" t="s">
        <v>366</v>
      </c>
      <c r="B56" s="240"/>
      <c r="C56" s="240"/>
    </row>
    <row r="57" spans="1:3" ht="16.5" thickBot="1" x14ac:dyDescent="0.3">
      <c r="A57" s="76"/>
      <c r="B57"/>
      <c r="C57"/>
    </row>
    <row r="58" spans="1:3" ht="15.75" thickBot="1" x14ac:dyDescent="0.3">
      <c r="A58" s="73" t="s">
        <v>226</v>
      </c>
      <c r="B58" s="74" t="s">
        <v>315</v>
      </c>
      <c r="C58" s="74" t="s">
        <v>316</v>
      </c>
    </row>
    <row r="59" spans="1:3" ht="15.75" thickBot="1" x14ac:dyDescent="0.3">
      <c r="A59" s="46" t="s">
        <v>158</v>
      </c>
      <c r="B59" s="53" t="s">
        <v>367</v>
      </c>
      <c r="C59" s="53" t="s">
        <v>368</v>
      </c>
    </row>
    <row r="60" spans="1:3" ht="30" x14ac:dyDescent="0.25">
      <c r="A60" s="233" t="s">
        <v>45</v>
      </c>
      <c r="B60" s="75" t="s">
        <v>369</v>
      </c>
      <c r="C60" s="233" t="s">
        <v>376</v>
      </c>
    </row>
    <row r="61" spans="1:3" x14ac:dyDescent="0.25">
      <c r="A61" s="234"/>
      <c r="B61" s="75" t="s">
        <v>370</v>
      </c>
      <c r="C61" s="234"/>
    </row>
    <row r="62" spans="1:3" x14ac:dyDescent="0.25">
      <c r="A62" s="234"/>
      <c r="B62" s="75" t="s">
        <v>371</v>
      </c>
      <c r="C62" s="234"/>
    </row>
    <row r="63" spans="1:3" ht="15.75" thickBot="1" x14ac:dyDescent="0.3">
      <c r="A63" s="234"/>
      <c r="B63" s="75" t="s">
        <v>372</v>
      </c>
      <c r="C63" s="235"/>
    </row>
    <row r="64" spans="1:3" ht="15.75" thickBot="1" x14ac:dyDescent="0.3">
      <c r="A64" s="234"/>
      <c r="B64" s="75" t="s">
        <v>373</v>
      </c>
      <c r="C64" s="53" t="s">
        <v>377</v>
      </c>
    </row>
    <row r="65" spans="1:3" ht="30.75" thickBot="1" x14ac:dyDescent="0.3">
      <c r="A65" s="234"/>
      <c r="B65" s="75" t="s">
        <v>374</v>
      </c>
      <c r="C65" s="53" t="s">
        <v>378</v>
      </c>
    </row>
    <row r="66" spans="1:3" ht="75.75" thickBot="1" x14ac:dyDescent="0.3">
      <c r="A66" s="235"/>
      <c r="B66" s="53" t="s">
        <v>375</v>
      </c>
      <c r="C66" s="53" t="s">
        <v>379</v>
      </c>
    </row>
    <row r="67" spans="1:3" ht="90.75" thickBot="1" x14ac:dyDescent="0.3">
      <c r="A67" s="46" t="s">
        <v>48</v>
      </c>
      <c r="B67" s="53" t="s">
        <v>380</v>
      </c>
      <c r="C67" s="53" t="s">
        <v>48</v>
      </c>
    </row>
    <row r="68" spans="1:3" ht="30.75" thickBot="1" x14ac:dyDescent="0.3">
      <c r="A68" s="46" t="s">
        <v>163</v>
      </c>
      <c r="B68" s="53" t="s">
        <v>381</v>
      </c>
      <c r="C68" s="53" t="s">
        <v>163</v>
      </c>
    </row>
    <row r="69" spans="1:3" ht="15.75" thickBot="1" x14ac:dyDescent="0.3">
      <c r="A69" s="233" t="s">
        <v>46</v>
      </c>
      <c r="B69" s="75" t="s">
        <v>382</v>
      </c>
      <c r="C69" s="53" t="s">
        <v>384</v>
      </c>
    </row>
    <row r="70" spans="1:3" ht="90.75" thickBot="1" x14ac:dyDescent="0.3">
      <c r="A70" s="235"/>
      <c r="B70" s="53" t="s">
        <v>383</v>
      </c>
      <c r="C70" s="53" t="s">
        <v>385</v>
      </c>
    </row>
    <row r="71" spans="1:3" ht="15.75" x14ac:dyDescent="0.25">
      <c r="A71" s="76"/>
      <c r="B71"/>
      <c r="C71"/>
    </row>
    <row r="72" spans="1:3" ht="53.25" customHeight="1" x14ac:dyDescent="0.25">
      <c r="A72" s="239" t="s">
        <v>386</v>
      </c>
      <c r="B72" s="240"/>
      <c r="C72" s="240"/>
    </row>
    <row r="73" spans="1:3" ht="16.5" thickBot="1" x14ac:dyDescent="0.3">
      <c r="A73" s="76"/>
      <c r="B73"/>
      <c r="C73"/>
    </row>
    <row r="74" spans="1:3" ht="15.75" thickBot="1" x14ac:dyDescent="0.3">
      <c r="A74" s="73" t="s">
        <v>226</v>
      </c>
      <c r="B74" s="77" t="s">
        <v>315</v>
      </c>
      <c r="C74" s="74" t="s">
        <v>316</v>
      </c>
    </row>
    <row r="75" spans="1:3" ht="15.75" thickBot="1" x14ac:dyDescent="0.3">
      <c r="A75" s="233" t="s">
        <v>49</v>
      </c>
      <c r="B75" s="236" t="s">
        <v>387</v>
      </c>
      <c r="C75" s="53" t="s">
        <v>388</v>
      </c>
    </row>
    <row r="76" spans="1:3" ht="15.75" thickBot="1" x14ac:dyDescent="0.3">
      <c r="A76" s="234"/>
      <c r="B76" s="237"/>
      <c r="C76" s="53" t="s">
        <v>389</v>
      </c>
    </row>
    <row r="77" spans="1:3" ht="15.75" thickBot="1" x14ac:dyDescent="0.3">
      <c r="A77" s="234"/>
      <c r="B77" s="237"/>
      <c r="C77" s="53" t="s">
        <v>10</v>
      </c>
    </row>
    <row r="78" spans="1:3" ht="15.75" thickBot="1" x14ac:dyDescent="0.3">
      <c r="A78" s="235"/>
      <c r="B78" s="238"/>
      <c r="C78" s="53" t="s">
        <v>390</v>
      </c>
    </row>
    <row r="79" spans="1:3" ht="15.75" thickBot="1" x14ac:dyDescent="0.3">
      <c r="A79" s="233" t="s">
        <v>50</v>
      </c>
      <c r="B79" s="236" t="s">
        <v>391</v>
      </c>
      <c r="C79" s="53" t="s">
        <v>392</v>
      </c>
    </row>
    <row r="80" spans="1:3" ht="15.75" thickBot="1" x14ac:dyDescent="0.3">
      <c r="A80" s="234"/>
      <c r="B80" s="237"/>
      <c r="C80" s="53" t="s">
        <v>393</v>
      </c>
    </row>
    <row r="81" spans="1:3" ht="15.75" thickBot="1" x14ac:dyDescent="0.3">
      <c r="A81" s="235"/>
      <c r="B81" s="238"/>
      <c r="C81" s="53" t="s">
        <v>321</v>
      </c>
    </row>
    <row r="82" spans="1:3" ht="15.75" thickBot="1" x14ac:dyDescent="0.3">
      <c r="A82" s="233" t="s">
        <v>16</v>
      </c>
      <c r="B82" s="236" t="s">
        <v>394</v>
      </c>
      <c r="C82" s="53" t="s">
        <v>395</v>
      </c>
    </row>
    <row r="83" spans="1:3" ht="15.75" thickBot="1" x14ac:dyDescent="0.3">
      <c r="A83" s="234"/>
      <c r="B83" s="237"/>
      <c r="C83" s="53" t="s">
        <v>396</v>
      </c>
    </row>
    <row r="84" spans="1:3" ht="15.75" thickBot="1" x14ac:dyDescent="0.3">
      <c r="A84" s="234"/>
      <c r="B84" s="237"/>
      <c r="C84" s="53" t="s">
        <v>397</v>
      </c>
    </row>
    <row r="85" spans="1:3" ht="15.75" thickBot="1" x14ac:dyDescent="0.3">
      <c r="A85" s="235"/>
      <c r="B85" s="238"/>
      <c r="C85" s="53" t="s">
        <v>398</v>
      </c>
    </row>
    <row r="86" spans="1:3" ht="15.75" x14ac:dyDescent="0.25">
      <c r="A86" s="76"/>
      <c r="B86"/>
      <c r="C86"/>
    </row>
    <row r="87" spans="1:3" ht="22.5" customHeight="1" x14ac:dyDescent="0.25">
      <c r="A87" s="239" t="s">
        <v>399</v>
      </c>
      <c r="B87" s="240"/>
      <c r="C87" s="240"/>
    </row>
    <row r="88" spans="1:3" ht="16.5" thickBot="1" x14ac:dyDescent="0.3">
      <c r="A88" s="76"/>
      <c r="B88"/>
      <c r="C88"/>
    </row>
    <row r="89" spans="1:3" ht="15.75" thickBot="1" x14ac:dyDescent="0.3">
      <c r="A89" s="73" t="s">
        <v>226</v>
      </c>
      <c r="B89" s="74" t="s">
        <v>315</v>
      </c>
      <c r="C89" s="74" t="s">
        <v>316</v>
      </c>
    </row>
    <row r="90" spans="1:3" ht="30.75" thickBot="1" x14ac:dyDescent="0.3">
      <c r="A90" s="233" t="s">
        <v>30</v>
      </c>
      <c r="B90" s="233" t="s">
        <v>400</v>
      </c>
      <c r="C90" s="53" t="s">
        <v>401</v>
      </c>
    </row>
    <row r="91" spans="1:3" ht="15.75" thickBot="1" x14ac:dyDescent="0.3">
      <c r="A91" s="234"/>
      <c r="B91" s="234"/>
      <c r="C91" s="53" t="s">
        <v>402</v>
      </c>
    </row>
    <row r="92" spans="1:3" ht="15.75" thickBot="1" x14ac:dyDescent="0.3">
      <c r="A92" s="234"/>
      <c r="B92" s="234"/>
      <c r="C92" s="53" t="s">
        <v>403</v>
      </c>
    </row>
    <row r="93" spans="1:3" ht="15.75" thickBot="1" x14ac:dyDescent="0.3">
      <c r="A93" s="234"/>
      <c r="B93" s="234"/>
      <c r="C93" s="53" t="s">
        <v>404</v>
      </c>
    </row>
    <row r="94" spans="1:3" ht="15.75" thickBot="1" x14ac:dyDescent="0.3">
      <c r="A94" s="235"/>
      <c r="B94" s="235"/>
      <c r="C94" s="53" t="s">
        <v>405</v>
      </c>
    </row>
    <row r="95" spans="1:3" ht="15.75" thickBot="1" x14ac:dyDescent="0.3">
      <c r="A95" s="233" t="s">
        <v>32</v>
      </c>
      <c r="B95" s="233" t="s">
        <v>406</v>
      </c>
      <c r="C95" s="53" t="s">
        <v>407</v>
      </c>
    </row>
    <row r="96" spans="1:3" ht="15.75" thickBot="1" x14ac:dyDescent="0.3">
      <c r="A96" s="234"/>
      <c r="B96" s="234"/>
      <c r="C96" s="53" t="s">
        <v>408</v>
      </c>
    </row>
    <row r="97" spans="1:3" ht="15.75" thickBot="1" x14ac:dyDescent="0.3">
      <c r="A97" s="234"/>
      <c r="B97" s="234"/>
      <c r="C97" s="78" t="s">
        <v>409</v>
      </c>
    </row>
    <row r="98" spans="1:3" ht="15.75" thickBot="1" x14ac:dyDescent="0.3">
      <c r="A98" s="235"/>
      <c r="B98" s="235"/>
      <c r="C98" s="53" t="s">
        <v>410</v>
      </c>
    </row>
    <row r="99" spans="1:3" ht="15.75" thickBot="1" x14ac:dyDescent="0.3">
      <c r="A99" s="233" t="s">
        <v>34</v>
      </c>
      <c r="B99" s="233" t="s">
        <v>411</v>
      </c>
      <c r="C99" s="53" t="s">
        <v>412</v>
      </c>
    </row>
    <row r="100" spans="1:3" ht="27" customHeight="1" thickBot="1" x14ac:dyDescent="0.3">
      <c r="A100" s="234"/>
      <c r="B100" s="234"/>
      <c r="C100" s="53" t="s">
        <v>413</v>
      </c>
    </row>
    <row r="101" spans="1:3" ht="40.5" customHeight="1" thickBot="1" x14ac:dyDescent="0.3">
      <c r="A101" s="235"/>
      <c r="B101" s="235"/>
      <c r="C101" s="53" t="s">
        <v>414</v>
      </c>
    </row>
    <row r="102" spans="1:3" ht="45.75" thickBot="1" x14ac:dyDescent="0.3">
      <c r="A102" s="233" t="s">
        <v>38</v>
      </c>
      <c r="B102" s="233" t="s">
        <v>415</v>
      </c>
      <c r="C102" s="53" t="s">
        <v>416</v>
      </c>
    </row>
    <row r="103" spans="1:3" ht="15.75" thickBot="1" x14ac:dyDescent="0.3">
      <c r="A103" s="234"/>
      <c r="B103" s="234"/>
      <c r="C103" s="53" t="s">
        <v>417</v>
      </c>
    </row>
    <row r="104" spans="1:3" ht="30.75" thickBot="1" x14ac:dyDescent="0.3">
      <c r="A104" s="234"/>
      <c r="B104" s="234"/>
      <c r="C104" s="53" t="s">
        <v>418</v>
      </c>
    </row>
    <row r="105" spans="1:3" ht="15.75" thickBot="1" x14ac:dyDescent="0.3">
      <c r="A105" s="234"/>
      <c r="B105" s="234"/>
      <c r="C105" s="53" t="s">
        <v>419</v>
      </c>
    </row>
    <row r="106" spans="1:3" ht="15.75" thickBot="1" x14ac:dyDescent="0.3">
      <c r="A106" s="234"/>
      <c r="B106" s="234"/>
      <c r="C106" s="53" t="s">
        <v>420</v>
      </c>
    </row>
    <row r="107" spans="1:3" ht="15.75" thickBot="1" x14ac:dyDescent="0.3">
      <c r="A107" s="234"/>
      <c r="B107" s="234"/>
      <c r="C107" s="53" t="s">
        <v>421</v>
      </c>
    </row>
    <row r="108" spans="1:3" ht="15.75" thickBot="1" x14ac:dyDescent="0.3">
      <c r="A108" s="234"/>
      <c r="B108" s="234"/>
      <c r="C108" s="53" t="s">
        <v>422</v>
      </c>
    </row>
    <row r="109" spans="1:3" ht="30.75" thickBot="1" x14ac:dyDescent="0.3">
      <c r="A109" s="235"/>
      <c r="B109" s="235"/>
      <c r="C109" s="53" t="s">
        <v>423</v>
      </c>
    </row>
    <row r="110" spans="1:3" ht="15.75" thickBot="1" x14ac:dyDescent="0.3">
      <c r="A110" s="233" t="s">
        <v>37</v>
      </c>
      <c r="B110" s="233" t="s">
        <v>424</v>
      </c>
      <c r="C110" s="53" t="s">
        <v>425</v>
      </c>
    </row>
    <row r="111" spans="1:3" ht="15.75" thickBot="1" x14ac:dyDescent="0.3">
      <c r="A111" s="234"/>
      <c r="B111" s="234"/>
      <c r="C111" s="53" t="s">
        <v>426</v>
      </c>
    </row>
    <row r="112" spans="1:3" ht="15.75" thickBot="1" x14ac:dyDescent="0.3">
      <c r="A112" s="235"/>
      <c r="B112" s="235"/>
      <c r="C112" s="53" t="s">
        <v>427</v>
      </c>
    </row>
    <row r="113" spans="1:3" ht="15.75" thickBot="1" x14ac:dyDescent="0.3">
      <c r="A113" s="233" t="s">
        <v>39</v>
      </c>
      <c r="B113" s="233" t="s">
        <v>428</v>
      </c>
      <c r="C113" s="53" t="s">
        <v>429</v>
      </c>
    </row>
    <row r="114" spans="1:3" ht="15.75" thickBot="1" x14ac:dyDescent="0.3">
      <c r="A114" s="234"/>
      <c r="B114" s="234"/>
      <c r="C114" s="53" t="s">
        <v>430</v>
      </c>
    </row>
    <row r="115" spans="1:3" ht="15.75" thickBot="1" x14ac:dyDescent="0.3">
      <c r="A115" s="234"/>
      <c r="B115" s="234"/>
      <c r="C115" s="53" t="s">
        <v>431</v>
      </c>
    </row>
    <row r="116" spans="1:3" ht="15.75" thickBot="1" x14ac:dyDescent="0.3">
      <c r="A116" s="235"/>
      <c r="B116" s="235"/>
      <c r="C116" s="53" t="s">
        <v>432</v>
      </c>
    </row>
    <row r="117" spans="1:3" ht="15.75" thickBot="1" x14ac:dyDescent="0.3">
      <c r="A117" s="233" t="s">
        <v>33</v>
      </c>
      <c r="B117" s="233" t="s">
        <v>433</v>
      </c>
      <c r="C117" s="53" t="s">
        <v>434</v>
      </c>
    </row>
    <row r="118" spans="1:3" ht="15.75" thickBot="1" x14ac:dyDescent="0.3">
      <c r="A118" s="234"/>
      <c r="B118" s="234"/>
      <c r="C118" s="53" t="s">
        <v>435</v>
      </c>
    </row>
    <row r="119" spans="1:3" ht="15.75" thickBot="1" x14ac:dyDescent="0.3">
      <c r="A119" s="234"/>
      <c r="B119" s="234"/>
      <c r="C119" s="53" t="s">
        <v>436</v>
      </c>
    </row>
    <row r="120" spans="1:3" ht="15.75" thickBot="1" x14ac:dyDescent="0.3">
      <c r="A120" s="234"/>
      <c r="B120" s="234"/>
      <c r="C120" s="53" t="s">
        <v>437</v>
      </c>
    </row>
    <row r="121" spans="1:3" ht="15.75" thickBot="1" x14ac:dyDescent="0.3">
      <c r="A121" s="234"/>
      <c r="B121" s="234"/>
      <c r="C121" s="53" t="s">
        <v>438</v>
      </c>
    </row>
    <row r="122" spans="1:3" x14ac:dyDescent="0.25">
      <c r="A122" s="234"/>
      <c r="B122" s="234"/>
      <c r="C122" s="75" t="s">
        <v>439</v>
      </c>
    </row>
    <row r="123" spans="1:3" ht="15.75" thickBot="1" x14ac:dyDescent="0.3">
      <c r="A123" s="234"/>
      <c r="B123" s="234"/>
      <c r="C123" s="53" t="s">
        <v>440</v>
      </c>
    </row>
    <row r="124" spans="1:3" ht="15.75" thickBot="1" x14ac:dyDescent="0.3">
      <c r="A124" s="235"/>
      <c r="B124" s="235"/>
      <c r="C124" s="53" t="s">
        <v>441</v>
      </c>
    </row>
    <row r="125" spans="1:3" x14ac:dyDescent="0.25">
      <c r="A125" s="79"/>
      <c r="B125" s="79"/>
      <c r="C125" s="79"/>
    </row>
    <row r="126" spans="1:3" ht="50.25" customHeight="1" x14ac:dyDescent="0.25">
      <c r="A126" s="239" t="s">
        <v>442</v>
      </c>
      <c r="B126" s="240"/>
      <c r="C126" s="240"/>
    </row>
    <row r="127" spans="1:3" ht="16.5" thickBot="1" x14ac:dyDescent="0.3">
      <c r="A127" s="76"/>
      <c r="B127"/>
      <c r="C127"/>
    </row>
    <row r="128" spans="1:3" ht="15.75" thickBot="1" x14ac:dyDescent="0.3">
      <c r="A128" s="73" t="s">
        <v>226</v>
      </c>
      <c r="B128" s="74" t="s">
        <v>315</v>
      </c>
      <c r="C128" s="74" t="s">
        <v>316</v>
      </c>
    </row>
    <row r="129" spans="1:3" ht="15.75" thickBot="1" x14ac:dyDescent="0.3">
      <c r="A129" s="233" t="s">
        <v>60</v>
      </c>
      <c r="B129" s="233" t="s">
        <v>443</v>
      </c>
      <c r="C129" s="53" t="s">
        <v>444</v>
      </c>
    </row>
    <row r="130" spans="1:3" ht="15.75" thickBot="1" x14ac:dyDescent="0.3">
      <c r="A130" s="234"/>
      <c r="B130" s="234"/>
      <c r="C130" s="53" t="s">
        <v>445</v>
      </c>
    </row>
    <row r="131" spans="1:3" ht="15.75" thickBot="1" x14ac:dyDescent="0.3">
      <c r="A131" s="234"/>
      <c r="B131" s="234"/>
      <c r="C131" s="53" t="s">
        <v>446</v>
      </c>
    </row>
    <row r="132" spans="1:3" ht="15.75" thickBot="1" x14ac:dyDescent="0.3">
      <c r="A132" s="234"/>
      <c r="B132" s="234"/>
      <c r="C132" s="53" t="s">
        <v>447</v>
      </c>
    </row>
    <row r="133" spans="1:3" ht="30.75" thickBot="1" x14ac:dyDescent="0.3">
      <c r="A133" s="235"/>
      <c r="B133" s="235"/>
      <c r="C133" s="53" t="s">
        <v>448</v>
      </c>
    </row>
    <row r="134" spans="1:3" ht="15.75" thickBot="1" x14ac:dyDescent="0.3">
      <c r="A134" s="233" t="s">
        <v>62</v>
      </c>
      <c r="B134" s="233" t="s">
        <v>449</v>
      </c>
      <c r="C134" s="53" t="s">
        <v>450</v>
      </c>
    </row>
    <row r="135" spans="1:3" ht="15.75" thickBot="1" x14ac:dyDescent="0.3">
      <c r="A135" s="234"/>
      <c r="B135" s="234"/>
      <c r="C135" s="53" t="s">
        <v>451</v>
      </c>
    </row>
    <row r="136" spans="1:3" ht="15.75" thickBot="1" x14ac:dyDescent="0.3">
      <c r="A136" s="234"/>
      <c r="B136" s="234"/>
      <c r="C136" s="53" t="s">
        <v>452</v>
      </c>
    </row>
    <row r="137" spans="1:3" ht="15.75" thickBot="1" x14ac:dyDescent="0.3">
      <c r="A137" s="234"/>
      <c r="B137" s="234"/>
      <c r="C137" s="53" t="s">
        <v>453</v>
      </c>
    </row>
    <row r="138" spans="1:3" ht="15.75" thickBot="1" x14ac:dyDescent="0.3">
      <c r="A138" s="234"/>
      <c r="B138" s="234"/>
      <c r="C138" s="53" t="s">
        <v>454</v>
      </c>
    </row>
    <row r="139" spans="1:3" ht="15.75" thickBot="1" x14ac:dyDescent="0.3">
      <c r="A139" s="234"/>
      <c r="B139" s="234"/>
      <c r="C139" s="53" t="s">
        <v>455</v>
      </c>
    </row>
    <row r="140" spans="1:3" ht="15.75" thickBot="1" x14ac:dyDescent="0.3">
      <c r="A140" s="234"/>
      <c r="B140" s="234"/>
      <c r="C140" s="53" t="s">
        <v>456</v>
      </c>
    </row>
    <row r="141" spans="1:3" ht="15.75" thickBot="1" x14ac:dyDescent="0.3">
      <c r="A141" s="234"/>
      <c r="B141" s="234"/>
      <c r="C141" s="53" t="s">
        <v>457</v>
      </c>
    </row>
    <row r="142" spans="1:3" ht="15.75" thickBot="1" x14ac:dyDescent="0.3">
      <c r="A142" s="235"/>
      <c r="B142" s="235"/>
      <c r="C142" s="53" t="s">
        <v>458</v>
      </c>
    </row>
    <row r="143" spans="1:3" ht="15.75" thickBot="1" x14ac:dyDescent="0.3">
      <c r="A143" s="233" t="s">
        <v>63</v>
      </c>
      <c r="B143" s="233" t="s">
        <v>459</v>
      </c>
      <c r="C143" s="53" t="s">
        <v>460</v>
      </c>
    </row>
    <row r="144" spans="1:3" ht="15.75" thickBot="1" x14ac:dyDescent="0.3">
      <c r="A144" s="234"/>
      <c r="B144" s="234"/>
      <c r="C144" s="53" t="s">
        <v>461</v>
      </c>
    </row>
    <row r="145" spans="1:3" ht="15.75" thickBot="1" x14ac:dyDescent="0.3">
      <c r="A145" s="234"/>
      <c r="B145" s="234"/>
      <c r="C145" s="53" t="s">
        <v>462</v>
      </c>
    </row>
    <row r="146" spans="1:3" ht="15.75" thickBot="1" x14ac:dyDescent="0.3">
      <c r="A146" s="234"/>
      <c r="B146" s="234"/>
      <c r="C146" s="53" t="s">
        <v>463</v>
      </c>
    </row>
    <row r="147" spans="1:3" ht="15.75" thickBot="1" x14ac:dyDescent="0.3">
      <c r="A147" s="234"/>
      <c r="B147" s="234"/>
      <c r="C147" s="53" t="s">
        <v>464</v>
      </c>
    </row>
    <row r="148" spans="1:3" ht="15.75" thickBot="1" x14ac:dyDescent="0.3">
      <c r="A148" s="234"/>
      <c r="B148" s="234"/>
      <c r="C148" s="53" t="s">
        <v>465</v>
      </c>
    </row>
    <row r="149" spans="1:3" ht="15.75" thickBot="1" x14ac:dyDescent="0.3">
      <c r="A149" s="234"/>
      <c r="B149" s="234"/>
      <c r="C149" s="53" t="s">
        <v>466</v>
      </c>
    </row>
    <row r="150" spans="1:3" ht="15.75" thickBot="1" x14ac:dyDescent="0.3">
      <c r="A150" s="234"/>
      <c r="B150" s="234"/>
      <c r="C150" s="53" t="s">
        <v>467</v>
      </c>
    </row>
    <row r="151" spans="1:3" ht="15.75" thickBot="1" x14ac:dyDescent="0.3">
      <c r="A151" s="235"/>
      <c r="B151" s="235"/>
      <c r="C151" s="53" t="s">
        <v>40</v>
      </c>
    </row>
    <row r="152" spans="1:3" ht="15.75" thickBot="1" x14ac:dyDescent="0.3">
      <c r="A152" s="233" t="s">
        <v>59</v>
      </c>
      <c r="B152" s="233" t="s">
        <v>468</v>
      </c>
      <c r="C152" s="53" t="s">
        <v>469</v>
      </c>
    </row>
    <row r="153" spans="1:3" ht="15.75" thickBot="1" x14ac:dyDescent="0.3">
      <c r="A153" s="234"/>
      <c r="B153" s="234"/>
      <c r="C153" s="53" t="s">
        <v>470</v>
      </c>
    </row>
    <row r="154" spans="1:3" ht="15.75" thickBot="1" x14ac:dyDescent="0.3">
      <c r="A154" s="235"/>
      <c r="B154" s="235"/>
      <c r="C154" s="53" t="s">
        <v>471</v>
      </c>
    </row>
    <row r="155" spans="1:3" ht="15.75" thickBot="1" x14ac:dyDescent="0.3">
      <c r="A155" s="233" t="s">
        <v>61</v>
      </c>
      <c r="B155" s="233" t="s">
        <v>472</v>
      </c>
      <c r="C155" s="53" t="s">
        <v>473</v>
      </c>
    </row>
    <row r="156" spans="1:3" ht="15.75" thickBot="1" x14ac:dyDescent="0.3">
      <c r="A156" s="235"/>
      <c r="B156" s="235"/>
      <c r="C156" s="53" t="s">
        <v>474</v>
      </c>
    </row>
    <row r="157" spans="1:3" ht="30.75" thickBot="1" x14ac:dyDescent="0.3">
      <c r="A157" s="46" t="s">
        <v>58</v>
      </c>
      <c r="B157" s="53" t="s">
        <v>475</v>
      </c>
      <c r="C157" s="53" t="s">
        <v>58</v>
      </c>
    </row>
    <row r="158" spans="1:3" ht="15.75" thickBot="1" x14ac:dyDescent="0.3">
      <c r="A158" s="46" t="s">
        <v>12</v>
      </c>
      <c r="B158" s="53" t="s">
        <v>476</v>
      </c>
      <c r="C158" s="53" t="s">
        <v>12</v>
      </c>
    </row>
    <row r="159" spans="1:3" ht="15.75" x14ac:dyDescent="0.25">
      <c r="A159" s="76"/>
      <c r="B159"/>
      <c r="C159"/>
    </row>
    <row r="160" spans="1:3" ht="36.75" customHeight="1" x14ac:dyDescent="0.25">
      <c r="A160" s="239" t="s">
        <v>477</v>
      </c>
      <c r="B160" s="240"/>
      <c r="C160" s="240"/>
    </row>
    <row r="161" spans="1:3" ht="16.5" thickBot="1" x14ac:dyDescent="0.3">
      <c r="A161" s="76"/>
      <c r="B161"/>
      <c r="C161"/>
    </row>
    <row r="162" spans="1:3" ht="15.75" thickBot="1" x14ac:dyDescent="0.3">
      <c r="A162" s="73" t="s">
        <v>226</v>
      </c>
      <c r="B162" s="74" t="s">
        <v>315</v>
      </c>
      <c r="C162" s="74" t="s">
        <v>316</v>
      </c>
    </row>
    <row r="163" spans="1:3" ht="30.75" thickBot="1" x14ac:dyDescent="0.3">
      <c r="A163" s="46" t="s">
        <v>44</v>
      </c>
      <c r="B163" s="53" t="s">
        <v>478</v>
      </c>
      <c r="C163" s="53" t="s">
        <v>44</v>
      </c>
    </row>
    <row r="164" spans="1:3" ht="30.75" thickBot="1" x14ac:dyDescent="0.3">
      <c r="A164" s="46" t="s">
        <v>42</v>
      </c>
      <c r="B164" s="53" t="s">
        <v>479</v>
      </c>
      <c r="C164" s="53" t="s">
        <v>42</v>
      </c>
    </row>
    <row r="165" spans="1:3" ht="15.75" thickBot="1" x14ac:dyDescent="0.3">
      <c r="A165" s="46" t="s">
        <v>41</v>
      </c>
      <c r="B165" s="53" t="s">
        <v>480</v>
      </c>
      <c r="C165" s="53" t="s">
        <v>41</v>
      </c>
    </row>
    <row r="166" spans="1:3" ht="15.75" thickBot="1" x14ac:dyDescent="0.3">
      <c r="A166" s="46" t="s">
        <v>43</v>
      </c>
      <c r="B166" s="53" t="s">
        <v>481</v>
      </c>
      <c r="C166" s="53" t="s">
        <v>43</v>
      </c>
    </row>
    <row r="167" spans="1:3" ht="30.75" thickBot="1" x14ac:dyDescent="0.3">
      <c r="A167" s="46" t="s">
        <v>40</v>
      </c>
      <c r="B167" s="53" t="s">
        <v>482</v>
      </c>
      <c r="C167" s="53"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Michalec, Virginia</cp:lastModifiedBy>
  <cp:lastPrinted>2015-07-17T17:00:33Z</cp:lastPrinted>
  <dcterms:created xsi:type="dcterms:W3CDTF">2015-03-19T18:31:05Z</dcterms:created>
  <dcterms:modified xsi:type="dcterms:W3CDTF">2015-07-21T15:55:57Z</dcterms:modified>
</cp:coreProperties>
</file>