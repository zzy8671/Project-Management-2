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K:\03 RIDA\RIDA\2015\03.  SCUSA MRP Assessment\5 MRP Inventory Rpts\MRP Reports\"/>
    </mc:Choice>
  </mc:AlternateContent>
  <bookViews>
    <workbookView xWindow="0" yWindow="0" windowWidth="24000" windowHeight="11025" tabRatio="926" firstSheet="2" activeTab="3"/>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r:id="rId14"/>
    <sheet name="MR-10" sheetId="91" r:id="rId15"/>
    <sheet name="MR-11" sheetId="90" r:id="rId16"/>
    <sheet name="MR-21" sheetId="72" r:id="rId17"/>
    <sheet name="MR-22" sheetId="73" r:id="rId18"/>
    <sheet name="MR-23" sheetId="88" r:id="rId19"/>
    <sheet name="MR-24" sheetId="75" r:id="rId20"/>
    <sheet name="MR-25" sheetId="76" r:id="rId21"/>
    <sheet name="MR-26" sheetId="95" r:id="rId22"/>
    <sheet name="MR-27" sheetId="96" r:id="rId23"/>
    <sheet name="MR-28" sheetId="97" r:id="rId24"/>
    <sheet name="MR-29" sheetId="98" r:id="rId25"/>
    <sheet name="MR-30" sheetId="99" r:id="rId26"/>
    <sheet name="MR-31" sheetId="92" r:id="rId27"/>
    <sheet name="MR-32" sheetId="77" r:id="rId28"/>
    <sheet name="MR-33" sheetId="79" r:id="rId29"/>
    <sheet name="MR-34" sheetId="78" r:id="rId30"/>
    <sheet name="MR-35" sheetId="14" r:id="rId31"/>
    <sheet name="MR-36" sheetId="93" r:id="rId32"/>
    <sheet name="MR-37" sheetId="94" r:id="rId33"/>
    <sheet name="MR-38" sheetId="89" r:id="rId34"/>
    <sheet name="MR-39" sheetId="18" r:id="rId35"/>
    <sheet name="MR-40" sheetId="80" r:id="rId36"/>
    <sheet name="MR-41" sheetId="81" r:id="rId37"/>
    <sheet name="MR-42" sheetId="82" r:id="rId38"/>
    <sheet name="MR-43" sheetId="83" r:id="rId39"/>
    <sheet name="MR-44" sheetId="84" r:id="rId40"/>
    <sheet name="MR-45" sheetId="101" r:id="rId41"/>
    <sheet name="MR-46" sheetId="19" r:id="rId42"/>
    <sheet name="MR-47" sheetId="85" r:id="rId43"/>
    <sheet name="MR-48" sheetId="86" r:id="rId44"/>
    <sheet name="MR-49" sheetId="20" r:id="rId45"/>
    <sheet name="MR-50" sheetId="87" r:id="rId46"/>
    <sheet name="MR-51" sheetId="100" r:id="rId47"/>
    <sheet name="MR-52" sheetId="22" r:id="rId48"/>
    <sheet name="MR-53" sheetId="23" r:id="rId49"/>
    <sheet name="18" sheetId="25" state="hidden" r:id="rId50"/>
    <sheet name="19" sheetId="26" state="hidden" r:id="rId51"/>
    <sheet name="20" sheetId="27" state="hidden" r:id="rId52"/>
    <sheet name="21" sheetId="46" state="hidden" r:id="rId53"/>
    <sheet name="22" sheetId="47" state="hidden" r:id="rId54"/>
    <sheet name="23" sheetId="48" state="hidden" r:id="rId55"/>
    <sheet name="24" sheetId="49" state="hidden" r:id="rId56"/>
    <sheet name="25" sheetId="50" state="hidden" r:id="rId57"/>
    <sheet name="26" sheetId="51" state="hidden" r:id="rId58"/>
    <sheet name="27" sheetId="52" state="hidden" r:id="rId59"/>
    <sheet name="28" sheetId="53" state="hidden" r:id="rId60"/>
    <sheet name="29" sheetId="54" state="hidden" r:id="rId61"/>
    <sheet name="30" sheetId="55" state="hidden" r:id="rId62"/>
    <sheet name="31" sheetId="58" state="hidden" r:id="rId63"/>
    <sheet name="32" sheetId="59" state="hidden" r:id="rId64"/>
    <sheet name="33" sheetId="60" state="hidden" r:id="rId65"/>
    <sheet name="34" sheetId="61" state="hidden" r:id="rId66"/>
    <sheet name="35" sheetId="62" state="hidden" r:id="rId67"/>
    <sheet name="36" sheetId="63" state="hidden" r:id="rId68"/>
    <sheet name="37" sheetId="64" state="hidden" r:id="rId69"/>
    <sheet name="38" sheetId="65" state="hidden" r:id="rId70"/>
    <sheet name="39" sheetId="66" state="hidden" r:id="rId71"/>
    <sheet name="40" sheetId="67" state="hidden" r:id="rId72"/>
    <sheet name="Appendix - Risks" sheetId="56" r:id="rId73"/>
  </sheets>
  <externalReferences>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s>
  <definedNames>
    <definedName name="_xlnm._FilterDatabase" localSheetId="13" hidden="1">'Risk Inventory'!$A$2:$O$37</definedName>
    <definedName name="_xlnm._FilterDatabase" localSheetId="10" hidden="1">Sheet5!$A$16:$B$164</definedName>
    <definedName name="_Toc415665089" localSheetId="6">'Emerging and Loss Data'!$A$35</definedName>
    <definedName name="_Toc415665090" localSheetId="7">'Audit Findings'!$A$2</definedName>
    <definedName name="Assumptions" localSheetId="52">Sheet5!#REF!</definedName>
    <definedName name="Assumptions" localSheetId="53">Sheet5!#REF!</definedName>
    <definedName name="Assumptions" localSheetId="54">Sheet5!#REF!</definedName>
    <definedName name="Assumptions" localSheetId="55">Sheet5!#REF!</definedName>
    <definedName name="Assumptions" localSheetId="56">Sheet5!#REF!</definedName>
    <definedName name="Assumptions" localSheetId="57">Sheet5!#REF!</definedName>
    <definedName name="Assumptions" localSheetId="58">Sheet5!#REF!</definedName>
    <definedName name="Assumptions" localSheetId="59">Sheet5!#REF!</definedName>
    <definedName name="Assumptions" localSheetId="60">Sheet5!#REF!</definedName>
    <definedName name="Assumptions" localSheetId="61">Sheet5!#REF!</definedName>
    <definedName name="Assumptions" localSheetId="14">[1]Sheet5!#REF!</definedName>
    <definedName name="Assumptions" localSheetId="15">[1]Sheet5!#REF!</definedName>
    <definedName name="Assumptions" localSheetId="16">[2]Sheet5!#REF!</definedName>
    <definedName name="Assumptions" localSheetId="17">[3]Sheet5!#REF!</definedName>
    <definedName name="Assumptions" localSheetId="18">[1]Sheet5!#REF!</definedName>
    <definedName name="Assumptions" localSheetId="19">[4]Sheet5!#REF!</definedName>
    <definedName name="Assumptions" localSheetId="20">[5]Sheet5!#REF!</definedName>
    <definedName name="Assumptions" localSheetId="21">[6]Sheet5!#REF!</definedName>
    <definedName name="Assumptions" localSheetId="22">[7]Sheet5!#REF!</definedName>
    <definedName name="Assumptions" localSheetId="23">[8]Sheet5!#REF!</definedName>
    <definedName name="Assumptions" localSheetId="24">[9]Sheet5!#REF!</definedName>
    <definedName name="Assumptions" localSheetId="25">[10]Sheet5!#REF!</definedName>
    <definedName name="Assumptions" localSheetId="26">[11]Sheet5!#REF!</definedName>
    <definedName name="Assumptions" localSheetId="27">[12]Sheet5!#REF!</definedName>
    <definedName name="Assumptions" localSheetId="28">[13]Sheet5!#REF!</definedName>
    <definedName name="Assumptions" localSheetId="29">[14]Sheet5!#REF!</definedName>
    <definedName name="Assumptions" localSheetId="31">[15]Sheet5!#REF!</definedName>
    <definedName name="Assumptions" localSheetId="32">[16]Sheet5!#REF!</definedName>
    <definedName name="Assumptions" localSheetId="33">[1]Sheet5!#REF!</definedName>
    <definedName name="Assumptions" localSheetId="35">[17]Sheet5!#REF!</definedName>
    <definedName name="Assumptions" localSheetId="36">[18]Sheet5!#REF!</definedName>
    <definedName name="Assumptions" localSheetId="37">[18]Sheet5!#REF!</definedName>
    <definedName name="Assumptions" localSheetId="38">[19]Sheet5!#REF!</definedName>
    <definedName name="Assumptions" localSheetId="39">[17]Sheet5!#REF!</definedName>
    <definedName name="Assumptions" localSheetId="40">[17]Sheet5!#REF!</definedName>
    <definedName name="Assumptions" localSheetId="42">[20]Sheet5!#REF!</definedName>
    <definedName name="Assumptions" localSheetId="43">[19]Sheet5!#REF!</definedName>
    <definedName name="Assumptions" localSheetId="45">[17]Sheet5!#REF!</definedName>
    <definedName name="Assumptions" localSheetId="46">Sheet5!#REF!</definedName>
    <definedName name="Assumptions">Sheet5!#REF!</definedName>
    <definedName name="BasisRisk" localSheetId="52">Sheet5!#REF!</definedName>
    <definedName name="BasisRisk" localSheetId="53">Sheet5!#REF!</definedName>
    <definedName name="BasisRisk" localSheetId="54">Sheet5!#REF!</definedName>
    <definedName name="BasisRisk" localSheetId="55">Sheet5!#REF!</definedName>
    <definedName name="BasisRisk" localSheetId="56">Sheet5!#REF!</definedName>
    <definedName name="BasisRisk" localSheetId="57">Sheet5!#REF!</definedName>
    <definedName name="BasisRisk" localSheetId="58">Sheet5!#REF!</definedName>
    <definedName name="BasisRisk" localSheetId="59">Sheet5!#REF!</definedName>
    <definedName name="BasisRisk" localSheetId="60">Sheet5!#REF!</definedName>
    <definedName name="BasisRisk" localSheetId="61">Sheet5!#REF!</definedName>
    <definedName name="BasisRisk" localSheetId="14">[1]Sheet5!#REF!</definedName>
    <definedName name="BasisRisk" localSheetId="15">[1]Sheet5!#REF!</definedName>
    <definedName name="BasisRisk" localSheetId="16">[2]Sheet5!#REF!</definedName>
    <definedName name="BasisRisk" localSheetId="17">[3]Sheet5!#REF!</definedName>
    <definedName name="BasisRisk" localSheetId="18">[1]Sheet5!#REF!</definedName>
    <definedName name="BasisRisk" localSheetId="19">[4]Sheet5!#REF!</definedName>
    <definedName name="BasisRisk" localSheetId="20">[5]Sheet5!#REF!</definedName>
    <definedName name="BasisRisk" localSheetId="21">[6]Sheet5!#REF!</definedName>
    <definedName name="BasisRisk" localSheetId="22">[7]Sheet5!#REF!</definedName>
    <definedName name="BasisRisk" localSheetId="23">[8]Sheet5!#REF!</definedName>
    <definedName name="BasisRisk" localSheetId="24">[9]Sheet5!#REF!</definedName>
    <definedName name="BasisRisk" localSheetId="25">[10]Sheet5!#REF!</definedName>
    <definedName name="BasisRisk" localSheetId="26">[11]Sheet5!#REF!</definedName>
    <definedName name="BasisRisk" localSheetId="27">[12]Sheet5!#REF!</definedName>
    <definedName name="BasisRisk" localSheetId="28">[13]Sheet5!#REF!</definedName>
    <definedName name="BasisRisk" localSheetId="29">[14]Sheet5!#REF!</definedName>
    <definedName name="BasisRisk" localSheetId="31">[15]Sheet5!#REF!</definedName>
    <definedName name="BasisRisk" localSheetId="32">[16]Sheet5!#REF!</definedName>
    <definedName name="BasisRisk" localSheetId="33">[1]Sheet5!#REF!</definedName>
    <definedName name="BasisRisk" localSheetId="35">[17]Sheet5!#REF!</definedName>
    <definedName name="BasisRisk" localSheetId="36">[18]Sheet5!#REF!</definedName>
    <definedName name="BasisRisk" localSheetId="37">[18]Sheet5!#REF!</definedName>
    <definedName name="BasisRisk" localSheetId="38">[19]Sheet5!#REF!</definedName>
    <definedName name="BasisRisk" localSheetId="39">[17]Sheet5!#REF!</definedName>
    <definedName name="BasisRisk" localSheetId="40">[17]Sheet5!#REF!</definedName>
    <definedName name="BasisRisk" localSheetId="42">[20]Sheet5!#REF!</definedName>
    <definedName name="BasisRisk" localSheetId="43">[19]Sheet5!#REF!</definedName>
    <definedName name="BasisRisk" localSheetId="45">[17]Sheet5!#REF!</definedName>
    <definedName name="BasisRisk" localSheetId="46">Sheet5!#REF!</definedName>
    <definedName name="BasisRisk">Sheet5!#REF!</definedName>
    <definedName name="BEntity" localSheetId="14">[1]Dropdowns!$C$2:$C$6</definedName>
    <definedName name="BEntity" localSheetId="15">[1]Dropdowns!$C$2:$C$6</definedName>
    <definedName name="BEntity" localSheetId="16">[2]Dropdowns!$C$2:$C$6</definedName>
    <definedName name="BEntity" localSheetId="17">[3]Dropdowns!$C$2:$C$6</definedName>
    <definedName name="BEntity" localSheetId="18">[1]Dropdowns!$C$2:$C$6</definedName>
    <definedName name="BEntity" localSheetId="19">[4]Dropdowns!$C$2:$C$6</definedName>
    <definedName name="BEntity" localSheetId="20">[5]Dropdowns!$C$2:$C$6</definedName>
    <definedName name="BEntity" localSheetId="21">[6]Dropdowns!$C$2:$C$6</definedName>
    <definedName name="BEntity" localSheetId="22">[7]Dropdowns!$C$2:$C$6</definedName>
    <definedName name="BEntity" localSheetId="23">[8]Dropdowns!$C$2:$C$6</definedName>
    <definedName name="BEntity" localSheetId="24">[9]Dropdowns!$C$2:$C$6</definedName>
    <definedName name="BEntity" localSheetId="25">[10]Dropdowns!$C$2:$C$6</definedName>
    <definedName name="BEntity" localSheetId="26">[11]Dropdowns!$C$2:$C$6</definedName>
    <definedName name="BEntity" localSheetId="27">[12]Dropdowns!$C$2:$C$6</definedName>
    <definedName name="BEntity" localSheetId="28">[13]Dropdowns!$C$2:$C$6</definedName>
    <definedName name="BEntity" localSheetId="29">[14]Dropdowns!$C$2:$C$6</definedName>
    <definedName name="BEntity" localSheetId="31">[15]Dropdowns!$C$2:$C$6</definedName>
    <definedName name="BEntity" localSheetId="32">[16]Dropdowns!$C$2:$C$6</definedName>
    <definedName name="BEntity" localSheetId="33">[1]Dropdowns!$C$2:$C$6</definedName>
    <definedName name="BEntity" localSheetId="35">[17]Dropdowns!$C$2:$C$6</definedName>
    <definedName name="BEntity" localSheetId="36">[18]Dropdowns!$C$2:$C$6</definedName>
    <definedName name="BEntity" localSheetId="37">[18]Dropdowns!$C$2:$C$6</definedName>
    <definedName name="BEntity" localSheetId="38">[19]Dropdowns!$C$2:$C$6</definedName>
    <definedName name="BEntity" localSheetId="39">[17]Dropdowns!$C$2:$C$6</definedName>
    <definedName name="BEntity" localSheetId="40">[17]Dropdowns!$C$2:$C$6</definedName>
    <definedName name="BEntity" localSheetId="42">[20]Dropdowns!$C$2:$C$6</definedName>
    <definedName name="BEntity" localSheetId="43">[19]Dropdowns!$C$2:$C$6</definedName>
    <definedName name="BEntity" localSheetId="45">[17]Dropdowns!$C$2:$C$6</definedName>
    <definedName name="BEntity">Dropdowns!$C$2:$C$6</definedName>
    <definedName name="BrandImageCustomersExperience" localSheetId="52">Sheet5!#REF!</definedName>
    <definedName name="BrandImageCustomersExperience" localSheetId="53">Sheet5!#REF!</definedName>
    <definedName name="BrandImageCustomersExperience" localSheetId="54">Sheet5!#REF!</definedName>
    <definedName name="BrandImageCustomersExperience" localSheetId="55">Sheet5!#REF!</definedName>
    <definedName name="BrandImageCustomersExperience" localSheetId="56">Sheet5!#REF!</definedName>
    <definedName name="BrandImageCustomersExperience" localSheetId="57">Sheet5!#REF!</definedName>
    <definedName name="BrandImageCustomersExperience" localSheetId="58">Sheet5!#REF!</definedName>
    <definedName name="BrandImageCustomersExperience" localSheetId="59">Sheet5!#REF!</definedName>
    <definedName name="BrandImageCustomersExperience" localSheetId="60">Sheet5!#REF!</definedName>
    <definedName name="BrandImageCustomersExperience" localSheetId="61">Sheet5!#REF!</definedName>
    <definedName name="BrandImageCustomersExperience" localSheetId="14">[1]Sheet5!#REF!</definedName>
    <definedName name="BrandImageCustomersExperience" localSheetId="15">[1]Sheet5!#REF!</definedName>
    <definedName name="BrandImageCustomersExperience" localSheetId="16">[2]Sheet5!#REF!</definedName>
    <definedName name="BrandImageCustomersExperience" localSheetId="17">[3]Sheet5!#REF!</definedName>
    <definedName name="BrandImageCustomersExperience" localSheetId="18">[1]Sheet5!#REF!</definedName>
    <definedName name="BrandImageCustomersExperience" localSheetId="19">[4]Sheet5!#REF!</definedName>
    <definedName name="BrandImageCustomersExperience" localSheetId="20">[5]Sheet5!#REF!</definedName>
    <definedName name="BrandImageCustomersExperience" localSheetId="21">[6]Sheet5!#REF!</definedName>
    <definedName name="BrandImageCustomersExperience" localSheetId="22">[7]Sheet5!#REF!</definedName>
    <definedName name="BrandImageCustomersExperience" localSheetId="23">[8]Sheet5!#REF!</definedName>
    <definedName name="BrandImageCustomersExperience" localSheetId="24">[9]Sheet5!#REF!</definedName>
    <definedName name="BrandImageCustomersExperience" localSheetId="25">[10]Sheet5!#REF!</definedName>
    <definedName name="BrandImageCustomersExperience" localSheetId="26">[11]Sheet5!#REF!</definedName>
    <definedName name="BrandImageCustomersExperience" localSheetId="27">[12]Sheet5!#REF!</definedName>
    <definedName name="BrandImageCustomersExperience" localSheetId="28">[13]Sheet5!#REF!</definedName>
    <definedName name="BrandImageCustomersExperience" localSheetId="29">[14]Sheet5!#REF!</definedName>
    <definedName name="BrandImageCustomersExperience" localSheetId="31">[15]Sheet5!#REF!</definedName>
    <definedName name="BrandImageCustomersExperience" localSheetId="32">[16]Sheet5!#REF!</definedName>
    <definedName name="BrandImageCustomersExperience" localSheetId="33">[1]Sheet5!#REF!</definedName>
    <definedName name="BrandImageCustomersExperience" localSheetId="35">[17]Sheet5!#REF!</definedName>
    <definedName name="BrandImageCustomersExperience" localSheetId="36">[18]Sheet5!#REF!</definedName>
    <definedName name="BrandImageCustomersExperience" localSheetId="37">[18]Sheet5!#REF!</definedName>
    <definedName name="BrandImageCustomersExperience" localSheetId="38">[19]Sheet5!#REF!</definedName>
    <definedName name="BrandImageCustomersExperience" localSheetId="39">[17]Sheet5!#REF!</definedName>
    <definedName name="BrandImageCustomersExperience" localSheetId="40">[17]Sheet5!#REF!</definedName>
    <definedName name="BrandImageCustomersExperience" localSheetId="42">[20]Sheet5!#REF!</definedName>
    <definedName name="BrandImageCustomersExperience" localSheetId="43">[19]Sheet5!#REF!</definedName>
    <definedName name="BrandImageCustomersExperience" localSheetId="45">[17]Sheet5!#REF!</definedName>
    <definedName name="BrandImageCustomersExperience" localSheetId="46">Sheet5!#REF!</definedName>
    <definedName name="BrandImageCustomersExperience">Sheet5!#REF!</definedName>
    <definedName name="BSAAMLOFAC" localSheetId="52">Sheet5!#REF!</definedName>
    <definedName name="BSAAMLOFAC" localSheetId="53">Sheet5!#REF!</definedName>
    <definedName name="BSAAMLOFAC" localSheetId="54">Sheet5!#REF!</definedName>
    <definedName name="BSAAMLOFAC" localSheetId="55">Sheet5!#REF!</definedName>
    <definedName name="BSAAMLOFAC" localSheetId="56">Sheet5!#REF!</definedName>
    <definedName name="BSAAMLOFAC" localSheetId="57">Sheet5!#REF!</definedName>
    <definedName name="BSAAMLOFAC" localSheetId="58">Sheet5!#REF!</definedName>
    <definedName name="BSAAMLOFAC" localSheetId="59">Sheet5!#REF!</definedName>
    <definedName name="BSAAMLOFAC" localSheetId="60">Sheet5!#REF!</definedName>
    <definedName name="BSAAMLOFAC" localSheetId="61">Sheet5!#REF!</definedName>
    <definedName name="BSAAMLOFAC" localSheetId="14">[1]Sheet5!#REF!</definedName>
    <definedName name="BSAAMLOFAC" localSheetId="15">[1]Sheet5!#REF!</definedName>
    <definedName name="BSAAMLOFAC" localSheetId="16">[2]Sheet5!#REF!</definedName>
    <definedName name="BSAAMLOFAC" localSheetId="17">[3]Sheet5!#REF!</definedName>
    <definedName name="BSAAMLOFAC" localSheetId="18">[1]Sheet5!#REF!</definedName>
    <definedName name="BSAAMLOFAC" localSheetId="19">[4]Sheet5!#REF!</definedName>
    <definedName name="BSAAMLOFAC" localSheetId="20">[5]Sheet5!#REF!</definedName>
    <definedName name="BSAAMLOFAC" localSheetId="21">[6]Sheet5!#REF!</definedName>
    <definedName name="BSAAMLOFAC" localSheetId="22">[7]Sheet5!#REF!</definedName>
    <definedName name="BSAAMLOFAC" localSheetId="23">[8]Sheet5!#REF!</definedName>
    <definedName name="BSAAMLOFAC" localSheetId="24">[9]Sheet5!#REF!</definedName>
    <definedName name="BSAAMLOFAC" localSheetId="25">[10]Sheet5!#REF!</definedName>
    <definedName name="BSAAMLOFAC" localSheetId="26">[11]Sheet5!#REF!</definedName>
    <definedName name="BSAAMLOFAC" localSheetId="27">[12]Sheet5!#REF!</definedName>
    <definedName name="BSAAMLOFAC" localSheetId="28">[13]Sheet5!#REF!</definedName>
    <definedName name="BSAAMLOFAC" localSheetId="29">[14]Sheet5!#REF!</definedName>
    <definedName name="BSAAMLOFAC" localSheetId="31">[15]Sheet5!#REF!</definedName>
    <definedName name="BSAAMLOFAC" localSheetId="32">[16]Sheet5!#REF!</definedName>
    <definedName name="BSAAMLOFAC" localSheetId="33">[1]Sheet5!#REF!</definedName>
    <definedName name="BSAAMLOFAC" localSheetId="35">[17]Sheet5!#REF!</definedName>
    <definedName name="BSAAMLOFAC" localSheetId="36">[18]Sheet5!#REF!</definedName>
    <definedName name="BSAAMLOFAC" localSheetId="37">[18]Sheet5!#REF!</definedName>
    <definedName name="BSAAMLOFAC" localSheetId="38">[19]Sheet5!#REF!</definedName>
    <definedName name="BSAAMLOFAC" localSheetId="39">[17]Sheet5!#REF!</definedName>
    <definedName name="BSAAMLOFAC" localSheetId="40">[17]Sheet5!#REF!</definedName>
    <definedName name="BSAAMLOFAC" localSheetId="42">[20]Sheet5!#REF!</definedName>
    <definedName name="BSAAMLOFAC" localSheetId="43">[19]Sheet5!#REF!</definedName>
    <definedName name="BSAAMLOFAC" localSheetId="45">[17]Sheet5!#REF!</definedName>
    <definedName name="BSAAMLOFAC" localSheetId="46">Sheet5!#REF!</definedName>
    <definedName name="BSAAMLOFAC">Sheet5!#REF!</definedName>
    <definedName name="BusinessDisruptionandSystemFailures" localSheetId="52">Sheet5!#REF!</definedName>
    <definedName name="BusinessDisruptionandSystemFailures" localSheetId="53">Sheet5!#REF!</definedName>
    <definedName name="BusinessDisruptionandSystemFailures" localSheetId="54">Sheet5!#REF!</definedName>
    <definedName name="BusinessDisruptionandSystemFailures" localSheetId="55">Sheet5!#REF!</definedName>
    <definedName name="BusinessDisruptionandSystemFailures" localSheetId="56">Sheet5!#REF!</definedName>
    <definedName name="BusinessDisruptionandSystemFailures" localSheetId="57">Sheet5!#REF!</definedName>
    <definedName name="BusinessDisruptionandSystemFailures" localSheetId="58">Sheet5!#REF!</definedName>
    <definedName name="BusinessDisruptionandSystemFailures" localSheetId="59">Sheet5!#REF!</definedName>
    <definedName name="BusinessDisruptionandSystemFailures" localSheetId="60">Sheet5!#REF!</definedName>
    <definedName name="BusinessDisruptionandSystemFailures" localSheetId="61">Sheet5!#REF!</definedName>
    <definedName name="BusinessDisruptionandSystemFailures" localSheetId="14">[1]Sheet5!#REF!</definedName>
    <definedName name="BusinessDisruptionandSystemFailures" localSheetId="15">[1]Sheet5!#REF!</definedName>
    <definedName name="BusinessDisruptionandSystemFailures" localSheetId="16">[2]Sheet5!#REF!</definedName>
    <definedName name="BusinessDisruptionandSystemFailures" localSheetId="17">[3]Sheet5!#REF!</definedName>
    <definedName name="BusinessDisruptionandSystemFailures" localSheetId="18">[1]Sheet5!#REF!</definedName>
    <definedName name="BusinessDisruptionandSystemFailures" localSheetId="19">[4]Sheet5!#REF!</definedName>
    <definedName name="BusinessDisruptionandSystemFailures" localSheetId="20">[5]Sheet5!#REF!</definedName>
    <definedName name="BusinessDisruptionandSystemFailures" localSheetId="21">[6]Sheet5!#REF!</definedName>
    <definedName name="BusinessDisruptionandSystemFailures" localSheetId="22">[7]Sheet5!#REF!</definedName>
    <definedName name="BusinessDisruptionandSystemFailures" localSheetId="23">[8]Sheet5!#REF!</definedName>
    <definedName name="BusinessDisruptionandSystemFailures" localSheetId="24">[9]Sheet5!#REF!</definedName>
    <definedName name="BusinessDisruptionandSystemFailures" localSheetId="25">[10]Sheet5!#REF!</definedName>
    <definedName name="BusinessDisruptionandSystemFailures" localSheetId="26">[11]Sheet5!#REF!</definedName>
    <definedName name="BusinessDisruptionandSystemFailures" localSheetId="27">[12]Sheet5!#REF!</definedName>
    <definedName name="BusinessDisruptionandSystemFailures" localSheetId="28">[13]Sheet5!#REF!</definedName>
    <definedName name="BusinessDisruptionandSystemFailures" localSheetId="29">[14]Sheet5!#REF!</definedName>
    <definedName name="BusinessDisruptionandSystemFailures" localSheetId="31">[15]Sheet5!#REF!</definedName>
    <definedName name="BusinessDisruptionandSystemFailures" localSheetId="32">[16]Sheet5!#REF!</definedName>
    <definedName name="BusinessDisruptionandSystemFailures" localSheetId="33">[1]Sheet5!#REF!</definedName>
    <definedName name="BusinessDisruptionandSystemFailures" localSheetId="35">[17]Sheet5!#REF!</definedName>
    <definedName name="BusinessDisruptionandSystemFailures" localSheetId="36">[18]Sheet5!#REF!</definedName>
    <definedName name="BusinessDisruptionandSystemFailures" localSheetId="37">[18]Sheet5!#REF!</definedName>
    <definedName name="BusinessDisruptionandSystemFailures" localSheetId="38">[19]Sheet5!#REF!</definedName>
    <definedName name="BusinessDisruptionandSystemFailures" localSheetId="39">[17]Sheet5!#REF!</definedName>
    <definedName name="BusinessDisruptionandSystemFailures" localSheetId="40">[17]Sheet5!#REF!</definedName>
    <definedName name="BusinessDisruptionandSystemFailures" localSheetId="42">[20]Sheet5!#REF!</definedName>
    <definedName name="BusinessDisruptionandSystemFailures" localSheetId="43">[19]Sheet5!#REF!</definedName>
    <definedName name="BusinessDisruptionandSystemFailures" localSheetId="45">[17]Sheet5!#REF!</definedName>
    <definedName name="BusinessDisruptionandSystemFailures" localSheetId="46">Sheet5!#REF!</definedName>
    <definedName name="BusinessDisruptionandSystemFailures">Sheet5!#REF!</definedName>
    <definedName name="ClientsProductsandBusinessPractices" localSheetId="52">Sheet5!#REF!</definedName>
    <definedName name="ClientsProductsandBusinessPractices" localSheetId="53">Sheet5!#REF!</definedName>
    <definedName name="ClientsProductsandBusinessPractices" localSheetId="54">Sheet5!#REF!</definedName>
    <definedName name="ClientsProductsandBusinessPractices" localSheetId="55">Sheet5!#REF!</definedName>
    <definedName name="ClientsProductsandBusinessPractices" localSheetId="56">Sheet5!#REF!</definedName>
    <definedName name="ClientsProductsandBusinessPractices" localSheetId="57">Sheet5!#REF!</definedName>
    <definedName name="ClientsProductsandBusinessPractices" localSheetId="58">Sheet5!#REF!</definedName>
    <definedName name="ClientsProductsandBusinessPractices" localSheetId="59">Sheet5!#REF!</definedName>
    <definedName name="ClientsProductsandBusinessPractices" localSheetId="60">Sheet5!#REF!</definedName>
    <definedName name="ClientsProductsandBusinessPractices" localSheetId="61">Sheet5!#REF!</definedName>
    <definedName name="ClientsProductsandBusinessPractices" localSheetId="14">[1]Sheet5!#REF!</definedName>
    <definedName name="ClientsProductsandBusinessPractices" localSheetId="15">[1]Sheet5!#REF!</definedName>
    <definedName name="ClientsProductsandBusinessPractices" localSheetId="16">[2]Sheet5!#REF!</definedName>
    <definedName name="ClientsProductsandBusinessPractices" localSheetId="17">[3]Sheet5!#REF!</definedName>
    <definedName name="ClientsProductsandBusinessPractices" localSheetId="18">[1]Sheet5!#REF!</definedName>
    <definedName name="ClientsProductsandBusinessPractices" localSheetId="19">[4]Sheet5!#REF!</definedName>
    <definedName name="ClientsProductsandBusinessPractices" localSheetId="20">[5]Sheet5!#REF!</definedName>
    <definedName name="ClientsProductsandBusinessPractices" localSheetId="21">[6]Sheet5!#REF!</definedName>
    <definedName name="ClientsProductsandBusinessPractices" localSheetId="22">[7]Sheet5!#REF!</definedName>
    <definedName name="ClientsProductsandBusinessPractices" localSheetId="23">[8]Sheet5!#REF!</definedName>
    <definedName name="ClientsProductsandBusinessPractices" localSheetId="24">[9]Sheet5!#REF!</definedName>
    <definedName name="ClientsProductsandBusinessPractices" localSheetId="25">[10]Sheet5!#REF!</definedName>
    <definedName name="ClientsProductsandBusinessPractices" localSheetId="26">[11]Sheet5!#REF!</definedName>
    <definedName name="ClientsProductsandBusinessPractices" localSheetId="27">[12]Sheet5!#REF!</definedName>
    <definedName name="ClientsProductsandBusinessPractices" localSheetId="28">[13]Sheet5!#REF!</definedName>
    <definedName name="ClientsProductsandBusinessPractices" localSheetId="29">[14]Sheet5!#REF!</definedName>
    <definedName name="ClientsProductsandBusinessPractices" localSheetId="31">[15]Sheet5!#REF!</definedName>
    <definedName name="ClientsProductsandBusinessPractices" localSheetId="32">[16]Sheet5!#REF!</definedName>
    <definedName name="ClientsProductsandBusinessPractices" localSheetId="33">[1]Sheet5!#REF!</definedName>
    <definedName name="ClientsProductsandBusinessPractices" localSheetId="35">[17]Sheet5!#REF!</definedName>
    <definedName name="ClientsProductsandBusinessPractices" localSheetId="36">[18]Sheet5!#REF!</definedName>
    <definedName name="ClientsProductsandBusinessPractices" localSheetId="37">[18]Sheet5!#REF!</definedName>
    <definedName name="ClientsProductsandBusinessPractices" localSheetId="38">[19]Sheet5!#REF!</definedName>
    <definedName name="ClientsProductsandBusinessPractices" localSheetId="39">[17]Sheet5!#REF!</definedName>
    <definedName name="ClientsProductsandBusinessPractices" localSheetId="40">[17]Sheet5!#REF!</definedName>
    <definedName name="ClientsProductsandBusinessPractices" localSheetId="42">[20]Sheet5!#REF!</definedName>
    <definedName name="ClientsProductsandBusinessPractices" localSheetId="43">[19]Sheet5!#REF!</definedName>
    <definedName name="ClientsProductsandBusinessPractices" localSheetId="45">[17]Sheet5!#REF!</definedName>
    <definedName name="ClientsProductsandBusinessPractices" localSheetId="46">Sheet5!#REF!</definedName>
    <definedName name="ClientsProductsandBusinessPractices">Sheet5!#REF!</definedName>
    <definedName name="Collateral" localSheetId="52">Sheet5!#REF!</definedName>
    <definedName name="Collateral" localSheetId="53">Sheet5!#REF!</definedName>
    <definedName name="Collateral" localSheetId="54">Sheet5!#REF!</definedName>
    <definedName name="Collateral" localSheetId="55">Sheet5!#REF!</definedName>
    <definedName name="Collateral" localSheetId="56">Sheet5!#REF!</definedName>
    <definedName name="Collateral" localSheetId="57">Sheet5!#REF!</definedName>
    <definedName name="Collateral" localSheetId="58">Sheet5!#REF!</definedName>
    <definedName name="Collateral" localSheetId="59">Sheet5!#REF!</definedName>
    <definedName name="Collateral" localSheetId="60">Sheet5!#REF!</definedName>
    <definedName name="Collateral" localSheetId="61">Sheet5!#REF!</definedName>
    <definedName name="Collateral" localSheetId="14">[1]Sheet5!#REF!</definedName>
    <definedName name="Collateral" localSheetId="15">[1]Sheet5!#REF!</definedName>
    <definedName name="Collateral" localSheetId="16">[2]Sheet5!#REF!</definedName>
    <definedName name="Collateral" localSheetId="17">[3]Sheet5!#REF!</definedName>
    <definedName name="Collateral" localSheetId="18">[1]Sheet5!#REF!</definedName>
    <definedName name="Collateral" localSheetId="19">[4]Sheet5!#REF!</definedName>
    <definedName name="Collateral" localSheetId="20">[5]Sheet5!#REF!</definedName>
    <definedName name="Collateral" localSheetId="21">[6]Sheet5!#REF!</definedName>
    <definedName name="Collateral" localSheetId="22">[7]Sheet5!#REF!</definedName>
    <definedName name="Collateral" localSheetId="23">[8]Sheet5!#REF!</definedName>
    <definedName name="Collateral" localSheetId="24">[9]Sheet5!#REF!</definedName>
    <definedName name="Collateral" localSheetId="25">[10]Sheet5!#REF!</definedName>
    <definedName name="Collateral" localSheetId="26">[11]Sheet5!#REF!</definedName>
    <definedName name="Collateral" localSheetId="27">[12]Sheet5!#REF!</definedName>
    <definedName name="Collateral" localSheetId="28">[13]Sheet5!#REF!</definedName>
    <definedName name="Collateral" localSheetId="29">[14]Sheet5!#REF!</definedName>
    <definedName name="Collateral" localSheetId="31">[15]Sheet5!#REF!</definedName>
    <definedName name="Collateral" localSheetId="32">[16]Sheet5!#REF!</definedName>
    <definedName name="Collateral" localSheetId="33">[1]Sheet5!#REF!</definedName>
    <definedName name="Collateral" localSheetId="35">[17]Sheet5!#REF!</definedName>
    <definedName name="Collateral" localSheetId="36">[18]Sheet5!#REF!</definedName>
    <definedName name="Collateral" localSheetId="37">[18]Sheet5!#REF!</definedName>
    <definedName name="Collateral" localSheetId="38">[19]Sheet5!#REF!</definedName>
    <definedName name="Collateral" localSheetId="39">[17]Sheet5!#REF!</definedName>
    <definedName name="Collateral" localSheetId="40">[17]Sheet5!#REF!</definedName>
    <definedName name="Collateral" localSheetId="42">[20]Sheet5!#REF!</definedName>
    <definedName name="Collateral" localSheetId="43">[19]Sheet5!#REF!</definedName>
    <definedName name="Collateral" localSheetId="45">[17]Sheet5!#REF!</definedName>
    <definedName name="Collateral" localSheetId="46">Sheet5!#REF!</definedName>
    <definedName name="Collateral">Sheet5!#REF!</definedName>
    <definedName name="Complaints" localSheetId="52">Sheet5!#REF!</definedName>
    <definedName name="Complaints" localSheetId="53">Sheet5!#REF!</definedName>
    <definedName name="Complaints" localSheetId="54">Sheet5!#REF!</definedName>
    <definedName name="Complaints" localSheetId="55">Sheet5!#REF!</definedName>
    <definedName name="Complaints" localSheetId="56">Sheet5!#REF!</definedName>
    <definedName name="Complaints" localSheetId="57">Sheet5!#REF!</definedName>
    <definedName name="Complaints" localSheetId="58">Sheet5!#REF!</definedName>
    <definedName name="Complaints" localSheetId="59">Sheet5!#REF!</definedName>
    <definedName name="Complaints" localSheetId="60">Sheet5!#REF!</definedName>
    <definedName name="Complaints" localSheetId="61">Sheet5!#REF!</definedName>
    <definedName name="Complaints" localSheetId="14">[1]Sheet5!#REF!</definedName>
    <definedName name="Complaints" localSheetId="15">[1]Sheet5!#REF!</definedName>
    <definedName name="Complaints" localSheetId="16">[2]Sheet5!#REF!</definedName>
    <definedName name="Complaints" localSheetId="17">[3]Sheet5!#REF!</definedName>
    <definedName name="Complaints" localSheetId="18">[1]Sheet5!#REF!</definedName>
    <definedName name="Complaints" localSheetId="19">[4]Sheet5!#REF!</definedName>
    <definedName name="Complaints" localSheetId="20">[5]Sheet5!#REF!</definedName>
    <definedName name="Complaints" localSheetId="21">[6]Sheet5!#REF!</definedName>
    <definedName name="Complaints" localSheetId="22">[7]Sheet5!#REF!</definedName>
    <definedName name="Complaints" localSheetId="23">[8]Sheet5!#REF!</definedName>
    <definedName name="Complaints" localSheetId="24">[9]Sheet5!#REF!</definedName>
    <definedName name="Complaints" localSheetId="25">[10]Sheet5!#REF!</definedName>
    <definedName name="Complaints" localSheetId="26">[11]Sheet5!#REF!</definedName>
    <definedName name="Complaints" localSheetId="27">[12]Sheet5!#REF!</definedName>
    <definedName name="Complaints" localSheetId="28">[13]Sheet5!#REF!</definedName>
    <definedName name="Complaints" localSheetId="29">[14]Sheet5!#REF!</definedName>
    <definedName name="Complaints" localSheetId="31">[15]Sheet5!#REF!</definedName>
    <definedName name="Complaints" localSheetId="32">[16]Sheet5!#REF!</definedName>
    <definedName name="Complaints" localSheetId="33">[1]Sheet5!#REF!</definedName>
    <definedName name="Complaints" localSheetId="35">[17]Sheet5!#REF!</definedName>
    <definedName name="Complaints" localSheetId="36">[18]Sheet5!#REF!</definedName>
    <definedName name="Complaints" localSheetId="37">[18]Sheet5!#REF!</definedName>
    <definedName name="Complaints" localSheetId="38">[19]Sheet5!#REF!</definedName>
    <definedName name="Complaints" localSheetId="39">[17]Sheet5!#REF!</definedName>
    <definedName name="Complaints" localSheetId="40">[17]Sheet5!#REF!</definedName>
    <definedName name="Complaints" localSheetId="42">[20]Sheet5!#REF!</definedName>
    <definedName name="Complaints" localSheetId="43">[19]Sheet5!#REF!</definedName>
    <definedName name="Complaints" localSheetId="45">[17]Sheet5!#REF!</definedName>
    <definedName name="Complaints" localSheetId="46">Sheet5!#REF!</definedName>
    <definedName name="Complaints">Sheet5!#REF!</definedName>
    <definedName name="Compliance">Sheet5!$B$1:$B$34</definedName>
    <definedName name="Concentration" localSheetId="52">Sheet5!#REF!</definedName>
    <definedName name="Concentration" localSheetId="53">Sheet5!#REF!</definedName>
    <definedName name="Concentration" localSheetId="54">Sheet5!#REF!</definedName>
    <definedName name="Concentration" localSheetId="55">Sheet5!#REF!</definedName>
    <definedName name="Concentration" localSheetId="56">Sheet5!#REF!</definedName>
    <definedName name="Concentration" localSheetId="57">Sheet5!#REF!</definedName>
    <definedName name="Concentration" localSheetId="58">Sheet5!#REF!</definedName>
    <definedName name="Concentration" localSheetId="59">Sheet5!#REF!</definedName>
    <definedName name="Concentration" localSheetId="60">Sheet5!#REF!</definedName>
    <definedName name="Concentration" localSheetId="61">Sheet5!#REF!</definedName>
    <definedName name="Concentration" localSheetId="14">[1]Sheet5!#REF!</definedName>
    <definedName name="Concentration" localSheetId="15">[1]Sheet5!#REF!</definedName>
    <definedName name="Concentration" localSheetId="16">[2]Sheet5!#REF!</definedName>
    <definedName name="Concentration" localSheetId="17">[3]Sheet5!#REF!</definedName>
    <definedName name="Concentration" localSheetId="18">[1]Sheet5!#REF!</definedName>
    <definedName name="Concentration" localSheetId="19">[4]Sheet5!#REF!</definedName>
    <definedName name="Concentration" localSheetId="20">[5]Sheet5!#REF!</definedName>
    <definedName name="Concentration" localSheetId="21">[6]Sheet5!#REF!</definedName>
    <definedName name="Concentration" localSheetId="22">[7]Sheet5!#REF!</definedName>
    <definedName name="Concentration" localSheetId="23">[8]Sheet5!#REF!</definedName>
    <definedName name="Concentration" localSheetId="24">[9]Sheet5!#REF!</definedName>
    <definedName name="Concentration" localSheetId="25">[10]Sheet5!#REF!</definedName>
    <definedName name="Concentration" localSheetId="26">[11]Sheet5!#REF!</definedName>
    <definedName name="Concentration" localSheetId="27">[12]Sheet5!#REF!</definedName>
    <definedName name="Concentration" localSheetId="28">[13]Sheet5!#REF!</definedName>
    <definedName name="Concentration" localSheetId="29">[14]Sheet5!#REF!</definedName>
    <definedName name="Concentration" localSheetId="31">[15]Sheet5!#REF!</definedName>
    <definedName name="Concentration" localSheetId="32">[16]Sheet5!#REF!</definedName>
    <definedName name="Concentration" localSheetId="33">[1]Sheet5!#REF!</definedName>
    <definedName name="Concentration" localSheetId="35">[17]Sheet5!#REF!</definedName>
    <definedName name="Concentration" localSheetId="36">[18]Sheet5!#REF!</definedName>
    <definedName name="Concentration" localSheetId="37">[18]Sheet5!#REF!</definedName>
    <definedName name="Concentration" localSheetId="38">[19]Sheet5!#REF!</definedName>
    <definedName name="Concentration" localSheetId="39">[17]Sheet5!#REF!</definedName>
    <definedName name="Concentration" localSheetId="40">[17]Sheet5!#REF!</definedName>
    <definedName name="Concentration" localSheetId="42">[20]Sheet5!#REF!</definedName>
    <definedName name="Concentration" localSheetId="43">[19]Sheet5!#REF!</definedName>
    <definedName name="Concentration" localSheetId="45">[17]Sheet5!#REF!</definedName>
    <definedName name="Concentration" localSheetId="46">Sheet5!#REF!</definedName>
    <definedName name="Concentration">Sheet5!#REF!</definedName>
    <definedName name="ContingentLiquidity" localSheetId="52">Sheet5!#REF!</definedName>
    <definedName name="ContingentLiquidity" localSheetId="53">Sheet5!#REF!</definedName>
    <definedName name="ContingentLiquidity" localSheetId="54">Sheet5!#REF!</definedName>
    <definedName name="ContingentLiquidity" localSheetId="55">Sheet5!#REF!</definedName>
    <definedName name="ContingentLiquidity" localSheetId="56">Sheet5!#REF!</definedName>
    <definedName name="ContingentLiquidity" localSheetId="57">Sheet5!#REF!</definedName>
    <definedName name="ContingentLiquidity" localSheetId="58">Sheet5!#REF!</definedName>
    <definedName name="ContingentLiquidity" localSheetId="59">Sheet5!#REF!</definedName>
    <definedName name="ContingentLiquidity" localSheetId="60">Sheet5!#REF!</definedName>
    <definedName name="ContingentLiquidity" localSheetId="61">Sheet5!#REF!</definedName>
    <definedName name="ContingentLiquidity" localSheetId="14">[1]Sheet5!#REF!</definedName>
    <definedName name="ContingentLiquidity" localSheetId="15">[1]Sheet5!#REF!</definedName>
    <definedName name="ContingentLiquidity" localSheetId="16">[2]Sheet5!#REF!</definedName>
    <definedName name="ContingentLiquidity" localSheetId="17">[3]Sheet5!#REF!</definedName>
    <definedName name="ContingentLiquidity" localSheetId="18">[1]Sheet5!#REF!</definedName>
    <definedName name="ContingentLiquidity" localSheetId="19">[4]Sheet5!#REF!</definedName>
    <definedName name="ContingentLiquidity" localSheetId="20">[5]Sheet5!#REF!</definedName>
    <definedName name="ContingentLiquidity" localSheetId="21">[6]Sheet5!#REF!</definedName>
    <definedName name="ContingentLiquidity" localSheetId="22">[7]Sheet5!#REF!</definedName>
    <definedName name="ContingentLiquidity" localSheetId="23">[8]Sheet5!#REF!</definedName>
    <definedName name="ContingentLiquidity" localSheetId="24">[9]Sheet5!#REF!</definedName>
    <definedName name="ContingentLiquidity" localSheetId="25">[10]Sheet5!#REF!</definedName>
    <definedName name="ContingentLiquidity" localSheetId="26">[11]Sheet5!#REF!</definedName>
    <definedName name="ContingentLiquidity" localSheetId="27">[12]Sheet5!#REF!</definedName>
    <definedName name="ContingentLiquidity" localSheetId="28">[13]Sheet5!#REF!</definedName>
    <definedName name="ContingentLiquidity" localSheetId="29">[14]Sheet5!#REF!</definedName>
    <definedName name="ContingentLiquidity" localSheetId="31">[15]Sheet5!#REF!</definedName>
    <definedName name="ContingentLiquidity" localSheetId="32">[16]Sheet5!#REF!</definedName>
    <definedName name="ContingentLiquidity" localSheetId="33">[1]Sheet5!#REF!</definedName>
    <definedName name="ContingentLiquidity" localSheetId="35">[17]Sheet5!#REF!</definedName>
    <definedName name="ContingentLiquidity" localSheetId="36">[18]Sheet5!#REF!</definedName>
    <definedName name="ContingentLiquidity" localSheetId="37">[18]Sheet5!#REF!</definedName>
    <definedName name="ContingentLiquidity" localSheetId="38">[19]Sheet5!#REF!</definedName>
    <definedName name="ContingentLiquidity" localSheetId="39">[17]Sheet5!#REF!</definedName>
    <definedName name="ContingentLiquidity" localSheetId="40">[17]Sheet5!#REF!</definedName>
    <definedName name="ContingentLiquidity" localSheetId="42">[20]Sheet5!#REF!</definedName>
    <definedName name="ContingentLiquidity" localSheetId="43">[19]Sheet5!#REF!</definedName>
    <definedName name="ContingentLiquidity" localSheetId="45">[17]Sheet5!#REF!</definedName>
    <definedName name="ContingentLiquidity" localSheetId="46">Sheet5!#REF!</definedName>
    <definedName name="ContingentLiquidity">Sheet5!#REF!</definedName>
    <definedName name="Control1">[21]Sheet2!$Q$3:$Q$10</definedName>
    <definedName name="ControlSuite">Dropdowns!$D$2:$D$6</definedName>
    <definedName name="ControlSystems" localSheetId="52">Sheet5!#REF!</definedName>
    <definedName name="ControlSystems" localSheetId="53">Sheet5!#REF!</definedName>
    <definedName name="ControlSystems" localSheetId="54">Sheet5!#REF!</definedName>
    <definedName name="ControlSystems" localSheetId="55">Sheet5!#REF!</definedName>
    <definedName name="ControlSystems" localSheetId="56">Sheet5!#REF!</definedName>
    <definedName name="ControlSystems" localSheetId="57">Sheet5!#REF!</definedName>
    <definedName name="ControlSystems" localSheetId="58">Sheet5!#REF!</definedName>
    <definedName name="ControlSystems" localSheetId="59">Sheet5!#REF!</definedName>
    <definedName name="ControlSystems" localSheetId="60">Sheet5!#REF!</definedName>
    <definedName name="ControlSystems" localSheetId="61">Sheet5!#REF!</definedName>
    <definedName name="ControlSystems" localSheetId="14">[1]Sheet5!#REF!</definedName>
    <definedName name="ControlSystems" localSheetId="15">[1]Sheet5!#REF!</definedName>
    <definedName name="ControlSystems" localSheetId="16">[2]Sheet5!#REF!</definedName>
    <definedName name="ControlSystems" localSheetId="17">[3]Sheet5!#REF!</definedName>
    <definedName name="ControlSystems" localSheetId="18">[1]Sheet5!#REF!</definedName>
    <definedName name="ControlSystems" localSheetId="19">[4]Sheet5!#REF!</definedName>
    <definedName name="ControlSystems" localSheetId="20">[5]Sheet5!#REF!</definedName>
    <definedName name="ControlSystems" localSheetId="21">[6]Sheet5!#REF!</definedName>
    <definedName name="ControlSystems" localSheetId="22">[7]Sheet5!#REF!</definedName>
    <definedName name="ControlSystems" localSheetId="23">[8]Sheet5!#REF!</definedName>
    <definedName name="ControlSystems" localSheetId="24">[9]Sheet5!#REF!</definedName>
    <definedName name="ControlSystems" localSheetId="25">[10]Sheet5!#REF!</definedName>
    <definedName name="ControlSystems" localSheetId="26">[11]Sheet5!#REF!</definedName>
    <definedName name="ControlSystems" localSheetId="27">[12]Sheet5!#REF!</definedName>
    <definedName name="ControlSystems" localSheetId="28">[13]Sheet5!#REF!</definedName>
    <definedName name="ControlSystems" localSheetId="29">[14]Sheet5!#REF!</definedName>
    <definedName name="ControlSystems" localSheetId="31">[15]Sheet5!#REF!</definedName>
    <definedName name="ControlSystems" localSheetId="32">[16]Sheet5!#REF!</definedName>
    <definedName name="ControlSystems" localSheetId="33">[1]Sheet5!#REF!</definedName>
    <definedName name="ControlSystems" localSheetId="35">[17]Sheet5!#REF!</definedName>
    <definedName name="ControlSystems" localSheetId="36">[18]Sheet5!#REF!</definedName>
    <definedName name="ControlSystems" localSheetId="37">[18]Sheet5!#REF!</definedName>
    <definedName name="ControlSystems" localSheetId="38">[19]Sheet5!#REF!</definedName>
    <definedName name="ControlSystems" localSheetId="39">[17]Sheet5!#REF!</definedName>
    <definedName name="ControlSystems" localSheetId="40">[17]Sheet5!#REF!</definedName>
    <definedName name="ControlSystems" localSheetId="42">[20]Sheet5!#REF!</definedName>
    <definedName name="ControlSystems" localSheetId="43">[19]Sheet5!#REF!</definedName>
    <definedName name="ControlSystems" localSheetId="45">[17]Sheet5!#REF!</definedName>
    <definedName name="ControlSystems" localSheetId="46">Sheet5!#REF!</definedName>
    <definedName name="ControlSystems">Sheet5!#REF!</definedName>
    <definedName name="CoreBankingandFairLending" localSheetId="52">Sheet5!#REF!</definedName>
    <definedName name="CoreBankingandFairLending" localSheetId="53">Sheet5!#REF!</definedName>
    <definedName name="CoreBankingandFairLending" localSheetId="54">Sheet5!#REF!</definedName>
    <definedName name="CoreBankingandFairLending" localSheetId="55">Sheet5!#REF!</definedName>
    <definedName name="CoreBankingandFairLending" localSheetId="56">Sheet5!#REF!</definedName>
    <definedName name="CoreBankingandFairLending" localSheetId="57">Sheet5!#REF!</definedName>
    <definedName name="CoreBankingandFairLending" localSheetId="58">Sheet5!#REF!</definedName>
    <definedName name="CoreBankingandFairLending" localSheetId="59">Sheet5!#REF!</definedName>
    <definedName name="CoreBankingandFairLending" localSheetId="60">Sheet5!#REF!</definedName>
    <definedName name="CoreBankingandFairLending" localSheetId="61">Sheet5!#REF!</definedName>
    <definedName name="CoreBankingandFairLending" localSheetId="14">[1]Sheet5!#REF!</definedName>
    <definedName name="CoreBankingandFairLending" localSheetId="15">[1]Sheet5!#REF!</definedName>
    <definedName name="CoreBankingandFairLending" localSheetId="16">[2]Sheet5!#REF!</definedName>
    <definedName name="CoreBankingandFairLending" localSheetId="17">[3]Sheet5!#REF!</definedName>
    <definedName name="CoreBankingandFairLending" localSheetId="18">[1]Sheet5!#REF!</definedName>
    <definedName name="CoreBankingandFairLending" localSheetId="19">[4]Sheet5!#REF!</definedName>
    <definedName name="CoreBankingandFairLending" localSheetId="20">[5]Sheet5!#REF!</definedName>
    <definedName name="CoreBankingandFairLending" localSheetId="21">[6]Sheet5!#REF!</definedName>
    <definedName name="CoreBankingandFairLending" localSheetId="22">[7]Sheet5!#REF!</definedName>
    <definedName name="CoreBankingandFairLending" localSheetId="23">[8]Sheet5!#REF!</definedName>
    <definedName name="CoreBankingandFairLending" localSheetId="24">[9]Sheet5!#REF!</definedName>
    <definedName name="CoreBankingandFairLending" localSheetId="25">[10]Sheet5!#REF!</definedName>
    <definedName name="CoreBankingandFairLending" localSheetId="26">[11]Sheet5!#REF!</definedName>
    <definedName name="CoreBankingandFairLending" localSheetId="27">[12]Sheet5!#REF!</definedName>
    <definedName name="CoreBankingandFairLending" localSheetId="28">[13]Sheet5!#REF!</definedName>
    <definedName name="CoreBankingandFairLending" localSheetId="29">[14]Sheet5!#REF!</definedName>
    <definedName name="CoreBankingandFairLending" localSheetId="31">[15]Sheet5!#REF!</definedName>
    <definedName name="CoreBankingandFairLending" localSheetId="32">[16]Sheet5!#REF!</definedName>
    <definedName name="CoreBankingandFairLending" localSheetId="33">[1]Sheet5!#REF!</definedName>
    <definedName name="CoreBankingandFairLending" localSheetId="35">[17]Sheet5!#REF!</definedName>
    <definedName name="CoreBankingandFairLending" localSheetId="36">[18]Sheet5!#REF!</definedName>
    <definedName name="CoreBankingandFairLending" localSheetId="37">[18]Sheet5!#REF!</definedName>
    <definedName name="CoreBankingandFairLending" localSheetId="38">[19]Sheet5!#REF!</definedName>
    <definedName name="CoreBankingandFairLending" localSheetId="39">[17]Sheet5!#REF!</definedName>
    <definedName name="CoreBankingandFairLending" localSheetId="40">[17]Sheet5!#REF!</definedName>
    <definedName name="CoreBankingandFairLending" localSheetId="42">[20]Sheet5!#REF!</definedName>
    <definedName name="CoreBankingandFairLending" localSheetId="43">[19]Sheet5!#REF!</definedName>
    <definedName name="CoreBankingandFairLending" localSheetId="45">[17]Sheet5!#REF!</definedName>
    <definedName name="CoreBankingandFairLending" localSheetId="46">Sheet5!#REF!</definedName>
    <definedName name="CoreBankingandFairLending">Sheet5!#REF!</definedName>
    <definedName name="Counterparty" localSheetId="52">Sheet5!#REF!</definedName>
    <definedName name="Counterparty" localSheetId="53">Sheet5!#REF!</definedName>
    <definedName name="Counterparty" localSheetId="54">Sheet5!#REF!</definedName>
    <definedName name="Counterparty" localSheetId="55">Sheet5!#REF!</definedName>
    <definedName name="Counterparty" localSheetId="56">Sheet5!#REF!</definedName>
    <definedName name="Counterparty" localSheetId="57">Sheet5!#REF!</definedName>
    <definedName name="Counterparty" localSheetId="58">Sheet5!#REF!</definedName>
    <definedName name="Counterparty" localSheetId="59">Sheet5!#REF!</definedName>
    <definedName name="Counterparty" localSheetId="60">Sheet5!#REF!</definedName>
    <definedName name="Counterparty" localSheetId="61">Sheet5!#REF!</definedName>
    <definedName name="Counterparty" localSheetId="14">[1]Sheet5!#REF!</definedName>
    <definedName name="Counterparty" localSheetId="15">[1]Sheet5!#REF!</definedName>
    <definedName name="Counterparty" localSheetId="16">[2]Sheet5!#REF!</definedName>
    <definedName name="Counterparty" localSheetId="17">[3]Sheet5!#REF!</definedName>
    <definedName name="Counterparty" localSheetId="18">[1]Sheet5!#REF!</definedName>
    <definedName name="Counterparty" localSheetId="19">[4]Sheet5!#REF!</definedName>
    <definedName name="Counterparty" localSheetId="20">[5]Sheet5!#REF!</definedName>
    <definedName name="Counterparty" localSheetId="21">[6]Sheet5!#REF!</definedName>
    <definedName name="Counterparty" localSheetId="22">[7]Sheet5!#REF!</definedName>
    <definedName name="Counterparty" localSheetId="23">[8]Sheet5!#REF!</definedName>
    <definedName name="Counterparty" localSheetId="24">[9]Sheet5!#REF!</definedName>
    <definedName name="Counterparty" localSheetId="25">[10]Sheet5!#REF!</definedName>
    <definedName name="Counterparty" localSheetId="26">[11]Sheet5!#REF!</definedName>
    <definedName name="Counterparty" localSheetId="27">[12]Sheet5!#REF!</definedName>
    <definedName name="Counterparty" localSheetId="28">[13]Sheet5!#REF!</definedName>
    <definedName name="Counterparty" localSheetId="29">[14]Sheet5!#REF!</definedName>
    <definedName name="Counterparty" localSheetId="31">[15]Sheet5!#REF!</definedName>
    <definedName name="Counterparty" localSheetId="32">[16]Sheet5!#REF!</definedName>
    <definedName name="Counterparty" localSheetId="33">[1]Sheet5!#REF!</definedName>
    <definedName name="Counterparty" localSheetId="35">[17]Sheet5!#REF!</definedName>
    <definedName name="Counterparty" localSheetId="36">[18]Sheet5!#REF!</definedName>
    <definedName name="Counterparty" localSheetId="37">[18]Sheet5!#REF!</definedName>
    <definedName name="Counterparty" localSheetId="38">[19]Sheet5!#REF!</definedName>
    <definedName name="Counterparty" localSheetId="39">[17]Sheet5!#REF!</definedName>
    <definedName name="Counterparty" localSheetId="40">[17]Sheet5!#REF!</definedName>
    <definedName name="Counterparty" localSheetId="42">[20]Sheet5!#REF!</definedName>
    <definedName name="Counterparty" localSheetId="43">[19]Sheet5!#REF!</definedName>
    <definedName name="Counterparty" localSheetId="45">[17]Sheet5!#REF!</definedName>
    <definedName name="Counterparty" localSheetId="46">Sheet5!#REF!</definedName>
    <definedName name="Counterparty">Sheet5!#REF!</definedName>
    <definedName name="Country" localSheetId="52">Sheet5!#REF!</definedName>
    <definedName name="Country" localSheetId="53">Sheet5!#REF!</definedName>
    <definedName name="Country" localSheetId="54">Sheet5!#REF!</definedName>
    <definedName name="Country" localSheetId="55">Sheet5!#REF!</definedName>
    <definedName name="Country" localSheetId="56">Sheet5!#REF!</definedName>
    <definedName name="Country" localSheetId="57">Sheet5!#REF!</definedName>
    <definedName name="Country" localSheetId="58">Sheet5!#REF!</definedName>
    <definedName name="Country" localSheetId="59">Sheet5!#REF!</definedName>
    <definedName name="Country" localSheetId="60">Sheet5!#REF!</definedName>
    <definedName name="Country" localSheetId="61">Sheet5!#REF!</definedName>
    <definedName name="Country" localSheetId="14">[1]Sheet5!#REF!</definedName>
    <definedName name="Country" localSheetId="15">[1]Sheet5!#REF!</definedName>
    <definedName name="Country" localSheetId="16">[2]Sheet5!#REF!</definedName>
    <definedName name="Country" localSheetId="17">[3]Sheet5!#REF!</definedName>
    <definedName name="Country" localSheetId="18">[1]Sheet5!#REF!</definedName>
    <definedName name="Country" localSheetId="19">[4]Sheet5!#REF!</definedName>
    <definedName name="Country" localSheetId="20">[5]Sheet5!#REF!</definedName>
    <definedName name="Country" localSheetId="21">[6]Sheet5!#REF!</definedName>
    <definedName name="Country" localSheetId="22">[7]Sheet5!#REF!</definedName>
    <definedName name="Country" localSheetId="23">[8]Sheet5!#REF!</definedName>
    <definedName name="Country" localSheetId="24">[9]Sheet5!#REF!</definedName>
    <definedName name="Country" localSheetId="25">[10]Sheet5!#REF!</definedName>
    <definedName name="Country" localSheetId="26">[11]Sheet5!#REF!</definedName>
    <definedName name="Country" localSheetId="27">[12]Sheet5!#REF!</definedName>
    <definedName name="Country" localSheetId="28">[13]Sheet5!#REF!</definedName>
    <definedName name="Country" localSheetId="29">[14]Sheet5!#REF!</definedName>
    <definedName name="Country" localSheetId="31">[15]Sheet5!#REF!</definedName>
    <definedName name="Country" localSheetId="32">[16]Sheet5!#REF!</definedName>
    <definedName name="Country" localSheetId="33">[1]Sheet5!#REF!</definedName>
    <definedName name="Country" localSheetId="35">[17]Sheet5!#REF!</definedName>
    <definedName name="Country" localSheetId="36">[18]Sheet5!#REF!</definedName>
    <definedName name="Country" localSheetId="37">[18]Sheet5!#REF!</definedName>
    <definedName name="Country" localSheetId="38">[19]Sheet5!#REF!</definedName>
    <definedName name="Country" localSheetId="39">[17]Sheet5!#REF!</definedName>
    <definedName name="Country" localSheetId="40">[17]Sheet5!#REF!</definedName>
    <definedName name="Country" localSheetId="42">[20]Sheet5!#REF!</definedName>
    <definedName name="Country" localSheetId="43">[19]Sheet5!#REF!</definedName>
    <definedName name="Country" localSheetId="45">[17]Sheet5!#REF!</definedName>
    <definedName name="Country" localSheetId="46">Sheet5!#REF!</definedName>
    <definedName name="Country">Sheet5!#REF!</definedName>
    <definedName name="Credit">Sheet5!$B$35:$B$48</definedName>
    <definedName name="CRR" localSheetId="52">#REF!</definedName>
    <definedName name="CRR" localSheetId="53">#REF!</definedName>
    <definedName name="CRR" localSheetId="54">#REF!</definedName>
    <definedName name="CRR" localSheetId="55">#REF!</definedName>
    <definedName name="CRR" localSheetId="56">#REF!</definedName>
    <definedName name="CRR" localSheetId="57">#REF!</definedName>
    <definedName name="CRR" localSheetId="58">#REF!</definedName>
    <definedName name="CRR" localSheetId="59">#REF!</definedName>
    <definedName name="CRR" localSheetId="60">#REF!</definedName>
    <definedName name="CRR" localSheetId="61">#REF!</definedName>
    <definedName name="CRR" localSheetId="11">#REF!</definedName>
    <definedName name="CRR" localSheetId="14">#REF!</definedName>
    <definedName name="CRR" localSheetId="15">#REF!</definedName>
    <definedName name="CRR" localSheetId="16">#REF!</definedName>
    <definedName name="CRR" localSheetId="17">#REF!</definedName>
    <definedName name="CRR" localSheetId="18">#REF!</definedName>
    <definedName name="CRR" localSheetId="19">#REF!</definedName>
    <definedName name="CRR" localSheetId="20">#REF!</definedName>
    <definedName name="CRR" localSheetId="21">#REF!</definedName>
    <definedName name="CRR" localSheetId="22">#REF!</definedName>
    <definedName name="CRR" localSheetId="23">#REF!</definedName>
    <definedName name="CRR" localSheetId="24">#REF!</definedName>
    <definedName name="CRR" localSheetId="25">#REF!</definedName>
    <definedName name="CRR" localSheetId="26">#REF!</definedName>
    <definedName name="CRR" localSheetId="27">#REF!</definedName>
    <definedName name="CRR" localSheetId="28">#REF!</definedName>
    <definedName name="CRR" localSheetId="29">#REF!</definedName>
    <definedName name="CRR" localSheetId="31">#REF!</definedName>
    <definedName name="CRR" localSheetId="32">#REF!</definedName>
    <definedName name="CRR" localSheetId="33">#REF!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2">#REF!</definedName>
    <definedName name="CRR" localSheetId="43">#REF!</definedName>
    <definedName name="CRR" localSheetId="45">#REF!</definedName>
    <definedName name="CRR" localSheetId="46">#REF!</definedName>
    <definedName name="CRR">#REF!</definedName>
    <definedName name="DamagetoPhysicalAssets" localSheetId="52">Sheet5!#REF!</definedName>
    <definedName name="DamagetoPhysicalAssets" localSheetId="53">Sheet5!#REF!</definedName>
    <definedName name="DamagetoPhysicalAssets" localSheetId="54">Sheet5!#REF!</definedName>
    <definedName name="DamagetoPhysicalAssets" localSheetId="55">Sheet5!#REF!</definedName>
    <definedName name="DamagetoPhysicalAssets" localSheetId="56">Sheet5!#REF!</definedName>
    <definedName name="DamagetoPhysicalAssets" localSheetId="57">Sheet5!#REF!</definedName>
    <definedName name="DamagetoPhysicalAssets" localSheetId="58">Sheet5!#REF!</definedName>
    <definedName name="DamagetoPhysicalAssets" localSheetId="59">Sheet5!#REF!</definedName>
    <definedName name="DamagetoPhysicalAssets" localSheetId="60">Sheet5!#REF!</definedName>
    <definedName name="DamagetoPhysicalAssets" localSheetId="61">Sheet5!#REF!</definedName>
    <definedName name="DamagetoPhysicalAssets" localSheetId="14">[1]Sheet5!#REF!</definedName>
    <definedName name="DamagetoPhysicalAssets" localSheetId="15">[1]Sheet5!#REF!</definedName>
    <definedName name="DamagetoPhysicalAssets" localSheetId="16">[2]Sheet5!#REF!</definedName>
    <definedName name="DamagetoPhysicalAssets" localSheetId="17">[3]Sheet5!#REF!</definedName>
    <definedName name="DamagetoPhysicalAssets" localSheetId="18">[1]Sheet5!#REF!</definedName>
    <definedName name="DamagetoPhysicalAssets" localSheetId="19">[4]Sheet5!#REF!</definedName>
    <definedName name="DamagetoPhysicalAssets" localSheetId="20">[5]Sheet5!#REF!</definedName>
    <definedName name="DamagetoPhysicalAssets" localSheetId="21">[6]Sheet5!#REF!</definedName>
    <definedName name="DamagetoPhysicalAssets" localSheetId="22">[7]Sheet5!#REF!</definedName>
    <definedName name="DamagetoPhysicalAssets" localSheetId="23">[8]Sheet5!#REF!</definedName>
    <definedName name="DamagetoPhysicalAssets" localSheetId="24">[9]Sheet5!#REF!</definedName>
    <definedName name="DamagetoPhysicalAssets" localSheetId="25">[10]Sheet5!#REF!</definedName>
    <definedName name="DamagetoPhysicalAssets" localSheetId="26">[11]Sheet5!#REF!</definedName>
    <definedName name="DamagetoPhysicalAssets" localSheetId="27">[12]Sheet5!#REF!</definedName>
    <definedName name="DamagetoPhysicalAssets" localSheetId="28">[13]Sheet5!#REF!</definedName>
    <definedName name="DamagetoPhysicalAssets" localSheetId="29">[14]Sheet5!#REF!</definedName>
    <definedName name="DamagetoPhysicalAssets" localSheetId="31">[15]Sheet5!#REF!</definedName>
    <definedName name="DamagetoPhysicalAssets" localSheetId="32">[16]Sheet5!#REF!</definedName>
    <definedName name="DamagetoPhysicalAssets" localSheetId="33">[1]Sheet5!#REF!</definedName>
    <definedName name="DamagetoPhysicalAssets" localSheetId="35">[17]Sheet5!#REF!</definedName>
    <definedName name="DamagetoPhysicalAssets" localSheetId="36">[18]Sheet5!#REF!</definedName>
    <definedName name="DamagetoPhysicalAssets" localSheetId="37">[18]Sheet5!#REF!</definedName>
    <definedName name="DamagetoPhysicalAssets" localSheetId="38">[19]Sheet5!#REF!</definedName>
    <definedName name="DamagetoPhysicalAssets" localSheetId="39">[17]Sheet5!#REF!</definedName>
    <definedName name="DamagetoPhysicalAssets" localSheetId="40">[17]Sheet5!#REF!</definedName>
    <definedName name="DamagetoPhysicalAssets" localSheetId="42">[20]Sheet5!#REF!</definedName>
    <definedName name="DamagetoPhysicalAssets" localSheetId="43">[19]Sheet5!#REF!</definedName>
    <definedName name="DamagetoPhysicalAssets" localSheetId="45">[17]Sheet5!#REF!</definedName>
    <definedName name="DamagetoPhysicalAssets" localSheetId="46">Sheet5!#REF!</definedName>
    <definedName name="DamagetoPhysicalAssets">Sheet5!#REF!</definedName>
    <definedName name="DataAvailability" localSheetId="52">Sheet5!#REF!</definedName>
    <definedName name="DataAvailability" localSheetId="53">Sheet5!#REF!</definedName>
    <definedName name="DataAvailability" localSheetId="54">Sheet5!#REF!</definedName>
    <definedName name="DataAvailability" localSheetId="55">Sheet5!#REF!</definedName>
    <definedName name="DataAvailability" localSheetId="56">Sheet5!#REF!</definedName>
    <definedName name="DataAvailability" localSheetId="57">Sheet5!#REF!</definedName>
    <definedName name="DataAvailability" localSheetId="58">Sheet5!#REF!</definedName>
    <definedName name="DataAvailability" localSheetId="59">Sheet5!#REF!</definedName>
    <definedName name="DataAvailability" localSheetId="60">Sheet5!#REF!</definedName>
    <definedName name="DataAvailability" localSheetId="61">Sheet5!#REF!</definedName>
    <definedName name="DataAvailability" localSheetId="14">[1]Sheet5!#REF!</definedName>
    <definedName name="DataAvailability" localSheetId="15">[1]Sheet5!#REF!</definedName>
    <definedName name="DataAvailability" localSheetId="16">[2]Sheet5!#REF!</definedName>
    <definedName name="DataAvailability" localSheetId="17">[3]Sheet5!#REF!</definedName>
    <definedName name="DataAvailability" localSheetId="18">[1]Sheet5!#REF!</definedName>
    <definedName name="DataAvailability" localSheetId="19">[4]Sheet5!#REF!</definedName>
    <definedName name="DataAvailability" localSheetId="20">[5]Sheet5!#REF!</definedName>
    <definedName name="DataAvailability" localSheetId="21">[6]Sheet5!#REF!</definedName>
    <definedName name="DataAvailability" localSheetId="22">[7]Sheet5!#REF!</definedName>
    <definedName name="DataAvailability" localSheetId="23">[8]Sheet5!#REF!</definedName>
    <definedName name="DataAvailability" localSheetId="24">[9]Sheet5!#REF!</definedName>
    <definedName name="DataAvailability" localSheetId="25">[10]Sheet5!#REF!</definedName>
    <definedName name="DataAvailability" localSheetId="26">[11]Sheet5!#REF!</definedName>
    <definedName name="DataAvailability" localSheetId="27">[12]Sheet5!#REF!</definedName>
    <definedName name="DataAvailability" localSheetId="28">[13]Sheet5!#REF!</definedName>
    <definedName name="DataAvailability" localSheetId="29">[14]Sheet5!#REF!</definedName>
    <definedName name="DataAvailability" localSheetId="31">[15]Sheet5!#REF!</definedName>
    <definedName name="DataAvailability" localSheetId="32">[16]Sheet5!#REF!</definedName>
    <definedName name="DataAvailability" localSheetId="33">[1]Sheet5!#REF!</definedName>
    <definedName name="DataAvailability" localSheetId="35">[17]Sheet5!#REF!</definedName>
    <definedName name="DataAvailability" localSheetId="36">[18]Sheet5!#REF!</definedName>
    <definedName name="DataAvailability" localSheetId="37">[18]Sheet5!#REF!</definedName>
    <definedName name="DataAvailability" localSheetId="38">[19]Sheet5!#REF!</definedName>
    <definedName name="DataAvailability" localSheetId="39">[17]Sheet5!#REF!</definedName>
    <definedName name="DataAvailability" localSheetId="40">[17]Sheet5!#REF!</definedName>
    <definedName name="DataAvailability" localSheetId="42">[20]Sheet5!#REF!</definedName>
    <definedName name="DataAvailability" localSheetId="43">[19]Sheet5!#REF!</definedName>
    <definedName name="DataAvailability" localSheetId="45">[17]Sheet5!#REF!</definedName>
    <definedName name="DataAvailability" localSheetId="46">Sheet5!#REF!</definedName>
    <definedName name="DataAvailability">Sheet5!#REF!</definedName>
    <definedName name="DataReportingFramework" localSheetId="52">Sheet5!#REF!</definedName>
    <definedName name="DataReportingFramework" localSheetId="53">Sheet5!#REF!</definedName>
    <definedName name="DataReportingFramework" localSheetId="54">Sheet5!#REF!</definedName>
    <definedName name="DataReportingFramework" localSheetId="55">Sheet5!#REF!</definedName>
    <definedName name="DataReportingFramework" localSheetId="56">Sheet5!#REF!</definedName>
    <definedName name="DataReportingFramework" localSheetId="57">Sheet5!#REF!</definedName>
    <definedName name="DataReportingFramework" localSheetId="58">Sheet5!#REF!</definedName>
    <definedName name="DataReportingFramework" localSheetId="59">Sheet5!#REF!</definedName>
    <definedName name="DataReportingFramework" localSheetId="60">Sheet5!#REF!</definedName>
    <definedName name="DataReportingFramework" localSheetId="61">Sheet5!#REF!</definedName>
    <definedName name="DataReportingFramework" localSheetId="14">[1]Sheet5!#REF!</definedName>
    <definedName name="DataReportingFramework" localSheetId="15">[1]Sheet5!#REF!</definedName>
    <definedName name="DataReportingFramework" localSheetId="16">[2]Sheet5!#REF!</definedName>
    <definedName name="DataReportingFramework" localSheetId="17">[3]Sheet5!#REF!</definedName>
    <definedName name="DataReportingFramework" localSheetId="18">[1]Sheet5!#REF!</definedName>
    <definedName name="DataReportingFramework" localSheetId="19">[4]Sheet5!#REF!</definedName>
    <definedName name="DataReportingFramework" localSheetId="20">[5]Sheet5!#REF!</definedName>
    <definedName name="DataReportingFramework" localSheetId="21">[6]Sheet5!#REF!</definedName>
    <definedName name="DataReportingFramework" localSheetId="22">[7]Sheet5!#REF!</definedName>
    <definedName name="DataReportingFramework" localSheetId="23">[8]Sheet5!#REF!</definedName>
    <definedName name="DataReportingFramework" localSheetId="24">[9]Sheet5!#REF!</definedName>
    <definedName name="DataReportingFramework" localSheetId="25">[10]Sheet5!#REF!</definedName>
    <definedName name="DataReportingFramework" localSheetId="26">[11]Sheet5!#REF!</definedName>
    <definedName name="DataReportingFramework" localSheetId="27">[12]Sheet5!#REF!</definedName>
    <definedName name="DataReportingFramework" localSheetId="28">[13]Sheet5!#REF!</definedName>
    <definedName name="DataReportingFramework" localSheetId="29">[14]Sheet5!#REF!</definedName>
    <definedName name="DataReportingFramework" localSheetId="31">[15]Sheet5!#REF!</definedName>
    <definedName name="DataReportingFramework" localSheetId="32">[16]Sheet5!#REF!</definedName>
    <definedName name="DataReportingFramework" localSheetId="33">[1]Sheet5!#REF!</definedName>
    <definedName name="DataReportingFramework" localSheetId="35">[17]Sheet5!#REF!</definedName>
    <definedName name="DataReportingFramework" localSheetId="36">[18]Sheet5!#REF!</definedName>
    <definedName name="DataReportingFramework" localSheetId="37">[18]Sheet5!#REF!</definedName>
    <definedName name="DataReportingFramework" localSheetId="38">[19]Sheet5!#REF!</definedName>
    <definedName name="DataReportingFramework" localSheetId="39">[17]Sheet5!#REF!</definedName>
    <definedName name="DataReportingFramework" localSheetId="40">[17]Sheet5!#REF!</definedName>
    <definedName name="DataReportingFramework" localSheetId="42">[20]Sheet5!#REF!</definedName>
    <definedName name="DataReportingFramework" localSheetId="43">[19]Sheet5!#REF!</definedName>
    <definedName name="DataReportingFramework" localSheetId="45">[17]Sheet5!#REF!</definedName>
    <definedName name="DataReportingFramework" localSheetId="46">Sheet5!#REF!</definedName>
    <definedName name="DataReportingFramework">Sheet5!#REF!</definedName>
    <definedName name="DataRiskAggregationCapabilities" localSheetId="52">Sheet5!#REF!</definedName>
    <definedName name="DataRiskAggregationCapabilities" localSheetId="53">Sheet5!#REF!</definedName>
    <definedName name="DataRiskAggregationCapabilities" localSheetId="54">Sheet5!#REF!</definedName>
    <definedName name="DataRiskAggregationCapabilities" localSheetId="55">Sheet5!#REF!</definedName>
    <definedName name="DataRiskAggregationCapabilities" localSheetId="56">Sheet5!#REF!</definedName>
    <definedName name="DataRiskAggregationCapabilities" localSheetId="57">Sheet5!#REF!</definedName>
    <definedName name="DataRiskAggregationCapabilities" localSheetId="58">Sheet5!#REF!</definedName>
    <definedName name="DataRiskAggregationCapabilities" localSheetId="59">Sheet5!#REF!</definedName>
    <definedName name="DataRiskAggregationCapabilities" localSheetId="60">Sheet5!#REF!</definedName>
    <definedName name="DataRiskAggregationCapabilities" localSheetId="61">Sheet5!#REF!</definedName>
    <definedName name="DataRiskAggregationCapabilities" localSheetId="14">[1]Sheet5!#REF!</definedName>
    <definedName name="DataRiskAggregationCapabilities" localSheetId="15">[1]Sheet5!#REF!</definedName>
    <definedName name="DataRiskAggregationCapabilities" localSheetId="16">[2]Sheet5!#REF!</definedName>
    <definedName name="DataRiskAggregationCapabilities" localSheetId="17">[3]Sheet5!#REF!</definedName>
    <definedName name="DataRiskAggregationCapabilities" localSheetId="18">[1]Sheet5!#REF!</definedName>
    <definedName name="DataRiskAggregationCapabilities" localSheetId="19">[4]Sheet5!#REF!</definedName>
    <definedName name="DataRiskAggregationCapabilities" localSheetId="20">[5]Sheet5!#REF!</definedName>
    <definedName name="DataRiskAggregationCapabilities" localSheetId="21">[6]Sheet5!#REF!</definedName>
    <definedName name="DataRiskAggregationCapabilities" localSheetId="22">[7]Sheet5!#REF!</definedName>
    <definedName name="DataRiskAggregationCapabilities" localSheetId="23">[8]Sheet5!#REF!</definedName>
    <definedName name="DataRiskAggregationCapabilities" localSheetId="24">[9]Sheet5!#REF!</definedName>
    <definedName name="DataRiskAggregationCapabilities" localSheetId="25">[10]Sheet5!#REF!</definedName>
    <definedName name="DataRiskAggregationCapabilities" localSheetId="26">[11]Sheet5!#REF!</definedName>
    <definedName name="DataRiskAggregationCapabilities" localSheetId="27">[12]Sheet5!#REF!</definedName>
    <definedName name="DataRiskAggregationCapabilities" localSheetId="28">[13]Sheet5!#REF!</definedName>
    <definedName name="DataRiskAggregationCapabilities" localSheetId="29">[14]Sheet5!#REF!</definedName>
    <definedName name="DataRiskAggregationCapabilities" localSheetId="31">[15]Sheet5!#REF!</definedName>
    <definedName name="DataRiskAggregationCapabilities" localSheetId="32">[16]Sheet5!#REF!</definedName>
    <definedName name="DataRiskAggregationCapabilities" localSheetId="33">[1]Sheet5!#REF!</definedName>
    <definedName name="DataRiskAggregationCapabilities" localSheetId="35">[17]Sheet5!#REF!</definedName>
    <definedName name="DataRiskAggregationCapabilities" localSheetId="36">[18]Sheet5!#REF!</definedName>
    <definedName name="DataRiskAggregationCapabilities" localSheetId="37">[18]Sheet5!#REF!</definedName>
    <definedName name="DataRiskAggregationCapabilities" localSheetId="38">[19]Sheet5!#REF!</definedName>
    <definedName name="DataRiskAggregationCapabilities" localSheetId="39">[17]Sheet5!#REF!</definedName>
    <definedName name="DataRiskAggregationCapabilities" localSheetId="40">[17]Sheet5!#REF!</definedName>
    <definedName name="DataRiskAggregationCapabilities" localSheetId="42">[20]Sheet5!#REF!</definedName>
    <definedName name="DataRiskAggregationCapabilities" localSheetId="43">[19]Sheet5!#REF!</definedName>
    <definedName name="DataRiskAggregationCapabilities" localSheetId="45">[17]Sheet5!#REF!</definedName>
    <definedName name="DataRiskAggregationCapabilities" localSheetId="46">Sheet5!#REF!</definedName>
    <definedName name="DataRiskAggregationCapabilities">Sheet5!#REF!</definedName>
    <definedName name="Decision" localSheetId="52">Dropdowns!#REF!</definedName>
    <definedName name="Decision" localSheetId="53">Dropdowns!#REF!</definedName>
    <definedName name="Decision" localSheetId="54">Dropdowns!#REF!</definedName>
    <definedName name="Decision" localSheetId="55">Dropdowns!#REF!</definedName>
    <definedName name="Decision" localSheetId="56">Dropdowns!#REF!</definedName>
    <definedName name="Decision" localSheetId="57">Dropdowns!#REF!</definedName>
    <definedName name="Decision" localSheetId="58">Dropdowns!#REF!</definedName>
    <definedName name="Decision" localSheetId="59">Dropdowns!#REF!</definedName>
    <definedName name="Decision" localSheetId="60">Dropdowns!#REF!</definedName>
    <definedName name="Decision" localSheetId="61">Dropdowns!#REF!</definedName>
    <definedName name="Decision" localSheetId="14">[1]Dropdowns!#REF!</definedName>
    <definedName name="Decision" localSheetId="15">[1]Dropdowns!#REF!</definedName>
    <definedName name="Decision" localSheetId="16">[2]Dropdowns!#REF!</definedName>
    <definedName name="Decision" localSheetId="17">[3]Dropdowns!#REF!</definedName>
    <definedName name="Decision" localSheetId="18">[1]Dropdowns!#REF!</definedName>
    <definedName name="Decision" localSheetId="19">[4]Dropdowns!#REF!</definedName>
    <definedName name="Decision" localSheetId="20">[5]Dropdowns!#REF!</definedName>
    <definedName name="Decision" localSheetId="21">[6]Dropdowns!#REF!</definedName>
    <definedName name="Decision" localSheetId="22">[7]Dropdowns!#REF!</definedName>
    <definedName name="Decision" localSheetId="23">[8]Dropdowns!#REF!</definedName>
    <definedName name="Decision" localSheetId="24">[9]Dropdowns!#REF!</definedName>
    <definedName name="Decision" localSheetId="25">[10]Dropdowns!#REF!</definedName>
    <definedName name="Decision" localSheetId="26">[11]Dropdowns!#REF!</definedName>
    <definedName name="Decision" localSheetId="27">[12]Dropdowns!#REF!</definedName>
    <definedName name="Decision" localSheetId="28">[13]Dropdowns!#REF!</definedName>
    <definedName name="Decision" localSheetId="29">[14]Dropdowns!#REF!</definedName>
    <definedName name="Decision" localSheetId="31">[15]Dropdowns!#REF!</definedName>
    <definedName name="Decision" localSheetId="32">[16]Dropdowns!#REF!</definedName>
    <definedName name="Decision" localSheetId="33">[1]Dropdowns!#REF!</definedName>
    <definedName name="Decision" localSheetId="35">[17]Dropdowns!#REF!</definedName>
    <definedName name="Decision" localSheetId="36">[18]Dropdowns!#REF!</definedName>
    <definedName name="Decision" localSheetId="37">[18]Dropdowns!#REF!</definedName>
    <definedName name="Decision" localSheetId="38">[19]Dropdowns!#REF!</definedName>
    <definedName name="Decision" localSheetId="39">[17]Dropdowns!#REF!</definedName>
    <definedName name="Decision" localSheetId="40">[17]Dropdowns!#REF!</definedName>
    <definedName name="Decision" localSheetId="42">[20]Dropdowns!#REF!</definedName>
    <definedName name="Decision" localSheetId="43">[19]Dropdowns!#REF!</definedName>
    <definedName name="Decision" localSheetId="45">[17]Dropdowns!#REF!</definedName>
    <definedName name="Decision" localSheetId="46">Dropdowns!#REF!</definedName>
    <definedName name="Decision">Dropdowns!#REF!</definedName>
    <definedName name="Deterioration" localSheetId="52">Sheet5!#REF!</definedName>
    <definedName name="Deterioration" localSheetId="53">Sheet5!#REF!</definedName>
    <definedName name="Deterioration" localSheetId="54">Sheet5!#REF!</definedName>
    <definedName name="Deterioration" localSheetId="55">Sheet5!#REF!</definedName>
    <definedName name="Deterioration" localSheetId="56">Sheet5!#REF!</definedName>
    <definedName name="Deterioration" localSheetId="57">Sheet5!#REF!</definedName>
    <definedName name="Deterioration" localSheetId="58">Sheet5!#REF!</definedName>
    <definedName name="Deterioration" localSheetId="59">Sheet5!#REF!</definedName>
    <definedName name="Deterioration" localSheetId="60">Sheet5!#REF!</definedName>
    <definedName name="Deterioration" localSheetId="61">Sheet5!#REF!</definedName>
    <definedName name="Deterioration" localSheetId="14">[1]Sheet5!#REF!</definedName>
    <definedName name="Deterioration" localSheetId="15">[1]Sheet5!#REF!</definedName>
    <definedName name="Deterioration" localSheetId="16">[2]Sheet5!#REF!</definedName>
    <definedName name="Deterioration" localSheetId="17">[3]Sheet5!#REF!</definedName>
    <definedName name="Deterioration" localSheetId="18">[1]Sheet5!#REF!</definedName>
    <definedName name="Deterioration" localSheetId="19">[4]Sheet5!#REF!</definedName>
    <definedName name="Deterioration" localSheetId="20">[5]Sheet5!#REF!</definedName>
    <definedName name="Deterioration" localSheetId="21">[6]Sheet5!#REF!</definedName>
    <definedName name="Deterioration" localSheetId="22">[7]Sheet5!#REF!</definedName>
    <definedName name="Deterioration" localSheetId="23">[8]Sheet5!#REF!</definedName>
    <definedName name="Deterioration" localSheetId="24">[9]Sheet5!#REF!</definedName>
    <definedName name="Deterioration" localSheetId="25">[10]Sheet5!#REF!</definedName>
    <definedName name="Deterioration" localSheetId="26">[11]Sheet5!#REF!</definedName>
    <definedName name="Deterioration" localSheetId="27">[12]Sheet5!#REF!</definedName>
    <definedName name="Deterioration" localSheetId="28">[13]Sheet5!#REF!</definedName>
    <definedName name="Deterioration" localSheetId="29">[14]Sheet5!#REF!</definedName>
    <definedName name="Deterioration" localSheetId="31">[15]Sheet5!#REF!</definedName>
    <definedName name="Deterioration" localSheetId="32">[16]Sheet5!#REF!</definedName>
    <definedName name="Deterioration" localSheetId="33">[1]Sheet5!#REF!</definedName>
    <definedName name="Deterioration" localSheetId="35">[17]Sheet5!#REF!</definedName>
    <definedName name="Deterioration" localSheetId="36">[18]Sheet5!#REF!</definedName>
    <definedName name="Deterioration" localSheetId="37">[18]Sheet5!#REF!</definedName>
    <definedName name="Deterioration" localSheetId="38">[19]Sheet5!#REF!</definedName>
    <definedName name="Deterioration" localSheetId="39">[17]Sheet5!#REF!</definedName>
    <definedName name="Deterioration" localSheetId="40">[17]Sheet5!#REF!</definedName>
    <definedName name="Deterioration" localSheetId="42">[20]Sheet5!#REF!</definedName>
    <definedName name="Deterioration" localSheetId="43">[19]Sheet5!#REF!</definedName>
    <definedName name="Deterioration" localSheetId="45">[17]Sheet5!#REF!</definedName>
    <definedName name="Deterioration" localSheetId="46">Sheet5!#REF!</definedName>
    <definedName name="Deterioration">Sheet5!#REF!</definedName>
    <definedName name="Drivers" localSheetId="14">[1]Dropdowns!$B$2:$B$28</definedName>
    <definedName name="Drivers" localSheetId="15">[1]Dropdowns!$B$2:$B$28</definedName>
    <definedName name="Drivers" localSheetId="16">[2]Dropdowns!$B$2:$B$28</definedName>
    <definedName name="Drivers" localSheetId="17">[3]Dropdowns!$B$2:$B$28</definedName>
    <definedName name="Drivers" localSheetId="18">[1]Dropdowns!$B$2:$B$28</definedName>
    <definedName name="Drivers" localSheetId="19">[4]Dropdowns!$B$2:$B$28</definedName>
    <definedName name="Drivers" localSheetId="20">[5]Dropdowns!$B$2:$B$28</definedName>
    <definedName name="Drivers" localSheetId="21">[6]Dropdowns!$B$2:$B$28</definedName>
    <definedName name="Drivers" localSheetId="22">[7]Dropdowns!$B$2:$B$28</definedName>
    <definedName name="Drivers" localSheetId="23">[8]Dropdowns!$B$2:$B$28</definedName>
    <definedName name="Drivers" localSheetId="24">[9]Dropdowns!$B$2:$B$28</definedName>
    <definedName name="Drivers" localSheetId="25">[10]Dropdowns!$B$2:$B$28</definedName>
    <definedName name="Drivers" localSheetId="26">[11]Dropdowns!$B$2:$B$28</definedName>
    <definedName name="Drivers" localSheetId="27">[12]Dropdowns!$B$2:$B$28</definedName>
    <definedName name="Drivers" localSheetId="28">[13]Dropdowns!$B$2:$B$28</definedName>
    <definedName name="Drivers" localSheetId="29">[14]Dropdowns!$B$2:$B$28</definedName>
    <definedName name="Drivers" localSheetId="31">[15]Dropdowns!$B$2:$B$28</definedName>
    <definedName name="Drivers" localSheetId="32">[16]Dropdowns!$B$2:$B$28</definedName>
    <definedName name="Drivers" localSheetId="33">[1]Dropdowns!$B$2:$B$28</definedName>
    <definedName name="Drivers" localSheetId="35">[17]Dropdowns!$B$2:$B$28</definedName>
    <definedName name="Drivers" localSheetId="36">[18]Dropdowns!$B$2:$B$28</definedName>
    <definedName name="Drivers" localSheetId="37">[18]Dropdowns!$B$2:$B$28</definedName>
    <definedName name="Drivers" localSheetId="38">[19]Dropdowns!$B$2:$B$28</definedName>
    <definedName name="Drivers" localSheetId="39">[17]Dropdowns!$B$2:$B$28</definedName>
    <definedName name="Drivers" localSheetId="40">[17]Dropdowns!$B$2:$B$28</definedName>
    <definedName name="Drivers" localSheetId="42">[20]Dropdowns!$B$2:$B$28</definedName>
    <definedName name="Drivers" localSheetId="43">[19]Dropdowns!$B$2:$B$28</definedName>
    <definedName name="Drivers" localSheetId="45">[17]Dropdowns!$B$2:$B$28</definedName>
    <definedName name="Drivers">Dropdowns!$B$2:$B$28</definedName>
    <definedName name="EmploymentPracticesWorkplaceSafety" localSheetId="52">Sheet5!#REF!</definedName>
    <definedName name="EmploymentPracticesWorkplaceSafety" localSheetId="53">Sheet5!#REF!</definedName>
    <definedName name="EmploymentPracticesWorkplaceSafety" localSheetId="54">Sheet5!#REF!</definedName>
    <definedName name="EmploymentPracticesWorkplaceSafety" localSheetId="55">Sheet5!#REF!</definedName>
    <definedName name="EmploymentPracticesWorkplaceSafety" localSheetId="56">Sheet5!#REF!</definedName>
    <definedName name="EmploymentPracticesWorkplaceSafety" localSheetId="57">Sheet5!#REF!</definedName>
    <definedName name="EmploymentPracticesWorkplaceSafety" localSheetId="58">Sheet5!#REF!</definedName>
    <definedName name="EmploymentPracticesWorkplaceSafety" localSheetId="59">Sheet5!#REF!</definedName>
    <definedName name="EmploymentPracticesWorkplaceSafety" localSheetId="60">Sheet5!#REF!</definedName>
    <definedName name="EmploymentPracticesWorkplaceSafety" localSheetId="61">Sheet5!#REF!</definedName>
    <definedName name="EmploymentPracticesWorkplaceSafety" localSheetId="14">[1]Sheet5!#REF!</definedName>
    <definedName name="EmploymentPracticesWorkplaceSafety" localSheetId="15">[1]Sheet5!#REF!</definedName>
    <definedName name="EmploymentPracticesWorkplaceSafety" localSheetId="16">[2]Sheet5!#REF!</definedName>
    <definedName name="EmploymentPracticesWorkplaceSafety" localSheetId="17">[3]Sheet5!#REF!</definedName>
    <definedName name="EmploymentPracticesWorkplaceSafety" localSheetId="18">[1]Sheet5!#REF!</definedName>
    <definedName name="EmploymentPracticesWorkplaceSafety" localSheetId="19">[4]Sheet5!#REF!</definedName>
    <definedName name="EmploymentPracticesWorkplaceSafety" localSheetId="20">[5]Sheet5!#REF!</definedName>
    <definedName name="EmploymentPracticesWorkplaceSafety" localSheetId="21">[6]Sheet5!#REF!</definedName>
    <definedName name="EmploymentPracticesWorkplaceSafety" localSheetId="22">[7]Sheet5!#REF!</definedName>
    <definedName name="EmploymentPracticesWorkplaceSafety" localSheetId="23">[8]Sheet5!#REF!</definedName>
    <definedName name="EmploymentPracticesWorkplaceSafety" localSheetId="24">[9]Sheet5!#REF!</definedName>
    <definedName name="EmploymentPracticesWorkplaceSafety" localSheetId="25">[10]Sheet5!#REF!</definedName>
    <definedName name="EmploymentPracticesWorkplaceSafety" localSheetId="26">[11]Sheet5!#REF!</definedName>
    <definedName name="EmploymentPracticesWorkplaceSafety" localSheetId="27">[12]Sheet5!#REF!</definedName>
    <definedName name="EmploymentPracticesWorkplaceSafety" localSheetId="28">[13]Sheet5!#REF!</definedName>
    <definedName name="EmploymentPracticesWorkplaceSafety" localSheetId="29">[14]Sheet5!#REF!</definedName>
    <definedName name="EmploymentPracticesWorkplaceSafety" localSheetId="31">[15]Sheet5!#REF!</definedName>
    <definedName name="EmploymentPracticesWorkplaceSafety" localSheetId="32">[16]Sheet5!#REF!</definedName>
    <definedName name="EmploymentPracticesWorkplaceSafety" localSheetId="33">[1]Sheet5!#REF!</definedName>
    <definedName name="EmploymentPracticesWorkplaceSafety" localSheetId="35">[17]Sheet5!#REF!</definedName>
    <definedName name="EmploymentPracticesWorkplaceSafety" localSheetId="36">[18]Sheet5!#REF!</definedName>
    <definedName name="EmploymentPracticesWorkplaceSafety" localSheetId="37">[18]Sheet5!#REF!</definedName>
    <definedName name="EmploymentPracticesWorkplaceSafety" localSheetId="38">[19]Sheet5!#REF!</definedName>
    <definedName name="EmploymentPracticesWorkplaceSafety" localSheetId="39">[17]Sheet5!#REF!</definedName>
    <definedName name="EmploymentPracticesWorkplaceSafety" localSheetId="40">[17]Sheet5!#REF!</definedName>
    <definedName name="EmploymentPracticesWorkplaceSafety" localSheetId="42">[20]Sheet5!#REF!</definedName>
    <definedName name="EmploymentPracticesWorkplaceSafety" localSheetId="43">[19]Sheet5!#REF!</definedName>
    <definedName name="EmploymentPracticesWorkplaceSafety" localSheetId="45">[17]Sheet5!#REF!</definedName>
    <definedName name="EmploymentPracticesWorkplaceSafety" localSheetId="46">Sheet5!#REF!</definedName>
    <definedName name="EmploymentPracticesWorkplaceSafety">Sheet5!#REF!</definedName>
    <definedName name="ExecutionDeliveryandProcessManagement" localSheetId="52">Sheet5!#REF!</definedName>
    <definedName name="ExecutionDeliveryandProcessManagement" localSheetId="53">Sheet5!#REF!</definedName>
    <definedName name="ExecutionDeliveryandProcessManagement" localSheetId="54">Sheet5!#REF!</definedName>
    <definedName name="ExecutionDeliveryandProcessManagement" localSheetId="55">Sheet5!#REF!</definedName>
    <definedName name="ExecutionDeliveryandProcessManagement" localSheetId="56">Sheet5!#REF!</definedName>
    <definedName name="ExecutionDeliveryandProcessManagement" localSheetId="57">Sheet5!#REF!</definedName>
    <definedName name="ExecutionDeliveryandProcessManagement" localSheetId="58">Sheet5!#REF!</definedName>
    <definedName name="ExecutionDeliveryandProcessManagement" localSheetId="59">Sheet5!#REF!</definedName>
    <definedName name="ExecutionDeliveryandProcessManagement" localSheetId="60">Sheet5!#REF!</definedName>
    <definedName name="ExecutionDeliveryandProcessManagement" localSheetId="61">Sheet5!#REF!</definedName>
    <definedName name="ExecutionDeliveryandProcessManagement" localSheetId="14">[1]Sheet5!#REF!</definedName>
    <definedName name="ExecutionDeliveryandProcessManagement" localSheetId="15">[1]Sheet5!#REF!</definedName>
    <definedName name="ExecutionDeliveryandProcessManagement" localSheetId="16">[2]Sheet5!#REF!</definedName>
    <definedName name="ExecutionDeliveryandProcessManagement" localSheetId="17">[3]Sheet5!#REF!</definedName>
    <definedName name="ExecutionDeliveryandProcessManagement" localSheetId="18">[1]Sheet5!#REF!</definedName>
    <definedName name="ExecutionDeliveryandProcessManagement" localSheetId="19">[4]Sheet5!#REF!</definedName>
    <definedName name="ExecutionDeliveryandProcessManagement" localSheetId="20">[5]Sheet5!#REF!</definedName>
    <definedName name="ExecutionDeliveryandProcessManagement" localSheetId="21">[6]Sheet5!#REF!</definedName>
    <definedName name="ExecutionDeliveryandProcessManagement" localSheetId="22">[7]Sheet5!#REF!</definedName>
    <definedName name="ExecutionDeliveryandProcessManagement" localSheetId="23">[8]Sheet5!#REF!</definedName>
    <definedName name="ExecutionDeliveryandProcessManagement" localSheetId="24">[9]Sheet5!#REF!</definedName>
    <definedName name="ExecutionDeliveryandProcessManagement" localSheetId="25">[10]Sheet5!#REF!</definedName>
    <definedName name="ExecutionDeliveryandProcessManagement" localSheetId="26">[11]Sheet5!#REF!</definedName>
    <definedName name="ExecutionDeliveryandProcessManagement" localSheetId="27">[12]Sheet5!#REF!</definedName>
    <definedName name="ExecutionDeliveryandProcessManagement" localSheetId="28">[13]Sheet5!#REF!</definedName>
    <definedName name="ExecutionDeliveryandProcessManagement" localSheetId="29">[14]Sheet5!#REF!</definedName>
    <definedName name="ExecutionDeliveryandProcessManagement" localSheetId="31">[15]Sheet5!#REF!</definedName>
    <definedName name="ExecutionDeliveryandProcessManagement" localSheetId="32">[16]Sheet5!#REF!</definedName>
    <definedName name="ExecutionDeliveryandProcessManagement" localSheetId="33">[1]Sheet5!#REF!</definedName>
    <definedName name="ExecutionDeliveryandProcessManagement" localSheetId="35">[17]Sheet5!#REF!</definedName>
    <definedName name="ExecutionDeliveryandProcessManagement" localSheetId="36">[18]Sheet5!#REF!</definedName>
    <definedName name="ExecutionDeliveryandProcessManagement" localSheetId="37">[18]Sheet5!#REF!</definedName>
    <definedName name="ExecutionDeliveryandProcessManagement" localSheetId="38">[19]Sheet5!#REF!</definedName>
    <definedName name="ExecutionDeliveryandProcessManagement" localSheetId="39">[17]Sheet5!#REF!</definedName>
    <definedName name="ExecutionDeliveryandProcessManagement" localSheetId="40">[17]Sheet5!#REF!</definedName>
    <definedName name="ExecutionDeliveryandProcessManagement" localSheetId="42">[20]Sheet5!#REF!</definedName>
    <definedName name="ExecutionDeliveryandProcessManagement" localSheetId="43">[19]Sheet5!#REF!</definedName>
    <definedName name="ExecutionDeliveryandProcessManagement" localSheetId="45">[17]Sheet5!#REF!</definedName>
    <definedName name="ExecutionDeliveryandProcessManagement" localSheetId="46">Sheet5!#REF!</definedName>
    <definedName name="ExecutionDeliveryandProcessManagement">Sheet5!#REF!</definedName>
    <definedName name="ExpansionRisk" localSheetId="52">Sheet5!#REF!</definedName>
    <definedName name="ExpansionRisk" localSheetId="53">Sheet5!#REF!</definedName>
    <definedName name="ExpansionRisk" localSheetId="54">Sheet5!#REF!</definedName>
    <definedName name="ExpansionRisk" localSheetId="55">Sheet5!#REF!</definedName>
    <definedName name="ExpansionRisk" localSheetId="56">Sheet5!#REF!</definedName>
    <definedName name="ExpansionRisk" localSheetId="57">Sheet5!#REF!</definedName>
    <definedName name="ExpansionRisk" localSheetId="58">Sheet5!#REF!</definedName>
    <definedName name="ExpansionRisk" localSheetId="59">Sheet5!#REF!</definedName>
    <definedName name="ExpansionRisk" localSheetId="60">Sheet5!#REF!</definedName>
    <definedName name="ExpansionRisk" localSheetId="61">Sheet5!#REF!</definedName>
    <definedName name="ExpansionRisk" localSheetId="14">[1]Sheet5!#REF!</definedName>
    <definedName name="ExpansionRisk" localSheetId="15">[1]Sheet5!#REF!</definedName>
    <definedName name="ExpansionRisk" localSheetId="16">[2]Sheet5!#REF!</definedName>
    <definedName name="ExpansionRisk" localSheetId="17">[3]Sheet5!#REF!</definedName>
    <definedName name="ExpansionRisk" localSheetId="18">[1]Sheet5!#REF!</definedName>
    <definedName name="ExpansionRisk" localSheetId="19">[4]Sheet5!#REF!</definedName>
    <definedName name="ExpansionRisk" localSheetId="20">[5]Sheet5!#REF!</definedName>
    <definedName name="ExpansionRisk" localSheetId="21">[6]Sheet5!#REF!</definedName>
    <definedName name="ExpansionRisk" localSheetId="22">[7]Sheet5!#REF!</definedName>
    <definedName name="ExpansionRisk" localSheetId="23">[8]Sheet5!#REF!</definedName>
    <definedName name="ExpansionRisk" localSheetId="24">[9]Sheet5!#REF!</definedName>
    <definedName name="ExpansionRisk" localSheetId="25">[10]Sheet5!#REF!</definedName>
    <definedName name="ExpansionRisk" localSheetId="26">[11]Sheet5!#REF!</definedName>
    <definedName name="ExpansionRisk" localSheetId="27">[12]Sheet5!#REF!</definedName>
    <definedName name="ExpansionRisk" localSheetId="28">[13]Sheet5!#REF!</definedName>
    <definedName name="ExpansionRisk" localSheetId="29">[14]Sheet5!#REF!</definedName>
    <definedName name="ExpansionRisk" localSheetId="31">[15]Sheet5!#REF!</definedName>
    <definedName name="ExpansionRisk" localSheetId="32">[16]Sheet5!#REF!</definedName>
    <definedName name="ExpansionRisk" localSheetId="33">[1]Sheet5!#REF!</definedName>
    <definedName name="ExpansionRisk" localSheetId="35">[17]Sheet5!#REF!</definedName>
    <definedName name="ExpansionRisk" localSheetId="36">[18]Sheet5!#REF!</definedName>
    <definedName name="ExpansionRisk" localSheetId="37">[18]Sheet5!#REF!</definedName>
    <definedName name="ExpansionRisk" localSheetId="38">[19]Sheet5!#REF!</definedName>
    <definedName name="ExpansionRisk" localSheetId="39">[17]Sheet5!#REF!</definedName>
    <definedName name="ExpansionRisk" localSheetId="40">[17]Sheet5!#REF!</definedName>
    <definedName name="ExpansionRisk" localSheetId="42">[20]Sheet5!#REF!</definedName>
    <definedName name="ExpansionRisk" localSheetId="43">[19]Sheet5!#REF!</definedName>
    <definedName name="ExpansionRisk" localSheetId="45">[17]Sheet5!#REF!</definedName>
    <definedName name="ExpansionRisk" localSheetId="46">Sheet5!#REF!</definedName>
    <definedName name="ExpansionRisk">Sheet5!#REF!</definedName>
    <definedName name="ExternalFactors" localSheetId="52">Sheet5!#REF!</definedName>
    <definedName name="ExternalFactors" localSheetId="53">Sheet5!#REF!</definedName>
    <definedName name="ExternalFactors" localSheetId="54">Sheet5!#REF!</definedName>
    <definedName name="ExternalFactors" localSheetId="55">Sheet5!#REF!</definedName>
    <definedName name="ExternalFactors" localSheetId="56">Sheet5!#REF!</definedName>
    <definedName name="ExternalFactors" localSheetId="57">Sheet5!#REF!</definedName>
    <definedName name="ExternalFactors" localSheetId="58">Sheet5!#REF!</definedName>
    <definedName name="ExternalFactors" localSheetId="59">Sheet5!#REF!</definedName>
    <definedName name="ExternalFactors" localSheetId="60">Sheet5!#REF!</definedName>
    <definedName name="ExternalFactors" localSheetId="61">Sheet5!#REF!</definedName>
    <definedName name="ExternalFactors" localSheetId="14">[1]Sheet5!#REF!</definedName>
    <definedName name="ExternalFactors" localSheetId="15">[1]Sheet5!#REF!</definedName>
    <definedName name="ExternalFactors" localSheetId="16">[2]Sheet5!#REF!</definedName>
    <definedName name="ExternalFactors" localSheetId="17">[3]Sheet5!#REF!</definedName>
    <definedName name="ExternalFactors" localSheetId="18">[1]Sheet5!#REF!</definedName>
    <definedName name="ExternalFactors" localSheetId="19">[4]Sheet5!#REF!</definedName>
    <definedName name="ExternalFactors" localSheetId="20">[5]Sheet5!#REF!</definedName>
    <definedName name="ExternalFactors" localSheetId="21">[6]Sheet5!#REF!</definedName>
    <definedName name="ExternalFactors" localSheetId="22">[7]Sheet5!#REF!</definedName>
    <definedName name="ExternalFactors" localSheetId="23">[8]Sheet5!#REF!</definedName>
    <definedName name="ExternalFactors" localSheetId="24">[9]Sheet5!#REF!</definedName>
    <definedName name="ExternalFactors" localSheetId="25">[10]Sheet5!#REF!</definedName>
    <definedName name="ExternalFactors" localSheetId="26">[11]Sheet5!#REF!</definedName>
    <definedName name="ExternalFactors" localSheetId="27">[12]Sheet5!#REF!</definedName>
    <definedName name="ExternalFactors" localSheetId="28">[13]Sheet5!#REF!</definedName>
    <definedName name="ExternalFactors" localSheetId="29">[14]Sheet5!#REF!</definedName>
    <definedName name="ExternalFactors" localSheetId="31">[15]Sheet5!#REF!</definedName>
    <definedName name="ExternalFactors" localSheetId="32">[16]Sheet5!#REF!</definedName>
    <definedName name="ExternalFactors" localSheetId="33">[1]Sheet5!#REF!</definedName>
    <definedName name="ExternalFactors" localSheetId="35">[17]Sheet5!#REF!</definedName>
    <definedName name="ExternalFactors" localSheetId="36">[18]Sheet5!#REF!</definedName>
    <definedName name="ExternalFactors" localSheetId="37">[18]Sheet5!#REF!</definedName>
    <definedName name="ExternalFactors" localSheetId="38">[19]Sheet5!#REF!</definedName>
    <definedName name="ExternalFactors" localSheetId="39">[17]Sheet5!#REF!</definedName>
    <definedName name="ExternalFactors" localSheetId="40">[17]Sheet5!#REF!</definedName>
    <definedName name="ExternalFactors" localSheetId="42">[20]Sheet5!#REF!</definedName>
    <definedName name="ExternalFactors" localSheetId="43">[19]Sheet5!#REF!</definedName>
    <definedName name="ExternalFactors" localSheetId="45">[17]Sheet5!#REF!</definedName>
    <definedName name="ExternalFactors" localSheetId="46">Sheet5!#REF!</definedName>
    <definedName name="ExternalFactors">Sheet5!#REF!</definedName>
    <definedName name="ExternalFraud" localSheetId="52">Sheet5!#REF!</definedName>
    <definedName name="ExternalFraud" localSheetId="53">Sheet5!#REF!</definedName>
    <definedName name="ExternalFraud" localSheetId="54">Sheet5!#REF!</definedName>
    <definedName name="ExternalFraud" localSheetId="55">Sheet5!#REF!</definedName>
    <definedName name="ExternalFraud" localSheetId="56">Sheet5!#REF!</definedName>
    <definedName name="ExternalFraud" localSheetId="57">Sheet5!#REF!</definedName>
    <definedName name="ExternalFraud" localSheetId="58">Sheet5!#REF!</definedName>
    <definedName name="ExternalFraud" localSheetId="59">Sheet5!#REF!</definedName>
    <definedName name="ExternalFraud" localSheetId="60">Sheet5!#REF!</definedName>
    <definedName name="ExternalFraud" localSheetId="61">Sheet5!#REF!</definedName>
    <definedName name="ExternalFraud" localSheetId="14">[1]Sheet5!#REF!</definedName>
    <definedName name="ExternalFraud" localSheetId="15">[1]Sheet5!#REF!</definedName>
    <definedName name="ExternalFraud" localSheetId="16">[2]Sheet5!#REF!</definedName>
    <definedName name="ExternalFraud" localSheetId="17">[3]Sheet5!#REF!</definedName>
    <definedName name="ExternalFraud" localSheetId="18">[1]Sheet5!#REF!</definedName>
    <definedName name="ExternalFraud" localSheetId="19">[4]Sheet5!#REF!</definedName>
    <definedName name="ExternalFraud" localSheetId="20">[5]Sheet5!#REF!</definedName>
    <definedName name="ExternalFraud" localSheetId="21">[6]Sheet5!#REF!</definedName>
    <definedName name="ExternalFraud" localSheetId="22">[7]Sheet5!#REF!</definedName>
    <definedName name="ExternalFraud" localSheetId="23">[8]Sheet5!#REF!</definedName>
    <definedName name="ExternalFraud" localSheetId="24">[9]Sheet5!#REF!</definedName>
    <definedName name="ExternalFraud" localSheetId="25">[10]Sheet5!#REF!</definedName>
    <definedName name="ExternalFraud" localSheetId="26">[11]Sheet5!#REF!</definedName>
    <definedName name="ExternalFraud" localSheetId="27">[12]Sheet5!#REF!</definedName>
    <definedName name="ExternalFraud" localSheetId="28">[13]Sheet5!#REF!</definedName>
    <definedName name="ExternalFraud" localSheetId="29">[14]Sheet5!#REF!</definedName>
    <definedName name="ExternalFraud" localSheetId="31">[15]Sheet5!#REF!</definedName>
    <definedName name="ExternalFraud" localSheetId="32">[16]Sheet5!#REF!</definedName>
    <definedName name="ExternalFraud" localSheetId="33">[1]Sheet5!#REF!</definedName>
    <definedName name="ExternalFraud" localSheetId="35">[17]Sheet5!#REF!</definedName>
    <definedName name="ExternalFraud" localSheetId="36">[18]Sheet5!#REF!</definedName>
    <definedName name="ExternalFraud" localSheetId="37">[18]Sheet5!#REF!</definedName>
    <definedName name="ExternalFraud" localSheetId="38">[19]Sheet5!#REF!</definedName>
    <definedName name="ExternalFraud" localSheetId="39">[17]Sheet5!#REF!</definedName>
    <definedName name="ExternalFraud" localSheetId="40">[17]Sheet5!#REF!</definedName>
    <definedName name="ExternalFraud" localSheetId="42">[20]Sheet5!#REF!</definedName>
    <definedName name="ExternalFraud" localSheetId="43">[19]Sheet5!#REF!</definedName>
    <definedName name="ExternalFraud" localSheetId="45">[17]Sheet5!#REF!</definedName>
    <definedName name="ExternalFraud" localSheetId="46">Sheet5!#REF!</definedName>
    <definedName name="ExternalFraud">Sheet5!#REF!</definedName>
    <definedName name="FundingLiquidity" localSheetId="52">Sheet5!#REF!</definedName>
    <definedName name="FundingLiquidity" localSheetId="53">Sheet5!#REF!</definedName>
    <definedName name="FundingLiquidity" localSheetId="54">Sheet5!#REF!</definedName>
    <definedName name="FundingLiquidity" localSheetId="55">Sheet5!#REF!</definedName>
    <definedName name="FundingLiquidity" localSheetId="56">Sheet5!#REF!</definedName>
    <definedName name="FundingLiquidity" localSheetId="57">Sheet5!#REF!</definedName>
    <definedName name="FundingLiquidity" localSheetId="58">Sheet5!#REF!</definedName>
    <definedName name="FundingLiquidity" localSheetId="59">Sheet5!#REF!</definedName>
    <definedName name="FundingLiquidity" localSheetId="60">Sheet5!#REF!</definedName>
    <definedName name="FundingLiquidity" localSheetId="61">Sheet5!#REF!</definedName>
    <definedName name="FundingLiquidity" localSheetId="14">[1]Sheet5!#REF!</definedName>
    <definedName name="FundingLiquidity" localSheetId="15">[1]Sheet5!#REF!</definedName>
    <definedName name="FundingLiquidity" localSheetId="16">[2]Sheet5!#REF!</definedName>
    <definedName name="FundingLiquidity" localSheetId="17">[3]Sheet5!#REF!</definedName>
    <definedName name="FundingLiquidity" localSheetId="18">[1]Sheet5!#REF!</definedName>
    <definedName name="FundingLiquidity" localSheetId="19">[4]Sheet5!#REF!</definedName>
    <definedName name="FundingLiquidity" localSheetId="20">[5]Sheet5!#REF!</definedName>
    <definedName name="FundingLiquidity" localSheetId="21">[6]Sheet5!#REF!</definedName>
    <definedName name="FundingLiquidity" localSheetId="22">[7]Sheet5!#REF!</definedName>
    <definedName name="FundingLiquidity" localSheetId="23">[8]Sheet5!#REF!</definedName>
    <definedName name="FundingLiquidity" localSheetId="24">[9]Sheet5!#REF!</definedName>
    <definedName name="FundingLiquidity" localSheetId="25">[10]Sheet5!#REF!</definedName>
    <definedName name="FundingLiquidity" localSheetId="26">[11]Sheet5!#REF!</definedName>
    <definedName name="FundingLiquidity" localSheetId="27">[12]Sheet5!#REF!</definedName>
    <definedName name="FundingLiquidity" localSheetId="28">[13]Sheet5!#REF!</definedName>
    <definedName name="FundingLiquidity" localSheetId="29">[14]Sheet5!#REF!</definedName>
    <definedName name="FundingLiquidity" localSheetId="31">[15]Sheet5!#REF!</definedName>
    <definedName name="FundingLiquidity" localSheetId="32">[16]Sheet5!#REF!</definedName>
    <definedName name="FundingLiquidity" localSheetId="33">[1]Sheet5!#REF!</definedName>
    <definedName name="FundingLiquidity" localSheetId="35">[17]Sheet5!#REF!</definedName>
    <definedName name="FundingLiquidity" localSheetId="36">[18]Sheet5!#REF!</definedName>
    <definedName name="FundingLiquidity" localSheetId="37">[18]Sheet5!#REF!</definedName>
    <definedName name="FundingLiquidity" localSheetId="38">[19]Sheet5!#REF!</definedName>
    <definedName name="FundingLiquidity" localSheetId="39">[17]Sheet5!#REF!</definedName>
    <definedName name="FundingLiquidity" localSheetId="40">[17]Sheet5!#REF!</definedName>
    <definedName name="FundingLiquidity" localSheetId="42">[20]Sheet5!#REF!</definedName>
    <definedName name="FundingLiquidity" localSheetId="43">[19]Sheet5!#REF!</definedName>
    <definedName name="FundingLiquidity" localSheetId="45">[17]Sheet5!#REF!</definedName>
    <definedName name="FundingLiquidity" localSheetId="46">Sheet5!#REF!</definedName>
    <definedName name="FundingLiquidity">Sheet5!#REF!</definedName>
    <definedName name="Governance" localSheetId="52">Sheet5!#REF!</definedName>
    <definedName name="Governance" localSheetId="53">Sheet5!#REF!</definedName>
    <definedName name="Governance" localSheetId="54">Sheet5!#REF!</definedName>
    <definedName name="Governance" localSheetId="55">Sheet5!#REF!</definedName>
    <definedName name="Governance" localSheetId="56">Sheet5!#REF!</definedName>
    <definedName name="Governance" localSheetId="57">Sheet5!#REF!</definedName>
    <definedName name="Governance" localSheetId="58">Sheet5!#REF!</definedName>
    <definedName name="Governance" localSheetId="59">Sheet5!#REF!</definedName>
    <definedName name="Governance" localSheetId="60">Sheet5!#REF!</definedName>
    <definedName name="Governance" localSheetId="61">Sheet5!#REF!</definedName>
    <definedName name="Governance" localSheetId="14">[1]Sheet5!#REF!</definedName>
    <definedName name="Governance" localSheetId="15">[1]Sheet5!#REF!</definedName>
    <definedName name="Governance" localSheetId="16">[2]Sheet5!#REF!</definedName>
    <definedName name="Governance" localSheetId="17">[3]Sheet5!#REF!</definedName>
    <definedName name="Governance" localSheetId="18">[1]Sheet5!#REF!</definedName>
    <definedName name="Governance" localSheetId="19">[4]Sheet5!#REF!</definedName>
    <definedName name="Governance" localSheetId="20">[5]Sheet5!#REF!</definedName>
    <definedName name="Governance" localSheetId="21">[6]Sheet5!#REF!</definedName>
    <definedName name="Governance" localSheetId="22">[7]Sheet5!#REF!</definedName>
    <definedName name="Governance" localSheetId="23">[8]Sheet5!#REF!</definedName>
    <definedName name="Governance" localSheetId="24">[9]Sheet5!#REF!</definedName>
    <definedName name="Governance" localSheetId="25">[10]Sheet5!#REF!</definedName>
    <definedName name="Governance" localSheetId="26">[11]Sheet5!#REF!</definedName>
    <definedName name="Governance" localSheetId="27">[12]Sheet5!#REF!</definedName>
    <definedName name="Governance" localSheetId="28">[13]Sheet5!#REF!</definedName>
    <definedName name="Governance" localSheetId="29">[14]Sheet5!#REF!</definedName>
    <definedName name="Governance" localSheetId="31">[15]Sheet5!#REF!</definedName>
    <definedName name="Governance" localSheetId="32">[16]Sheet5!#REF!</definedName>
    <definedName name="Governance" localSheetId="33">[1]Sheet5!#REF!</definedName>
    <definedName name="Governance" localSheetId="35">[17]Sheet5!#REF!</definedName>
    <definedName name="Governance" localSheetId="36">[18]Sheet5!#REF!</definedName>
    <definedName name="Governance" localSheetId="37">[18]Sheet5!#REF!</definedName>
    <definedName name="Governance" localSheetId="38">[19]Sheet5!#REF!</definedName>
    <definedName name="Governance" localSheetId="39">[17]Sheet5!#REF!</definedName>
    <definedName name="Governance" localSheetId="40">[17]Sheet5!#REF!</definedName>
    <definedName name="Governance" localSheetId="42">[20]Sheet5!#REF!</definedName>
    <definedName name="Governance" localSheetId="43">[19]Sheet5!#REF!</definedName>
    <definedName name="Governance" localSheetId="45">[17]Sheet5!#REF!</definedName>
    <definedName name="Governance" localSheetId="46">Sheet5!#REF!</definedName>
    <definedName name="Governance">Sheet5!#REF!</definedName>
    <definedName name="Impact" localSheetId="52">Dropdowns!#REF!</definedName>
    <definedName name="Impact" localSheetId="53">Dropdowns!#REF!</definedName>
    <definedName name="Impact" localSheetId="54">Dropdowns!#REF!</definedName>
    <definedName name="Impact" localSheetId="55">Dropdowns!#REF!</definedName>
    <definedName name="Impact" localSheetId="56">Dropdowns!#REF!</definedName>
    <definedName name="Impact" localSheetId="57">Dropdowns!#REF!</definedName>
    <definedName name="Impact" localSheetId="58">Dropdowns!#REF!</definedName>
    <definedName name="Impact" localSheetId="59">Dropdowns!#REF!</definedName>
    <definedName name="Impact" localSheetId="60">Dropdowns!#REF!</definedName>
    <definedName name="Impact" localSheetId="61">Dropdowns!#REF!</definedName>
    <definedName name="Impact" localSheetId="14">[1]Dropdowns!#REF!</definedName>
    <definedName name="Impact" localSheetId="15">[1]Dropdowns!#REF!</definedName>
    <definedName name="Impact" localSheetId="16">[2]Dropdowns!#REF!</definedName>
    <definedName name="Impact" localSheetId="17">[3]Dropdowns!#REF!</definedName>
    <definedName name="Impact" localSheetId="18">[1]Dropdowns!#REF!</definedName>
    <definedName name="Impact" localSheetId="19">[4]Dropdowns!#REF!</definedName>
    <definedName name="Impact" localSheetId="20">[5]Dropdowns!#REF!</definedName>
    <definedName name="Impact" localSheetId="21">[6]Dropdowns!#REF!</definedName>
    <definedName name="Impact" localSheetId="22">[7]Dropdowns!#REF!</definedName>
    <definedName name="Impact" localSheetId="23">[8]Dropdowns!#REF!</definedName>
    <definedName name="Impact" localSheetId="24">[9]Dropdowns!#REF!</definedName>
    <definedName name="Impact" localSheetId="25">[10]Dropdowns!#REF!</definedName>
    <definedName name="Impact" localSheetId="26">[11]Dropdowns!#REF!</definedName>
    <definedName name="Impact" localSheetId="27">[12]Dropdowns!#REF!</definedName>
    <definedName name="Impact" localSheetId="28">[13]Dropdowns!#REF!</definedName>
    <definedName name="Impact" localSheetId="29">[14]Dropdowns!#REF!</definedName>
    <definedName name="Impact" localSheetId="31">[15]Dropdowns!#REF!</definedName>
    <definedName name="Impact" localSheetId="32">[16]Dropdowns!#REF!</definedName>
    <definedName name="Impact" localSheetId="33">[1]Dropdowns!#REF!</definedName>
    <definedName name="Impact" localSheetId="35">[17]Dropdowns!#REF!</definedName>
    <definedName name="Impact" localSheetId="36">[18]Dropdowns!#REF!</definedName>
    <definedName name="Impact" localSheetId="37">[18]Dropdowns!#REF!</definedName>
    <definedName name="Impact" localSheetId="38">[19]Dropdowns!#REF!</definedName>
    <definedName name="Impact" localSheetId="39">[17]Dropdowns!#REF!</definedName>
    <definedName name="Impact" localSheetId="40">[17]Dropdowns!#REF!</definedName>
    <definedName name="Impact" localSheetId="42">[20]Dropdowns!#REF!</definedName>
    <definedName name="Impact" localSheetId="43">[19]Dropdowns!#REF!</definedName>
    <definedName name="Impact" localSheetId="45">[17]Dropdowns!#REF!</definedName>
    <definedName name="Impact" localSheetId="46">Dropdowns!#REF!</definedName>
    <definedName name="Impact">Dropdowns!#REF!</definedName>
    <definedName name="Impact2" localSheetId="52">Dropdowns!#REF!</definedName>
    <definedName name="Impact2" localSheetId="53">Dropdowns!#REF!</definedName>
    <definedName name="Impact2" localSheetId="54">Dropdowns!#REF!</definedName>
    <definedName name="Impact2" localSheetId="55">Dropdowns!#REF!</definedName>
    <definedName name="Impact2" localSheetId="56">Dropdowns!#REF!</definedName>
    <definedName name="Impact2" localSheetId="57">Dropdowns!#REF!</definedName>
    <definedName name="Impact2" localSheetId="58">Dropdowns!#REF!</definedName>
    <definedName name="Impact2" localSheetId="59">Dropdowns!#REF!</definedName>
    <definedName name="Impact2" localSheetId="60">Dropdowns!#REF!</definedName>
    <definedName name="Impact2" localSheetId="61">Dropdowns!#REF!</definedName>
    <definedName name="Impact2" localSheetId="14">[1]Dropdowns!#REF!</definedName>
    <definedName name="Impact2" localSheetId="15">[1]Dropdowns!#REF!</definedName>
    <definedName name="Impact2" localSheetId="16">[2]Dropdowns!#REF!</definedName>
    <definedName name="Impact2" localSheetId="17">[3]Dropdowns!#REF!</definedName>
    <definedName name="Impact2" localSheetId="18">[1]Dropdowns!#REF!</definedName>
    <definedName name="Impact2" localSheetId="19">[4]Dropdowns!#REF!</definedName>
    <definedName name="Impact2" localSheetId="20">[5]Dropdowns!#REF!</definedName>
    <definedName name="Impact2" localSheetId="21">[6]Dropdowns!#REF!</definedName>
    <definedName name="Impact2" localSheetId="22">[7]Dropdowns!#REF!</definedName>
    <definedName name="Impact2" localSheetId="23">[8]Dropdowns!#REF!</definedName>
    <definedName name="Impact2" localSheetId="24">[9]Dropdowns!#REF!</definedName>
    <definedName name="Impact2" localSheetId="25">[10]Dropdowns!#REF!</definedName>
    <definedName name="Impact2" localSheetId="26">[11]Dropdowns!#REF!</definedName>
    <definedName name="Impact2" localSheetId="27">[12]Dropdowns!#REF!</definedName>
    <definedName name="Impact2" localSheetId="28">[13]Dropdowns!#REF!</definedName>
    <definedName name="Impact2" localSheetId="29">[14]Dropdowns!#REF!</definedName>
    <definedName name="Impact2" localSheetId="31">[15]Dropdowns!#REF!</definedName>
    <definedName name="Impact2" localSheetId="32">[16]Dropdowns!#REF!</definedName>
    <definedName name="Impact2" localSheetId="33">[1]Dropdowns!#REF!</definedName>
    <definedName name="Impact2" localSheetId="35">[17]Dropdowns!#REF!</definedName>
    <definedName name="Impact2" localSheetId="36">[18]Dropdowns!#REF!</definedName>
    <definedName name="Impact2" localSheetId="37">[18]Dropdowns!#REF!</definedName>
    <definedName name="Impact2" localSheetId="38">[19]Dropdowns!#REF!</definedName>
    <definedName name="Impact2" localSheetId="39">[17]Dropdowns!#REF!</definedName>
    <definedName name="Impact2" localSheetId="40">[17]Dropdowns!#REF!</definedName>
    <definedName name="Impact2" localSheetId="42">[20]Dropdowns!#REF!</definedName>
    <definedName name="Impact2" localSheetId="43">[19]Dropdowns!#REF!</definedName>
    <definedName name="Impact2" localSheetId="45">[17]Dropdowns!#REF!</definedName>
    <definedName name="Impact2" localSheetId="46">Dropdowns!#REF!</definedName>
    <definedName name="Impact2">Dropdowns!#REF!</definedName>
    <definedName name="Impacts" localSheetId="52">Dropdowns!#REF!</definedName>
    <definedName name="Impacts" localSheetId="53">Dropdowns!#REF!</definedName>
    <definedName name="Impacts" localSheetId="54">Dropdowns!#REF!</definedName>
    <definedName name="Impacts" localSheetId="55">Dropdowns!#REF!</definedName>
    <definedName name="Impacts" localSheetId="56">Dropdowns!#REF!</definedName>
    <definedName name="Impacts" localSheetId="57">Dropdowns!#REF!</definedName>
    <definedName name="Impacts" localSheetId="58">Dropdowns!#REF!</definedName>
    <definedName name="Impacts" localSheetId="59">Dropdowns!#REF!</definedName>
    <definedName name="Impacts" localSheetId="60">Dropdowns!#REF!</definedName>
    <definedName name="Impacts" localSheetId="61">Dropdowns!#REF!</definedName>
    <definedName name="Impacts" localSheetId="14">[1]Dropdowns!#REF!</definedName>
    <definedName name="Impacts" localSheetId="15">[1]Dropdowns!#REF!</definedName>
    <definedName name="Impacts" localSheetId="16">[2]Dropdowns!#REF!</definedName>
    <definedName name="Impacts" localSheetId="17">[3]Dropdowns!#REF!</definedName>
    <definedName name="Impacts" localSheetId="18">[1]Dropdowns!#REF!</definedName>
    <definedName name="Impacts" localSheetId="19">[4]Dropdowns!#REF!</definedName>
    <definedName name="Impacts" localSheetId="20">[5]Dropdowns!#REF!</definedName>
    <definedName name="Impacts" localSheetId="21">[6]Dropdowns!#REF!</definedName>
    <definedName name="Impacts" localSheetId="22">[7]Dropdowns!#REF!</definedName>
    <definedName name="Impacts" localSheetId="23">[8]Dropdowns!#REF!</definedName>
    <definedName name="Impacts" localSheetId="24">[9]Dropdowns!#REF!</definedName>
    <definedName name="Impacts" localSheetId="25">[10]Dropdowns!#REF!</definedName>
    <definedName name="Impacts" localSheetId="26">[11]Dropdowns!#REF!</definedName>
    <definedName name="Impacts" localSheetId="27">[12]Dropdowns!#REF!</definedName>
    <definedName name="Impacts" localSheetId="28">[13]Dropdowns!#REF!</definedName>
    <definedName name="Impacts" localSheetId="29">[14]Dropdowns!#REF!</definedName>
    <definedName name="Impacts" localSheetId="31">[15]Dropdowns!#REF!</definedName>
    <definedName name="Impacts" localSheetId="32">[16]Dropdowns!#REF!</definedName>
    <definedName name="Impacts" localSheetId="33">[1]Dropdowns!#REF!</definedName>
    <definedName name="Impacts" localSheetId="35">[17]Dropdowns!#REF!</definedName>
    <definedName name="Impacts" localSheetId="36">[18]Dropdowns!#REF!</definedName>
    <definedName name="Impacts" localSheetId="37">[18]Dropdowns!#REF!</definedName>
    <definedName name="Impacts" localSheetId="38">[19]Dropdowns!#REF!</definedName>
    <definedName name="Impacts" localSheetId="39">[17]Dropdowns!#REF!</definedName>
    <definedName name="Impacts" localSheetId="40">[17]Dropdowns!#REF!</definedName>
    <definedName name="Impacts" localSheetId="42">[20]Dropdowns!#REF!</definedName>
    <definedName name="Impacts" localSheetId="43">[19]Dropdowns!#REF!</definedName>
    <definedName name="Impacts" localSheetId="45">[17]Dropdowns!#REF!</definedName>
    <definedName name="Impacts" localSheetId="46">Dropdowns!#REF!</definedName>
    <definedName name="Impacts">Dropdowns!#REF!</definedName>
    <definedName name="Indicator" localSheetId="52">Dropdowns!#REF!</definedName>
    <definedName name="Indicator" localSheetId="53">Dropdowns!#REF!</definedName>
    <definedName name="Indicator" localSheetId="54">Dropdowns!#REF!</definedName>
    <definedName name="Indicator" localSheetId="55">Dropdowns!#REF!</definedName>
    <definedName name="Indicator" localSheetId="56">Dropdowns!#REF!</definedName>
    <definedName name="Indicator" localSheetId="57">Dropdowns!#REF!</definedName>
    <definedName name="Indicator" localSheetId="58">Dropdowns!#REF!</definedName>
    <definedName name="Indicator" localSheetId="59">Dropdowns!#REF!</definedName>
    <definedName name="Indicator" localSheetId="60">Dropdowns!#REF!</definedName>
    <definedName name="Indicator" localSheetId="61">Dropdowns!#REF!</definedName>
    <definedName name="Indicator" localSheetId="14">[1]Dropdowns!#REF!</definedName>
    <definedName name="Indicator" localSheetId="15">[1]Dropdowns!#REF!</definedName>
    <definedName name="Indicator" localSheetId="16">[2]Dropdowns!#REF!</definedName>
    <definedName name="Indicator" localSheetId="17">[3]Dropdowns!#REF!</definedName>
    <definedName name="Indicator" localSheetId="18">[1]Dropdowns!#REF!</definedName>
    <definedName name="Indicator" localSheetId="19">[4]Dropdowns!#REF!</definedName>
    <definedName name="Indicator" localSheetId="20">[5]Dropdowns!#REF!</definedName>
    <definedName name="Indicator" localSheetId="21">[6]Dropdowns!#REF!</definedName>
    <definedName name="Indicator" localSheetId="22">[7]Dropdowns!#REF!</definedName>
    <definedName name="Indicator" localSheetId="23">[8]Dropdowns!#REF!</definedName>
    <definedName name="Indicator" localSheetId="24">[9]Dropdowns!#REF!</definedName>
    <definedName name="Indicator" localSheetId="25">[10]Dropdowns!#REF!</definedName>
    <definedName name="Indicator" localSheetId="26">[11]Dropdowns!#REF!</definedName>
    <definedName name="Indicator" localSheetId="27">[12]Dropdowns!#REF!</definedName>
    <definedName name="Indicator" localSheetId="28">[13]Dropdowns!#REF!</definedName>
    <definedName name="Indicator" localSheetId="29">[14]Dropdowns!#REF!</definedName>
    <definedName name="Indicator" localSheetId="31">[15]Dropdowns!#REF!</definedName>
    <definedName name="Indicator" localSheetId="32">[16]Dropdowns!#REF!</definedName>
    <definedName name="Indicator" localSheetId="33">[1]Dropdowns!#REF!</definedName>
    <definedName name="Indicator" localSheetId="35">[17]Dropdowns!#REF!</definedName>
    <definedName name="Indicator" localSheetId="36">[18]Dropdowns!#REF!</definedName>
    <definedName name="Indicator" localSheetId="37">[18]Dropdowns!#REF!</definedName>
    <definedName name="Indicator" localSheetId="38">[19]Dropdowns!#REF!</definedName>
    <definedName name="Indicator" localSheetId="39">[17]Dropdowns!#REF!</definedName>
    <definedName name="Indicator" localSheetId="40">[17]Dropdowns!#REF!</definedName>
    <definedName name="Indicator" localSheetId="42">[20]Dropdowns!#REF!</definedName>
    <definedName name="Indicator" localSheetId="43">[19]Dropdowns!#REF!</definedName>
    <definedName name="Indicator" localSheetId="45">[17]Dropdowns!#REF!</definedName>
    <definedName name="Indicator" localSheetId="46">Dropdowns!#REF!</definedName>
    <definedName name="Indicator">Dropdowns!#REF!</definedName>
    <definedName name="InternalFraud" localSheetId="52">Sheet5!#REF!</definedName>
    <definedName name="InternalFraud" localSheetId="53">Sheet5!#REF!</definedName>
    <definedName name="InternalFraud" localSheetId="54">Sheet5!#REF!</definedName>
    <definedName name="InternalFraud" localSheetId="55">Sheet5!#REF!</definedName>
    <definedName name="InternalFraud" localSheetId="56">Sheet5!#REF!</definedName>
    <definedName name="InternalFraud" localSheetId="57">Sheet5!#REF!</definedName>
    <definedName name="InternalFraud" localSheetId="58">Sheet5!#REF!</definedName>
    <definedName name="InternalFraud" localSheetId="59">Sheet5!#REF!</definedName>
    <definedName name="InternalFraud" localSheetId="60">Sheet5!#REF!</definedName>
    <definedName name="InternalFraud" localSheetId="61">Sheet5!#REF!</definedName>
    <definedName name="InternalFraud" localSheetId="14">[1]Sheet5!#REF!</definedName>
    <definedName name="InternalFraud" localSheetId="15">[1]Sheet5!#REF!</definedName>
    <definedName name="InternalFraud" localSheetId="16">[2]Sheet5!#REF!</definedName>
    <definedName name="InternalFraud" localSheetId="17">[3]Sheet5!#REF!</definedName>
    <definedName name="InternalFraud" localSheetId="18">[1]Sheet5!#REF!</definedName>
    <definedName name="InternalFraud" localSheetId="19">[4]Sheet5!#REF!</definedName>
    <definedName name="InternalFraud" localSheetId="20">[5]Sheet5!#REF!</definedName>
    <definedName name="InternalFraud" localSheetId="21">[6]Sheet5!#REF!</definedName>
    <definedName name="InternalFraud" localSheetId="22">[7]Sheet5!#REF!</definedName>
    <definedName name="InternalFraud" localSheetId="23">[8]Sheet5!#REF!</definedName>
    <definedName name="InternalFraud" localSheetId="24">[9]Sheet5!#REF!</definedName>
    <definedName name="InternalFraud" localSheetId="25">[10]Sheet5!#REF!</definedName>
    <definedName name="InternalFraud" localSheetId="26">[11]Sheet5!#REF!</definedName>
    <definedName name="InternalFraud" localSheetId="27">[12]Sheet5!#REF!</definedName>
    <definedName name="InternalFraud" localSheetId="28">[13]Sheet5!#REF!</definedName>
    <definedName name="InternalFraud" localSheetId="29">[14]Sheet5!#REF!</definedName>
    <definedName name="InternalFraud" localSheetId="31">[15]Sheet5!#REF!</definedName>
    <definedName name="InternalFraud" localSheetId="32">[16]Sheet5!#REF!</definedName>
    <definedName name="InternalFraud" localSheetId="33">[1]Sheet5!#REF!</definedName>
    <definedName name="InternalFraud" localSheetId="35">[17]Sheet5!#REF!</definedName>
    <definedName name="InternalFraud" localSheetId="36">[18]Sheet5!#REF!</definedName>
    <definedName name="InternalFraud" localSheetId="37">[18]Sheet5!#REF!</definedName>
    <definedName name="InternalFraud" localSheetId="38">[19]Sheet5!#REF!</definedName>
    <definedName name="InternalFraud" localSheetId="39">[17]Sheet5!#REF!</definedName>
    <definedName name="InternalFraud" localSheetId="40">[17]Sheet5!#REF!</definedName>
    <definedName name="InternalFraud" localSheetId="42">[20]Sheet5!#REF!</definedName>
    <definedName name="InternalFraud" localSheetId="43">[19]Sheet5!#REF!</definedName>
    <definedName name="InternalFraud" localSheetId="45">[17]Sheet5!#REF!</definedName>
    <definedName name="InternalFraud" localSheetId="46">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 localSheetId="14">[1]Dropdowns!$A$2:$A$6</definedName>
    <definedName name="IR" localSheetId="15">[1]Dropdowns!$A$2:$A$6</definedName>
    <definedName name="IR" localSheetId="16">[2]Dropdowns!$A$2:$A$6</definedName>
    <definedName name="IR" localSheetId="17">[3]Dropdowns!$A$2:$A$6</definedName>
    <definedName name="IR" localSheetId="18">[1]Dropdowns!$A$2:$A$6</definedName>
    <definedName name="IR" localSheetId="19">[4]Dropdowns!$A$2:$A$6</definedName>
    <definedName name="IR" localSheetId="20">[5]Dropdowns!$A$2:$A$6</definedName>
    <definedName name="IR" localSheetId="21">[6]Dropdowns!$A$2:$A$6</definedName>
    <definedName name="IR" localSheetId="22">[7]Dropdowns!$A$2:$A$6</definedName>
    <definedName name="IR" localSheetId="23">[8]Dropdowns!$A$2:$A$6</definedName>
    <definedName name="IR" localSheetId="24">[9]Dropdowns!$A$2:$A$6</definedName>
    <definedName name="IR" localSheetId="25">[10]Dropdowns!$A$2:$A$6</definedName>
    <definedName name="IR" localSheetId="26">[11]Dropdowns!$A$2:$A$6</definedName>
    <definedName name="IR" localSheetId="27">[12]Dropdowns!$A$2:$A$6</definedName>
    <definedName name="IR" localSheetId="28">[13]Dropdowns!$A$2:$A$6</definedName>
    <definedName name="IR" localSheetId="29">[14]Dropdowns!$A$2:$A$6</definedName>
    <definedName name="IR" localSheetId="31">[15]Dropdowns!$A$2:$A$6</definedName>
    <definedName name="IR" localSheetId="32">[16]Dropdowns!$A$2:$A$6</definedName>
    <definedName name="IR" localSheetId="33">[1]Dropdowns!$A$2:$A$6</definedName>
    <definedName name="IR" localSheetId="35">[17]Dropdowns!$A$2:$A$6</definedName>
    <definedName name="IR" localSheetId="36">[18]Dropdowns!$A$2:$A$6</definedName>
    <definedName name="IR" localSheetId="37">[18]Dropdowns!$A$2:$A$6</definedName>
    <definedName name="IR" localSheetId="38">[19]Dropdowns!$A$2:$A$6</definedName>
    <definedName name="IR" localSheetId="39">[17]Dropdowns!$A$2:$A$6</definedName>
    <definedName name="IR" localSheetId="40">[17]Dropdowns!$A$2:$A$6</definedName>
    <definedName name="IR" localSheetId="42">[20]Dropdowns!$A$2:$A$6</definedName>
    <definedName name="IR" localSheetId="43">[19]Dropdowns!$A$2:$A$6</definedName>
    <definedName name="IR" localSheetId="45">[17]Dropdowns!$A$2:$A$6</definedName>
    <definedName name="IR">Dropdowns!$A$2:$A$6</definedName>
    <definedName name="IRR" localSheetId="52">#REF!</definedName>
    <definedName name="IRR" localSheetId="53">#REF!</definedName>
    <definedName name="IRR" localSheetId="54">#REF!</definedName>
    <definedName name="IRR" localSheetId="55">#REF!</definedName>
    <definedName name="IRR" localSheetId="56">#REF!</definedName>
    <definedName name="IRR" localSheetId="57">#REF!</definedName>
    <definedName name="IRR" localSheetId="58">#REF!</definedName>
    <definedName name="IRR" localSheetId="59">#REF!</definedName>
    <definedName name="IRR" localSheetId="60">#REF!</definedName>
    <definedName name="IRR" localSheetId="61">#REF!</definedName>
    <definedName name="IRR" localSheetId="11">#REF!</definedName>
    <definedName name="IRR" localSheetId="14">#REF!</definedName>
    <definedName name="IRR" localSheetId="15">#REF!</definedName>
    <definedName name="IRR" localSheetId="16">#REF!</definedName>
    <definedName name="IRR" localSheetId="17">#REF!</definedName>
    <definedName name="IRR" localSheetId="18">#REF!</definedName>
    <definedName name="IRR" localSheetId="19">#REF!</definedName>
    <definedName name="IRR" localSheetId="20">#REF!</definedName>
    <definedName name="IRR" localSheetId="21">#REF!</definedName>
    <definedName name="IRR" localSheetId="22">#REF!</definedName>
    <definedName name="IRR" localSheetId="23">#REF!</definedName>
    <definedName name="IRR" localSheetId="24">#REF!</definedName>
    <definedName name="IRR" localSheetId="25">#REF!</definedName>
    <definedName name="IRR" localSheetId="26">#REF!</definedName>
    <definedName name="IRR" localSheetId="27">#REF!</definedName>
    <definedName name="IRR" localSheetId="28">#REF!</definedName>
    <definedName name="IRR" localSheetId="29">#REF!</definedName>
    <definedName name="IRR" localSheetId="31">#REF!</definedName>
    <definedName name="IRR" localSheetId="32">#REF!</definedName>
    <definedName name="IRR" localSheetId="33">#REF!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2">#REF!</definedName>
    <definedName name="IRR" localSheetId="43">#REF!</definedName>
    <definedName name="IRR" localSheetId="45">#REF!</definedName>
    <definedName name="IRR" localSheetId="46">#REF!</definedName>
    <definedName name="IRR">#REF!</definedName>
    <definedName name="IssuerBorrower" localSheetId="52">Sheet5!#REF!</definedName>
    <definedName name="IssuerBorrower" localSheetId="53">Sheet5!#REF!</definedName>
    <definedName name="IssuerBorrower" localSheetId="54">Sheet5!#REF!</definedName>
    <definedName name="IssuerBorrower" localSheetId="55">Sheet5!#REF!</definedName>
    <definedName name="IssuerBorrower" localSheetId="56">Sheet5!#REF!</definedName>
    <definedName name="IssuerBorrower" localSheetId="57">Sheet5!#REF!</definedName>
    <definedName name="IssuerBorrower" localSheetId="58">Sheet5!#REF!</definedName>
    <definedName name="IssuerBorrower" localSheetId="59">Sheet5!#REF!</definedName>
    <definedName name="IssuerBorrower" localSheetId="60">Sheet5!#REF!</definedName>
    <definedName name="IssuerBorrower" localSheetId="61">Sheet5!#REF!</definedName>
    <definedName name="IssuerBorrower" localSheetId="14">[1]Sheet5!#REF!</definedName>
    <definedName name="IssuerBorrower" localSheetId="15">[1]Sheet5!#REF!</definedName>
    <definedName name="IssuerBorrower" localSheetId="16">[2]Sheet5!#REF!</definedName>
    <definedName name="IssuerBorrower" localSheetId="17">[3]Sheet5!#REF!</definedName>
    <definedName name="IssuerBorrower" localSheetId="18">[1]Sheet5!#REF!</definedName>
    <definedName name="IssuerBorrower" localSheetId="19">[4]Sheet5!#REF!</definedName>
    <definedName name="IssuerBorrower" localSheetId="20">[5]Sheet5!#REF!</definedName>
    <definedName name="IssuerBorrower" localSheetId="21">[6]Sheet5!#REF!</definedName>
    <definedName name="IssuerBorrower" localSheetId="22">[7]Sheet5!#REF!</definedName>
    <definedName name="IssuerBorrower" localSheetId="23">[8]Sheet5!#REF!</definedName>
    <definedName name="IssuerBorrower" localSheetId="24">[9]Sheet5!#REF!</definedName>
    <definedName name="IssuerBorrower" localSheetId="25">[10]Sheet5!#REF!</definedName>
    <definedName name="IssuerBorrower" localSheetId="26">[11]Sheet5!#REF!</definedName>
    <definedName name="IssuerBorrower" localSheetId="27">[12]Sheet5!#REF!</definedName>
    <definedName name="IssuerBorrower" localSheetId="28">[13]Sheet5!#REF!</definedName>
    <definedName name="IssuerBorrower" localSheetId="29">[14]Sheet5!#REF!</definedName>
    <definedName name="IssuerBorrower" localSheetId="31">[15]Sheet5!#REF!</definedName>
    <definedName name="IssuerBorrower" localSheetId="32">[16]Sheet5!#REF!</definedName>
    <definedName name="IssuerBorrower" localSheetId="33">[1]Sheet5!#REF!</definedName>
    <definedName name="IssuerBorrower" localSheetId="35">[17]Sheet5!#REF!</definedName>
    <definedName name="IssuerBorrower" localSheetId="36">[18]Sheet5!#REF!</definedName>
    <definedName name="IssuerBorrower" localSheetId="37">[18]Sheet5!#REF!</definedName>
    <definedName name="IssuerBorrower" localSheetId="38">[19]Sheet5!#REF!</definedName>
    <definedName name="IssuerBorrower" localSheetId="39">[17]Sheet5!#REF!</definedName>
    <definedName name="IssuerBorrower" localSheetId="40">[17]Sheet5!#REF!</definedName>
    <definedName name="IssuerBorrower" localSheetId="42">[20]Sheet5!#REF!</definedName>
    <definedName name="IssuerBorrower" localSheetId="43">[19]Sheet5!#REF!</definedName>
    <definedName name="IssuerBorrower" localSheetId="45">[17]Sheet5!#REF!</definedName>
    <definedName name="IssuerBorrower" localSheetId="46">Sheet5!#REF!</definedName>
    <definedName name="IssuerBorrower">Sheet5!#REF!</definedName>
    <definedName name="Legal" localSheetId="52">Sheet5!#REF!</definedName>
    <definedName name="Legal" localSheetId="53">Sheet5!#REF!</definedName>
    <definedName name="Legal" localSheetId="54">Sheet5!#REF!</definedName>
    <definedName name="Legal" localSheetId="55">Sheet5!#REF!</definedName>
    <definedName name="Legal" localSheetId="56">Sheet5!#REF!</definedName>
    <definedName name="Legal" localSheetId="57">Sheet5!#REF!</definedName>
    <definedName name="Legal" localSheetId="58">Sheet5!#REF!</definedName>
    <definedName name="Legal" localSheetId="59">Sheet5!#REF!</definedName>
    <definedName name="Legal" localSheetId="60">Sheet5!#REF!</definedName>
    <definedName name="Legal" localSheetId="61">Sheet5!#REF!</definedName>
    <definedName name="Legal" localSheetId="14">[1]Sheet5!#REF!</definedName>
    <definedName name="Legal" localSheetId="15">[1]Sheet5!#REF!</definedName>
    <definedName name="Legal" localSheetId="16">[2]Sheet5!#REF!</definedName>
    <definedName name="Legal" localSheetId="17">[3]Sheet5!#REF!</definedName>
    <definedName name="Legal" localSheetId="18">[1]Sheet5!#REF!</definedName>
    <definedName name="Legal" localSheetId="19">[4]Sheet5!#REF!</definedName>
    <definedName name="Legal" localSheetId="20">[5]Sheet5!#REF!</definedName>
    <definedName name="Legal" localSheetId="21">[6]Sheet5!#REF!</definedName>
    <definedName name="Legal" localSheetId="22">[7]Sheet5!#REF!</definedName>
    <definedName name="Legal" localSheetId="23">[8]Sheet5!#REF!</definedName>
    <definedName name="Legal" localSheetId="24">[9]Sheet5!#REF!</definedName>
    <definedName name="Legal" localSheetId="25">[10]Sheet5!#REF!</definedName>
    <definedName name="Legal" localSheetId="26">[11]Sheet5!#REF!</definedName>
    <definedName name="Legal" localSheetId="27">[12]Sheet5!#REF!</definedName>
    <definedName name="Legal" localSheetId="28">[13]Sheet5!#REF!</definedName>
    <definedName name="Legal" localSheetId="29">[14]Sheet5!#REF!</definedName>
    <definedName name="Legal" localSheetId="31">[15]Sheet5!#REF!</definedName>
    <definedName name="Legal" localSheetId="32">[16]Sheet5!#REF!</definedName>
    <definedName name="Legal" localSheetId="33">[1]Sheet5!#REF!</definedName>
    <definedName name="Legal" localSheetId="35">[17]Sheet5!#REF!</definedName>
    <definedName name="Legal" localSheetId="36">[18]Sheet5!#REF!</definedName>
    <definedName name="Legal" localSheetId="37">[18]Sheet5!#REF!</definedName>
    <definedName name="Legal" localSheetId="38">[19]Sheet5!#REF!</definedName>
    <definedName name="Legal" localSheetId="39">[17]Sheet5!#REF!</definedName>
    <definedName name="Legal" localSheetId="40">[17]Sheet5!#REF!</definedName>
    <definedName name="Legal" localSheetId="42">[20]Sheet5!#REF!</definedName>
    <definedName name="Legal" localSheetId="43">[19]Sheet5!#REF!</definedName>
    <definedName name="Legal" localSheetId="45">[17]Sheet5!#REF!</definedName>
    <definedName name="Legal" localSheetId="46">Sheet5!#REF!</definedName>
    <definedName name="Legal">Sheet5!#REF!</definedName>
    <definedName name="Likelihood" localSheetId="52">Dropdowns!#REF!</definedName>
    <definedName name="Likelihood" localSheetId="53">Dropdowns!#REF!</definedName>
    <definedName name="Likelihood" localSheetId="54">Dropdowns!#REF!</definedName>
    <definedName name="Likelihood" localSheetId="55">Dropdowns!#REF!</definedName>
    <definedName name="Likelihood" localSheetId="56">Dropdowns!#REF!</definedName>
    <definedName name="Likelihood" localSheetId="57">Dropdowns!#REF!</definedName>
    <definedName name="Likelihood" localSheetId="58">Dropdowns!#REF!</definedName>
    <definedName name="Likelihood" localSheetId="59">Dropdowns!#REF!</definedName>
    <definedName name="Likelihood" localSheetId="60">Dropdowns!#REF!</definedName>
    <definedName name="Likelihood" localSheetId="61">Dropdowns!#REF!</definedName>
    <definedName name="Likelihood" localSheetId="14">[1]Dropdowns!#REF!</definedName>
    <definedName name="Likelihood" localSheetId="15">[1]Dropdowns!#REF!</definedName>
    <definedName name="Likelihood" localSheetId="16">[2]Dropdowns!#REF!</definedName>
    <definedName name="Likelihood" localSheetId="17">[3]Dropdowns!#REF!</definedName>
    <definedName name="Likelihood" localSheetId="18">[1]Dropdowns!#REF!</definedName>
    <definedName name="Likelihood" localSheetId="19">[4]Dropdowns!#REF!</definedName>
    <definedName name="Likelihood" localSheetId="20">[5]Dropdowns!#REF!</definedName>
    <definedName name="Likelihood" localSheetId="21">[6]Dropdowns!#REF!</definedName>
    <definedName name="Likelihood" localSheetId="22">[7]Dropdowns!#REF!</definedName>
    <definedName name="Likelihood" localSheetId="23">[8]Dropdowns!#REF!</definedName>
    <definedName name="Likelihood" localSheetId="24">[9]Dropdowns!#REF!</definedName>
    <definedName name="Likelihood" localSheetId="25">[10]Dropdowns!#REF!</definedName>
    <definedName name="Likelihood" localSheetId="26">[11]Dropdowns!#REF!</definedName>
    <definedName name="Likelihood" localSheetId="27">[12]Dropdowns!#REF!</definedName>
    <definedName name="Likelihood" localSheetId="28">[13]Dropdowns!#REF!</definedName>
    <definedName name="Likelihood" localSheetId="29">[14]Dropdowns!#REF!</definedName>
    <definedName name="Likelihood" localSheetId="31">[15]Dropdowns!#REF!</definedName>
    <definedName name="Likelihood" localSheetId="32">[16]Dropdowns!#REF!</definedName>
    <definedName name="Likelihood" localSheetId="33">[1]Dropdowns!#REF!</definedName>
    <definedName name="Likelihood" localSheetId="35">[17]Dropdowns!#REF!</definedName>
    <definedName name="Likelihood" localSheetId="36">[18]Dropdowns!#REF!</definedName>
    <definedName name="Likelihood" localSheetId="37">[18]Dropdowns!#REF!</definedName>
    <definedName name="Likelihood" localSheetId="38">[19]Dropdowns!#REF!</definedName>
    <definedName name="Likelihood" localSheetId="39">[17]Dropdowns!#REF!</definedName>
    <definedName name="Likelihood" localSheetId="40">[17]Dropdowns!#REF!</definedName>
    <definedName name="Likelihood" localSheetId="42">[20]Dropdowns!#REF!</definedName>
    <definedName name="Likelihood" localSheetId="43">[19]Dropdowns!#REF!</definedName>
    <definedName name="Likelihood" localSheetId="45">[17]Dropdowns!#REF!</definedName>
    <definedName name="Likelihood" localSheetId="46">Dropdowns!#REF!</definedName>
    <definedName name="Likelihood">Dropdowns!#REF!</definedName>
    <definedName name="Limit" localSheetId="52">Dropdowns!#REF!</definedName>
    <definedName name="Limit" localSheetId="53">Dropdowns!#REF!</definedName>
    <definedName name="Limit" localSheetId="54">Dropdowns!#REF!</definedName>
    <definedName name="Limit" localSheetId="55">Dropdowns!#REF!</definedName>
    <definedName name="Limit" localSheetId="56">Dropdowns!#REF!</definedName>
    <definedName name="Limit" localSheetId="57">Dropdowns!#REF!</definedName>
    <definedName name="Limit" localSheetId="58">Dropdowns!#REF!</definedName>
    <definedName name="Limit" localSheetId="59">Dropdowns!#REF!</definedName>
    <definedName name="Limit" localSheetId="60">Dropdowns!#REF!</definedName>
    <definedName name="Limit" localSheetId="61">Dropdowns!#REF!</definedName>
    <definedName name="Limit" localSheetId="14">[1]Dropdowns!#REF!</definedName>
    <definedName name="Limit" localSheetId="15">[1]Dropdowns!#REF!</definedName>
    <definedName name="Limit" localSheetId="16">[2]Dropdowns!#REF!</definedName>
    <definedName name="Limit" localSheetId="17">[3]Dropdowns!#REF!</definedName>
    <definedName name="Limit" localSheetId="18">[1]Dropdowns!#REF!</definedName>
    <definedName name="Limit" localSheetId="19">[4]Dropdowns!#REF!</definedName>
    <definedName name="Limit" localSheetId="20">[5]Dropdowns!#REF!</definedName>
    <definedName name="Limit" localSheetId="21">[6]Dropdowns!#REF!</definedName>
    <definedName name="Limit" localSheetId="22">[7]Dropdowns!#REF!</definedName>
    <definedName name="Limit" localSheetId="23">[8]Dropdowns!#REF!</definedName>
    <definedName name="Limit" localSheetId="24">[9]Dropdowns!#REF!</definedName>
    <definedName name="Limit" localSheetId="25">[10]Dropdowns!#REF!</definedName>
    <definedName name="Limit" localSheetId="26">[11]Dropdowns!#REF!</definedName>
    <definedName name="Limit" localSheetId="27">[12]Dropdowns!#REF!</definedName>
    <definedName name="Limit" localSheetId="28">[13]Dropdowns!#REF!</definedName>
    <definedName name="Limit" localSheetId="29">[14]Dropdowns!#REF!</definedName>
    <definedName name="Limit" localSheetId="31">[15]Dropdowns!#REF!</definedName>
    <definedName name="Limit" localSheetId="32">[16]Dropdowns!#REF!</definedName>
    <definedName name="Limit" localSheetId="33">[1]Dropdowns!#REF!</definedName>
    <definedName name="Limit" localSheetId="35">[17]Dropdowns!#REF!</definedName>
    <definedName name="Limit" localSheetId="36">[18]Dropdowns!#REF!</definedName>
    <definedName name="Limit" localSheetId="37">[18]Dropdowns!#REF!</definedName>
    <definedName name="Limit" localSheetId="38">[19]Dropdowns!#REF!</definedName>
    <definedName name="Limit" localSheetId="39">[17]Dropdowns!#REF!</definedName>
    <definedName name="Limit" localSheetId="40">[17]Dropdowns!#REF!</definedName>
    <definedName name="Limit" localSheetId="42">[20]Dropdowns!#REF!</definedName>
    <definedName name="Limit" localSheetId="43">[19]Dropdowns!#REF!</definedName>
    <definedName name="Limit" localSheetId="45">[17]Dropdowns!#REF!</definedName>
    <definedName name="Limit" localSheetId="46">Dropdowns!#REF!</definedName>
    <definedName name="Limit">Dropdowns!#REF!</definedName>
    <definedName name="Liquidity">Sheet5!$B$49:$B$62</definedName>
    <definedName name="Litigations" localSheetId="52">Sheet5!#REF!</definedName>
    <definedName name="Litigations" localSheetId="53">Sheet5!#REF!</definedName>
    <definedName name="Litigations" localSheetId="54">Sheet5!#REF!</definedName>
    <definedName name="Litigations" localSheetId="55">Sheet5!#REF!</definedName>
    <definedName name="Litigations" localSheetId="56">Sheet5!#REF!</definedName>
    <definedName name="Litigations" localSheetId="57">Sheet5!#REF!</definedName>
    <definedName name="Litigations" localSheetId="58">Sheet5!#REF!</definedName>
    <definedName name="Litigations" localSheetId="59">Sheet5!#REF!</definedName>
    <definedName name="Litigations" localSheetId="60">Sheet5!#REF!</definedName>
    <definedName name="Litigations" localSheetId="61">Sheet5!#REF!</definedName>
    <definedName name="Litigations" localSheetId="14">[1]Sheet5!#REF!</definedName>
    <definedName name="Litigations" localSheetId="15">[1]Sheet5!#REF!</definedName>
    <definedName name="Litigations" localSheetId="16">[2]Sheet5!#REF!</definedName>
    <definedName name="Litigations" localSheetId="17">[3]Sheet5!#REF!</definedName>
    <definedName name="Litigations" localSheetId="18">[1]Sheet5!#REF!</definedName>
    <definedName name="Litigations" localSheetId="19">[4]Sheet5!#REF!</definedName>
    <definedName name="Litigations" localSheetId="20">[5]Sheet5!#REF!</definedName>
    <definedName name="Litigations" localSheetId="21">[6]Sheet5!#REF!</definedName>
    <definedName name="Litigations" localSheetId="22">[7]Sheet5!#REF!</definedName>
    <definedName name="Litigations" localSheetId="23">[8]Sheet5!#REF!</definedName>
    <definedName name="Litigations" localSheetId="24">[9]Sheet5!#REF!</definedName>
    <definedName name="Litigations" localSheetId="25">[10]Sheet5!#REF!</definedName>
    <definedName name="Litigations" localSheetId="26">[11]Sheet5!#REF!</definedName>
    <definedName name="Litigations" localSheetId="27">[12]Sheet5!#REF!</definedName>
    <definedName name="Litigations" localSheetId="28">[13]Sheet5!#REF!</definedName>
    <definedName name="Litigations" localSheetId="29">[14]Sheet5!#REF!</definedName>
    <definedName name="Litigations" localSheetId="31">[15]Sheet5!#REF!</definedName>
    <definedName name="Litigations" localSheetId="32">[16]Sheet5!#REF!</definedName>
    <definedName name="Litigations" localSheetId="33">[1]Sheet5!#REF!</definedName>
    <definedName name="Litigations" localSheetId="35">[17]Sheet5!#REF!</definedName>
    <definedName name="Litigations" localSheetId="36">[18]Sheet5!#REF!</definedName>
    <definedName name="Litigations" localSheetId="37">[18]Sheet5!#REF!</definedName>
    <definedName name="Litigations" localSheetId="38">[19]Sheet5!#REF!</definedName>
    <definedName name="Litigations" localSheetId="39">[17]Sheet5!#REF!</definedName>
    <definedName name="Litigations" localSheetId="40">[17]Sheet5!#REF!</definedName>
    <definedName name="Litigations" localSheetId="42">[20]Sheet5!#REF!</definedName>
    <definedName name="Litigations" localSheetId="43">[19]Sheet5!#REF!</definedName>
    <definedName name="Litigations" localSheetId="45">[17]Sheet5!#REF!</definedName>
    <definedName name="Litigations" localSheetId="46">Sheet5!#REF!</definedName>
    <definedName name="Litigations">Sheet5!#REF!</definedName>
    <definedName name="LOB" localSheetId="52">Dropdowns!#REF!</definedName>
    <definedName name="LOB" localSheetId="53">Dropdowns!#REF!</definedName>
    <definedName name="LOB" localSheetId="54">Dropdowns!#REF!</definedName>
    <definedName name="LOB" localSheetId="55">Dropdowns!#REF!</definedName>
    <definedName name="LOB" localSheetId="56">Dropdowns!#REF!</definedName>
    <definedName name="LOB" localSheetId="57">Dropdowns!#REF!</definedName>
    <definedName name="LOB" localSheetId="58">Dropdowns!#REF!</definedName>
    <definedName name="LOB" localSheetId="59">Dropdowns!#REF!</definedName>
    <definedName name="LOB" localSheetId="60">Dropdowns!#REF!</definedName>
    <definedName name="LOB" localSheetId="61">Dropdowns!#REF!</definedName>
    <definedName name="LOB" localSheetId="14">[1]Dropdowns!#REF!</definedName>
    <definedName name="LOB" localSheetId="15">[1]Dropdowns!#REF!</definedName>
    <definedName name="LOB" localSheetId="16">[2]Dropdowns!#REF!</definedName>
    <definedName name="LOB" localSheetId="17">[3]Dropdowns!#REF!</definedName>
    <definedName name="LOB" localSheetId="18">[1]Dropdowns!#REF!</definedName>
    <definedName name="LOB" localSheetId="19">[4]Dropdowns!#REF!</definedName>
    <definedName name="LOB" localSheetId="20">[5]Dropdowns!#REF!</definedName>
    <definedName name="LOB" localSheetId="21">[6]Dropdowns!#REF!</definedName>
    <definedName name="LOB" localSheetId="22">[7]Dropdowns!#REF!</definedName>
    <definedName name="LOB" localSheetId="23">[8]Dropdowns!#REF!</definedName>
    <definedName name="LOB" localSheetId="24">[9]Dropdowns!#REF!</definedName>
    <definedName name="LOB" localSheetId="25">[10]Dropdowns!#REF!</definedName>
    <definedName name="LOB" localSheetId="26">[11]Dropdowns!#REF!</definedName>
    <definedName name="LOB" localSheetId="27">[12]Dropdowns!#REF!</definedName>
    <definedName name="LOB" localSheetId="28">[13]Dropdowns!#REF!</definedName>
    <definedName name="LOB" localSheetId="29">[14]Dropdowns!#REF!</definedName>
    <definedName name="LOB" localSheetId="31">[15]Dropdowns!#REF!</definedName>
    <definedName name="LOB" localSheetId="32">[16]Dropdowns!#REF!</definedName>
    <definedName name="LOB" localSheetId="33">[1]Dropdowns!#REF!</definedName>
    <definedName name="LOB" localSheetId="35">[17]Dropdowns!#REF!</definedName>
    <definedName name="LOB" localSheetId="36">[18]Dropdowns!#REF!</definedName>
    <definedName name="LOB" localSheetId="37">[18]Dropdowns!#REF!</definedName>
    <definedName name="LOB" localSheetId="38">[19]Dropdowns!#REF!</definedName>
    <definedName name="LOB" localSheetId="39">[17]Dropdowns!#REF!</definedName>
    <definedName name="LOB" localSheetId="40">[17]Dropdowns!#REF!</definedName>
    <definedName name="LOB" localSheetId="42">[20]Dropdowns!#REF!</definedName>
    <definedName name="LOB" localSheetId="43">[19]Dropdowns!#REF!</definedName>
    <definedName name="LOB" localSheetId="45">[17]Dropdowns!#REF!</definedName>
    <definedName name="LOB" localSheetId="46">Dropdowns!#REF!</definedName>
    <definedName name="LOB">Dropdowns!#REF!</definedName>
    <definedName name="ManagementandOtherPersonnel" localSheetId="52">Sheet5!#REF!</definedName>
    <definedName name="ManagementandOtherPersonnel" localSheetId="53">Sheet5!#REF!</definedName>
    <definedName name="ManagementandOtherPersonnel" localSheetId="54">Sheet5!#REF!</definedName>
    <definedName name="ManagementandOtherPersonnel" localSheetId="55">Sheet5!#REF!</definedName>
    <definedName name="ManagementandOtherPersonnel" localSheetId="56">Sheet5!#REF!</definedName>
    <definedName name="ManagementandOtherPersonnel" localSheetId="57">Sheet5!#REF!</definedName>
    <definedName name="ManagementandOtherPersonnel" localSheetId="58">Sheet5!#REF!</definedName>
    <definedName name="ManagementandOtherPersonnel" localSheetId="59">Sheet5!#REF!</definedName>
    <definedName name="ManagementandOtherPersonnel" localSheetId="60">Sheet5!#REF!</definedName>
    <definedName name="ManagementandOtherPersonnel" localSheetId="61">Sheet5!#REF!</definedName>
    <definedName name="ManagementandOtherPersonnel" localSheetId="14">[1]Sheet5!#REF!</definedName>
    <definedName name="ManagementandOtherPersonnel" localSheetId="15">[1]Sheet5!#REF!</definedName>
    <definedName name="ManagementandOtherPersonnel" localSheetId="16">[2]Sheet5!#REF!</definedName>
    <definedName name="ManagementandOtherPersonnel" localSheetId="17">[3]Sheet5!#REF!</definedName>
    <definedName name="ManagementandOtherPersonnel" localSheetId="18">[1]Sheet5!#REF!</definedName>
    <definedName name="ManagementandOtherPersonnel" localSheetId="19">[4]Sheet5!#REF!</definedName>
    <definedName name="ManagementandOtherPersonnel" localSheetId="20">[5]Sheet5!#REF!</definedName>
    <definedName name="ManagementandOtherPersonnel" localSheetId="21">[6]Sheet5!#REF!</definedName>
    <definedName name="ManagementandOtherPersonnel" localSheetId="22">[7]Sheet5!#REF!</definedName>
    <definedName name="ManagementandOtherPersonnel" localSheetId="23">[8]Sheet5!#REF!</definedName>
    <definedName name="ManagementandOtherPersonnel" localSheetId="24">[9]Sheet5!#REF!</definedName>
    <definedName name="ManagementandOtherPersonnel" localSheetId="25">[10]Sheet5!#REF!</definedName>
    <definedName name="ManagementandOtherPersonnel" localSheetId="26">[11]Sheet5!#REF!</definedName>
    <definedName name="ManagementandOtherPersonnel" localSheetId="27">[12]Sheet5!#REF!</definedName>
    <definedName name="ManagementandOtherPersonnel" localSheetId="28">[13]Sheet5!#REF!</definedName>
    <definedName name="ManagementandOtherPersonnel" localSheetId="29">[14]Sheet5!#REF!</definedName>
    <definedName name="ManagementandOtherPersonnel" localSheetId="31">[15]Sheet5!#REF!</definedName>
    <definedName name="ManagementandOtherPersonnel" localSheetId="32">[16]Sheet5!#REF!</definedName>
    <definedName name="ManagementandOtherPersonnel" localSheetId="33">[1]Sheet5!#REF!</definedName>
    <definedName name="ManagementandOtherPersonnel" localSheetId="35">[17]Sheet5!#REF!</definedName>
    <definedName name="ManagementandOtherPersonnel" localSheetId="36">[18]Sheet5!#REF!</definedName>
    <definedName name="ManagementandOtherPersonnel" localSheetId="37">[18]Sheet5!#REF!</definedName>
    <definedName name="ManagementandOtherPersonnel" localSheetId="38">[19]Sheet5!#REF!</definedName>
    <definedName name="ManagementandOtherPersonnel" localSheetId="39">[17]Sheet5!#REF!</definedName>
    <definedName name="ManagementandOtherPersonnel" localSheetId="40">[17]Sheet5!#REF!</definedName>
    <definedName name="ManagementandOtherPersonnel" localSheetId="42">[20]Sheet5!#REF!</definedName>
    <definedName name="ManagementandOtherPersonnel" localSheetId="43">[19]Sheet5!#REF!</definedName>
    <definedName name="ManagementandOtherPersonnel" localSheetId="45">[17]Sheet5!#REF!</definedName>
    <definedName name="ManagementandOtherPersonnel" localSheetId="46">Sheet5!#REF!</definedName>
    <definedName name="ManagementandOtherPersonnel">Sheet5!#REF!</definedName>
    <definedName name="ManagementInformationSystems" localSheetId="52">Sheet5!#REF!</definedName>
    <definedName name="ManagementInformationSystems" localSheetId="53">Sheet5!#REF!</definedName>
    <definedName name="ManagementInformationSystems" localSheetId="54">Sheet5!#REF!</definedName>
    <definedName name="ManagementInformationSystems" localSheetId="55">Sheet5!#REF!</definedName>
    <definedName name="ManagementInformationSystems" localSheetId="56">Sheet5!#REF!</definedName>
    <definedName name="ManagementInformationSystems" localSheetId="57">Sheet5!#REF!</definedName>
    <definedName name="ManagementInformationSystems" localSheetId="58">Sheet5!#REF!</definedName>
    <definedName name="ManagementInformationSystems" localSheetId="59">Sheet5!#REF!</definedName>
    <definedName name="ManagementInformationSystems" localSheetId="60">Sheet5!#REF!</definedName>
    <definedName name="ManagementInformationSystems" localSheetId="61">Sheet5!#REF!</definedName>
    <definedName name="ManagementInformationSystems" localSheetId="14">[1]Sheet5!#REF!</definedName>
    <definedName name="ManagementInformationSystems" localSheetId="15">[1]Sheet5!#REF!</definedName>
    <definedName name="ManagementInformationSystems" localSheetId="16">[2]Sheet5!#REF!</definedName>
    <definedName name="ManagementInformationSystems" localSheetId="17">[3]Sheet5!#REF!</definedName>
    <definedName name="ManagementInformationSystems" localSheetId="18">[1]Sheet5!#REF!</definedName>
    <definedName name="ManagementInformationSystems" localSheetId="19">[4]Sheet5!#REF!</definedName>
    <definedName name="ManagementInformationSystems" localSheetId="20">[5]Sheet5!#REF!</definedName>
    <definedName name="ManagementInformationSystems" localSheetId="21">[6]Sheet5!#REF!</definedName>
    <definedName name="ManagementInformationSystems" localSheetId="22">[7]Sheet5!#REF!</definedName>
    <definedName name="ManagementInformationSystems" localSheetId="23">[8]Sheet5!#REF!</definedName>
    <definedName name="ManagementInformationSystems" localSheetId="24">[9]Sheet5!#REF!</definedName>
    <definedName name="ManagementInformationSystems" localSheetId="25">[10]Sheet5!#REF!</definedName>
    <definedName name="ManagementInformationSystems" localSheetId="26">[11]Sheet5!#REF!</definedName>
    <definedName name="ManagementInformationSystems" localSheetId="27">[12]Sheet5!#REF!</definedName>
    <definedName name="ManagementInformationSystems" localSheetId="28">[13]Sheet5!#REF!</definedName>
    <definedName name="ManagementInformationSystems" localSheetId="29">[14]Sheet5!#REF!</definedName>
    <definedName name="ManagementInformationSystems" localSheetId="31">[15]Sheet5!#REF!</definedName>
    <definedName name="ManagementInformationSystems" localSheetId="32">[16]Sheet5!#REF!</definedName>
    <definedName name="ManagementInformationSystems" localSheetId="33">[1]Sheet5!#REF!</definedName>
    <definedName name="ManagementInformationSystems" localSheetId="35">[17]Sheet5!#REF!</definedName>
    <definedName name="ManagementInformationSystems" localSheetId="36">[18]Sheet5!#REF!</definedName>
    <definedName name="ManagementInformationSystems" localSheetId="37">[18]Sheet5!#REF!</definedName>
    <definedName name="ManagementInformationSystems" localSheetId="38">[19]Sheet5!#REF!</definedName>
    <definedName name="ManagementInformationSystems" localSheetId="39">[17]Sheet5!#REF!</definedName>
    <definedName name="ManagementInformationSystems" localSheetId="40">[17]Sheet5!#REF!</definedName>
    <definedName name="ManagementInformationSystems" localSheetId="42">[20]Sheet5!#REF!</definedName>
    <definedName name="ManagementInformationSystems" localSheetId="43">[19]Sheet5!#REF!</definedName>
    <definedName name="ManagementInformationSystems" localSheetId="45">[17]Sheet5!#REF!</definedName>
    <definedName name="ManagementInformationSystems" localSheetId="46">Sheet5!#REF!</definedName>
    <definedName name="ManagementInformationSystems">Sheet5!#REF!</definedName>
    <definedName name="Market">Sheet5!$B$63:$B$73</definedName>
    <definedName name="MarketBasisRisk" localSheetId="52">Sheet5!#REF!</definedName>
    <definedName name="MarketBasisRisk" localSheetId="53">Sheet5!#REF!</definedName>
    <definedName name="MarketBasisRisk" localSheetId="54">Sheet5!#REF!</definedName>
    <definedName name="MarketBasisRisk" localSheetId="55">Sheet5!#REF!</definedName>
    <definedName name="MarketBasisRisk" localSheetId="56">Sheet5!#REF!</definedName>
    <definedName name="MarketBasisRisk" localSheetId="57">Sheet5!#REF!</definedName>
    <definedName name="MarketBasisRisk" localSheetId="58">Sheet5!#REF!</definedName>
    <definedName name="MarketBasisRisk" localSheetId="59">Sheet5!#REF!</definedName>
    <definedName name="MarketBasisRisk" localSheetId="60">Sheet5!#REF!</definedName>
    <definedName name="MarketBasisRisk" localSheetId="61">Sheet5!#REF!</definedName>
    <definedName name="MarketBasisRisk" localSheetId="14">[1]Sheet5!#REF!</definedName>
    <definedName name="MarketBasisRisk" localSheetId="15">[1]Sheet5!#REF!</definedName>
    <definedName name="MarketBasisRisk" localSheetId="16">[2]Sheet5!#REF!</definedName>
    <definedName name="MarketBasisRisk" localSheetId="17">[3]Sheet5!#REF!</definedName>
    <definedName name="MarketBasisRisk" localSheetId="18">[1]Sheet5!#REF!</definedName>
    <definedName name="MarketBasisRisk" localSheetId="19">[4]Sheet5!#REF!</definedName>
    <definedName name="MarketBasisRisk" localSheetId="20">[5]Sheet5!#REF!</definedName>
    <definedName name="MarketBasisRisk" localSheetId="21">[6]Sheet5!#REF!</definedName>
    <definedName name="MarketBasisRisk" localSheetId="22">[7]Sheet5!#REF!</definedName>
    <definedName name="MarketBasisRisk" localSheetId="23">[8]Sheet5!#REF!</definedName>
    <definedName name="MarketBasisRisk" localSheetId="24">[9]Sheet5!#REF!</definedName>
    <definedName name="MarketBasisRisk" localSheetId="25">[10]Sheet5!#REF!</definedName>
    <definedName name="MarketBasisRisk" localSheetId="26">[11]Sheet5!#REF!</definedName>
    <definedName name="MarketBasisRisk" localSheetId="27">[12]Sheet5!#REF!</definedName>
    <definedName name="MarketBasisRisk" localSheetId="28">[13]Sheet5!#REF!</definedName>
    <definedName name="MarketBasisRisk" localSheetId="29">[14]Sheet5!#REF!</definedName>
    <definedName name="MarketBasisRisk" localSheetId="31">[15]Sheet5!#REF!</definedName>
    <definedName name="MarketBasisRisk" localSheetId="32">[16]Sheet5!#REF!</definedName>
    <definedName name="MarketBasisRisk" localSheetId="33">[1]Sheet5!#REF!</definedName>
    <definedName name="MarketBasisRisk" localSheetId="35">[17]Sheet5!#REF!</definedName>
    <definedName name="MarketBasisRisk" localSheetId="36">[18]Sheet5!#REF!</definedName>
    <definedName name="MarketBasisRisk" localSheetId="37">[18]Sheet5!#REF!</definedName>
    <definedName name="MarketBasisRisk" localSheetId="38">[19]Sheet5!#REF!</definedName>
    <definedName name="MarketBasisRisk" localSheetId="39">[17]Sheet5!#REF!</definedName>
    <definedName name="MarketBasisRisk" localSheetId="40">[17]Sheet5!#REF!</definedName>
    <definedName name="MarketBasisRisk" localSheetId="42">[20]Sheet5!#REF!</definedName>
    <definedName name="MarketBasisRisk" localSheetId="43">[19]Sheet5!#REF!</definedName>
    <definedName name="MarketBasisRisk" localSheetId="45">[17]Sheet5!#REF!</definedName>
    <definedName name="MarketBasisRisk" localSheetId="46">Sheet5!#REF!</definedName>
    <definedName name="MarketBasisRisk">Sheet5!#REF!</definedName>
    <definedName name="MarketCorrelationRisk" localSheetId="52">Sheet5!#REF!</definedName>
    <definedName name="MarketCorrelationRisk" localSheetId="53">Sheet5!#REF!</definedName>
    <definedName name="MarketCorrelationRisk" localSheetId="54">Sheet5!#REF!</definedName>
    <definedName name="MarketCorrelationRisk" localSheetId="55">Sheet5!#REF!</definedName>
    <definedName name="MarketCorrelationRisk" localSheetId="56">Sheet5!#REF!</definedName>
    <definedName name="MarketCorrelationRisk" localSheetId="57">Sheet5!#REF!</definedName>
    <definedName name="MarketCorrelationRisk" localSheetId="58">Sheet5!#REF!</definedName>
    <definedName name="MarketCorrelationRisk" localSheetId="59">Sheet5!#REF!</definedName>
    <definedName name="MarketCorrelationRisk" localSheetId="60">Sheet5!#REF!</definedName>
    <definedName name="MarketCorrelationRisk" localSheetId="61">Sheet5!#REF!</definedName>
    <definedName name="MarketCorrelationRisk" localSheetId="14">[1]Sheet5!#REF!</definedName>
    <definedName name="MarketCorrelationRisk" localSheetId="15">[1]Sheet5!#REF!</definedName>
    <definedName name="MarketCorrelationRisk" localSheetId="16">[2]Sheet5!#REF!</definedName>
    <definedName name="MarketCorrelationRisk" localSheetId="17">[3]Sheet5!#REF!</definedName>
    <definedName name="MarketCorrelationRisk" localSheetId="18">[1]Sheet5!#REF!</definedName>
    <definedName name="MarketCorrelationRisk" localSheetId="19">[4]Sheet5!#REF!</definedName>
    <definedName name="MarketCorrelationRisk" localSheetId="20">[5]Sheet5!#REF!</definedName>
    <definedName name="MarketCorrelationRisk" localSheetId="21">[6]Sheet5!#REF!</definedName>
    <definedName name="MarketCorrelationRisk" localSheetId="22">[7]Sheet5!#REF!</definedName>
    <definedName name="MarketCorrelationRisk" localSheetId="23">[8]Sheet5!#REF!</definedName>
    <definedName name="MarketCorrelationRisk" localSheetId="24">[9]Sheet5!#REF!</definedName>
    <definedName name="MarketCorrelationRisk" localSheetId="25">[10]Sheet5!#REF!</definedName>
    <definedName name="MarketCorrelationRisk" localSheetId="26">[11]Sheet5!#REF!</definedName>
    <definedName name="MarketCorrelationRisk" localSheetId="27">[12]Sheet5!#REF!</definedName>
    <definedName name="MarketCorrelationRisk" localSheetId="28">[13]Sheet5!#REF!</definedName>
    <definedName name="MarketCorrelationRisk" localSheetId="29">[14]Sheet5!#REF!</definedName>
    <definedName name="MarketCorrelationRisk" localSheetId="31">[15]Sheet5!#REF!</definedName>
    <definedName name="MarketCorrelationRisk" localSheetId="32">[16]Sheet5!#REF!</definedName>
    <definedName name="MarketCorrelationRisk" localSheetId="33">[1]Sheet5!#REF!</definedName>
    <definedName name="MarketCorrelationRisk" localSheetId="35">[17]Sheet5!#REF!</definedName>
    <definedName name="MarketCorrelationRisk" localSheetId="36">[18]Sheet5!#REF!</definedName>
    <definedName name="MarketCorrelationRisk" localSheetId="37">[18]Sheet5!#REF!</definedName>
    <definedName name="MarketCorrelationRisk" localSheetId="38">[19]Sheet5!#REF!</definedName>
    <definedName name="MarketCorrelationRisk" localSheetId="39">[17]Sheet5!#REF!</definedName>
    <definedName name="MarketCorrelationRisk" localSheetId="40">[17]Sheet5!#REF!</definedName>
    <definedName name="MarketCorrelationRisk" localSheetId="42">[20]Sheet5!#REF!</definedName>
    <definedName name="MarketCorrelationRisk" localSheetId="43">[19]Sheet5!#REF!</definedName>
    <definedName name="MarketCorrelationRisk" localSheetId="45">[17]Sheet5!#REF!</definedName>
    <definedName name="MarketCorrelationRisk" localSheetId="46">Sheet5!#REF!</definedName>
    <definedName name="MarketCorrelationRisk">Sheet5!#REF!</definedName>
    <definedName name="MarketExternalFactors" localSheetId="52">Sheet5!#REF!</definedName>
    <definedName name="MarketExternalFactors" localSheetId="53">Sheet5!#REF!</definedName>
    <definedName name="MarketExternalFactors" localSheetId="54">Sheet5!#REF!</definedName>
    <definedName name="MarketExternalFactors" localSheetId="55">Sheet5!#REF!</definedName>
    <definedName name="MarketExternalFactors" localSheetId="56">Sheet5!#REF!</definedName>
    <definedName name="MarketExternalFactors" localSheetId="57">Sheet5!#REF!</definedName>
    <definedName name="MarketExternalFactors" localSheetId="58">Sheet5!#REF!</definedName>
    <definedName name="MarketExternalFactors" localSheetId="59">Sheet5!#REF!</definedName>
    <definedName name="MarketExternalFactors" localSheetId="60">Sheet5!#REF!</definedName>
    <definedName name="MarketExternalFactors" localSheetId="61">Sheet5!#REF!</definedName>
    <definedName name="MarketExternalFactors" localSheetId="14">[1]Sheet5!#REF!</definedName>
    <definedName name="MarketExternalFactors" localSheetId="15">[1]Sheet5!#REF!</definedName>
    <definedName name="MarketExternalFactors" localSheetId="16">[2]Sheet5!#REF!</definedName>
    <definedName name="MarketExternalFactors" localSheetId="17">[3]Sheet5!#REF!</definedName>
    <definedName name="MarketExternalFactors" localSheetId="18">[1]Sheet5!#REF!</definedName>
    <definedName name="MarketExternalFactors" localSheetId="19">[4]Sheet5!#REF!</definedName>
    <definedName name="MarketExternalFactors" localSheetId="20">[5]Sheet5!#REF!</definedName>
    <definedName name="MarketExternalFactors" localSheetId="21">[6]Sheet5!#REF!</definedName>
    <definedName name="MarketExternalFactors" localSheetId="22">[7]Sheet5!#REF!</definedName>
    <definedName name="MarketExternalFactors" localSheetId="23">[8]Sheet5!#REF!</definedName>
    <definedName name="MarketExternalFactors" localSheetId="24">[9]Sheet5!#REF!</definedName>
    <definedName name="MarketExternalFactors" localSheetId="25">[10]Sheet5!#REF!</definedName>
    <definedName name="MarketExternalFactors" localSheetId="26">[11]Sheet5!#REF!</definedName>
    <definedName name="MarketExternalFactors" localSheetId="27">[12]Sheet5!#REF!</definedName>
    <definedName name="MarketExternalFactors" localSheetId="28">[13]Sheet5!#REF!</definedName>
    <definedName name="MarketExternalFactors" localSheetId="29">[14]Sheet5!#REF!</definedName>
    <definedName name="MarketExternalFactors" localSheetId="31">[15]Sheet5!#REF!</definedName>
    <definedName name="MarketExternalFactors" localSheetId="32">[16]Sheet5!#REF!</definedName>
    <definedName name="MarketExternalFactors" localSheetId="33">[1]Sheet5!#REF!</definedName>
    <definedName name="MarketExternalFactors" localSheetId="35">[17]Sheet5!#REF!</definedName>
    <definedName name="MarketExternalFactors" localSheetId="36">[18]Sheet5!#REF!</definedName>
    <definedName name="MarketExternalFactors" localSheetId="37">[18]Sheet5!#REF!</definedName>
    <definedName name="MarketExternalFactors" localSheetId="38">[19]Sheet5!#REF!</definedName>
    <definedName name="MarketExternalFactors" localSheetId="39">[17]Sheet5!#REF!</definedName>
    <definedName name="MarketExternalFactors" localSheetId="40">[17]Sheet5!#REF!</definedName>
    <definedName name="MarketExternalFactors" localSheetId="42">[20]Sheet5!#REF!</definedName>
    <definedName name="MarketExternalFactors" localSheetId="43">[19]Sheet5!#REF!</definedName>
    <definedName name="MarketExternalFactors" localSheetId="45">[17]Sheet5!#REF!</definedName>
    <definedName name="MarketExternalFactors" localSheetId="46">Sheet5!#REF!</definedName>
    <definedName name="MarketExternalFactors">Sheet5!#REF!</definedName>
    <definedName name="MarketLiquidity" localSheetId="52">Sheet5!#REF!</definedName>
    <definedName name="MarketLiquidity" localSheetId="53">Sheet5!#REF!</definedName>
    <definedName name="MarketLiquidity" localSheetId="54">Sheet5!#REF!</definedName>
    <definedName name="MarketLiquidity" localSheetId="55">Sheet5!#REF!</definedName>
    <definedName name="MarketLiquidity" localSheetId="56">Sheet5!#REF!</definedName>
    <definedName name="MarketLiquidity" localSheetId="57">Sheet5!#REF!</definedName>
    <definedName name="MarketLiquidity" localSheetId="58">Sheet5!#REF!</definedName>
    <definedName name="MarketLiquidity" localSheetId="59">Sheet5!#REF!</definedName>
    <definedName name="MarketLiquidity" localSheetId="60">Sheet5!#REF!</definedName>
    <definedName name="MarketLiquidity" localSheetId="61">Sheet5!#REF!</definedName>
    <definedName name="MarketLiquidity" localSheetId="14">[1]Sheet5!#REF!</definedName>
    <definedName name="MarketLiquidity" localSheetId="15">[1]Sheet5!#REF!</definedName>
    <definedName name="MarketLiquidity" localSheetId="16">[2]Sheet5!#REF!</definedName>
    <definedName name="MarketLiquidity" localSheetId="17">[3]Sheet5!#REF!</definedName>
    <definedName name="MarketLiquidity" localSheetId="18">[1]Sheet5!#REF!</definedName>
    <definedName name="MarketLiquidity" localSheetId="19">[4]Sheet5!#REF!</definedName>
    <definedName name="MarketLiquidity" localSheetId="20">[5]Sheet5!#REF!</definedName>
    <definedName name="MarketLiquidity" localSheetId="21">[6]Sheet5!#REF!</definedName>
    <definedName name="MarketLiquidity" localSheetId="22">[7]Sheet5!#REF!</definedName>
    <definedName name="MarketLiquidity" localSheetId="23">[8]Sheet5!#REF!</definedName>
    <definedName name="MarketLiquidity" localSheetId="24">[9]Sheet5!#REF!</definedName>
    <definedName name="MarketLiquidity" localSheetId="25">[10]Sheet5!#REF!</definedName>
    <definedName name="MarketLiquidity" localSheetId="26">[11]Sheet5!#REF!</definedName>
    <definedName name="MarketLiquidity" localSheetId="27">[12]Sheet5!#REF!</definedName>
    <definedName name="MarketLiquidity" localSheetId="28">[13]Sheet5!#REF!</definedName>
    <definedName name="MarketLiquidity" localSheetId="29">[14]Sheet5!#REF!</definedName>
    <definedName name="MarketLiquidity" localSheetId="31">[15]Sheet5!#REF!</definedName>
    <definedName name="MarketLiquidity" localSheetId="32">[16]Sheet5!#REF!</definedName>
    <definedName name="MarketLiquidity" localSheetId="33">[1]Sheet5!#REF!</definedName>
    <definedName name="MarketLiquidity" localSheetId="35">[17]Sheet5!#REF!</definedName>
    <definedName name="MarketLiquidity" localSheetId="36">[18]Sheet5!#REF!</definedName>
    <definedName name="MarketLiquidity" localSheetId="37">[18]Sheet5!#REF!</definedName>
    <definedName name="MarketLiquidity" localSheetId="38">[19]Sheet5!#REF!</definedName>
    <definedName name="MarketLiquidity" localSheetId="39">[17]Sheet5!#REF!</definedName>
    <definedName name="MarketLiquidity" localSheetId="40">[17]Sheet5!#REF!</definedName>
    <definedName name="MarketLiquidity" localSheetId="42">[20]Sheet5!#REF!</definedName>
    <definedName name="MarketLiquidity" localSheetId="43">[19]Sheet5!#REF!</definedName>
    <definedName name="MarketLiquidity" localSheetId="45">[17]Sheet5!#REF!</definedName>
    <definedName name="MarketLiquidity" localSheetId="46">Sheet5!#REF!</definedName>
    <definedName name="MarketLiquidity">Sheet5!#REF!</definedName>
    <definedName name="Misuse" localSheetId="52">Sheet5!#REF!</definedName>
    <definedName name="Misuse" localSheetId="53">Sheet5!#REF!</definedName>
    <definedName name="Misuse" localSheetId="54">Sheet5!#REF!</definedName>
    <definedName name="Misuse" localSheetId="55">Sheet5!#REF!</definedName>
    <definedName name="Misuse" localSheetId="56">Sheet5!#REF!</definedName>
    <definedName name="Misuse" localSheetId="57">Sheet5!#REF!</definedName>
    <definedName name="Misuse" localSheetId="58">Sheet5!#REF!</definedName>
    <definedName name="Misuse" localSheetId="59">Sheet5!#REF!</definedName>
    <definedName name="Misuse" localSheetId="60">Sheet5!#REF!</definedName>
    <definedName name="Misuse" localSheetId="61">Sheet5!#REF!</definedName>
    <definedName name="Misuse" localSheetId="14">[1]Sheet5!#REF!</definedName>
    <definedName name="Misuse" localSheetId="15">[1]Sheet5!#REF!</definedName>
    <definedName name="Misuse" localSheetId="16">[2]Sheet5!#REF!</definedName>
    <definedName name="Misuse" localSheetId="17">[3]Sheet5!#REF!</definedName>
    <definedName name="Misuse" localSheetId="18">[1]Sheet5!#REF!</definedName>
    <definedName name="Misuse" localSheetId="19">[4]Sheet5!#REF!</definedName>
    <definedName name="Misuse" localSheetId="20">[5]Sheet5!#REF!</definedName>
    <definedName name="Misuse" localSheetId="21">[6]Sheet5!#REF!</definedName>
    <definedName name="Misuse" localSheetId="22">[7]Sheet5!#REF!</definedName>
    <definedName name="Misuse" localSheetId="23">[8]Sheet5!#REF!</definedName>
    <definedName name="Misuse" localSheetId="24">[9]Sheet5!#REF!</definedName>
    <definedName name="Misuse" localSheetId="25">[10]Sheet5!#REF!</definedName>
    <definedName name="Misuse" localSheetId="26">[11]Sheet5!#REF!</definedName>
    <definedName name="Misuse" localSheetId="27">[12]Sheet5!#REF!</definedName>
    <definedName name="Misuse" localSheetId="28">[13]Sheet5!#REF!</definedName>
    <definedName name="Misuse" localSheetId="29">[14]Sheet5!#REF!</definedName>
    <definedName name="Misuse" localSheetId="31">[15]Sheet5!#REF!</definedName>
    <definedName name="Misuse" localSheetId="32">[16]Sheet5!#REF!</definedName>
    <definedName name="Misuse" localSheetId="33">[1]Sheet5!#REF!</definedName>
    <definedName name="Misuse" localSheetId="35">[17]Sheet5!#REF!</definedName>
    <definedName name="Misuse" localSheetId="36">[18]Sheet5!#REF!</definedName>
    <definedName name="Misuse" localSheetId="37">[18]Sheet5!#REF!</definedName>
    <definedName name="Misuse" localSheetId="38">[19]Sheet5!#REF!</definedName>
    <definedName name="Misuse" localSheetId="39">[17]Sheet5!#REF!</definedName>
    <definedName name="Misuse" localSheetId="40">[17]Sheet5!#REF!</definedName>
    <definedName name="Misuse" localSheetId="42">[20]Sheet5!#REF!</definedName>
    <definedName name="Misuse" localSheetId="43">[19]Sheet5!#REF!</definedName>
    <definedName name="Misuse" localSheetId="45">[17]Sheet5!#REF!</definedName>
    <definedName name="Misuse" localSheetId="46">Sheet5!#REF!</definedName>
    <definedName name="Misuse">Sheet5!#REF!</definedName>
    <definedName name="Model">Sheet5!$B$74:$B$78</definedName>
    <definedName name="ModelTraining" localSheetId="52">Sheet5!#REF!</definedName>
    <definedName name="ModelTraining" localSheetId="53">Sheet5!#REF!</definedName>
    <definedName name="ModelTraining" localSheetId="54">Sheet5!#REF!</definedName>
    <definedName name="ModelTraining" localSheetId="55">Sheet5!#REF!</definedName>
    <definedName name="ModelTraining" localSheetId="56">Sheet5!#REF!</definedName>
    <definedName name="ModelTraining" localSheetId="57">Sheet5!#REF!</definedName>
    <definedName name="ModelTraining" localSheetId="58">Sheet5!#REF!</definedName>
    <definedName name="ModelTraining" localSheetId="59">Sheet5!#REF!</definedName>
    <definedName name="ModelTraining" localSheetId="60">Sheet5!#REF!</definedName>
    <definedName name="ModelTraining" localSheetId="61">Sheet5!#REF!</definedName>
    <definedName name="ModelTraining" localSheetId="14">[1]Sheet5!#REF!</definedName>
    <definedName name="ModelTraining" localSheetId="15">[1]Sheet5!#REF!</definedName>
    <definedName name="ModelTraining" localSheetId="16">[2]Sheet5!#REF!</definedName>
    <definedName name="ModelTraining" localSheetId="17">[3]Sheet5!#REF!</definedName>
    <definedName name="ModelTraining" localSheetId="18">[1]Sheet5!#REF!</definedName>
    <definedName name="ModelTraining" localSheetId="19">[4]Sheet5!#REF!</definedName>
    <definedName name="ModelTraining" localSheetId="20">[5]Sheet5!#REF!</definedName>
    <definedName name="ModelTraining" localSheetId="21">[6]Sheet5!#REF!</definedName>
    <definedName name="ModelTraining" localSheetId="22">[7]Sheet5!#REF!</definedName>
    <definedName name="ModelTraining" localSheetId="23">[8]Sheet5!#REF!</definedName>
    <definedName name="ModelTraining" localSheetId="24">[9]Sheet5!#REF!</definedName>
    <definedName name="ModelTraining" localSheetId="25">[10]Sheet5!#REF!</definedName>
    <definedName name="ModelTraining" localSheetId="26">[11]Sheet5!#REF!</definedName>
    <definedName name="ModelTraining" localSheetId="27">[12]Sheet5!#REF!</definedName>
    <definedName name="ModelTraining" localSheetId="28">[13]Sheet5!#REF!</definedName>
    <definedName name="ModelTraining" localSheetId="29">[14]Sheet5!#REF!</definedName>
    <definedName name="ModelTraining" localSheetId="31">[15]Sheet5!#REF!</definedName>
    <definedName name="ModelTraining" localSheetId="32">[16]Sheet5!#REF!</definedName>
    <definedName name="ModelTraining" localSheetId="33">[1]Sheet5!#REF!</definedName>
    <definedName name="ModelTraining" localSheetId="35">[17]Sheet5!#REF!</definedName>
    <definedName name="ModelTraining" localSheetId="36">[18]Sheet5!#REF!</definedName>
    <definedName name="ModelTraining" localSheetId="37">[18]Sheet5!#REF!</definedName>
    <definedName name="ModelTraining" localSheetId="38">[19]Sheet5!#REF!</definedName>
    <definedName name="ModelTraining" localSheetId="39">[17]Sheet5!#REF!</definedName>
    <definedName name="ModelTraining" localSheetId="40">[17]Sheet5!#REF!</definedName>
    <definedName name="ModelTraining" localSheetId="42">[20]Sheet5!#REF!</definedName>
    <definedName name="ModelTraining" localSheetId="43">[19]Sheet5!#REF!</definedName>
    <definedName name="ModelTraining" localSheetId="45">[17]Sheet5!#REF!</definedName>
    <definedName name="ModelTraining" localSheetId="46">Sheet5!#REF!</definedName>
    <definedName name="ModelTraining">Sheet5!#REF!</definedName>
    <definedName name="MT" localSheetId="52">Dropdowns!#REF!</definedName>
    <definedName name="MT" localSheetId="53">Dropdowns!#REF!</definedName>
    <definedName name="MT" localSheetId="54">Dropdowns!#REF!</definedName>
    <definedName name="MT" localSheetId="55">Dropdowns!#REF!</definedName>
    <definedName name="MT" localSheetId="56">Dropdowns!#REF!</definedName>
    <definedName name="MT" localSheetId="57">Dropdowns!#REF!</definedName>
    <definedName name="MT" localSheetId="58">Dropdowns!#REF!</definedName>
    <definedName name="MT" localSheetId="59">Dropdowns!#REF!</definedName>
    <definedName name="MT" localSheetId="60">Dropdowns!#REF!</definedName>
    <definedName name="MT" localSheetId="61">Dropdowns!#REF!</definedName>
    <definedName name="MT" localSheetId="14">[1]Dropdowns!#REF!</definedName>
    <definedName name="MT" localSheetId="15">[1]Dropdowns!#REF!</definedName>
    <definedName name="MT" localSheetId="16">[2]Dropdowns!#REF!</definedName>
    <definedName name="MT" localSheetId="17">[3]Dropdowns!#REF!</definedName>
    <definedName name="MT" localSheetId="18">[1]Dropdowns!#REF!</definedName>
    <definedName name="MT" localSheetId="19">[4]Dropdowns!#REF!</definedName>
    <definedName name="MT" localSheetId="20">[5]Dropdowns!#REF!</definedName>
    <definedName name="MT" localSheetId="21">[6]Dropdowns!#REF!</definedName>
    <definedName name="MT" localSheetId="22">[7]Dropdowns!#REF!</definedName>
    <definedName name="MT" localSheetId="23">[8]Dropdowns!#REF!</definedName>
    <definedName name="MT" localSheetId="24">[9]Dropdowns!#REF!</definedName>
    <definedName name="MT" localSheetId="25">[10]Dropdowns!#REF!</definedName>
    <definedName name="MT" localSheetId="26">[11]Dropdowns!#REF!</definedName>
    <definedName name="MT" localSheetId="27">[12]Dropdowns!#REF!</definedName>
    <definedName name="MT" localSheetId="28">[13]Dropdowns!#REF!</definedName>
    <definedName name="MT" localSheetId="29">[14]Dropdowns!#REF!</definedName>
    <definedName name="MT" localSheetId="31">[15]Dropdowns!#REF!</definedName>
    <definedName name="MT" localSheetId="32">[16]Dropdowns!#REF!</definedName>
    <definedName name="MT" localSheetId="33">[1]Dropdowns!#REF!</definedName>
    <definedName name="MT" localSheetId="35">[17]Dropdowns!#REF!</definedName>
    <definedName name="MT" localSheetId="36">[18]Dropdowns!#REF!</definedName>
    <definedName name="MT" localSheetId="37">[18]Dropdowns!#REF!</definedName>
    <definedName name="MT" localSheetId="38">[19]Dropdowns!#REF!</definedName>
    <definedName name="MT" localSheetId="39">[17]Dropdowns!#REF!</definedName>
    <definedName name="MT" localSheetId="40">[17]Dropdowns!#REF!</definedName>
    <definedName name="MT" localSheetId="42">[20]Dropdowns!#REF!</definedName>
    <definedName name="MT" localSheetId="43">[19]Dropdowns!#REF!</definedName>
    <definedName name="MT" localSheetId="45">[17]Dropdowns!#REF!</definedName>
    <definedName name="MT" localSheetId="46">Dropdowns!#REF!</definedName>
    <definedName name="MT">Dropdowns!#REF!</definedName>
    <definedName name="NonLinearRisk" localSheetId="52">Sheet5!#REF!</definedName>
    <definedName name="NonLinearRisk" localSheetId="53">Sheet5!#REF!</definedName>
    <definedName name="NonLinearRisk" localSheetId="54">Sheet5!#REF!</definedName>
    <definedName name="NonLinearRisk" localSheetId="55">Sheet5!#REF!</definedName>
    <definedName name="NonLinearRisk" localSheetId="56">Sheet5!#REF!</definedName>
    <definedName name="NonLinearRisk" localSheetId="57">Sheet5!#REF!</definedName>
    <definedName name="NonLinearRisk" localSheetId="58">Sheet5!#REF!</definedName>
    <definedName name="NonLinearRisk" localSheetId="59">Sheet5!#REF!</definedName>
    <definedName name="NonLinearRisk" localSheetId="60">Sheet5!#REF!</definedName>
    <definedName name="NonLinearRisk" localSheetId="61">Sheet5!#REF!</definedName>
    <definedName name="NonLinearRisk" localSheetId="14">[1]Sheet5!#REF!</definedName>
    <definedName name="NonLinearRisk" localSheetId="15">[1]Sheet5!#REF!</definedName>
    <definedName name="NonLinearRisk" localSheetId="16">[2]Sheet5!#REF!</definedName>
    <definedName name="NonLinearRisk" localSheetId="17">[3]Sheet5!#REF!</definedName>
    <definedName name="NonLinearRisk" localSheetId="18">[1]Sheet5!#REF!</definedName>
    <definedName name="NonLinearRisk" localSheetId="19">[4]Sheet5!#REF!</definedName>
    <definedName name="NonLinearRisk" localSheetId="20">[5]Sheet5!#REF!</definedName>
    <definedName name="NonLinearRisk" localSheetId="21">[6]Sheet5!#REF!</definedName>
    <definedName name="NonLinearRisk" localSheetId="22">[7]Sheet5!#REF!</definedName>
    <definedName name="NonLinearRisk" localSheetId="23">[8]Sheet5!#REF!</definedName>
    <definedName name="NonLinearRisk" localSheetId="24">[9]Sheet5!#REF!</definedName>
    <definedName name="NonLinearRisk" localSheetId="25">[10]Sheet5!#REF!</definedName>
    <definedName name="NonLinearRisk" localSheetId="26">[11]Sheet5!#REF!</definedName>
    <definedName name="NonLinearRisk" localSheetId="27">[12]Sheet5!#REF!</definedName>
    <definedName name="NonLinearRisk" localSheetId="28">[13]Sheet5!#REF!</definedName>
    <definedName name="NonLinearRisk" localSheetId="29">[14]Sheet5!#REF!</definedName>
    <definedName name="NonLinearRisk" localSheetId="31">[15]Sheet5!#REF!</definedName>
    <definedName name="NonLinearRisk" localSheetId="32">[16]Sheet5!#REF!</definedName>
    <definedName name="NonLinearRisk" localSheetId="33">[1]Sheet5!#REF!</definedName>
    <definedName name="NonLinearRisk" localSheetId="35">[17]Sheet5!#REF!</definedName>
    <definedName name="NonLinearRisk" localSheetId="36">[18]Sheet5!#REF!</definedName>
    <definedName name="NonLinearRisk" localSheetId="37">[18]Sheet5!#REF!</definedName>
    <definedName name="NonLinearRisk" localSheetId="38">[19]Sheet5!#REF!</definedName>
    <definedName name="NonLinearRisk" localSheetId="39">[17]Sheet5!#REF!</definedName>
    <definedName name="NonLinearRisk" localSheetId="40">[17]Sheet5!#REF!</definedName>
    <definedName name="NonLinearRisk" localSheetId="42">[20]Sheet5!#REF!</definedName>
    <definedName name="NonLinearRisk" localSheetId="43">[19]Sheet5!#REF!</definedName>
    <definedName name="NonLinearRisk" localSheetId="45">[17]Sheet5!#REF!</definedName>
    <definedName name="NonLinearRisk" localSheetId="46">Sheet5!#REF!</definedName>
    <definedName name="NonLinearRisk">Sheet5!#REF!</definedName>
    <definedName name="OCE" localSheetId="52">#REF!</definedName>
    <definedName name="OCE" localSheetId="53">#REF!</definedName>
    <definedName name="OCE" localSheetId="54">#REF!</definedName>
    <definedName name="OCE" localSheetId="55">#REF!</definedName>
    <definedName name="OCE" localSheetId="56">#REF!</definedName>
    <definedName name="OCE" localSheetId="57">#REF!</definedName>
    <definedName name="OCE" localSheetId="58">#REF!</definedName>
    <definedName name="OCE" localSheetId="59">#REF!</definedName>
    <definedName name="OCE" localSheetId="60">#REF!</definedName>
    <definedName name="OCE" localSheetId="61">#REF!</definedName>
    <definedName name="OCE" localSheetId="11">#REF!</definedName>
    <definedName name="OCE" localSheetId="14">#REF!</definedName>
    <definedName name="OCE" localSheetId="15">#REF!</definedName>
    <definedName name="OCE" localSheetId="16">#REF!</definedName>
    <definedName name="OCE" localSheetId="17">#REF!</definedName>
    <definedName name="OCE" localSheetId="18">#REF!</definedName>
    <definedName name="OCE" localSheetId="19">#REF!</definedName>
    <definedName name="OCE" localSheetId="20">#REF!</definedName>
    <definedName name="OCE" localSheetId="21">#REF!</definedName>
    <definedName name="OCE" localSheetId="22">#REF!</definedName>
    <definedName name="OCE" localSheetId="23">#REF!</definedName>
    <definedName name="OCE" localSheetId="24">#REF!</definedName>
    <definedName name="OCE" localSheetId="25">#REF!</definedName>
    <definedName name="OCE" localSheetId="26">#REF!</definedName>
    <definedName name="OCE" localSheetId="27">#REF!</definedName>
    <definedName name="OCE" localSheetId="28">#REF!</definedName>
    <definedName name="OCE" localSheetId="29">#REF!</definedName>
    <definedName name="OCE" localSheetId="31">#REF!</definedName>
    <definedName name="OCE" localSheetId="32">#REF!</definedName>
    <definedName name="OCE" localSheetId="33">#REF!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2">#REF!</definedName>
    <definedName name="OCE" localSheetId="43">#REF!</definedName>
    <definedName name="OCE" localSheetId="45">#REF!</definedName>
    <definedName name="OCE" localSheetId="46">#REF!</definedName>
    <definedName name="OCE">#REF!</definedName>
    <definedName name="Operational">Sheet5!$B$79:$B$118</definedName>
    <definedName name="OW" localSheetId="52">Dropdowns!#REF!</definedName>
    <definedName name="OW" localSheetId="53">Dropdowns!#REF!</definedName>
    <definedName name="OW" localSheetId="54">Dropdowns!#REF!</definedName>
    <definedName name="OW" localSheetId="55">Dropdowns!#REF!</definedName>
    <definedName name="OW" localSheetId="56">Dropdowns!#REF!</definedName>
    <definedName name="OW" localSheetId="57">Dropdowns!#REF!</definedName>
    <definedName name="OW" localSheetId="58">Dropdowns!#REF!</definedName>
    <definedName name="OW" localSheetId="59">Dropdowns!#REF!</definedName>
    <definedName name="OW" localSheetId="60">Dropdowns!#REF!</definedName>
    <definedName name="OW" localSheetId="61">Dropdowns!#REF!</definedName>
    <definedName name="OW" localSheetId="14">[1]Dropdowns!#REF!</definedName>
    <definedName name="OW" localSheetId="15">[1]Dropdowns!#REF!</definedName>
    <definedName name="OW" localSheetId="16">[2]Dropdowns!#REF!</definedName>
    <definedName name="OW" localSheetId="17">[3]Dropdowns!#REF!</definedName>
    <definedName name="OW" localSheetId="18">[1]Dropdowns!#REF!</definedName>
    <definedName name="OW" localSheetId="19">[4]Dropdowns!#REF!</definedName>
    <definedName name="OW" localSheetId="20">[5]Dropdowns!#REF!</definedName>
    <definedName name="OW" localSheetId="21">[6]Dropdowns!#REF!</definedName>
    <definedName name="OW" localSheetId="22">[7]Dropdowns!#REF!</definedName>
    <definedName name="OW" localSheetId="23">[8]Dropdowns!#REF!</definedName>
    <definedName name="OW" localSheetId="24">[9]Dropdowns!#REF!</definedName>
    <definedName name="OW" localSheetId="25">[10]Dropdowns!#REF!</definedName>
    <definedName name="OW" localSheetId="26">[11]Dropdowns!#REF!</definedName>
    <definedName name="OW" localSheetId="27">[12]Dropdowns!#REF!</definedName>
    <definedName name="OW" localSheetId="28">[13]Dropdowns!#REF!</definedName>
    <definedName name="OW" localSheetId="29">[14]Dropdowns!#REF!</definedName>
    <definedName name="OW" localSheetId="31">[15]Dropdowns!#REF!</definedName>
    <definedName name="OW" localSheetId="32">[16]Dropdowns!#REF!</definedName>
    <definedName name="OW" localSheetId="33">[1]Dropdowns!#REF!</definedName>
    <definedName name="OW" localSheetId="35">[17]Dropdowns!#REF!</definedName>
    <definedName name="OW" localSheetId="36">[18]Dropdowns!#REF!</definedName>
    <definedName name="OW" localSheetId="37">[18]Dropdowns!#REF!</definedName>
    <definedName name="OW" localSheetId="38">[19]Dropdowns!#REF!</definedName>
    <definedName name="OW" localSheetId="39">[17]Dropdowns!#REF!</definedName>
    <definedName name="OW" localSheetId="40">[17]Dropdowns!#REF!</definedName>
    <definedName name="OW" localSheetId="42">[20]Dropdowns!#REF!</definedName>
    <definedName name="OW" localSheetId="43">[19]Dropdowns!#REF!</definedName>
    <definedName name="OW" localSheetId="45">[17]Dropdowns!#REF!</definedName>
    <definedName name="OW" localSheetId="46">Dropdowns!#REF!</definedName>
    <definedName name="OW">Dropdowns!#REF!</definedName>
    <definedName name="PriceRisk" localSheetId="52">Sheet5!#REF!</definedName>
    <definedName name="PriceRisk" localSheetId="53">Sheet5!#REF!</definedName>
    <definedName name="PriceRisk" localSheetId="54">Sheet5!#REF!</definedName>
    <definedName name="PriceRisk" localSheetId="55">Sheet5!#REF!</definedName>
    <definedName name="PriceRisk" localSheetId="56">Sheet5!#REF!</definedName>
    <definedName name="PriceRisk" localSheetId="57">Sheet5!#REF!</definedName>
    <definedName name="PriceRisk" localSheetId="58">Sheet5!#REF!</definedName>
    <definedName name="PriceRisk" localSheetId="59">Sheet5!#REF!</definedName>
    <definedName name="PriceRisk" localSheetId="60">Sheet5!#REF!</definedName>
    <definedName name="PriceRisk" localSheetId="61">Sheet5!#REF!</definedName>
    <definedName name="PriceRisk" localSheetId="14">[1]Sheet5!#REF!</definedName>
    <definedName name="PriceRisk" localSheetId="15">[1]Sheet5!#REF!</definedName>
    <definedName name="PriceRisk" localSheetId="16">[2]Sheet5!#REF!</definedName>
    <definedName name="PriceRisk" localSheetId="17">[3]Sheet5!#REF!</definedName>
    <definedName name="PriceRisk" localSheetId="18">[1]Sheet5!#REF!</definedName>
    <definedName name="PriceRisk" localSheetId="19">[4]Sheet5!#REF!</definedName>
    <definedName name="PriceRisk" localSheetId="20">[5]Sheet5!#REF!</definedName>
    <definedName name="PriceRisk" localSheetId="21">[6]Sheet5!#REF!</definedName>
    <definedName name="PriceRisk" localSheetId="22">[7]Sheet5!#REF!</definedName>
    <definedName name="PriceRisk" localSheetId="23">[8]Sheet5!#REF!</definedName>
    <definedName name="PriceRisk" localSheetId="24">[9]Sheet5!#REF!</definedName>
    <definedName name="PriceRisk" localSheetId="25">[10]Sheet5!#REF!</definedName>
    <definedName name="PriceRisk" localSheetId="26">[11]Sheet5!#REF!</definedName>
    <definedName name="PriceRisk" localSheetId="27">[12]Sheet5!#REF!</definedName>
    <definedName name="PriceRisk" localSheetId="28">[13]Sheet5!#REF!</definedName>
    <definedName name="PriceRisk" localSheetId="29">[14]Sheet5!#REF!</definedName>
    <definedName name="PriceRisk" localSheetId="31">[15]Sheet5!#REF!</definedName>
    <definedName name="PriceRisk" localSheetId="32">[16]Sheet5!#REF!</definedName>
    <definedName name="PriceRisk" localSheetId="33">[1]Sheet5!#REF!</definedName>
    <definedName name="PriceRisk" localSheetId="35">[17]Sheet5!#REF!</definedName>
    <definedName name="PriceRisk" localSheetId="36">[18]Sheet5!#REF!</definedName>
    <definedName name="PriceRisk" localSheetId="37">[18]Sheet5!#REF!</definedName>
    <definedName name="PriceRisk" localSheetId="38">[19]Sheet5!#REF!</definedName>
    <definedName name="PriceRisk" localSheetId="39">[17]Sheet5!#REF!</definedName>
    <definedName name="PriceRisk" localSheetId="40">[17]Sheet5!#REF!</definedName>
    <definedName name="PriceRisk" localSheetId="42">[20]Sheet5!#REF!</definedName>
    <definedName name="PriceRisk" localSheetId="43">[19]Sheet5!#REF!</definedName>
    <definedName name="PriceRisk" localSheetId="45">[17]Sheet5!#REF!</definedName>
    <definedName name="PriceRisk" localSheetId="46">Sheet5!#REF!</definedName>
    <definedName name="PriceRisk">Sheet5!#REF!</definedName>
    <definedName name="Primary" localSheetId="52">Dropdowns!#REF!</definedName>
    <definedName name="Primary" localSheetId="53">Dropdowns!#REF!</definedName>
    <definedName name="Primary" localSheetId="54">Dropdowns!#REF!</definedName>
    <definedName name="Primary" localSheetId="55">Dropdowns!#REF!</definedName>
    <definedName name="Primary" localSheetId="56">Dropdowns!#REF!</definedName>
    <definedName name="Primary" localSheetId="57">Dropdowns!#REF!</definedName>
    <definedName name="Primary" localSheetId="58">Dropdowns!#REF!</definedName>
    <definedName name="Primary" localSheetId="59">Dropdowns!#REF!</definedName>
    <definedName name="Primary" localSheetId="60">Dropdowns!#REF!</definedName>
    <definedName name="Primary" localSheetId="61">Dropdowns!#REF!</definedName>
    <definedName name="Primary" localSheetId="14">[1]Dropdowns!#REF!</definedName>
    <definedName name="Primary" localSheetId="15">[1]Dropdowns!#REF!</definedName>
    <definedName name="Primary" localSheetId="16">[2]Dropdowns!#REF!</definedName>
    <definedName name="Primary" localSheetId="17">[3]Dropdowns!#REF!</definedName>
    <definedName name="Primary" localSheetId="18">[1]Dropdowns!#REF!</definedName>
    <definedName name="Primary" localSheetId="19">[4]Dropdowns!#REF!</definedName>
    <definedName name="Primary" localSheetId="20">[5]Dropdowns!#REF!</definedName>
    <definedName name="Primary" localSheetId="21">[6]Dropdowns!#REF!</definedName>
    <definedName name="Primary" localSheetId="22">[7]Dropdowns!#REF!</definedName>
    <definedName name="Primary" localSheetId="23">[8]Dropdowns!#REF!</definedName>
    <definedName name="Primary" localSheetId="24">[9]Dropdowns!#REF!</definedName>
    <definedName name="Primary" localSheetId="25">[10]Dropdowns!#REF!</definedName>
    <definedName name="Primary" localSheetId="26">[11]Dropdowns!#REF!</definedName>
    <definedName name="Primary" localSheetId="27">[12]Dropdowns!#REF!</definedName>
    <definedName name="Primary" localSheetId="28">[13]Dropdowns!#REF!</definedName>
    <definedName name="Primary" localSheetId="29">[14]Dropdowns!#REF!</definedName>
    <definedName name="Primary" localSheetId="31">[15]Dropdowns!#REF!</definedName>
    <definedName name="Primary" localSheetId="32">[16]Dropdowns!#REF!</definedName>
    <definedName name="Primary" localSheetId="33">[1]Dropdowns!#REF!</definedName>
    <definedName name="Primary" localSheetId="35">[17]Dropdowns!#REF!</definedName>
    <definedName name="Primary" localSheetId="36">[18]Dropdowns!#REF!</definedName>
    <definedName name="Primary" localSheetId="37">[18]Dropdowns!#REF!</definedName>
    <definedName name="Primary" localSheetId="38">[19]Dropdowns!#REF!</definedName>
    <definedName name="Primary" localSheetId="39">[17]Dropdowns!#REF!</definedName>
    <definedName name="Primary" localSheetId="40">[17]Dropdowns!#REF!</definedName>
    <definedName name="Primary" localSheetId="42">[20]Dropdowns!#REF!</definedName>
    <definedName name="Primary" localSheetId="43">[19]Dropdowns!#REF!</definedName>
    <definedName name="Primary" localSheetId="45">[17]Dropdowns!#REF!</definedName>
    <definedName name="Primary" localSheetId="46">Dropdowns!#REF!</definedName>
    <definedName name="Primary">Dropdowns!#REF!</definedName>
    <definedName name="_xlnm.Print_Area" localSheetId="49">'18'!$A$2:$C$12</definedName>
    <definedName name="_xlnm.Print_Area" localSheetId="50">'19'!$A$2:$C$12</definedName>
    <definedName name="_xlnm.Print_Area" localSheetId="51">'20'!$A$2:$C$12</definedName>
    <definedName name="_xlnm.Print_Area" localSheetId="52">'21'!$A$2:$C$12</definedName>
    <definedName name="_xlnm.Print_Area" localSheetId="53">'22'!$A$2:$C$12</definedName>
    <definedName name="_xlnm.Print_Area" localSheetId="54">'23'!$A$2:$C$12</definedName>
    <definedName name="_xlnm.Print_Area" localSheetId="55">'24'!$A$2:$C$12</definedName>
    <definedName name="_xlnm.Print_Area" localSheetId="56">'25'!$A$2:$C$12</definedName>
    <definedName name="_xlnm.Print_Area" localSheetId="57">'26'!$A$2:$C$12</definedName>
    <definedName name="_xlnm.Print_Area" localSheetId="58">'27'!$A$2:$C$12</definedName>
    <definedName name="_xlnm.Print_Area" localSheetId="59">'28'!$A$2:$C$12</definedName>
    <definedName name="_xlnm.Print_Area" localSheetId="60">'29'!$A$2:$C$12</definedName>
    <definedName name="_xlnm.Print_Area" localSheetId="61">'30'!$A$1:$C$12</definedName>
    <definedName name="_xlnm.Print_Area" localSheetId="72">'Appendix - Risks'!$A$1:$C$167</definedName>
    <definedName name="_xlnm.Print_Area" localSheetId="2">'Approval and Documentation'!$1:$20</definedName>
    <definedName name="_xlnm.Print_Area" localSheetId="8">Assessments!$A$1:$C$45</definedName>
    <definedName name="_xlnm.Print_Area" localSheetId="7">'Audit Findings'!$A$1:$F$70</definedName>
    <definedName name="_xlnm.Print_Area" localSheetId="6">'Emerging and Loss Data'!$A$1:$D$37</definedName>
    <definedName name="_xlnm.Print_Area" localSheetId="12">'Entity Material Risk Inventory'!$A$1:$O$302</definedName>
    <definedName name="_xlnm.Print_Area" localSheetId="0">Instructions!$A$1:$F$40</definedName>
    <definedName name="_xlnm.Print_Area" localSheetId="9">Metrics!$A$1:$S$74</definedName>
    <definedName name="_xlnm.Print_Area" localSheetId="16">'MR-21'!$A$2:$C$12</definedName>
    <definedName name="_xlnm.Print_Area" localSheetId="17">'MR-22'!$A$2:$C$12</definedName>
    <definedName name="_xlnm.Print_Area" localSheetId="19">'MR-24'!$A$2:$C$12</definedName>
    <definedName name="_xlnm.Print_Area" localSheetId="20">'MR-25'!$A$2:$C$12</definedName>
    <definedName name="_xlnm.Print_Area" localSheetId="21">'MR-26'!$A$2:$C$12</definedName>
    <definedName name="_xlnm.Print_Area" localSheetId="22">'MR-27'!$A$2:$C$12</definedName>
    <definedName name="_xlnm.Print_Area" localSheetId="23">'MR-28'!$A$2:$C$12</definedName>
    <definedName name="_xlnm.Print_Area" localSheetId="24">'MR-29'!$A$2:$C$12</definedName>
    <definedName name="_xlnm.Print_Area" localSheetId="25">'MR-30'!$A$2:$C$12</definedName>
    <definedName name="_xlnm.Print_Area" localSheetId="26">'MR-31'!$A$2:$C$12</definedName>
    <definedName name="_xlnm.Print_Area" localSheetId="27">'MR-32'!$A$2:$C$12</definedName>
    <definedName name="_xlnm.Print_Area" localSheetId="28">'MR-33'!$A$2:$C$12</definedName>
    <definedName name="_xlnm.Print_Area" localSheetId="29">'MR-34'!$A$2:$C$12</definedName>
    <definedName name="_xlnm.Print_Area" localSheetId="30">'MR-35'!$A$2:$C$12</definedName>
    <definedName name="_xlnm.Print_Area" localSheetId="31">'MR-36'!$A$2:$C$12</definedName>
    <definedName name="_xlnm.Print_Area" localSheetId="32">'MR-37'!$A$2:$C$12</definedName>
    <definedName name="_xlnm.Print_Area" localSheetId="34">'MR-39'!$A$2:$C$12</definedName>
    <definedName name="_xlnm.Print_Area" localSheetId="41">'MR-46'!$A$2:$C$12</definedName>
    <definedName name="_xlnm.Print_Area" localSheetId="44">'MR-49'!$A$1:$C$12</definedName>
    <definedName name="_xlnm.Print_Area" localSheetId="46">'MR-51'!$A$1:$C$12</definedName>
    <definedName name="_xlnm.Print_Area" localSheetId="47">'MR-52'!$A$1:$C$12</definedName>
    <definedName name="_xlnm.Print_Area" localSheetId="48">'MR-53'!$A$1:$C$12</definedName>
    <definedName name="_xlnm.Print_Area" localSheetId="4">'New Products'!$A$1:$F$12</definedName>
    <definedName name="_xlnm.Print_Area" localSheetId="5">'Off-Balance Sheet'!$A$1:$A$14</definedName>
    <definedName name="_xlnm.Print_Area" localSheetId="13">'Risk Inventory'!$A$1:$N$32</definedName>
    <definedName name="_xlnm.Print_Area" localSheetId="1">'Title Page'!$A$1:$J$40</definedName>
    <definedName name="Prob" localSheetId="52">Dropdowns!#REF!</definedName>
    <definedName name="Prob" localSheetId="53">Dropdowns!#REF!</definedName>
    <definedName name="Prob" localSheetId="54">Dropdowns!#REF!</definedName>
    <definedName name="Prob" localSheetId="55">Dropdowns!#REF!</definedName>
    <definedName name="Prob" localSheetId="56">Dropdowns!#REF!</definedName>
    <definedName name="Prob" localSheetId="57">Dropdowns!#REF!</definedName>
    <definedName name="Prob" localSheetId="58">Dropdowns!#REF!</definedName>
    <definedName name="Prob" localSheetId="59">Dropdowns!#REF!</definedName>
    <definedName name="Prob" localSheetId="60">Dropdowns!#REF!</definedName>
    <definedName name="Prob" localSheetId="61">Dropdowns!#REF!</definedName>
    <definedName name="Prob" localSheetId="14">[1]Dropdowns!#REF!</definedName>
    <definedName name="Prob" localSheetId="15">[1]Dropdowns!#REF!</definedName>
    <definedName name="Prob" localSheetId="16">[2]Dropdowns!#REF!</definedName>
    <definedName name="Prob" localSheetId="17">[3]Dropdowns!#REF!</definedName>
    <definedName name="Prob" localSheetId="18">[1]Dropdowns!#REF!</definedName>
    <definedName name="Prob" localSheetId="19">[4]Dropdowns!#REF!</definedName>
    <definedName name="Prob" localSheetId="20">[5]Dropdowns!#REF!</definedName>
    <definedName name="Prob" localSheetId="21">[6]Dropdowns!#REF!</definedName>
    <definedName name="Prob" localSheetId="22">[7]Dropdowns!#REF!</definedName>
    <definedName name="Prob" localSheetId="23">[8]Dropdowns!#REF!</definedName>
    <definedName name="Prob" localSheetId="24">[9]Dropdowns!#REF!</definedName>
    <definedName name="Prob" localSheetId="25">[10]Dropdowns!#REF!</definedName>
    <definedName name="Prob" localSheetId="26">[11]Dropdowns!#REF!</definedName>
    <definedName name="Prob" localSheetId="27">[12]Dropdowns!#REF!</definedName>
    <definedName name="Prob" localSheetId="28">[13]Dropdowns!#REF!</definedName>
    <definedName name="Prob" localSheetId="29">[14]Dropdowns!#REF!</definedName>
    <definedName name="Prob" localSheetId="31">[15]Dropdowns!#REF!</definedName>
    <definedName name="Prob" localSheetId="32">[16]Dropdowns!#REF!</definedName>
    <definedName name="Prob" localSheetId="33">[1]Dropdowns!#REF!</definedName>
    <definedName name="Prob" localSheetId="35">[17]Dropdowns!#REF!</definedName>
    <definedName name="Prob" localSheetId="36">[18]Dropdowns!#REF!</definedName>
    <definedName name="Prob" localSheetId="37">[18]Dropdowns!#REF!</definedName>
    <definedName name="Prob" localSheetId="38">[19]Dropdowns!#REF!</definedName>
    <definedName name="Prob" localSheetId="39">[17]Dropdowns!#REF!</definedName>
    <definedName name="Prob" localSheetId="40">[17]Dropdowns!#REF!</definedName>
    <definedName name="Prob" localSheetId="42">[20]Dropdowns!#REF!</definedName>
    <definedName name="Prob" localSheetId="43">[19]Dropdowns!#REF!</definedName>
    <definedName name="Prob" localSheetId="45">[17]Dropdowns!#REF!</definedName>
    <definedName name="Prob" localSheetId="46">Dropdowns!#REF!</definedName>
    <definedName name="Prob">Dropdowns!#REF!</definedName>
    <definedName name="QRM">Dropdowns!$B$2:$B$12</definedName>
    <definedName name="QRMr" localSheetId="52">#REF!</definedName>
    <definedName name="QRMr" localSheetId="53">#REF!</definedName>
    <definedName name="QRMr" localSheetId="54">#REF!</definedName>
    <definedName name="QRMr" localSheetId="55">#REF!</definedName>
    <definedName name="QRMr" localSheetId="56">#REF!</definedName>
    <definedName name="QRMr" localSheetId="57">#REF!</definedName>
    <definedName name="QRMr" localSheetId="58">#REF!</definedName>
    <definedName name="QRMr" localSheetId="59">#REF!</definedName>
    <definedName name="QRMr" localSheetId="60">#REF!</definedName>
    <definedName name="QRMr" localSheetId="61">#REF!</definedName>
    <definedName name="QRMr" localSheetId="11">#REF!</definedName>
    <definedName name="QRMr" localSheetId="14">#REF!</definedName>
    <definedName name="QRMr" localSheetId="15">#REF!</definedName>
    <definedName name="QRMr" localSheetId="16">#REF!</definedName>
    <definedName name="QRMr" localSheetId="17">#REF!</definedName>
    <definedName name="QRMr" localSheetId="18">#REF!</definedName>
    <definedName name="QRMr" localSheetId="19">#REF!</definedName>
    <definedName name="QRMr" localSheetId="20">#REF!</definedName>
    <definedName name="QRMr" localSheetId="21">#REF!</definedName>
    <definedName name="QRMr" localSheetId="22">#REF!</definedName>
    <definedName name="QRMr" localSheetId="23">#REF!</definedName>
    <definedName name="QRMr" localSheetId="24">#REF!</definedName>
    <definedName name="QRMr" localSheetId="25">#REF!</definedName>
    <definedName name="QRMr" localSheetId="26">#REF!</definedName>
    <definedName name="QRMr" localSheetId="27">#REF!</definedName>
    <definedName name="QRMr" localSheetId="28">#REF!</definedName>
    <definedName name="QRMr" localSheetId="29">#REF!</definedName>
    <definedName name="QRMr" localSheetId="31">#REF!</definedName>
    <definedName name="QRMr" localSheetId="32">#REF!</definedName>
    <definedName name="QRMr" localSheetId="33">#REF!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2">#REF!</definedName>
    <definedName name="QRMr" localSheetId="43">#REF!</definedName>
    <definedName name="QRMr" localSheetId="45">#REF!</definedName>
    <definedName name="QRMr" localSheetId="46">#REF!</definedName>
    <definedName name="QRMr">#REF!</definedName>
    <definedName name="RatingMigration" localSheetId="52">Sheet5!#REF!</definedName>
    <definedName name="RatingMigration" localSheetId="53">Sheet5!#REF!</definedName>
    <definedName name="RatingMigration" localSheetId="54">Sheet5!#REF!</definedName>
    <definedName name="RatingMigration" localSheetId="55">Sheet5!#REF!</definedName>
    <definedName name="RatingMigration" localSheetId="56">Sheet5!#REF!</definedName>
    <definedName name="RatingMigration" localSheetId="57">Sheet5!#REF!</definedName>
    <definedName name="RatingMigration" localSheetId="58">Sheet5!#REF!</definedName>
    <definedName name="RatingMigration" localSheetId="59">Sheet5!#REF!</definedName>
    <definedName name="RatingMigration" localSheetId="60">Sheet5!#REF!</definedName>
    <definedName name="RatingMigration" localSheetId="61">Sheet5!#REF!</definedName>
    <definedName name="RatingMigration" localSheetId="14">[1]Sheet5!#REF!</definedName>
    <definedName name="RatingMigration" localSheetId="15">[1]Sheet5!#REF!</definedName>
    <definedName name="RatingMigration" localSheetId="16">[2]Sheet5!#REF!</definedName>
    <definedName name="RatingMigration" localSheetId="17">[3]Sheet5!#REF!</definedName>
    <definedName name="RatingMigration" localSheetId="18">[1]Sheet5!#REF!</definedName>
    <definedName name="RatingMigration" localSheetId="19">[4]Sheet5!#REF!</definedName>
    <definedName name="RatingMigration" localSheetId="20">[5]Sheet5!#REF!</definedName>
    <definedName name="RatingMigration" localSheetId="21">[6]Sheet5!#REF!</definedName>
    <definedName name="RatingMigration" localSheetId="22">[7]Sheet5!#REF!</definedName>
    <definedName name="RatingMigration" localSheetId="23">[8]Sheet5!#REF!</definedName>
    <definedName name="RatingMigration" localSheetId="24">[9]Sheet5!#REF!</definedName>
    <definedName name="RatingMigration" localSheetId="25">[10]Sheet5!#REF!</definedName>
    <definedName name="RatingMigration" localSheetId="26">[11]Sheet5!#REF!</definedName>
    <definedName name="RatingMigration" localSheetId="27">[12]Sheet5!#REF!</definedName>
    <definedName name="RatingMigration" localSheetId="28">[13]Sheet5!#REF!</definedName>
    <definedName name="RatingMigration" localSheetId="29">[14]Sheet5!#REF!</definedName>
    <definedName name="RatingMigration" localSheetId="31">[15]Sheet5!#REF!</definedName>
    <definedName name="RatingMigration" localSheetId="32">[16]Sheet5!#REF!</definedName>
    <definedName name="RatingMigration" localSheetId="33">[1]Sheet5!#REF!</definedName>
    <definedName name="RatingMigration" localSheetId="35">[17]Sheet5!#REF!</definedName>
    <definedName name="RatingMigration" localSheetId="36">[18]Sheet5!#REF!</definedName>
    <definedName name="RatingMigration" localSheetId="37">[18]Sheet5!#REF!</definedName>
    <definedName name="RatingMigration" localSheetId="38">[19]Sheet5!#REF!</definedName>
    <definedName name="RatingMigration" localSheetId="39">[17]Sheet5!#REF!</definedName>
    <definedName name="RatingMigration" localSheetId="40">[17]Sheet5!#REF!</definedName>
    <definedName name="RatingMigration" localSheetId="42">[20]Sheet5!#REF!</definedName>
    <definedName name="RatingMigration" localSheetId="43">[19]Sheet5!#REF!</definedName>
    <definedName name="RatingMigration" localSheetId="45">[17]Sheet5!#REF!</definedName>
    <definedName name="RatingMigration" localSheetId="46">Sheet5!#REF!</definedName>
    <definedName name="RatingMigration">Sheet5!#REF!</definedName>
    <definedName name="RegulatoryCompliance" localSheetId="52">Sheet5!#REF!</definedName>
    <definedName name="RegulatoryCompliance" localSheetId="53">Sheet5!#REF!</definedName>
    <definedName name="RegulatoryCompliance" localSheetId="54">Sheet5!#REF!</definedName>
    <definedName name="RegulatoryCompliance" localSheetId="55">Sheet5!#REF!</definedName>
    <definedName name="RegulatoryCompliance" localSheetId="56">Sheet5!#REF!</definedName>
    <definedName name="RegulatoryCompliance" localSheetId="57">Sheet5!#REF!</definedName>
    <definedName name="RegulatoryCompliance" localSheetId="58">Sheet5!#REF!</definedName>
    <definedName name="RegulatoryCompliance" localSheetId="59">Sheet5!#REF!</definedName>
    <definedName name="RegulatoryCompliance" localSheetId="60">Sheet5!#REF!</definedName>
    <definedName name="RegulatoryCompliance" localSheetId="61">Sheet5!#REF!</definedName>
    <definedName name="RegulatoryCompliance" localSheetId="14">[1]Sheet5!#REF!</definedName>
    <definedName name="RegulatoryCompliance" localSheetId="15">[1]Sheet5!#REF!</definedName>
    <definedName name="RegulatoryCompliance" localSheetId="16">[2]Sheet5!#REF!</definedName>
    <definedName name="RegulatoryCompliance" localSheetId="17">[3]Sheet5!#REF!</definedName>
    <definedName name="RegulatoryCompliance" localSheetId="18">[1]Sheet5!#REF!</definedName>
    <definedName name="RegulatoryCompliance" localSheetId="19">[4]Sheet5!#REF!</definedName>
    <definedName name="RegulatoryCompliance" localSheetId="20">[5]Sheet5!#REF!</definedName>
    <definedName name="RegulatoryCompliance" localSheetId="21">[6]Sheet5!#REF!</definedName>
    <definedName name="RegulatoryCompliance" localSheetId="22">[7]Sheet5!#REF!</definedName>
    <definedName name="RegulatoryCompliance" localSheetId="23">[8]Sheet5!#REF!</definedName>
    <definedName name="RegulatoryCompliance" localSheetId="24">[9]Sheet5!#REF!</definedName>
    <definedName name="RegulatoryCompliance" localSheetId="25">[10]Sheet5!#REF!</definedName>
    <definedName name="RegulatoryCompliance" localSheetId="26">[11]Sheet5!#REF!</definedName>
    <definedName name="RegulatoryCompliance" localSheetId="27">[12]Sheet5!#REF!</definedName>
    <definedName name="RegulatoryCompliance" localSheetId="28">[13]Sheet5!#REF!</definedName>
    <definedName name="RegulatoryCompliance" localSheetId="29">[14]Sheet5!#REF!</definedName>
    <definedName name="RegulatoryCompliance" localSheetId="31">[15]Sheet5!#REF!</definedName>
    <definedName name="RegulatoryCompliance" localSheetId="32">[16]Sheet5!#REF!</definedName>
    <definedName name="RegulatoryCompliance" localSheetId="33">[1]Sheet5!#REF!</definedName>
    <definedName name="RegulatoryCompliance" localSheetId="35">[17]Sheet5!#REF!</definedName>
    <definedName name="RegulatoryCompliance" localSheetId="36">[18]Sheet5!#REF!</definedName>
    <definedName name="RegulatoryCompliance" localSheetId="37">[18]Sheet5!#REF!</definedName>
    <definedName name="RegulatoryCompliance" localSheetId="38">[19]Sheet5!#REF!</definedName>
    <definedName name="RegulatoryCompliance" localSheetId="39">[17]Sheet5!#REF!</definedName>
    <definedName name="RegulatoryCompliance" localSheetId="40">[17]Sheet5!#REF!</definedName>
    <definedName name="RegulatoryCompliance" localSheetId="42">[20]Sheet5!#REF!</definedName>
    <definedName name="RegulatoryCompliance" localSheetId="43">[19]Sheet5!#REF!</definedName>
    <definedName name="RegulatoryCompliance" localSheetId="45">[17]Sheet5!#REF!</definedName>
    <definedName name="RegulatoryCompliance" localSheetId="46">Sheet5!#REF!</definedName>
    <definedName name="RegulatoryCompliance">Sheet5!#REF!</definedName>
    <definedName name="RegulatoryPrograms" localSheetId="52">Sheet5!#REF!</definedName>
    <definedName name="RegulatoryPrograms" localSheetId="53">Sheet5!#REF!</definedName>
    <definedName name="RegulatoryPrograms" localSheetId="54">Sheet5!#REF!</definedName>
    <definedName name="RegulatoryPrograms" localSheetId="55">Sheet5!#REF!</definedName>
    <definedName name="RegulatoryPrograms" localSheetId="56">Sheet5!#REF!</definedName>
    <definedName name="RegulatoryPrograms" localSheetId="57">Sheet5!#REF!</definedName>
    <definedName name="RegulatoryPrograms" localSheetId="58">Sheet5!#REF!</definedName>
    <definedName name="RegulatoryPrograms" localSheetId="59">Sheet5!#REF!</definedName>
    <definedName name="RegulatoryPrograms" localSheetId="60">Sheet5!#REF!</definedName>
    <definedName name="RegulatoryPrograms" localSheetId="61">Sheet5!#REF!</definedName>
    <definedName name="RegulatoryPrograms" localSheetId="14">[1]Sheet5!#REF!</definedName>
    <definedName name="RegulatoryPrograms" localSheetId="15">[1]Sheet5!#REF!</definedName>
    <definedName name="RegulatoryPrograms" localSheetId="16">[2]Sheet5!#REF!</definedName>
    <definedName name="RegulatoryPrograms" localSheetId="17">[3]Sheet5!#REF!</definedName>
    <definedName name="RegulatoryPrograms" localSheetId="18">[1]Sheet5!#REF!</definedName>
    <definedName name="RegulatoryPrograms" localSheetId="19">[4]Sheet5!#REF!</definedName>
    <definedName name="RegulatoryPrograms" localSheetId="20">[5]Sheet5!#REF!</definedName>
    <definedName name="RegulatoryPrograms" localSheetId="21">[6]Sheet5!#REF!</definedName>
    <definedName name="RegulatoryPrograms" localSheetId="22">[7]Sheet5!#REF!</definedName>
    <definedName name="RegulatoryPrograms" localSheetId="23">[8]Sheet5!#REF!</definedName>
    <definedName name="RegulatoryPrograms" localSheetId="24">[9]Sheet5!#REF!</definedName>
    <definedName name="RegulatoryPrograms" localSheetId="25">[10]Sheet5!#REF!</definedName>
    <definedName name="RegulatoryPrograms" localSheetId="26">[11]Sheet5!#REF!</definedName>
    <definedName name="RegulatoryPrograms" localSheetId="27">[12]Sheet5!#REF!</definedName>
    <definedName name="RegulatoryPrograms" localSheetId="28">[13]Sheet5!#REF!</definedName>
    <definedName name="RegulatoryPrograms" localSheetId="29">[14]Sheet5!#REF!</definedName>
    <definedName name="RegulatoryPrograms" localSheetId="31">[15]Sheet5!#REF!</definedName>
    <definedName name="RegulatoryPrograms" localSheetId="32">[16]Sheet5!#REF!</definedName>
    <definedName name="RegulatoryPrograms" localSheetId="33">[1]Sheet5!#REF!</definedName>
    <definedName name="RegulatoryPrograms" localSheetId="35">[17]Sheet5!#REF!</definedName>
    <definedName name="RegulatoryPrograms" localSheetId="36">[18]Sheet5!#REF!</definedName>
    <definedName name="RegulatoryPrograms" localSheetId="37">[18]Sheet5!#REF!</definedName>
    <definedName name="RegulatoryPrograms" localSheetId="38">[19]Sheet5!#REF!</definedName>
    <definedName name="RegulatoryPrograms" localSheetId="39">[17]Sheet5!#REF!</definedName>
    <definedName name="RegulatoryPrograms" localSheetId="40">[17]Sheet5!#REF!</definedName>
    <definedName name="RegulatoryPrograms" localSheetId="42">[20]Sheet5!#REF!</definedName>
    <definedName name="RegulatoryPrograms" localSheetId="43">[19]Sheet5!#REF!</definedName>
    <definedName name="RegulatoryPrograms" localSheetId="45">[17]Sheet5!#REF!</definedName>
    <definedName name="RegulatoryPrograms" localSheetId="46">Sheet5!#REF!</definedName>
    <definedName name="RegulatoryPrograms">Sheet5!#REF!</definedName>
    <definedName name="Reporting" localSheetId="52">Sheet5!#REF!</definedName>
    <definedName name="Reporting" localSheetId="53">Sheet5!#REF!</definedName>
    <definedName name="Reporting" localSheetId="54">Sheet5!#REF!</definedName>
    <definedName name="Reporting" localSheetId="55">Sheet5!#REF!</definedName>
    <definedName name="Reporting" localSheetId="56">Sheet5!#REF!</definedName>
    <definedName name="Reporting" localSheetId="57">Sheet5!#REF!</definedName>
    <definedName name="Reporting" localSheetId="58">Sheet5!#REF!</definedName>
    <definedName name="Reporting" localSheetId="59">Sheet5!#REF!</definedName>
    <definedName name="Reporting" localSheetId="60">Sheet5!#REF!</definedName>
    <definedName name="Reporting" localSheetId="61">Sheet5!#REF!</definedName>
    <definedName name="Reporting" localSheetId="14">[1]Sheet5!#REF!</definedName>
    <definedName name="Reporting" localSheetId="15">[1]Sheet5!#REF!</definedName>
    <definedName name="Reporting" localSheetId="16">[2]Sheet5!#REF!</definedName>
    <definedName name="Reporting" localSheetId="17">[3]Sheet5!#REF!</definedName>
    <definedName name="Reporting" localSheetId="18">[1]Sheet5!#REF!</definedName>
    <definedName name="Reporting" localSheetId="19">[4]Sheet5!#REF!</definedName>
    <definedName name="Reporting" localSheetId="20">[5]Sheet5!#REF!</definedName>
    <definedName name="Reporting" localSheetId="21">[6]Sheet5!#REF!</definedName>
    <definedName name="Reporting" localSheetId="22">[7]Sheet5!#REF!</definedName>
    <definedName name="Reporting" localSheetId="23">[8]Sheet5!#REF!</definedName>
    <definedName name="Reporting" localSheetId="24">[9]Sheet5!#REF!</definedName>
    <definedName name="Reporting" localSheetId="25">[10]Sheet5!#REF!</definedName>
    <definedName name="Reporting" localSheetId="26">[11]Sheet5!#REF!</definedName>
    <definedName name="Reporting" localSheetId="27">[12]Sheet5!#REF!</definedName>
    <definedName name="Reporting" localSheetId="28">[13]Sheet5!#REF!</definedName>
    <definedName name="Reporting" localSheetId="29">[14]Sheet5!#REF!</definedName>
    <definedName name="Reporting" localSheetId="31">[15]Sheet5!#REF!</definedName>
    <definedName name="Reporting" localSheetId="32">[16]Sheet5!#REF!</definedName>
    <definedName name="Reporting" localSheetId="33">[1]Sheet5!#REF!</definedName>
    <definedName name="Reporting" localSheetId="35">[17]Sheet5!#REF!</definedName>
    <definedName name="Reporting" localSheetId="36">[18]Sheet5!#REF!</definedName>
    <definedName name="Reporting" localSheetId="37">[18]Sheet5!#REF!</definedName>
    <definedName name="Reporting" localSheetId="38">[19]Sheet5!#REF!</definedName>
    <definedName name="Reporting" localSheetId="39">[17]Sheet5!#REF!</definedName>
    <definedName name="Reporting" localSheetId="40">[17]Sheet5!#REF!</definedName>
    <definedName name="Reporting" localSheetId="42">[20]Sheet5!#REF!</definedName>
    <definedName name="Reporting" localSheetId="43">[19]Sheet5!#REF!</definedName>
    <definedName name="Reporting" localSheetId="45">[17]Sheet5!#REF!</definedName>
    <definedName name="Reporting" localSheetId="46">Sheet5!#REF!</definedName>
    <definedName name="Reporting">Sheet5!#REF!</definedName>
    <definedName name="Reputational">Sheet5!$B$209:$B$217</definedName>
    <definedName name="ReputationalExternalFactors" localSheetId="52">Sheet5!#REF!</definedName>
    <definedName name="ReputationalExternalFactors" localSheetId="53">Sheet5!#REF!</definedName>
    <definedName name="ReputationalExternalFactors" localSheetId="54">Sheet5!#REF!</definedName>
    <definedName name="ReputationalExternalFactors" localSheetId="55">Sheet5!#REF!</definedName>
    <definedName name="ReputationalExternalFactors" localSheetId="56">Sheet5!#REF!</definedName>
    <definedName name="ReputationalExternalFactors" localSheetId="57">Sheet5!#REF!</definedName>
    <definedName name="ReputationalExternalFactors" localSheetId="58">Sheet5!#REF!</definedName>
    <definedName name="ReputationalExternalFactors" localSheetId="59">Sheet5!#REF!</definedName>
    <definedName name="ReputationalExternalFactors" localSheetId="60">Sheet5!#REF!</definedName>
    <definedName name="ReputationalExternalFactors" localSheetId="61">Sheet5!#REF!</definedName>
    <definedName name="ReputationalExternalFactors" localSheetId="14">[1]Sheet5!#REF!</definedName>
    <definedName name="ReputationalExternalFactors" localSheetId="15">[1]Sheet5!#REF!</definedName>
    <definedName name="ReputationalExternalFactors" localSheetId="16">[2]Sheet5!#REF!</definedName>
    <definedName name="ReputationalExternalFactors" localSheetId="17">[3]Sheet5!#REF!</definedName>
    <definedName name="ReputationalExternalFactors" localSheetId="18">[1]Sheet5!#REF!</definedName>
    <definedName name="ReputationalExternalFactors" localSheetId="19">[4]Sheet5!#REF!</definedName>
    <definedName name="ReputationalExternalFactors" localSheetId="20">[5]Sheet5!#REF!</definedName>
    <definedName name="ReputationalExternalFactors" localSheetId="21">[6]Sheet5!#REF!</definedName>
    <definedName name="ReputationalExternalFactors" localSheetId="22">[7]Sheet5!#REF!</definedName>
    <definedName name="ReputationalExternalFactors" localSheetId="23">[8]Sheet5!#REF!</definedName>
    <definedName name="ReputationalExternalFactors" localSheetId="24">[9]Sheet5!#REF!</definedName>
    <definedName name="ReputationalExternalFactors" localSheetId="25">[10]Sheet5!#REF!</definedName>
    <definedName name="ReputationalExternalFactors" localSheetId="26">[11]Sheet5!#REF!</definedName>
    <definedName name="ReputationalExternalFactors" localSheetId="27">[12]Sheet5!#REF!</definedName>
    <definedName name="ReputationalExternalFactors" localSheetId="28">[13]Sheet5!#REF!</definedName>
    <definedName name="ReputationalExternalFactors" localSheetId="29">[14]Sheet5!#REF!</definedName>
    <definedName name="ReputationalExternalFactors" localSheetId="31">[15]Sheet5!#REF!</definedName>
    <definedName name="ReputationalExternalFactors" localSheetId="32">[16]Sheet5!#REF!</definedName>
    <definedName name="ReputationalExternalFactors" localSheetId="33">[1]Sheet5!#REF!</definedName>
    <definedName name="ReputationalExternalFactors" localSheetId="35">[17]Sheet5!#REF!</definedName>
    <definedName name="ReputationalExternalFactors" localSheetId="36">[18]Sheet5!#REF!</definedName>
    <definedName name="ReputationalExternalFactors" localSheetId="37">[18]Sheet5!#REF!</definedName>
    <definedName name="ReputationalExternalFactors" localSheetId="38">[19]Sheet5!#REF!</definedName>
    <definedName name="ReputationalExternalFactors" localSheetId="39">[17]Sheet5!#REF!</definedName>
    <definedName name="ReputationalExternalFactors" localSheetId="40">[17]Sheet5!#REF!</definedName>
    <definedName name="ReputationalExternalFactors" localSheetId="42">[20]Sheet5!#REF!</definedName>
    <definedName name="ReputationalExternalFactors" localSheetId="43">[19]Sheet5!#REF!</definedName>
    <definedName name="ReputationalExternalFactors" localSheetId="45">[17]Sheet5!#REF!</definedName>
    <definedName name="ReputationalExternalFactors" localSheetId="46">Sheet5!#REF!</definedName>
    <definedName name="ReputationalExternalFactors">Sheet5!#REF!</definedName>
    <definedName name="Risk" localSheetId="11">[21]Sheet5!$A$6:$A$13</definedName>
    <definedName name="Risk">Sheet5!$A$5:$A$12</definedName>
    <definedName name="Risk2">Sheet5!$B$170:$B$222</definedName>
    <definedName name="Risk3" localSheetId="52">Sheet5!#REF!</definedName>
    <definedName name="Risk3" localSheetId="53">Sheet5!#REF!</definedName>
    <definedName name="Risk3" localSheetId="54">Sheet5!#REF!</definedName>
    <definedName name="Risk3" localSheetId="55">Sheet5!#REF!</definedName>
    <definedName name="Risk3" localSheetId="56">Sheet5!#REF!</definedName>
    <definedName name="Risk3" localSheetId="57">Sheet5!#REF!</definedName>
    <definedName name="Risk3" localSheetId="58">Sheet5!#REF!</definedName>
    <definedName name="Risk3" localSheetId="59">Sheet5!#REF!</definedName>
    <definedName name="Risk3" localSheetId="60">Sheet5!#REF!</definedName>
    <definedName name="Risk3" localSheetId="61">Sheet5!#REF!</definedName>
    <definedName name="Risk3" localSheetId="14">[1]Sheet5!#REF!</definedName>
    <definedName name="Risk3" localSheetId="15">[1]Sheet5!#REF!</definedName>
    <definedName name="Risk3" localSheetId="16">[2]Sheet5!#REF!</definedName>
    <definedName name="Risk3" localSheetId="17">[3]Sheet5!#REF!</definedName>
    <definedName name="Risk3" localSheetId="18">[1]Sheet5!#REF!</definedName>
    <definedName name="Risk3" localSheetId="19">[4]Sheet5!#REF!</definedName>
    <definedName name="Risk3" localSheetId="20">[5]Sheet5!#REF!</definedName>
    <definedName name="Risk3" localSheetId="21">[6]Sheet5!#REF!</definedName>
    <definedName name="Risk3" localSheetId="22">[7]Sheet5!#REF!</definedName>
    <definedName name="Risk3" localSheetId="23">[8]Sheet5!#REF!</definedName>
    <definedName name="Risk3" localSheetId="24">[9]Sheet5!#REF!</definedName>
    <definedName name="Risk3" localSheetId="25">[10]Sheet5!#REF!</definedName>
    <definedName name="Risk3" localSheetId="26">[11]Sheet5!#REF!</definedName>
    <definedName name="Risk3" localSheetId="27">[12]Sheet5!#REF!</definedName>
    <definedName name="Risk3" localSheetId="28">[13]Sheet5!#REF!</definedName>
    <definedName name="Risk3" localSheetId="29">[14]Sheet5!#REF!</definedName>
    <definedName name="Risk3" localSheetId="31">[15]Sheet5!#REF!</definedName>
    <definedName name="Risk3" localSheetId="32">[16]Sheet5!#REF!</definedName>
    <definedName name="Risk3" localSheetId="33">[1]Sheet5!#REF!</definedName>
    <definedName name="Risk3" localSheetId="35">[17]Sheet5!#REF!</definedName>
    <definedName name="Risk3" localSheetId="36">[18]Sheet5!#REF!</definedName>
    <definedName name="Risk3" localSheetId="37">[18]Sheet5!#REF!</definedName>
    <definedName name="Risk3" localSheetId="38">[19]Sheet5!#REF!</definedName>
    <definedName name="Risk3" localSheetId="39">[17]Sheet5!#REF!</definedName>
    <definedName name="Risk3" localSheetId="40">[17]Sheet5!#REF!</definedName>
    <definedName name="Risk3" localSheetId="42">[20]Sheet5!#REF!</definedName>
    <definedName name="Risk3" localSheetId="43">[19]Sheet5!#REF!</definedName>
    <definedName name="Risk3" localSheetId="45">[17]Sheet5!#REF!</definedName>
    <definedName name="Risk3" localSheetId="46">Sheet5!#REF!</definedName>
    <definedName name="Risk3">Sheet5!#REF!</definedName>
    <definedName name="RT" localSheetId="52">Dropdowns!#REF!</definedName>
    <definedName name="RT" localSheetId="53">Dropdowns!#REF!</definedName>
    <definedName name="RT" localSheetId="54">Dropdowns!#REF!</definedName>
    <definedName name="RT" localSheetId="55">Dropdowns!#REF!</definedName>
    <definedName name="RT" localSheetId="56">Dropdowns!#REF!</definedName>
    <definedName name="RT" localSheetId="57">Dropdowns!#REF!</definedName>
    <definedName name="RT" localSheetId="58">Dropdowns!#REF!</definedName>
    <definedName name="RT" localSheetId="59">Dropdowns!#REF!</definedName>
    <definedName name="RT" localSheetId="60">Dropdowns!#REF!</definedName>
    <definedName name="RT" localSheetId="61">Dropdowns!#REF!</definedName>
    <definedName name="RT" localSheetId="14">[1]Dropdowns!#REF!</definedName>
    <definedName name="RT" localSheetId="15">[1]Dropdowns!#REF!</definedName>
    <definedName name="RT" localSheetId="16">[2]Dropdowns!#REF!</definedName>
    <definedName name="RT" localSheetId="17">[3]Dropdowns!#REF!</definedName>
    <definedName name="RT" localSheetId="18">[1]Dropdowns!#REF!</definedName>
    <definedName name="RT" localSheetId="19">[4]Dropdowns!#REF!</definedName>
    <definedName name="RT" localSheetId="20">[5]Dropdowns!#REF!</definedName>
    <definedName name="RT" localSheetId="21">[6]Dropdowns!#REF!</definedName>
    <definedName name="RT" localSheetId="22">[7]Dropdowns!#REF!</definedName>
    <definedName name="RT" localSheetId="23">[8]Dropdowns!#REF!</definedName>
    <definedName name="RT" localSheetId="24">[9]Dropdowns!#REF!</definedName>
    <definedName name="RT" localSheetId="25">[10]Dropdowns!#REF!</definedName>
    <definedName name="RT" localSheetId="26">[11]Dropdowns!#REF!</definedName>
    <definedName name="RT" localSheetId="27">[12]Dropdowns!#REF!</definedName>
    <definedName name="RT" localSheetId="28">[13]Dropdowns!#REF!</definedName>
    <definedName name="RT" localSheetId="29">[14]Dropdowns!#REF!</definedName>
    <definedName name="RT" localSheetId="31">[15]Dropdowns!#REF!</definedName>
    <definedName name="RT" localSheetId="32">[16]Dropdowns!#REF!</definedName>
    <definedName name="RT" localSheetId="33">[1]Dropdowns!#REF!</definedName>
    <definedName name="RT" localSheetId="35">[17]Dropdowns!#REF!</definedName>
    <definedName name="RT" localSheetId="36">[18]Dropdowns!#REF!</definedName>
    <definedName name="RT" localSheetId="37">[18]Dropdowns!#REF!</definedName>
    <definedName name="RT" localSheetId="38">[19]Dropdowns!#REF!</definedName>
    <definedName name="RT" localSheetId="39">[17]Dropdowns!#REF!</definedName>
    <definedName name="RT" localSheetId="40">[17]Dropdowns!#REF!</definedName>
    <definedName name="RT" localSheetId="42">[20]Dropdowns!#REF!</definedName>
    <definedName name="RT" localSheetId="43">[19]Dropdowns!#REF!</definedName>
    <definedName name="RT" localSheetId="45">[17]Dropdowns!#REF!</definedName>
    <definedName name="RT" localSheetId="46">Dropdowns!#REF!</definedName>
    <definedName name="RT">Dropdowns!#REF!</definedName>
    <definedName name="Settlement" localSheetId="52">Sheet5!#REF!</definedName>
    <definedName name="Settlement" localSheetId="53">Sheet5!#REF!</definedName>
    <definedName name="Settlement" localSheetId="54">Sheet5!#REF!</definedName>
    <definedName name="Settlement" localSheetId="55">Sheet5!#REF!</definedName>
    <definedName name="Settlement" localSheetId="56">Sheet5!#REF!</definedName>
    <definedName name="Settlement" localSheetId="57">Sheet5!#REF!</definedName>
    <definedName name="Settlement" localSheetId="58">Sheet5!#REF!</definedName>
    <definedName name="Settlement" localSheetId="59">Sheet5!#REF!</definedName>
    <definedName name="Settlement" localSheetId="60">Sheet5!#REF!</definedName>
    <definedName name="Settlement" localSheetId="61">Sheet5!#REF!</definedName>
    <definedName name="Settlement" localSheetId="14">[1]Sheet5!#REF!</definedName>
    <definedName name="Settlement" localSheetId="15">[1]Sheet5!#REF!</definedName>
    <definedName name="Settlement" localSheetId="16">[2]Sheet5!#REF!</definedName>
    <definedName name="Settlement" localSheetId="17">[3]Sheet5!#REF!</definedName>
    <definedName name="Settlement" localSheetId="18">[1]Sheet5!#REF!</definedName>
    <definedName name="Settlement" localSheetId="19">[4]Sheet5!#REF!</definedName>
    <definedName name="Settlement" localSheetId="20">[5]Sheet5!#REF!</definedName>
    <definedName name="Settlement" localSheetId="21">[6]Sheet5!#REF!</definedName>
    <definedName name="Settlement" localSheetId="22">[7]Sheet5!#REF!</definedName>
    <definedName name="Settlement" localSheetId="23">[8]Sheet5!#REF!</definedName>
    <definedName name="Settlement" localSheetId="24">[9]Sheet5!#REF!</definedName>
    <definedName name="Settlement" localSheetId="25">[10]Sheet5!#REF!</definedName>
    <definedName name="Settlement" localSheetId="26">[11]Sheet5!#REF!</definedName>
    <definedName name="Settlement" localSheetId="27">[12]Sheet5!#REF!</definedName>
    <definedName name="Settlement" localSheetId="28">[13]Sheet5!#REF!</definedName>
    <definedName name="Settlement" localSheetId="29">[14]Sheet5!#REF!</definedName>
    <definedName name="Settlement" localSheetId="31">[15]Sheet5!#REF!</definedName>
    <definedName name="Settlement" localSheetId="32">[16]Sheet5!#REF!</definedName>
    <definedName name="Settlement" localSheetId="33">[1]Sheet5!#REF!</definedName>
    <definedName name="Settlement" localSheetId="35">[17]Sheet5!#REF!</definedName>
    <definedName name="Settlement" localSheetId="36">[18]Sheet5!#REF!</definedName>
    <definedName name="Settlement" localSheetId="37">[18]Sheet5!#REF!</definedName>
    <definedName name="Settlement" localSheetId="38">[19]Sheet5!#REF!</definedName>
    <definedName name="Settlement" localSheetId="39">[17]Sheet5!#REF!</definedName>
    <definedName name="Settlement" localSheetId="40">[17]Sheet5!#REF!</definedName>
    <definedName name="Settlement" localSheetId="42">[20]Sheet5!#REF!</definedName>
    <definedName name="Settlement" localSheetId="43">[19]Sheet5!#REF!</definedName>
    <definedName name="Settlement" localSheetId="45">[17]Sheet5!#REF!</definedName>
    <definedName name="Settlement" localSheetId="46">Sheet5!#REF!</definedName>
    <definedName name="Settlement">Sheet5!#REF!</definedName>
    <definedName name="Strategic">Sheet5!$B$126:$B$149</definedName>
    <definedName name="StrategicExpansionRisk" localSheetId="52">Sheet5!#REF!</definedName>
    <definedName name="StrategicExpansionRisk" localSheetId="53">Sheet5!#REF!</definedName>
    <definedName name="StrategicExpansionRisk" localSheetId="54">Sheet5!#REF!</definedName>
    <definedName name="StrategicExpansionRisk" localSheetId="55">Sheet5!#REF!</definedName>
    <definedName name="StrategicExpansionRisk" localSheetId="56">Sheet5!#REF!</definedName>
    <definedName name="StrategicExpansionRisk" localSheetId="57">Sheet5!#REF!</definedName>
    <definedName name="StrategicExpansionRisk" localSheetId="58">Sheet5!#REF!</definedName>
    <definedName name="StrategicExpansionRisk" localSheetId="59">Sheet5!#REF!</definedName>
    <definedName name="StrategicExpansionRisk" localSheetId="60">Sheet5!#REF!</definedName>
    <definedName name="StrategicExpansionRisk" localSheetId="61">Sheet5!#REF!</definedName>
    <definedName name="StrategicExpansionRisk" localSheetId="14">[1]Sheet5!#REF!</definedName>
    <definedName name="StrategicExpansionRisk" localSheetId="15">[1]Sheet5!#REF!</definedName>
    <definedName name="StrategicExpansionRisk" localSheetId="16">[2]Sheet5!#REF!</definedName>
    <definedName name="StrategicExpansionRisk" localSheetId="17">[3]Sheet5!#REF!</definedName>
    <definedName name="StrategicExpansionRisk" localSheetId="18">[1]Sheet5!#REF!</definedName>
    <definedName name="StrategicExpansionRisk" localSheetId="19">[4]Sheet5!#REF!</definedName>
    <definedName name="StrategicExpansionRisk" localSheetId="20">[5]Sheet5!#REF!</definedName>
    <definedName name="StrategicExpansionRisk" localSheetId="21">[6]Sheet5!#REF!</definedName>
    <definedName name="StrategicExpansionRisk" localSheetId="22">[7]Sheet5!#REF!</definedName>
    <definedName name="StrategicExpansionRisk" localSheetId="23">[8]Sheet5!#REF!</definedName>
    <definedName name="StrategicExpansionRisk" localSheetId="24">[9]Sheet5!#REF!</definedName>
    <definedName name="StrategicExpansionRisk" localSheetId="25">[10]Sheet5!#REF!</definedName>
    <definedName name="StrategicExpansionRisk" localSheetId="26">[11]Sheet5!#REF!</definedName>
    <definedName name="StrategicExpansionRisk" localSheetId="27">[12]Sheet5!#REF!</definedName>
    <definedName name="StrategicExpansionRisk" localSheetId="28">[13]Sheet5!#REF!</definedName>
    <definedName name="StrategicExpansionRisk" localSheetId="29">[14]Sheet5!#REF!</definedName>
    <definedName name="StrategicExpansionRisk" localSheetId="31">[15]Sheet5!#REF!</definedName>
    <definedName name="StrategicExpansionRisk" localSheetId="32">[16]Sheet5!#REF!</definedName>
    <definedName name="StrategicExpansionRisk" localSheetId="33">[1]Sheet5!#REF!</definedName>
    <definedName name="StrategicExpansionRisk" localSheetId="35">[17]Sheet5!#REF!</definedName>
    <definedName name="StrategicExpansionRisk" localSheetId="36">[18]Sheet5!#REF!</definedName>
    <definedName name="StrategicExpansionRisk" localSheetId="37">[18]Sheet5!#REF!</definedName>
    <definedName name="StrategicExpansionRisk" localSheetId="38">[19]Sheet5!#REF!</definedName>
    <definedName name="StrategicExpansionRisk" localSheetId="39">[17]Sheet5!#REF!</definedName>
    <definedName name="StrategicExpansionRisk" localSheetId="40">[17]Sheet5!#REF!</definedName>
    <definedName name="StrategicExpansionRisk" localSheetId="42">[20]Sheet5!#REF!</definedName>
    <definedName name="StrategicExpansionRisk" localSheetId="43">[19]Sheet5!#REF!</definedName>
    <definedName name="StrategicExpansionRisk" localSheetId="45">[17]Sheet5!#REF!</definedName>
    <definedName name="StrategicExpansionRisk" localSheetId="46">Sheet5!#REF!</definedName>
    <definedName name="StrategicExpansionRisk">Sheet5!#REF!</definedName>
    <definedName name="StrategicExternalFactors" localSheetId="52">Sheet5!#REF!</definedName>
    <definedName name="StrategicExternalFactors" localSheetId="53">Sheet5!#REF!</definedName>
    <definedName name="StrategicExternalFactors" localSheetId="54">Sheet5!#REF!</definedName>
    <definedName name="StrategicExternalFactors" localSheetId="55">Sheet5!#REF!</definedName>
    <definedName name="StrategicExternalFactors" localSheetId="56">Sheet5!#REF!</definedName>
    <definedName name="StrategicExternalFactors" localSheetId="57">Sheet5!#REF!</definedName>
    <definedName name="StrategicExternalFactors" localSheetId="58">Sheet5!#REF!</definedName>
    <definedName name="StrategicExternalFactors" localSheetId="59">Sheet5!#REF!</definedName>
    <definedName name="StrategicExternalFactors" localSheetId="60">Sheet5!#REF!</definedName>
    <definedName name="StrategicExternalFactors" localSheetId="61">Sheet5!#REF!</definedName>
    <definedName name="StrategicExternalFactors" localSheetId="14">[1]Sheet5!#REF!</definedName>
    <definedName name="StrategicExternalFactors" localSheetId="15">[1]Sheet5!#REF!</definedName>
    <definedName name="StrategicExternalFactors" localSheetId="16">[2]Sheet5!#REF!</definedName>
    <definedName name="StrategicExternalFactors" localSheetId="17">[3]Sheet5!#REF!</definedName>
    <definedName name="StrategicExternalFactors" localSheetId="18">[1]Sheet5!#REF!</definedName>
    <definedName name="StrategicExternalFactors" localSheetId="19">[4]Sheet5!#REF!</definedName>
    <definedName name="StrategicExternalFactors" localSheetId="20">[5]Sheet5!#REF!</definedName>
    <definedName name="StrategicExternalFactors" localSheetId="21">[6]Sheet5!#REF!</definedName>
    <definedName name="StrategicExternalFactors" localSheetId="22">[7]Sheet5!#REF!</definedName>
    <definedName name="StrategicExternalFactors" localSheetId="23">[8]Sheet5!#REF!</definedName>
    <definedName name="StrategicExternalFactors" localSheetId="24">[9]Sheet5!#REF!</definedName>
    <definedName name="StrategicExternalFactors" localSheetId="25">[10]Sheet5!#REF!</definedName>
    <definedName name="StrategicExternalFactors" localSheetId="26">[11]Sheet5!#REF!</definedName>
    <definedName name="StrategicExternalFactors" localSheetId="27">[12]Sheet5!#REF!</definedName>
    <definedName name="StrategicExternalFactors" localSheetId="28">[13]Sheet5!#REF!</definedName>
    <definedName name="StrategicExternalFactors" localSheetId="29">[14]Sheet5!#REF!</definedName>
    <definedName name="StrategicExternalFactors" localSheetId="31">[15]Sheet5!#REF!</definedName>
    <definedName name="StrategicExternalFactors" localSheetId="32">[16]Sheet5!#REF!</definedName>
    <definedName name="StrategicExternalFactors" localSheetId="33">[1]Sheet5!#REF!</definedName>
    <definedName name="StrategicExternalFactors" localSheetId="35">[17]Sheet5!#REF!</definedName>
    <definedName name="StrategicExternalFactors" localSheetId="36">[18]Sheet5!#REF!</definedName>
    <definedName name="StrategicExternalFactors" localSheetId="37">[18]Sheet5!#REF!</definedName>
    <definedName name="StrategicExternalFactors" localSheetId="38">[19]Sheet5!#REF!</definedName>
    <definedName name="StrategicExternalFactors" localSheetId="39">[17]Sheet5!#REF!</definedName>
    <definedName name="StrategicExternalFactors" localSheetId="40">[17]Sheet5!#REF!</definedName>
    <definedName name="StrategicExternalFactors" localSheetId="42">[20]Sheet5!#REF!</definedName>
    <definedName name="StrategicExternalFactors" localSheetId="43">[19]Sheet5!#REF!</definedName>
    <definedName name="StrategicExternalFactors" localSheetId="45">[17]Sheet5!#REF!</definedName>
    <definedName name="StrategicExternalFactors" localSheetId="46">Sheet5!#REF!</definedName>
    <definedName name="StrategicExternalFactors">Sheet5!#REF!</definedName>
    <definedName name="Strategicfactors" localSheetId="52">Sheet5!#REF!</definedName>
    <definedName name="Strategicfactors" localSheetId="53">Sheet5!#REF!</definedName>
    <definedName name="Strategicfactors" localSheetId="54">Sheet5!#REF!</definedName>
    <definedName name="Strategicfactors" localSheetId="55">Sheet5!#REF!</definedName>
    <definedName name="Strategicfactors" localSheetId="56">Sheet5!#REF!</definedName>
    <definedName name="Strategicfactors" localSheetId="57">Sheet5!#REF!</definedName>
    <definedName name="Strategicfactors" localSheetId="58">Sheet5!#REF!</definedName>
    <definedName name="Strategicfactors" localSheetId="59">Sheet5!#REF!</definedName>
    <definedName name="Strategicfactors" localSheetId="60">Sheet5!#REF!</definedName>
    <definedName name="Strategicfactors" localSheetId="61">Sheet5!#REF!</definedName>
    <definedName name="Strategicfactors" localSheetId="14">[1]Sheet5!#REF!</definedName>
    <definedName name="Strategicfactors" localSheetId="15">[1]Sheet5!#REF!</definedName>
    <definedName name="Strategicfactors" localSheetId="16">[2]Sheet5!#REF!</definedName>
    <definedName name="Strategicfactors" localSheetId="17">[3]Sheet5!#REF!</definedName>
    <definedName name="Strategicfactors" localSheetId="18">[1]Sheet5!#REF!</definedName>
    <definedName name="Strategicfactors" localSheetId="19">[4]Sheet5!#REF!</definedName>
    <definedName name="Strategicfactors" localSheetId="20">[5]Sheet5!#REF!</definedName>
    <definedName name="Strategicfactors" localSheetId="21">[6]Sheet5!#REF!</definedName>
    <definedName name="Strategicfactors" localSheetId="22">[7]Sheet5!#REF!</definedName>
    <definedName name="Strategicfactors" localSheetId="23">[8]Sheet5!#REF!</definedName>
    <definedName name="Strategicfactors" localSheetId="24">[9]Sheet5!#REF!</definedName>
    <definedName name="Strategicfactors" localSheetId="25">[10]Sheet5!#REF!</definedName>
    <definedName name="Strategicfactors" localSheetId="26">[11]Sheet5!#REF!</definedName>
    <definedName name="Strategicfactors" localSheetId="27">[12]Sheet5!#REF!</definedName>
    <definedName name="Strategicfactors" localSheetId="28">[13]Sheet5!#REF!</definedName>
    <definedName name="Strategicfactors" localSheetId="29">[14]Sheet5!#REF!</definedName>
    <definedName name="Strategicfactors" localSheetId="31">[15]Sheet5!#REF!</definedName>
    <definedName name="Strategicfactors" localSheetId="32">[16]Sheet5!#REF!</definedName>
    <definedName name="Strategicfactors" localSheetId="33">[1]Sheet5!#REF!</definedName>
    <definedName name="Strategicfactors" localSheetId="35">[17]Sheet5!#REF!</definedName>
    <definedName name="Strategicfactors" localSheetId="36">[18]Sheet5!#REF!</definedName>
    <definedName name="Strategicfactors" localSheetId="37">[18]Sheet5!#REF!</definedName>
    <definedName name="Strategicfactors" localSheetId="38">[19]Sheet5!#REF!</definedName>
    <definedName name="Strategicfactors" localSheetId="39">[17]Sheet5!#REF!</definedName>
    <definedName name="Strategicfactors" localSheetId="40">[17]Sheet5!#REF!</definedName>
    <definedName name="Strategicfactors" localSheetId="42">[20]Sheet5!#REF!</definedName>
    <definedName name="Strategicfactors" localSheetId="43">[19]Sheet5!#REF!</definedName>
    <definedName name="Strategicfactors" localSheetId="45">[17]Sheet5!#REF!</definedName>
    <definedName name="Strategicfactors" localSheetId="46">Sheet5!#REF!</definedName>
    <definedName name="Strategicfactors">Sheet5!#REF!</definedName>
    <definedName name="StrategicManagementandOtherPersonnel" localSheetId="52">Sheet5!#REF!</definedName>
    <definedName name="StrategicManagementandOtherPersonnel" localSheetId="53">Sheet5!#REF!</definedName>
    <definedName name="StrategicManagementandOtherPersonnel" localSheetId="54">Sheet5!#REF!</definedName>
    <definedName name="StrategicManagementandOtherPersonnel" localSheetId="55">Sheet5!#REF!</definedName>
    <definedName name="StrategicManagementandOtherPersonnel" localSheetId="56">Sheet5!#REF!</definedName>
    <definedName name="StrategicManagementandOtherPersonnel" localSheetId="57">Sheet5!#REF!</definedName>
    <definedName name="StrategicManagementandOtherPersonnel" localSheetId="58">Sheet5!#REF!</definedName>
    <definedName name="StrategicManagementandOtherPersonnel" localSheetId="59">Sheet5!#REF!</definedName>
    <definedName name="StrategicManagementandOtherPersonnel" localSheetId="60">Sheet5!#REF!</definedName>
    <definedName name="StrategicManagementandOtherPersonnel" localSheetId="61">Sheet5!#REF!</definedName>
    <definedName name="StrategicManagementandOtherPersonnel" localSheetId="14">[1]Sheet5!#REF!</definedName>
    <definedName name="StrategicManagementandOtherPersonnel" localSheetId="15">[1]Sheet5!#REF!</definedName>
    <definedName name="StrategicManagementandOtherPersonnel" localSheetId="16">[2]Sheet5!#REF!</definedName>
    <definedName name="StrategicManagementandOtherPersonnel" localSheetId="17">[3]Sheet5!#REF!</definedName>
    <definedName name="StrategicManagementandOtherPersonnel" localSheetId="18">[1]Sheet5!#REF!</definedName>
    <definedName name="StrategicManagementandOtherPersonnel" localSheetId="19">[4]Sheet5!#REF!</definedName>
    <definedName name="StrategicManagementandOtherPersonnel" localSheetId="20">[5]Sheet5!#REF!</definedName>
    <definedName name="StrategicManagementandOtherPersonnel" localSheetId="21">[6]Sheet5!#REF!</definedName>
    <definedName name="StrategicManagementandOtherPersonnel" localSheetId="22">[7]Sheet5!#REF!</definedName>
    <definedName name="StrategicManagementandOtherPersonnel" localSheetId="23">[8]Sheet5!#REF!</definedName>
    <definedName name="StrategicManagementandOtherPersonnel" localSheetId="24">[9]Sheet5!#REF!</definedName>
    <definedName name="StrategicManagementandOtherPersonnel" localSheetId="25">[10]Sheet5!#REF!</definedName>
    <definedName name="StrategicManagementandOtherPersonnel" localSheetId="26">[11]Sheet5!#REF!</definedName>
    <definedName name="StrategicManagementandOtherPersonnel" localSheetId="27">[12]Sheet5!#REF!</definedName>
    <definedName name="StrategicManagementandOtherPersonnel" localSheetId="28">[13]Sheet5!#REF!</definedName>
    <definedName name="StrategicManagementandOtherPersonnel" localSheetId="29">[14]Sheet5!#REF!</definedName>
    <definedName name="StrategicManagementandOtherPersonnel" localSheetId="31">[15]Sheet5!#REF!</definedName>
    <definedName name="StrategicManagementandOtherPersonnel" localSheetId="32">[16]Sheet5!#REF!</definedName>
    <definedName name="StrategicManagementandOtherPersonnel" localSheetId="33">[1]Sheet5!#REF!</definedName>
    <definedName name="StrategicManagementandOtherPersonnel" localSheetId="35">[17]Sheet5!#REF!</definedName>
    <definedName name="StrategicManagementandOtherPersonnel" localSheetId="36">[18]Sheet5!#REF!</definedName>
    <definedName name="StrategicManagementandOtherPersonnel" localSheetId="37">[18]Sheet5!#REF!</definedName>
    <definedName name="StrategicManagementandOtherPersonnel" localSheetId="38">[19]Sheet5!#REF!</definedName>
    <definedName name="StrategicManagementandOtherPersonnel" localSheetId="39">[17]Sheet5!#REF!</definedName>
    <definedName name="StrategicManagementandOtherPersonnel" localSheetId="40">[17]Sheet5!#REF!</definedName>
    <definedName name="StrategicManagementandOtherPersonnel" localSheetId="42">[20]Sheet5!#REF!</definedName>
    <definedName name="StrategicManagementandOtherPersonnel" localSheetId="43">[19]Sheet5!#REF!</definedName>
    <definedName name="StrategicManagementandOtherPersonnel" localSheetId="45">[17]Sheet5!#REF!</definedName>
    <definedName name="StrategicManagementandOtherPersonnel" localSheetId="46">Sheet5!#REF!</definedName>
    <definedName name="StrategicManagementandOtherPersonnel">Sheet5!#REF!</definedName>
    <definedName name="StrategicManagementInformationSystems" localSheetId="52">Sheet5!#REF!</definedName>
    <definedName name="StrategicManagementInformationSystems" localSheetId="53">Sheet5!#REF!</definedName>
    <definedName name="StrategicManagementInformationSystems" localSheetId="54">Sheet5!#REF!</definedName>
    <definedName name="StrategicManagementInformationSystems" localSheetId="55">Sheet5!#REF!</definedName>
    <definedName name="StrategicManagementInformationSystems" localSheetId="56">Sheet5!#REF!</definedName>
    <definedName name="StrategicManagementInformationSystems" localSheetId="57">Sheet5!#REF!</definedName>
    <definedName name="StrategicManagementInformationSystems" localSheetId="58">Sheet5!#REF!</definedName>
    <definedName name="StrategicManagementInformationSystems" localSheetId="59">Sheet5!#REF!</definedName>
    <definedName name="StrategicManagementInformationSystems" localSheetId="60">Sheet5!#REF!</definedName>
    <definedName name="StrategicManagementInformationSystems" localSheetId="61">Sheet5!#REF!</definedName>
    <definedName name="StrategicManagementInformationSystems" localSheetId="14">[1]Sheet5!#REF!</definedName>
    <definedName name="StrategicManagementInformationSystems" localSheetId="15">[1]Sheet5!#REF!</definedName>
    <definedName name="StrategicManagementInformationSystems" localSheetId="16">[2]Sheet5!#REF!</definedName>
    <definedName name="StrategicManagementInformationSystems" localSheetId="17">[3]Sheet5!#REF!</definedName>
    <definedName name="StrategicManagementInformationSystems" localSheetId="18">[1]Sheet5!#REF!</definedName>
    <definedName name="StrategicManagementInformationSystems" localSheetId="19">[4]Sheet5!#REF!</definedName>
    <definedName name="StrategicManagementInformationSystems" localSheetId="20">[5]Sheet5!#REF!</definedName>
    <definedName name="StrategicManagementInformationSystems" localSheetId="21">[6]Sheet5!#REF!</definedName>
    <definedName name="StrategicManagementInformationSystems" localSheetId="22">[7]Sheet5!#REF!</definedName>
    <definedName name="StrategicManagementInformationSystems" localSheetId="23">[8]Sheet5!#REF!</definedName>
    <definedName name="StrategicManagementInformationSystems" localSheetId="24">[9]Sheet5!#REF!</definedName>
    <definedName name="StrategicManagementInformationSystems" localSheetId="25">[10]Sheet5!#REF!</definedName>
    <definedName name="StrategicManagementInformationSystems" localSheetId="26">[11]Sheet5!#REF!</definedName>
    <definedName name="StrategicManagementInformationSystems" localSheetId="27">[12]Sheet5!#REF!</definedName>
    <definedName name="StrategicManagementInformationSystems" localSheetId="28">[13]Sheet5!#REF!</definedName>
    <definedName name="StrategicManagementInformationSystems" localSheetId="29">[14]Sheet5!#REF!</definedName>
    <definedName name="StrategicManagementInformationSystems" localSheetId="31">[15]Sheet5!#REF!</definedName>
    <definedName name="StrategicManagementInformationSystems" localSheetId="32">[16]Sheet5!#REF!</definedName>
    <definedName name="StrategicManagementInformationSystems" localSheetId="33">[1]Sheet5!#REF!</definedName>
    <definedName name="StrategicManagementInformationSystems" localSheetId="35">[17]Sheet5!#REF!</definedName>
    <definedName name="StrategicManagementInformationSystems" localSheetId="36">[18]Sheet5!#REF!</definedName>
    <definedName name="StrategicManagementInformationSystems" localSheetId="37">[18]Sheet5!#REF!</definedName>
    <definedName name="StrategicManagementInformationSystems" localSheetId="38">[19]Sheet5!#REF!</definedName>
    <definedName name="StrategicManagementInformationSystems" localSheetId="39">[17]Sheet5!#REF!</definedName>
    <definedName name="StrategicManagementInformationSystems" localSheetId="40">[17]Sheet5!#REF!</definedName>
    <definedName name="StrategicManagementInformationSystems" localSheetId="42">[20]Sheet5!#REF!</definedName>
    <definedName name="StrategicManagementInformationSystems" localSheetId="43">[19]Sheet5!#REF!</definedName>
    <definedName name="StrategicManagementInformationSystems" localSheetId="45">[17]Sheet5!#REF!</definedName>
    <definedName name="StrategicManagementInformationSystems" localSheetId="46">Sheet5!#REF!</definedName>
    <definedName name="StrategicManagementInformationSystems">Sheet5!#REF!</definedName>
    <definedName name="StrategicObjectives" localSheetId="52">Sheet5!#REF!</definedName>
    <definedName name="StrategicObjectives" localSheetId="53">Sheet5!#REF!</definedName>
    <definedName name="StrategicObjectives" localSheetId="54">Sheet5!#REF!</definedName>
    <definedName name="StrategicObjectives" localSheetId="55">Sheet5!#REF!</definedName>
    <definedName name="StrategicObjectives" localSheetId="56">Sheet5!#REF!</definedName>
    <definedName name="StrategicObjectives" localSheetId="57">Sheet5!#REF!</definedName>
    <definedName name="StrategicObjectives" localSheetId="58">Sheet5!#REF!</definedName>
    <definedName name="StrategicObjectives" localSheetId="59">Sheet5!#REF!</definedName>
    <definedName name="StrategicObjectives" localSheetId="60">Sheet5!#REF!</definedName>
    <definedName name="StrategicObjectives" localSheetId="61">Sheet5!#REF!</definedName>
    <definedName name="StrategicObjectives" localSheetId="14">[1]Sheet5!#REF!</definedName>
    <definedName name="StrategicObjectives" localSheetId="15">[1]Sheet5!#REF!</definedName>
    <definedName name="StrategicObjectives" localSheetId="16">[2]Sheet5!#REF!</definedName>
    <definedName name="StrategicObjectives" localSheetId="17">[3]Sheet5!#REF!</definedName>
    <definedName name="StrategicObjectives" localSheetId="18">[1]Sheet5!#REF!</definedName>
    <definedName name="StrategicObjectives" localSheetId="19">[4]Sheet5!#REF!</definedName>
    <definedName name="StrategicObjectives" localSheetId="20">[5]Sheet5!#REF!</definedName>
    <definedName name="StrategicObjectives" localSheetId="21">[6]Sheet5!#REF!</definedName>
    <definedName name="StrategicObjectives" localSheetId="22">[7]Sheet5!#REF!</definedName>
    <definedName name="StrategicObjectives" localSheetId="23">[8]Sheet5!#REF!</definedName>
    <definedName name="StrategicObjectives" localSheetId="24">[9]Sheet5!#REF!</definedName>
    <definedName name="StrategicObjectives" localSheetId="25">[10]Sheet5!#REF!</definedName>
    <definedName name="StrategicObjectives" localSheetId="26">[11]Sheet5!#REF!</definedName>
    <definedName name="StrategicObjectives" localSheetId="27">[12]Sheet5!#REF!</definedName>
    <definedName name="StrategicObjectives" localSheetId="28">[13]Sheet5!#REF!</definedName>
    <definedName name="StrategicObjectives" localSheetId="29">[14]Sheet5!#REF!</definedName>
    <definedName name="StrategicObjectives" localSheetId="31">[15]Sheet5!#REF!</definedName>
    <definedName name="StrategicObjectives" localSheetId="32">[16]Sheet5!#REF!</definedName>
    <definedName name="StrategicObjectives" localSheetId="33">[1]Sheet5!#REF!</definedName>
    <definedName name="StrategicObjectives" localSheetId="35">[17]Sheet5!#REF!</definedName>
    <definedName name="StrategicObjectives" localSheetId="36">[18]Sheet5!#REF!</definedName>
    <definedName name="StrategicObjectives" localSheetId="37">[18]Sheet5!#REF!</definedName>
    <definedName name="StrategicObjectives" localSheetId="38">[19]Sheet5!#REF!</definedName>
    <definedName name="StrategicObjectives" localSheetId="39">[17]Sheet5!#REF!</definedName>
    <definedName name="StrategicObjectives" localSheetId="40">[17]Sheet5!#REF!</definedName>
    <definedName name="StrategicObjectives" localSheetId="42">[20]Sheet5!#REF!</definedName>
    <definedName name="StrategicObjectives" localSheetId="43">[19]Sheet5!#REF!</definedName>
    <definedName name="StrategicObjectives" localSheetId="45">[17]Sheet5!#REF!</definedName>
    <definedName name="StrategicObjectives" localSheetId="46">Sheet5!#REF!</definedName>
    <definedName name="StrategicObjectives">Sheet5!#REF!</definedName>
    <definedName name="Tolerance" localSheetId="52">Dropdowns!#REF!</definedName>
    <definedName name="Tolerance" localSheetId="53">Dropdowns!#REF!</definedName>
    <definedName name="Tolerance" localSheetId="54">Dropdowns!#REF!</definedName>
    <definedName name="Tolerance" localSheetId="55">Dropdowns!#REF!</definedName>
    <definedName name="Tolerance" localSheetId="56">Dropdowns!#REF!</definedName>
    <definedName name="Tolerance" localSheetId="57">Dropdowns!#REF!</definedName>
    <definedName name="Tolerance" localSheetId="58">Dropdowns!#REF!</definedName>
    <definedName name="Tolerance" localSheetId="59">Dropdowns!#REF!</definedName>
    <definedName name="Tolerance" localSheetId="60">Dropdowns!#REF!</definedName>
    <definedName name="Tolerance" localSheetId="61">Dropdowns!#REF!</definedName>
    <definedName name="Tolerance" localSheetId="14">[1]Dropdowns!#REF!</definedName>
    <definedName name="Tolerance" localSheetId="15">[1]Dropdowns!#REF!</definedName>
    <definedName name="Tolerance" localSheetId="16">[2]Dropdowns!#REF!</definedName>
    <definedName name="Tolerance" localSheetId="17">[3]Dropdowns!#REF!</definedName>
    <definedName name="Tolerance" localSheetId="18">[1]Dropdowns!#REF!</definedName>
    <definedName name="Tolerance" localSheetId="19">[4]Dropdowns!#REF!</definedName>
    <definedName name="Tolerance" localSheetId="20">[5]Dropdowns!#REF!</definedName>
    <definedName name="Tolerance" localSheetId="21">[6]Dropdowns!#REF!</definedName>
    <definedName name="Tolerance" localSheetId="22">[7]Dropdowns!#REF!</definedName>
    <definedName name="Tolerance" localSheetId="23">[8]Dropdowns!#REF!</definedName>
    <definedName name="Tolerance" localSheetId="24">[9]Dropdowns!#REF!</definedName>
    <definedName name="Tolerance" localSheetId="25">[10]Dropdowns!#REF!</definedName>
    <definedName name="Tolerance" localSheetId="26">[11]Dropdowns!#REF!</definedName>
    <definedName name="Tolerance" localSheetId="27">[12]Dropdowns!#REF!</definedName>
    <definedName name="Tolerance" localSheetId="28">[13]Dropdowns!#REF!</definedName>
    <definedName name="Tolerance" localSheetId="29">[14]Dropdowns!#REF!</definedName>
    <definedName name="Tolerance" localSheetId="31">[15]Dropdowns!#REF!</definedName>
    <definedName name="Tolerance" localSheetId="32">[16]Dropdowns!#REF!</definedName>
    <definedName name="Tolerance" localSheetId="33">[1]Dropdowns!#REF!</definedName>
    <definedName name="Tolerance" localSheetId="35">[17]Dropdowns!#REF!</definedName>
    <definedName name="Tolerance" localSheetId="36">[18]Dropdowns!#REF!</definedName>
    <definedName name="Tolerance" localSheetId="37">[18]Dropdowns!#REF!</definedName>
    <definedName name="Tolerance" localSheetId="38">[19]Dropdowns!#REF!</definedName>
    <definedName name="Tolerance" localSheetId="39">[17]Dropdowns!#REF!</definedName>
    <definedName name="Tolerance" localSheetId="40">[17]Dropdowns!#REF!</definedName>
    <definedName name="Tolerance" localSheetId="42">[20]Dropdowns!#REF!</definedName>
    <definedName name="Tolerance" localSheetId="43">[19]Dropdowns!#REF!</definedName>
    <definedName name="Tolerance" localSheetId="45">[17]Dropdowns!#REF!</definedName>
    <definedName name="Tolerance" localSheetId="46">Dropdowns!#REF!</definedName>
    <definedName name="Tolerance">Dropdowns!#REF!</definedName>
    <definedName name="Training" localSheetId="52">Sheet5!#REF!</definedName>
    <definedName name="Training" localSheetId="53">Sheet5!#REF!</definedName>
    <definedName name="Training" localSheetId="54">Sheet5!#REF!</definedName>
    <definedName name="Training" localSheetId="55">Sheet5!#REF!</definedName>
    <definedName name="Training" localSheetId="56">Sheet5!#REF!</definedName>
    <definedName name="Training" localSheetId="57">Sheet5!#REF!</definedName>
    <definedName name="Training" localSheetId="58">Sheet5!#REF!</definedName>
    <definedName name="Training" localSheetId="59">Sheet5!#REF!</definedName>
    <definedName name="Training" localSheetId="60">Sheet5!#REF!</definedName>
    <definedName name="Training" localSheetId="61">Sheet5!#REF!</definedName>
    <definedName name="Training" localSheetId="14">[1]Sheet5!#REF!</definedName>
    <definedName name="Training" localSheetId="15">[1]Sheet5!#REF!</definedName>
    <definedName name="Training" localSheetId="16">[2]Sheet5!#REF!</definedName>
    <definedName name="Training" localSheetId="17">[3]Sheet5!#REF!</definedName>
    <definedName name="Training" localSheetId="18">[1]Sheet5!#REF!</definedName>
    <definedName name="Training" localSheetId="19">[4]Sheet5!#REF!</definedName>
    <definedName name="Training" localSheetId="20">[5]Sheet5!#REF!</definedName>
    <definedName name="Training" localSheetId="21">[6]Sheet5!#REF!</definedName>
    <definedName name="Training" localSheetId="22">[7]Sheet5!#REF!</definedName>
    <definedName name="Training" localSheetId="23">[8]Sheet5!#REF!</definedName>
    <definedName name="Training" localSheetId="24">[9]Sheet5!#REF!</definedName>
    <definedName name="Training" localSheetId="25">[10]Sheet5!#REF!</definedName>
    <definedName name="Training" localSheetId="26">[11]Sheet5!#REF!</definedName>
    <definedName name="Training" localSheetId="27">[12]Sheet5!#REF!</definedName>
    <definedName name="Training" localSheetId="28">[13]Sheet5!#REF!</definedName>
    <definedName name="Training" localSheetId="29">[14]Sheet5!#REF!</definedName>
    <definedName name="Training" localSheetId="31">[15]Sheet5!#REF!</definedName>
    <definedName name="Training" localSheetId="32">[16]Sheet5!#REF!</definedName>
    <definedName name="Training" localSheetId="33">[1]Sheet5!#REF!</definedName>
    <definedName name="Training" localSheetId="35">[17]Sheet5!#REF!</definedName>
    <definedName name="Training" localSheetId="36">[18]Sheet5!#REF!</definedName>
    <definedName name="Training" localSheetId="37">[18]Sheet5!#REF!</definedName>
    <definedName name="Training" localSheetId="38">[19]Sheet5!#REF!</definedName>
    <definedName name="Training" localSheetId="39">[17]Sheet5!#REF!</definedName>
    <definedName name="Training" localSheetId="40">[17]Sheet5!#REF!</definedName>
    <definedName name="Training" localSheetId="42">[20]Sheet5!#REF!</definedName>
    <definedName name="Training" localSheetId="43">[19]Sheet5!#REF!</definedName>
    <definedName name="Training" localSheetId="45">[17]Sheet5!#REF!</definedName>
    <definedName name="Training" localSheetId="46">Sheet5!#REF!</definedName>
    <definedName name="Training">Sheet5!#REF!</definedName>
    <definedName name="Trend" localSheetId="52">Dropdowns!#REF!</definedName>
    <definedName name="Trend" localSheetId="53">Dropdowns!#REF!</definedName>
    <definedName name="Trend" localSheetId="54">Dropdowns!#REF!</definedName>
    <definedName name="Trend" localSheetId="55">Dropdowns!#REF!</definedName>
    <definedName name="Trend" localSheetId="56">Dropdowns!#REF!</definedName>
    <definedName name="Trend" localSheetId="57">Dropdowns!#REF!</definedName>
    <definedName name="Trend" localSheetId="58">Dropdowns!#REF!</definedName>
    <definedName name="Trend" localSheetId="59">Dropdowns!#REF!</definedName>
    <definedName name="Trend" localSheetId="60">Dropdowns!#REF!</definedName>
    <definedName name="Trend" localSheetId="61">Dropdowns!#REF!</definedName>
    <definedName name="Trend" localSheetId="14">[1]Dropdowns!#REF!</definedName>
    <definedName name="Trend" localSheetId="15">[1]Dropdowns!#REF!</definedName>
    <definedName name="Trend" localSheetId="16">[2]Dropdowns!#REF!</definedName>
    <definedName name="Trend" localSheetId="17">[3]Dropdowns!#REF!</definedName>
    <definedName name="Trend" localSheetId="18">[1]Dropdowns!#REF!</definedName>
    <definedName name="Trend" localSheetId="19">[4]Dropdowns!#REF!</definedName>
    <definedName name="Trend" localSheetId="20">[5]Dropdowns!#REF!</definedName>
    <definedName name="Trend" localSheetId="21">[6]Dropdowns!#REF!</definedName>
    <definedName name="Trend" localSheetId="22">[7]Dropdowns!#REF!</definedName>
    <definedName name="Trend" localSheetId="23">[8]Dropdowns!#REF!</definedName>
    <definedName name="Trend" localSheetId="24">[9]Dropdowns!#REF!</definedName>
    <definedName name="Trend" localSheetId="25">[10]Dropdowns!#REF!</definedName>
    <definedName name="Trend" localSheetId="26">[11]Dropdowns!#REF!</definedName>
    <definedName name="Trend" localSheetId="27">[12]Dropdowns!#REF!</definedName>
    <definedName name="Trend" localSheetId="28">[13]Dropdowns!#REF!</definedName>
    <definedName name="Trend" localSheetId="29">[14]Dropdowns!#REF!</definedName>
    <definedName name="Trend" localSheetId="31">[15]Dropdowns!#REF!</definedName>
    <definedName name="Trend" localSheetId="32">[16]Dropdowns!#REF!</definedName>
    <definedName name="Trend" localSheetId="33">[1]Dropdowns!#REF!</definedName>
    <definedName name="Trend" localSheetId="35">[17]Dropdowns!#REF!</definedName>
    <definedName name="Trend" localSheetId="36">[18]Dropdowns!#REF!</definedName>
    <definedName name="Trend" localSheetId="37">[18]Dropdowns!#REF!</definedName>
    <definedName name="Trend" localSheetId="38">[19]Dropdowns!#REF!</definedName>
    <definedName name="Trend" localSheetId="39">[17]Dropdowns!#REF!</definedName>
    <definedName name="Trend" localSheetId="40">[17]Dropdowns!#REF!</definedName>
    <definedName name="Trend" localSheetId="42">[20]Dropdowns!#REF!</definedName>
    <definedName name="Trend" localSheetId="43">[19]Dropdowns!#REF!</definedName>
    <definedName name="Trend" localSheetId="45">[17]Dropdowns!#REF!</definedName>
    <definedName name="Trend" localSheetId="46">Dropdowns!#REF!</definedName>
    <definedName name="Trend">Dropdowns!#REF!</definedName>
    <definedName name="Unit" localSheetId="52">Dropdowns!#REF!</definedName>
    <definedName name="Unit" localSheetId="53">Dropdowns!#REF!</definedName>
    <definedName name="Unit" localSheetId="54">Dropdowns!#REF!</definedName>
    <definedName name="Unit" localSheetId="55">Dropdowns!#REF!</definedName>
    <definedName name="Unit" localSheetId="56">Dropdowns!#REF!</definedName>
    <definedName name="Unit" localSheetId="57">Dropdowns!#REF!</definedName>
    <definedName name="Unit" localSheetId="58">Dropdowns!#REF!</definedName>
    <definedName name="Unit" localSheetId="59">Dropdowns!#REF!</definedName>
    <definedName name="Unit" localSheetId="60">Dropdowns!#REF!</definedName>
    <definedName name="Unit" localSheetId="61">Dropdowns!#REF!</definedName>
    <definedName name="Unit" localSheetId="14">[1]Dropdowns!#REF!</definedName>
    <definedName name="Unit" localSheetId="15">[1]Dropdowns!#REF!</definedName>
    <definedName name="Unit" localSheetId="16">[2]Dropdowns!#REF!</definedName>
    <definedName name="Unit" localSheetId="17">[3]Dropdowns!#REF!</definedName>
    <definedName name="Unit" localSheetId="18">[1]Dropdowns!#REF!</definedName>
    <definedName name="Unit" localSheetId="19">[4]Dropdowns!#REF!</definedName>
    <definedName name="Unit" localSheetId="20">[5]Dropdowns!#REF!</definedName>
    <definedName name="Unit" localSheetId="21">[6]Dropdowns!#REF!</definedName>
    <definedName name="Unit" localSheetId="22">[7]Dropdowns!#REF!</definedName>
    <definedName name="Unit" localSheetId="23">[8]Dropdowns!#REF!</definedName>
    <definedName name="Unit" localSheetId="24">[9]Dropdowns!#REF!</definedName>
    <definedName name="Unit" localSheetId="25">[10]Dropdowns!#REF!</definedName>
    <definedName name="Unit" localSheetId="26">[11]Dropdowns!#REF!</definedName>
    <definedName name="Unit" localSheetId="27">[12]Dropdowns!#REF!</definedName>
    <definedName name="Unit" localSheetId="28">[13]Dropdowns!#REF!</definedName>
    <definedName name="Unit" localSheetId="29">[14]Dropdowns!#REF!</definedName>
    <definedName name="Unit" localSheetId="31">[15]Dropdowns!#REF!</definedName>
    <definedName name="Unit" localSheetId="32">[16]Dropdowns!#REF!</definedName>
    <definedName name="Unit" localSheetId="33">[1]Dropdowns!#REF!</definedName>
    <definedName name="Unit" localSheetId="35">[17]Dropdowns!#REF!</definedName>
    <definedName name="Unit" localSheetId="36">[18]Dropdowns!#REF!</definedName>
    <definedName name="Unit" localSheetId="37">[18]Dropdowns!#REF!</definedName>
    <definedName name="Unit" localSheetId="38">[19]Dropdowns!#REF!</definedName>
    <definedName name="Unit" localSheetId="39">[17]Dropdowns!#REF!</definedName>
    <definedName name="Unit" localSheetId="40">[17]Dropdowns!#REF!</definedName>
    <definedName name="Unit" localSheetId="42">[20]Dropdowns!#REF!</definedName>
    <definedName name="Unit" localSheetId="43">[19]Dropdowns!#REF!</definedName>
    <definedName name="Unit" localSheetId="45">[17]Dropdowns!#REF!</definedName>
    <definedName name="Unit" localSheetId="46">Dropdowns!#REF!</definedName>
    <definedName name="Unit">Dropdowns!#REF!</definedName>
    <definedName name="ValidationRange">'[21]Risk ID - Template'!$J$7:$J$2000</definedName>
    <definedName name="ValidationRange14">'[21]Risk ID - Template'!$D$7:$D$2000</definedName>
    <definedName name="ValidationRange15">'[21]Risk ID - Template'!$E$7:$E$2000</definedName>
    <definedName name="ValidationRange16">'[21]Risk ID - Template'!$F$7:$F$2000</definedName>
    <definedName name="ValidationRange17">'[21]Risk ID - Template'!$Q$7:$Q$2000</definedName>
    <definedName name="ValidationRange2">'[21]Risk ID - Template'!$H$7:$H$2000</definedName>
    <definedName name="ValidationRange6">'[21]Risk ID - Template'!$P$7:$P$2000</definedName>
    <definedName name="VolumesandTypesofAssets" localSheetId="52">Sheet5!#REF!</definedName>
    <definedName name="VolumesandTypesofAssets" localSheetId="53">Sheet5!#REF!</definedName>
    <definedName name="VolumesandTypesofAssets" localSheetId="54">Sheet5!#REF!</definedName>
    <definedName name="VolumesandTypesofAssets" localSheetId="55">Sheet5!#REF!</definedName>
    <definedName name="VolumesandTypesofAssets" localSheetId="56">Sheet5!#REF!</definedName>
    <definedName name="VolumesandTypesofAssets" localSheetId="57">Sheet5!#REF!</definedName>
    <definedName name="VolumesandTypesofAssets" localSheetId="58">Sheet5!#REF!</definedName>
    <definedName name="VolumesandTypesofAssets" localSheetId="59">Sheet5!#REF!</definedName>
    <definedName name="VolumesandTypesofAssets" localSheetId="60">Sheet5!#REF!</definedName>
    <definedName name="VolumesandTypesofAssets" localSheetId="61">Sheet5!#REF!</definedName>
    <definedName name="VolumesandTypesofAssets" localSheetId="14">[1]Sheet5!#REF!</definedName>
    <definedName name="VolumesandTypesofAssets" localSheetId="15">[1]Sheet5!#REF!</definedName>
    <definedName name="VolumesandTypesofAssets" localSheetId="16">[2]Sheet5!#REF!</definedName>
    <definedName name="VolumesandTypesofAssets" localSheetId="17">[3]Sheet5!#REF!</definedName>
    <definedName name="VolumesandTypesofAssets" localSheetId="18">[1]Sheet5!#REF!</definedName>
    <definedName name="VolumesandTypesofAssets" localSheetId="19">[4]Sheet5!#REF!</definedName>
    <definedName name="VolumesandTypesofAssets" localSheetId="20">[5]Sheet5!#REF!</definedName>
    <definedName name="VolumesandTypesofAssets" localSheetId="21">[6]Sheet5!#REF!</definedName>
    <definedName name="VolumesandTypesofAssets" localSheetId="22">[7]Sheet5!#REF!</definedName>
    <definedName name="VolumesandTypesofAssets" localSheetId="23">[8]Sheet5!#REF!</definedName>
    <definedName name="VolumesandTypesofAssets" localSheetId="24">[9]Sheet5!#REF!</definedName>
    <definedName name="VolumesandTypesofAssets" localSheetId="25">[10]Sheet5!#REF!</definedName>
    <definedName name="VolumesandTypesofAssets" localSheetId="26">[11]Sheet5!#REF!</definedName>
    <definedName name="VolumesandTypesofAssets" localSheetId="27">[12]Sheet5!#REF!</definedName>
    <definedName name="VolumesandTypesofAssets" localSheetId="28">[13]Sheet5!#REF!</definedName>
    <definedName name="VolumesandTypesofAssets" localSheetId="29">[14]Sheet5!#REF!</definedName>
    <definedName name="VolumesandTypesofAssets" localSheetId="31">[15]Sheet5!#REF!</definedName>
    <definedName name="VolumesandTypesofAssets" localSheetId="32">[16]Sheet5!#REF!</definedName>
    <definedName name="VolumesandTypesofAssets" localSheetId="33">[1]Sheet5!#REF!</definedName>
    <definedName name="VolumesandTypesofAssets" localSheetId="35">[17]Sheet5!#REF!</definedName>
    <definedName name="VolumesandTypesofAssets" localSheetId="36">[18]Sheet5!#REF!</definedName>
    <definedName name="VolumesandTypesofAssets" localSheetId="37">[18]Sheet5!#REF!</definedName>
    <definedName name="VolumesandTypesofAssets" localSheetId="38">[19]Sheet5!#REF!</definedName>
    <definedName name="VolumesandTypesofAssets" localSheetId="39">[17]Sheet5!#REF!</definedName>
    <definedName name="VolumesandTypesofAssets" localSheetId="40">[17]Sheet5!#REF!</definedName>
    <definedName name="VolumesandTypesofAssets" localSheetId="42">[20]Sheet5!#REF!</definedName>
    <definedName name="VolumesandTypesofAssets" localSheetId="43">[19]Sheet5!#REF!</definedName>
    <definedName name="VolumesandTypesofAssets" localSheetId="45">[17]Sheet5!#REF!</definedName>
    <definedName name="VolumesandTypesofAssets" localSheetId="46">Sheet5!#REF!</definedName>
    <definedName name="VolumesandTypesofAssets">Sheet5!#REF!</definedName>
  </definedNames>
  <calcPr calcId="152511"/>
</workbook>
</file>

<file path=xl/calcChain.xml><?xml version="1.0" encoding="utf-8"?>
<calcChain xmlns="http://schemas.openxmlformats.org/spreadsheetml/2006/main">
  <c r="C13" i="29" l="1"/>
  <c r="N29" i="1" l="1"/>
  <c r="M29" i="1"/>
  <c r="L29" i="1"/>
  <c r="K29" i="1"/>
  <c r="J29" i="1"/>
  <c r="I29" i="1"/>
  <c r="H29" i="1"/>
  <c r="G29" i="1"/>
  <c r="F29" i="1"/>
  <c r="Q12" i="101"/>
  <c r="Q11" i="101"/>
  <c r="Q9" i="101"/>
  <c r="Q8" i="101"/>
  <c r="R7" i="101"/>
  <c r="R6" i="101"/>
  <c r="R5" i="101"/>
  <c r="R4" i="101"/>
  <c r="R3" i="101"/>
  <c r="R2" i="101"/>
  <c r="AA1" i="101"/>
  <c r="B30" i="1"/>
  <c r="C30" i="1"/>
  <c r="D30" i="1"/>
  <c r="F30" i="1"/>
  <c r="G30" i="1"/>
  <c r="H30" i="1"/>
  <c r="I30" i="1"/>
  <c r="J30" i="1"/>
  <c r="K30" i="1"/>
  <c r="L30" i="1"/>
  <c r="M30" i="1"/>
  <c r="N30" i="1"/>
  <c r="B31" i="1"/>
  <c r="C31" i="1"/>
  <c r="D31" i="1"/>
  <c r="F31" i="1"/>
  <c r="G31" i="1"/>
  <c r="H31" i="1"/>
  <c r="I31" i="1"/>
  <c r="J31" i="1"/>
  <c r="K31" i="1"/>
  <c r="L31" i="1"/>
  <c r="M31" i="1"/>
  <c r="N31" i="1"/>
  <c r="B32" i="1"/>
  <c r="C32" i="1"/>
  <c r="D32" i="1"/>
  <c r="F32" i="1"/>
  <c r="G32" i="1"/>
  <c r="H32" i="1"/>
  <c r="I32" i="1"/>
  <c r="J32" i="1"/>
  <c r="K32" i="1"/>
  <c r="L32" i="1"/>
  <c r="M32" i="1"/>
  <c r="N32" i="1"/>
  <c r="B33" i="1"/>
  <c r="C33" i="1"/>
  <c r="D33" i="1"/>
  <c r="F33" i="1"/>
  <c r="G33" i="1"/>
  <c r="H33" i="1"/>
  <c r="I33" i="1"/>
  <c r="J33" i="1"/>
  <c r="K33" i="1"/>
  <c r="L33" i="1"/>
  <c r="M33" i="1"/>
  <c r="N33" i="1"/>
  <c r="B34" i="1"/>
  <c r="C34" i="1"/>
  <c r="D34" i="1"/>
  <c r="F34" i="1"/>
  <c r="G34" i="1"/>
  <c r="H34" i="1"/>
  <c r="I34" i="1"/>
  <c r="J34" i="1"/>
  <c r="K34" i="1"/>
  <c r="L34" i="1"/>
  <c r="M34" i="1"/>
  <c r="N34" i="1"/>
  <c r="B35" i="1"/>
  <c r="C35" i="1"/>
  <c r="D35" i="1"/>
  <c r="F35" i="1"/>
  <c r="G35" i="1"/>
  <c r="H35" i="1"/>
  <c r="I35" i="1"/>
  <c r="J35" i="1"/>
  <c r="K35" i="1"/>
  <c r="L35" i="1"/>
  <c r="M35" i="1"/>
  <c r="N35" i="1"/>
  <c r="B36" i="1"/>
  <c r="C36" i="1"/>
  <c r="D36" i="1"/>
  <c r="F36" i="1"/>
  <c r="G36" i="1"/>
  <c r="H36" i="1"/>
  <c r="I36" i="1"/>
  <c r="J36" i="1"/>
  <c r="K36" i="1"/>
  <c r="L36" i="1"/>
  <c r="M36" i="1"/>
  <c r="N36" i="1"/>
  <c r="B37" i="1"/>
  <c r="C37" i="1"/>
  <c r="D37" i="1"/>
  <c r="F37" i="1"/>
  <c r="G37" i="1"/>
  <c r="H37" i="1"/>
  <c r="I37" i="1"/>
  <c r="J37" i="1"/>
  <c r="K37" i="1"/>
  <c r="L37" i="1"/>
  <c r="M37" i="1"/>
  <c r="N37" i="1"/>
  <c r="Q12" i="100" l="1"/>
  <c r="Q11" i="100"/>
  <c r="Q9" i="100"/>
  <c r="Q8" i="100"/>
  <c r="R7" i="100"/>
  <c r="R6" i="100"/>
  <c r="R5" i="100"/>
  <c r="R4" i="100"/>
  <c r="R3" i="100"/>
  <c r="R2" i="100"/>
  <c r="AA1" i="100"/>
  <c r="D29" i="1"/>
  <c r="N28" i="1"/>
  <c r="M28" i="1"/>
  <c r="L28" i="1"/>
  <c r="K28" i="1"/>
  <c r="J28" i="1"/>
  <c r="I28" i="1"/>
  <c r="H28" i="1"/>
  <c r="G28" i="1"/>
  <c r="F28" i="1"/>
  <c r="D28" i="1"/>
  <c r="N27" i="1"/>
  <c r="M27" i="1"/>
  <c r="L27" i="1"/>
  <c r="K27" i="1"/>
  <c r="J27" i="1"/>
  <c r="I27" i="1"/>
  <c r="H27" i="1"/>
  <c r="G27" i="1"/>
  <c r="F27" i="1"/>
  <c r="D27" i="1"/>
  <c r="N26" i="1"/>
  <c r="M26" i="1"/>
  <c r="L26" i="1"/>
  <c r="K26" i="1"/>
  <c r="J26" i="1"/>
  <c r="I26" i="1"/>
  <c r="H26" i="1"/>
  <c r="G26" i="1"/>
  <c r="F26" i="1"/>
  <c r="D26" i="1"/>
  <c r="N25" i="1"/>
  <c r="M25" i="1"/>
  <c r="L25" i="1"/>
  <c r="K25" i="1"/>
  <c r="J25" i="1"/>
  <c r="I25" i="1"/>
  <c r="H25" i="1"/>
  <c r="G25" i="1"/>
  <c r="F25" i="1"/>
  <c r="D25" i="1"/>
  <c r="N24" i="1"/>
  <c r="M24" i="1"/>
  <c r="L24" i="1"/>
  <c r="K24" i="1"/>
  <c r="J24" i="1"/>
  <c r="I24" i="1"/>
  <c r="H24" i="1"/>
  <c r="G24" i="1"/>
  <c r="F24" i="1"/>
  <c r="D24" i="1"/>
  <c r="N23" i="1"/>
  <c r="M23" i="1"/>
  <c r="L23" i="1"/>
  <c r="K23" i="1"/>
  <c r="J23" i="1"/>
  <c r="I23" i="1"/>
  <c r="H23" i="1"/>
  <c r="G23" i="1"/>
  <c r="F23" i="1"/>
  <c r="D23" i="1"/>
  <c r="N22" i="1"/>
  <c r="M22" i="1"/>
  <c r="L22" i="1"/>
  <c r="K22" i="1"/>
  <c r="J22" i="1"/>
  <c r="I22" i="1"/>
  <c r="H22" i="1"/>
  <c r="G22" i="1"/>
  <c r="F22" i="1"/>
  <c r="D22" i="1"/>
  <c r="N21" i="1"/>
  <c r="M21" i="1"/>
  <c r="L21" i="1"/>
  <c r="K21" i="1"/>
  <c r="J21" i="1"/>
  <c r="I21" i="1"/>
  <c r="H21" i="1"/>
  <c r="G21" i="1"/>
  <c r="F21" i="1"/>
  <c r="D21" i="1"/>
  <c r="N20" i="1"/>
  <c r="M20" i="1"/>
  <c r="L20" i="1"/>
  <c r="K20" i="1"/>
  <c r="J20" i="1"/>
  <c r="I20" i="1"/>
  <c r="H20" i="1"/>
  <c r="G20" i="1"/>
  <c r="F20" i="1"/>
  <c r="D20" i="1"/>
  <c r="N19" i="1"/>
  <c r="M19" i="1"/>
  <c r="L19" i="1"/>
  <c r="K19" i="1"/>
  <c r="J19" i="1"/>
  <c r="I19" i="1"/>
  <c r="H19" i="1"/>
  <c r="G19" i="1"/>
  <c r="F19" i="1"/>
  <c r="D19" i="1"/>
  <c r="N18" i="1"/>
  <c r="M18" i="1"/>
  <c r="L18" i="1"/>
  <c r="K18" i="1"/>
  <c r="J18" i="1"/>
  <c r="I18" i="1"/>
  <c r="H18" i="1"/>
  <c r="G18" i="1"/>
  <c r="F18" i="1"/>
  <c r="D18" i="1"/>
  <c r="N17" i="1"/>
  <c r="M17" i="1"/>
  <c r="L17" i="1"/>
  <c r="K17" i="1"/>
  <c r="J17" i="1"/>
  <c r="I17" i="1"/>
  <c r="H17" i="1"/>
  <c r="G17" i="1"/>
  <c r="F17" i="1"/>
  <c r="D17" i="1"/>
  <c r="N16" i="1"/>
  <c r="M16" i="1"/>
  <c r="L16" i="1"/>
  <c r="K16" i="1"/>
  <c r="J16" i="1"/>
  <c r="I16" i="1"/>
  <c r="H16" i="1"/>
  <c r="G16" i="1"/>
  <c r="F16" i="1"/>
  <c r="D16" i="1"/>
  <c r="N15" i="1"/>
  <c r="M15" i="1"/>
  <c r="L15" i="1"/>
  <c r="K15" i="1"/>
  <c r="J15" i="1"/>
  <c r="I15" i="1"/>
  <c r="H15" i="1"/>
  <c r="G15" i="1"/>
  <c r="F15" i="1"/>
  <c r="D15" i="1"/>
  <c r="N14" i="1"/>
  <c r="M14" i="1"/>
  <c r="L14" i="1"/>
  <c r="K14" i="1"/>
  <c r="J14" i="1"/>
  <c r="I14" i="1"/>
  <c r="H14" i="1"/>
  <c r="G14" i="1"/>
  <c r="F14" i="1"/>
  <c r="D14" i="1"/>
  <c r="N13" i="1"/>
  <c r="M13" i="1"/>
  <c r="L13" i="1"/>
  <c r="K13" i="1"/>
  <c r="J13" i="1"/>
  <c r="I13" i="1"/>
  <c r="H13" i="1"/>
  <c r="G13" i="1"/>
  <c r="F13" i="1"/>
  <c r="D13" i="1"/>
  <c r="N12" i="1"/>
  <c r="M12" i="1"/>
  <c r="L12" i="1"/>
  <c r="K12" i="1"/>
  <c r="J12" i="1"/>
  <c r="I12" i="1"/>
  <c r="H12" i="1"/>
  <c r="G12" i="1"/>
  <c r="F12" i="1"/>
  <c r="D12" i="1"/>
  <c r="N11" i="1"/>
  <c r="M11" i="1"/>
  <c r="L11" i="1"/>
  <c r="K11" i="1"/>
  <c r="J11" i="1"/>
  <c r="I11" i="1"/>
  <c r="H11" i="1"/>
  <c r="G11" i="1"/>
  <c r="F11" i="1"/>
  <c r="D11" i="1"/>
  <c r="N10" i="1"/>
  <c r="M10" i="1"/>
  <c r="L10" i="1"/>
  <c r="K10" i="1"/>
  <c r="J10" i="1"/>
  <c r="I10" i="1"/>
  <c r="H10" i="1"/>
  <c r="G10" i="1"/>
  <c r="F10" i="1"/>
  <c r="D10" i="1"/>
  <c r="N9" i="1"/>
  <c r="M9" i="1"/>
  <c r="L9" i="1"/>
  <c r="K9" i="1"/>
  <c r="J9" i="1"/>
  <c r="I9" i="1"/>
  <c r="H9" i="1"/>
  <c r="G9" i="1"/>
  <c r="F9" i="1"/>
  <c r="D9" i="1"/>
  <c r="N8" i="1"/>
  <c r="M8" i="1"/>
  <c r="L8" i="1"/>
  <c r="K8" i="1"/>
  <c r="J8" i="1"/>
  <c r="I8" i="1"/>
  <c r="H8" i="1"/>
  <c r="G8" i="1"/>
  <c r="F8" i="1"/>
  <c r="D8" i="1"/>
  <c r="N7" i="1"/>
  <c r="M7" i="1"/>
  <c r="L7" i="1"/>
  <c r="K7" i="1"/>
  <c r="J7" i="1"/>
  <c r="I7" i="1"/>
  <c r="H7" i="1"/>
  <c r="G7" i="1"/>
  <c r="F7" i="1"/>
  <c r="D7" i="1"/>
  <c r="N6" i="1"/>
  <c r="M6" i="1"/>
  <c r="L6" i="1"/>
  <c r="K6" i="1"/>
  <c r="J6" i="1"/>
  <c r="I6" i="1"/>
  <c r="H6" i="1"/>
  <c r="G6" i="1"/>
  <c r="F6" i="1"/>
  <c r="D6" i="1"/>
  <c r="N5" i="1"/>
  <c r="M5" i="1"/>
  <c r="L5" i="1"/>
  <c r="K5" i="1"/>
  <c r="J5" i="1"/>
  <c r="I5" i="1"/>
  <c r="H5" i="1"/>
  <c r="G5" i="1"/>
  <c r="F5" i="1"/>
  <c r="D5" i="1"/>
  <c r="N4" i="1"/>
  <c r="M4" i="1"/>
  <c r="L4" i="1"/>
  <c r="K4" i="1"/>
  <c r="J4" i="1"/>
  <c r="I4" i="1"/>
  <c r="H4" i="1"/>
  <c r="G4" i="1"/>
  <c r="F4" i="1"/>
  <c r="D4" i="1"/>
  <c r="J3" i="1"/>
  <c r="I3" i="1"/>
  <c r="H3" i="1"/>
  <c r="G3" i="1"/>
  <c r="F3" i="1"/>
  <c r="K3" i="1"/>
  <c r="L3" i="1"/>
  <c r="M3" i="1"/>
  <c r="N3" i="1"/>
  <c r="D3" i="1"/>
  <c r="Q12" i="99"/>
  <c r="Q11" i="99"/>
  <c r="Q9" i="99"/>
  <c r="Q8" i="99"/>
  <c r="R7" i="99"/>
  <c r="R6" i="99"/>
  <c r="R5" i="99"/>
  <c r="R4" i="99"/>
  <c r="R3" i="99"/>
  <c r="R2" i="99"/>
  <c r="AA1" i="99"/>
  <c r="Q12" i="98"/>
  <c r="Q11" i="98"/>
  <c r="Q9" i="98"/>
  <c r="Q8" i="98"/>
  <c r="R7" i="98"/>
  <c r="R6" i="98"/>
  <c r="R5" i="98"/>
  <c r="R4" i="98"/>
  <c r="R3" i="98"/>
  <c r="R2" i="98"/>
  <c r="AA1" i="98"/>
  <c r="Q12" i="97"/>
  <c r="Q11" i="97"/>
  <c r="Q9" i="97"/>
  <c r="Q8" i="97"/>
  <c r="R7" i="97"/>
  <c r="R6" i="97"/>
  <c r="R5" i="97"/>
  <c r="R4" i="97"/>
  <c r="R3" i="97"/>
  <c r="R2" i="97"/>
  <c r="AA1" i="97"/>
  <c r="Q12" i="96"/>
  <c r="Q11" i="96"/>
  <c r="Q9" i="96"/>
  <c r="Q8" i="96"/>
  <c r="R7" i="96"/>
  <c r="R6" i="96"/>
  <c r="R5" i="96"/>
  <c r="R4" i="96"/>
  <c r="R3" i="96"/>
  <c r="R2" i="96"/>
  <c r="AA1" i="96"/>
  <c r="Q12" i="95"/>
  <c r="Q11" i="95"/>
  <c r="Q9" i="95"/>
  <c r="Q8" i="95"/>
  <c r="R7" i="95"/>
  <c r="R6" i="95"/>
  <c r="R5" i="95"/>
  <c r="R4" i="95"/>
  <c r="R3" i="95"/>
  <c r="R2" i="95"/>
  <c r="AA1" i="95"/>
  <c r="Q12" i="94"/>
  <c r="Q11" i="94"/>
  <c r="Q9" i="94"/>
  <c r="Q8" i="94"/>
  <c r="R7" i="94"/>
  <c r="R6" i="94"/>
  <c r="R5" i="94"/>
  <c r="R4" i="94"/>
  <c r="R3" i="94"/>
  <c r="R2" i="94"/>
  <c r="AA1" i="94"/>
  <c r="Q12" i="93"/>
  <c r="Q11" i="93"/>
  <c r="Q9" i="93"/>
  <c r="Q8" i="93"/>
  <c r="R7" i="93"/>
  <c r="R6" i="93"/>
  <c r="R5" i="93"/>
  <c r="R4" i="93"/>
  <c r="R3" i="93"/>
  <c r="R2" i="93"/>
  <c r="AA1" i="93"/>
  <c r="Q12" i="92"/>
  <c r="Q11" i="92"/>
  <c r="Q9" i="92"/>
  <c r="Q8" i="92"/>
  <c r="R7" i="92"/>
  <c r="R6" i="92"/>
  <c r="R5" i="92"/>
  <c r="R4" i="92"/>
  <c r="R3" i="92"/>
  <c r="R2" i="92"/>
  <c r="AA1" i="92"/>
  <c r="Q12" i="91"/>
  <c r="Q11" i="91"/>
  <c r="Q9" i="91"/>
  <c r="Q8" i="91"/>
  <c r="R7" i="91"/>
  <c r="R6" i="91"/>
  <c r="R5" i="91"/>
  <c r="R4" i="91"/>
  <c r="R3" i="91"/>
  <c r="R2" i="91"/>
  <c r="AA1" i="91"/>
  <c r="AA1" i="90"/>
  <c r="R2" i="90"/>
  <c r="R3" i="90"/>
  <c r="R4" i="90"/>
  <c r="R5" i="90"/>
  <c r="R6" i="90"/>
  <c r="R7" i="90"/>
  <c r="Q8" i="90"/>
  <c r="Q9" i="90"/>
  <c r="Q11" i="90"/>
  <c r="Q12" i="90"/>
  <c r="Q12" i="89"/>
  <c r="Q11" i="89"/>
  <c r="Q9" i="89"/>
  <c r="Q8" i="89"/>
  <c r="R7" i="89"/>
  <c r="R6" i="89"/>
  <c r="R5" i="89"/>
  <c r="R4" i="89"/>
  <c r="R3" i="89"/>
  <c r="R2" i="89"/>
  <c r="AA1" i="89"/>
  <c r="Q12" i="88"/>
  <c r="Q11" i="88"/>
  <c r="Q9" i="88"/>
  <c r="Q8" i="88"/>
  <c r="R7" i="88"/>
  <c r="R6" i="88"/>
  <c r="R5" i="88"/>
  <c r="R4" i="88"/>
  <c r="R3" i="88"/>
  <c r="R2" i="88"/>
  <c r="AA1" i="88"/>
  <c r="Q12" i="87"/>
  <c r="Q11" i="87"/>
  <c r="Q9" i="87"/>
  <c r="Q8" i="87"/>
  <c r="R7" i="87"/>
  <c r="R6" i="87"/>
  <c r="R5" i="87"/>
  <c r="R4" i="87"/>
  <c r="R3" i="87"/>
  <c r="R2" i="87"/>
  <c r="AA1" i="87"/>
  <c r="Q12" i="86"/>
  <c r="Q11" i="86"/>
  <c r="Q9" i="86"/>
  <c r="Q8" i="86"/>
  <c r="R7" i="86"/>
  <c r="R6" i="86"/>
  <c r="R5" i="86"/>
  <c r="R4" i="86"/>
  <c r="R3" i="86"/>
  <c r="R2" i="86"/>
  <c r="AA1" i="86"/>
  <c r="Q12" i="85"/>
  <c r="Q11" i="85"/>
  <c r="Q9" i="85"/>
  <c r="Q8" i="85"/>
  <c r="R7" i="85"/>
  <c r="R6" i="85"/>
  <c r="R5" i="85"/>
  <c r="R4" i="85"/>
  <c r="R3" i="85"/>
  <c r="R2" i="85"/>
  <c r="AA1" i="85"/>
  <c r="Q12" i="84"/>
  <c r="Q11" i="84"/>
  <c r="Q9" i="84"/>
  <c r="Q8" i="84"/>
  <c r="R7" i="84"/>
  <c r="R6" i="84"/>
  <c r="R5" i="84"/>
  <c r="R4" i="84"/>
  <c r="R3" i="84"/>
  <c r="R2" i="84"/>
  <c r="AA1" i="84"/>
  <c r="Q12" i="83"/>
  <c r="Q11" i="83"/>
  <c r="Q9" i="83"/>
  <c r="Q8" i="83"/>
  <c r="R7" i="83"/>
  <c r="R6" i="83"/>
  <c r="R5" i="83"/>
  <c r="R4" i="83"/>
  <c r="R3" i="83"/>
  <c r="R2" i="83"/>
  <c r="AA1" i="83"/>
  <c r="Q12" i="82"/>
  <c r="Q11" i="82"/>
  <c r="Q9" i="82"/>
  <c r="Q8" i="82"/>
  <c r="R7" i="82"/>
  <c r="R6" i="82"/>
  <c r="R5" i="82"/>
  <c r="R4" i="82"/>
  <c r="R3" i="82"/>
  <c r="R2" i="82"/>
  <c r="AA1" i="82"/>
  <c r="AA1" i="81"/>
  <c r="R2" i="81"/>
  <c r="R3" i="81"/>
  <c r="R4" i="81"/>
  <c r="R5" i="81"/>
  <c r="R6" i="81"/>
  <c r="R7" i="81"/>
  <c r="Q8" i="81"/>
  <c r="Q9" i="81"/>
  <c r="Q11" i="81"/>
  <c r="Q12" i="81"/>
  <c r="AA1" i="80"/>
  <c r="R2" i="80"/>
  <c r="R3" i="80"/>
  <c r="R4" i="80"/>
  <c r="R5" i="80"/>
  <c r="R6" i="80"/>
  <c r="R7" i="80"/>
  <c r="Q8" i="80"/>
  <c r="Q9" i="80"/>
  <c r="Q11" i="80"/>
  <c r="Q12" i="80"/>
  <c r="AA1" i="79"/>
  <c r="R2" i="79"/>
  <c r="R3" i="79"/>
  <c r="R4" i="79"/>
  <c r="R5" i="79"/>
  <c r="R6" i="79"/>
  <c r="R7" i="79"/>
  <c r="Q8" i="79"/>
  <c r="Q9" i="79"/>
  <c r="Q11" i="79"/>
  <c r="Q12" i="79"/>
  <c r="Q12" i="78"/>
  <c r="Q11" i="78"/>
  <c r="Q9" i="78"/>
  <c r="Q8" i="78"/>
  <c r="R7" i="78"/>
  <c r="R6" i="78"/>
  <c r="R5" i="78"/>
  <c r="R4" i="78"/>
  <c r="R3" i="78"/>
  <c r="R2" i="78"/>
  <c r="AA1" i="78"/>
  <c r="AA1" i="77"/>
  <c r="R2" i="77"/>
  <c r="R3" i="77"/>
  <c r="R4" i="77"/>
  <c r="R5" i="77"/>
  <c r="R6" i="77"/>
  <c r="R7" i="77"/>
  <c r="Q8" i="77"/>
  <c r="Q9" i="77"/>
  <c r="Q11" i="77"/>
  <c r="Q12" i="77"/>
  <c r="AA1" i="76"/>
  <c r="R2" i="76"/>
  <c r="R3" i="76"/>
  <c r="R4" i="76"/>
  <c r="R5" i="76"/>
  <c r="R6" i="76"/>
  <c r="R7" i="76"/>
  <c r="Q8" i="76"/>
  <c r="Q9" i="76"/>
  <c r="Q11" i="76"/>
  <c r="Q12" i="76"/>
  <c r="Q12" i="75"/>
  <c r="Q11" i="75"/>
  <c r="Q9" i="75"/>
  <c r="Q8" i="75"/>
  <c r="R7" i="75"/>
  <c r="R6" i="75"/>
  <c r="R5" i="75"/>
  <c r="R4" i="75"/>
  <c r="R3" i="75"/>
  <c r="R2" i="75"/>
  <c r="AA1" i="75"/>
  <c r="AA1" i="73"/>
  <c r="R2" i="73"/>
  <c r="R3" i="73"/>
  <c r="R4" i="73"/>
  <c r="R5" i="73"/>
  <c r="R6" i="73"/>
  <c r="R7" i="73"/>
  <c r="Q8" i="73"/>
  <c r="Q9" i="73"/>
  <c r="Q11" i="73"/>
  <c r="Q12" i="73"/>
  <c r="Q12" i="72"/>
  <c r="Q11" i="72"/>
  <c r="Q9" i="72"/>
  <c r="Q8" i="72"/>
  <c r="R7" i="72"/>
  <c r="R6" i="72"/>
  <c r="R5" i="72"/>
  <c r="R4" i="72"/>
  <c r="R3" i="72"/>
  <c r="R2" i="72"/>
  <c r="AA1" i="72"/>
  <c r="C7" i="29"/>
  <c r="C6" i="29"/>
  <c r="AA1" i="14"/>
  <c r="AA1" i="18"/>
  <c r="AA1" i="19"/>
  <c r="AA1" i="20"/>
  <c r="AA1" i="22"/>
  <c r="AA1" i="23"/>
  <c r="AA1" i="25"/>
  <c r="AA1" i="26"/>
  <c r="AA1" i="27"/>
  <c r="AA1" i="46"/>
  <c r="AA1" i="47"/>
  <c r="AA1" i="48"/>
  <c r="AA1" i="49"/>
  <c r="AA1" i="50"/>
  <c r="AA1" i="51"/>
  <c r="AA1" i="52"/>
  <c r="AA1" i="53"/>
  <c r="AA1" i="54"/>
  <c r="AA1" i="55"/>
  <c r="AA1" i="58"/>
  <c r="AA1" i="59"/>
  <c r="AA1" i="60"/>
  <c r="AA1" i="61"/>
  <c r="AA1" i="62"/>
  <c r="AA1" i="63"/>
  <c r="AA1" i="64"/>
  <c r="AA1" i="65"/>
  <c r="AA1" i="66"/>
  <c r="AA1" i="67"/>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B23" i="1"/>
  <c r="C23" i="1"/>
  <c r="B24" i="1"/>
  <c r="C24" i="1"/>
  <c r="B25" i="1"/>
  <c r="C25" i="1"/>
  <c r="B26" i="1"/>
  <c r="C26" i="1"/>
  <c r="B27" i="1"/>
  <c r="C27" i="1"/>
  <c r="B28" i="1"/>
  <c r="C28" i="1"/>
  <c r="B29" i="1"/>
  <c r="C29"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B21" i="1"/>
  <c r="C21" i="1"/>
  <c r="B22" i="1"/>
  <c r="C22"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c r="Q12" i="26"/>
  <c r="Q9" i="26"/>
  <c r="Q12" i="25"/>
  <c r="Q9" i="25"/>
  <c r="Q12" i="23"/>
  <c r="Q12" i="22"/>
  <c r="Q9" i="22"/>
  <c r="Q12" i="20"/>
  <c r="Q12" i="19"/>
  <c r="Q12" i="18"/>
  <c r="Q12" i="14"/>
  <c r="Q9" i="14"/>
  <c r="Q11" i="14"/>
  <c r="Q8" i="14"/>
  <c r="R7" i="14"/>
  <c r="R6" i="14"/>
  <c r="R5" i="14"/>
  <c r="R4" i="14"/>
  <c r="R3" i="14"/>
  <c r="R2" i="14"/>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2"/>
  <c r="Q8" i="22"/>
  <c r="R7" i="22"/>
  <c r="R6" i="22"/>
  <c r="R5" i="22"/>
  <c r="R4" i="22"/>
  <c r="R3" i="22"/>
  <c r="R2" i="22"/>
  <c r="Q11" i="23"/>
  <c r="Q9" i="23"/>
  <c r="Q8" i="23"/>
  <c r="R7" i="23"/>
  <c r="R6" i="23"/>
  <c r="R5" i="23"/>
  <c r="R4" i="23"/>
  <c r="R3" i="23"/>
  <c r="R2" i="23"/>
  <c r="Q11" i="25"/>
  <c r="Q8" i="25"/>
  <c r="R7" i="25"/>
  <c r="R6" i="25"/>
  <c r="R5" i="25"/>
  <c r="R4" i="25"/>
  <c r="R3" i="25"/>
  <c r="R2" i="25"/>
  <c r="Q11" i="26"/>
  <c r="Q8" i="26"/>
  <c r="R7" i="26"/>
  <c r="R6" i="26"/>
  <c r="R5" i="26"/>
  <c r="R4" i="26"/>
  <c r="R3" i="26"/>
  <c r="R2" i="26"/>
  <c r="Q11" i="27"/>
  <c r="Q9" i="27"/>
  <c r="Q8" i="27"/>
  <c r="R7" i="27"/>
  <c r="R6" i="27"/>
  <c r="R5" i="27"/>
  <c r="R4" i="27"/>
  <c r="R3" i="27"/>
  <c r="R2" i="27"/>
  <c r="C126" i="4"/>
  <c r="C119" i="4"/>
  <c r="C79" i="4"/>
  <c r="C74" i="4"/>
  <c r="C63" i="4"/>
  <c r="C49" i="4"/>
  <c r="C35" i="4"/>
  <c r="C1" i="4"/>
  <c r="AL11" i="5"/>
  <c r="AM11" i="5"/>
  <c r="AL12" i="5"/>
  <c r="AM12" i="5"/>
  <c r="AK13" i="5"/>
  <c r="AL13" i="5"/>
  <c r="AM13" i="5"/>
  <c r="AK14" i="5"/>
  <c r="AL14" i="5"/>
  <c r="AM14" i="5"/>
  <c r="AK15" i="5"/>
  <c r="AL15" i="5"/>
  <c r="AM15" i="5"/>
  <c r="AK16" i="5"/>
  <c r="AL16" i="5"/>
  <c r="AM16" i="5"/>
  <c r="AK17" i="5"/>
  <c r="AL17" i="5"/>
  <c r="AM17" i="5"/>
  <c r="AK18" i="5"/>
  <c r="AL18" i="5"/>
  <c r="AM18" i="5"/>
  <c r="AK19" i="5"/>
  <c r="AL19" i="5"/>
  <c r="AM19" i="5"/>
</calcChain>
</file>

<file path=xl/comments1.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3.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4.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5.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6.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7.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8.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9.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0.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1.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2.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3.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4.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5.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6.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7.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8.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19.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0.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1.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2.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3.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4.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5.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6.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7.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comments28.xml><?xml version="1.0" encoding="utf-8"?>
<comments xmlns="http://schemas.openxmlformats.org/spreadsheetml/2006/main">
  <authors>
    <author>Justin Smith</author>
  </authors>
  <commentList>
    <comment ref="C1" authorId="0" shapeId="0">
      <text>
        <r>
          <rPr>
            <b/>
            <sz val="9"/>
            <color indexed="81"/>
            <rFont val="Tahoma"/>
            <family val="2"/>
          </rPr>
          <t>From business area indicated in intermediate risk file</t>
        </r>
        <r>
          <rPr>
            <sz val="9"/>
            <color indexed="81"/>
            <rFont val="Tahoma"/>
            <family val="2"/>
          </rPr>
          <t xml:space="preserve">
</t>
        </r>
      </text>
    </comment>
    <comment ref="C2" authorId="0" shapeId="0">
      <text>
        <r>
          <rPr>
            <b/>
            <sz val="9"/>
            <color indexed="81"/>
            <rFont val="Tahoma"/>
            <family val="2"/>
          </rPr>
          <t>See Appendix for detail</t>
        </r>
      </text>
    </comment>
    <comment ref="C3" authorId="0" shapeId="0">
      <text>
        <r>
          <rPr>
            <b/>
            <sz val="9"/>
            <color indexed="81"/>
            <rFont val="Tahoma"/>
            <family val="2"/>
          </rPr>
          <t>See Appendix for details (Sub Type should be associated with Risk Type indicated above)</t>
        </r>
      </text>
    </comment>
    <comment ref="C4" authorId="0" shapeId="0">
      <text>
        <r>
          <rPr>
            <b/>
            <sz val="9"/>
            <color indexed="81"/>
            <rFont val="Tahoma"/>
            <family val="2"/>
          </rPr>
          <t>Short name - please align with Intermediate Risk file</t>
        </r>
      </text>
    </comment>
  </commentList>
</comments>
</file>

<file path=xl/sharedStrings.xml><?xml version="1.0" encoding="utf-8"?>
<sst xmlns="http://schemas.openxmlformats.org/spreadsheetml/2006/main" count="2252" uniqueCount="909">
  <si>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</si>
  <si>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</si>
  <si>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</si>
  <si>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</si>
  <si>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</si>
  <si>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</si>
  <si>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</si>
  <si>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</si>
  <si>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</si>
  <si>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</si>
  <si>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</si>
  <si>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</si>
  <si>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</si>
  <si>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</si>
  <si>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</si>
  <si>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</si>
  <si>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</si>
  <si>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</si>
  <si>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</si>
  <si>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</si>
  <si>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</si>
  <si>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</si>
  <si>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</si>
  <si>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</si>
  <si>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</si>
  <si>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</si>
  <si>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</si>
  <si>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</si>
  <si>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</si>
  <si>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</si>
  <si>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</si>
  <si>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</si>
  <si>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</si>
  <si>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</si>
  <si>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</si>
  <si>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</si>
  <si>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</si>
  <si>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</si>
  <si>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</si>
  <si>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</si>
  <si>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</si>
  <si>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</si>
  <si>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</si>
  <si>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</si>
  <si>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</si>
  <si>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</si>
  <si>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</si>
  <si>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</si>
  <si>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</si>
  <si>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</si>
  <si>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</si>
  <si>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</si>
  <si>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</si>
  <si>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</si>
  <si>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</si>
  <si>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</si>
  <si>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</si>
  <si>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</si>
  <si>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</si>
  <si>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</si>
  <si>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</si>
  <si>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</si>
  <si>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</si>
  <si>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</si>
  <si>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</si>
  <si>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</si>
  <si>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</si>
  <si>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</si>
  <si>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</si>
  <si>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</si>
  <si>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</si>
  <si>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</si>
  <si>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</si>
  <si>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</si>
  <si>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</si>
  <si>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</si>
  <si>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</si>
  <si>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</si>
  <si>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</si>
  <si>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</si>
  <si>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</si>
  <si>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</si>
  <si>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</si>
  <si>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</si>
  <si>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</si>
  <si>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</si>
  <si>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</si>
  <si>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</si>
  <si>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</si>
  <si>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</si>
  <si>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</si>
  <si>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</si>
  <si>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</si>
  <si>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</si>
  <si>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</si>
  <si>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</si>
  <si>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</si>
  <si>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</si>
  <si>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</si>
  <si>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</si>
  <si>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</si>
  <si>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</si>
  <si>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</si>
  <si>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</si>
  <si>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</si>
  <si>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</si>
  <si>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</si>
  <si>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</si>
  <si>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</si>
  <si>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</si>
  <si>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</si>
  <si>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</si>
  <si>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</si>
  <si>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</si>
  <si>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</si>
  <si>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</si>
  <si>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</si>
  <si>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</si>
  <si>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</si>
  <si>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</si>
  <si>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</si>
  <si>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</si>
  <si>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</si>
  <si>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</si>
  <si>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</si>
  <si>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</si>
  <si>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</si>
  <si>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</si>
  <si>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</si>
  <si>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</si>
  <si>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</si>
  <si>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</si>
  <si>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</si>
  <si>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</si>
  <si>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</si>
  <si>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</si>
  <si>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</si>
  <si>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</si>
  <si>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</si>
  <si>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</si>
  <si>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</si>
  <si>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</si>
  <si>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</si>
  <si>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</si>
  <si>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</si>
  <si>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</si>
  <si>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</si>
  <si>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</si>
  <si>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</si>
  <si>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</si>
  <si>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</si>
  <si>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</si>
  <si>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</si>
  <si>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</si>
  <si>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</si>
  <si>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</si>
  <si>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</si>
  <si>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</si>
  <si>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</si>
  <si>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</si>
  <si>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</si>
  <si>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</si>
  <si>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</si>
  <si>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</si>
  <si>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</si>
  <si>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</si>
  <si>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</si>
  <si>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</si>
  <si>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</si>
  <si>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</si>
  <si>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</si>
  <si>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</si>
  <si>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</si>
  <si>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</si>
  <si>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</si>
  <si>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</si>
  <si>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</si>
  <si>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</si>
  <si>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</si>
  <si>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</si>
  <si>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</si>
  <si>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</si>
  <si>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</si>
  <si>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</si>
  <si>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</si>
  <si>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</si>
  <si>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</si>
  <si>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</si>
  <si>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</si>
  <si>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</si>
  <si>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</si>
  <si>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</si>
  <si>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</si>
  <si>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</si>
  <si>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</si>
  <si>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</si>
  <si>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</si>
  <si>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</si>
  <si>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</si>
  <si>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</si>
  <si>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</si>
  <si>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</si>
  <si>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</si>
  <si>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</si>
  <si>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</si>
  <si>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</si>
  <si>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</si>
  <si>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</si>
  <si>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</si>
  <si>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</si>
  <si>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</si>
  <si>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</si>
  <si>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</si>
  <si>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</si>
  <si>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</si>
  <si>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</si>
  <si>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</si>
  <si>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</si>
  <si>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</si>
  <si>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</si>
  <si>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</si>
  <si>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</si>
  <si>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</si>
  <si>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</si>
  <si>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</si>
  <si>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</si>
  <si>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</si>
  <si>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</si>
  <si>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</si>
  <si>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</si>
  <si>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</si>
  <si>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</si>
  <si>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</si>
  <si>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</si>
  <si>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</si>
  <si>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</si>
  <si>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</si>
  <si>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</si>
  <si>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</si>
  <si>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</si>
  <si>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</si>
  <si>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</si>
  <si>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</si>
  <si>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</si>
  <si>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</si>
  <si>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</si>
  <si>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</si>
  <si>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</si>
  <si>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</si>
  <si>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</si>
  <si>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</si>
  <si>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</si>
  <si>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</si>
  <si>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</si>
  <si>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</si>
  <si>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</si>
  <si>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</si>
  <si>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</si>
  <si>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</si>
  <si>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</si>
  <si>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</si>
  <si>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</si>
  <si>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</si>
  <si>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</si>
  <si>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</si>
  <si>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</si>
  <si>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</si>
  <si>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</si>
  <si>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</si>
  <si>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</si>
  <si>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</si>
  <si>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</si>
  <si>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</si>
  <si>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</si>
  <si>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</si>
  <si>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</si>
  <si>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</si>
  <si>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</si>
  <si>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</si>
  <si>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</si>
  <si>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</si>
  <si>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</si>
  <si>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</si>
  <si>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</si>
  <si>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</si>
  <si>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</si>
  <si>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</si>
  <si>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</si>
  <si>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</si>
  <si>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</si>
  <si>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</si>
  <si>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</si>
  <si>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</si>
  <si>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</si>
  <si>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</si>
  <si>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</si>
  <si>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</si>
  <si>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</si>
  <si>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</si>
  <si>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</si>
  <si>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</si>
  <si>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</si>
  <si>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</si>
  <si>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</si>
  <si>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</si>
  <si>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</si>
  <si>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</si>
  <si>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</si>
  <si>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</si>
  <si>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</si>
  <si>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</si>
  <si>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</si>
  <si>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</si>
  <si>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</si>
  <si>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</si>
  <si>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</si>
  <si>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</si>
  <si>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</si>
  <si>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</si>
  <si>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</si>
  <si>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</si>
  <si>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</si>
  <si>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</si>
  <si>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</si>
  <si>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</si>
  <si>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</si>
  <si>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</si>
  <si>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</si>
  <si>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</si>
  <si>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</si>
  <si>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</si>
  <si>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</si>
  <si>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</si>
  <si>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</si>
  <si>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</si>
  <si>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</si>
  <si>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</si>
  <si>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</si>
  <si>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</si>
  <si>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</si>
  <si>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</si>
  <si>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</si>
  <si>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</si>
  <si>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</si>
  <si>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</si>
  <si>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</si>
  <si>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</si>
  <si>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</si>
  <si>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</si>
  <si>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</si>
  <si>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</si>
  <si>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</si>
  <si>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</si>
  <si>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</si>
  <si>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</si>
  <si>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</si>
  <si>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</si>
  <si>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</si>
  <si>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</si>
  <si>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</si>
  <si>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</si>
  <si>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</si>
  <si>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</si>
  <si>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</si>
  <si>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</si>
  <si>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</si>
  <si>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</si>
  <si>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</si>
  <si>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</si>
  <si>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</si>
  <si>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</si>
  <si>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</si>
  <si>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</si>
  <si>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</si>
  <si>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</si>
  <si>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</si>
  <si>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</si>
  <si>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</si>
  <si>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</si>
  <si>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</si>
  <si>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</si>
  <si>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</si>
  <si>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</si>
  <si>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</si>
  <si>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</si>
  <si>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</si>
  <si>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</si>
  <si>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</si>
  <si>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</si>
  <si>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</si>
  <si>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</si>
  <si>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</si>
  <si>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</si>
  <si>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</si>
  <si>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</si>
  <si>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</si>
  <si>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</si>
  <si>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</si>
  <si>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</si>
  <si>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</si>
  <si>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</si>
  <si>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</si>
  <si>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</si>
  <si>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</si>
  <si>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</si>
  <si>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</si>
  <si>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</si>
  <si>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</si>
  <si>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</si>
  <si>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</si>
  <si>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</si>
  <si>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</si>
  <si>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</si>
  <si>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</si>
  <si>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</si>
  <si>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</si>
  <si>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</si>
  <si>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</si>
  <si>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</si>
  <si>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</si>
  <si>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</si>
  <si>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</si>
  <si>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</si>
  <si>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</si>
  <si>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</si>
  <si>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</si>
  <si>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</si>
  <si>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</si>
  <si>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</si>
  <si>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</si>
  <si>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</si>
  <si>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</si>
  <si>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</si>
  <si>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</si>
  <si>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</si>
  <si>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</si>
  <si>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</si>
  <si>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</si>
  <si>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</si>
  <si>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</si>
  <si>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</si>
  <si>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</si>
  <si>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</si>
  <si>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</si>
  <si>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</si>
  <si>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</si>
  <si>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</si>
  <si>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</si>
  <si>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</si>
  <si>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</si>
  <si>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</si>
  <si>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</si>
  <si>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</si>
  <si>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</si>
  <si>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</si>
  <si>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</si>
  <si>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</si>
  <si>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</si>
  <si>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</si>
  <si>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</si>
  <si>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</si>
  <si>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</si>
  <si>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</si>
  <si>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</si>
  <si>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</si>
  <si>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</si>
  <si>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</si>
  <si>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</si>
  <si>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</si>
  <si>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</si>
  <si>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</si>
  <si>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</si>
  <si>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</si>
  <si>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</si>
  <si>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</si>
  <si>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</si>
  <si>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</si>
  <si>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</si>
  <si>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</si>
  <si>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</si>
  <si>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</si>
  <si>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</si>
  <si>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</si>
  <si>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</si>
  <si>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</si>
  <si>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</si>
  <si>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</si>
  <si>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</si>
  <si>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</si>
  <si>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</si>
  <si>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</si>
  <si>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</si>
  <si>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</si>
  <si>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</si>
  <si>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</si>
  <si>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</si>
  <si>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</si>
  <si>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</si>
  <si>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</si>
  <si>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</si>
  <si>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</si>
  <si>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</si>
  <si>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</si>
  <si>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</si>
  <si>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</si>
  <si>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</si>
  <si>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</si>
  <si>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</si>
  <si>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</si>
  <si>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</si>
  <si>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</si>
  <si>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</si>
  <si>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</si>
  <si>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</si>
  <si>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</si>
  <si>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</si>
  <si>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</si>
  <si>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</si>
  <si>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</si>
  <si>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</si>
  <si>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</si>
  <si>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</si>
  <si>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</si>
  <si>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</si>
  <si>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</si>
  <si>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</si>
  <si>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</si>
  <si>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</si>
  <si>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</si>
  <si>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SCUSA Support Functions</t>
  </si>
  <si>
    <t xml:space="preserve">There have been no significant business continuity failures or events over the past 12 months.  The business continuity process is currently being enhanced to establish Recovery Time Objectives (RTOs) which include recovery strategies, resource needs (technology &amp; non technology), internal &amp; external dependencies, and tasks to recover the process based on the results of a Business Impact Analysis.  
</t>
  </si>
  <si>
    <t>Support Functions: IT, Talent Management (HR), and Strategic Operations</t>
  </si>
  <si>
    <t xml:space="preserve">Purpose
The purpose of the Consolidated Consumer Risk Assessment and the Personal Lending Risk Assessment collectively referred to herein as “Compliance Risk Assessments” is to provide Santander Consumer USA Inc. (“SCUSA”) a proactive tool which provides strategic insight to more efficiently and effectively manage the risks affecting the Compliance Program.  Additionally, the risk assessment is utilized to guide the direction of the compliance program and to provide a tool that assists management to make strategic decisions related to business opportunities and potential expansion, products and services and business relationships, in addition to the strategic development and evolution of the compliance program.  The SCUSA Compliance Risk Assessment process is consistent with SAN-US Holdings Inc. “SAN-US” Risk Assessment guidance and standards.   The results of the Compliance Risk Assessment provides the foundation upon which management can: (a) make more informed decisions regarding risk, (b) allocate resources more efficiently to address priority risk issues, and (c) implement proportionate measures and controls commensurate with the risks presented to mitigate Residual Risk.  
Conclusion
The results of the Compliance Risk Assessment identified a lower residual risk rating based on the effective strength of the mitigating controls. The aggregated residual risk profile is rated Moderate.  SCUSA identified opportunities for improvement that will require management review and decision regarding whether to implement a risk mitigation plan, reduce, transfer or accept the resulting risk.  The decisions made by management will be retained, tracked and reported to ensure that all recommendations which require a risk mitigation plan are being addressed in a timely manner to further reduce the risk exposure.  While opportunities for improvement currently exist, the mitigating controls in place reduce the residual risk to an overall acceptable risk level.  SCUSA will continue to promote a culture of compliance as a top priority to Executive Management, Senior Management, Employees, Business Partners, Dealers, Temporary Resources and other applicable Business Partner Relationships.  SCUSA is committed to and place a high priority on managing risk strategically, systemically and in compliance with regulatory requirements.   </t>
  </si>
  <si>
    <t>It is the policy of SCUSA to offer its products and services and conduct its activities in compliance with all applicable laws and regulations that apply to Third Party risk management.  When a SCUSA Business Unit engages a Third Party, whether a subsidiary, affiliate or non-affiliate, it is the policy of SCUSA that the Third Party will comply with all applicable laws and regulations for the activities conducted on behalf of SCUSA and its Subsidiaries. If the Third Party is an affiliate relationship, SCUSA is subject to federal regulations, therefore the relationship and its terms in their entirety must comply with such laws and regulations.  SCUSA’s management of Third Parties shall be risk-based reflecting the complexity of activities undertaken by the Third Party and the inherent risks of those activities. Third Party relationships comprised of Critical Activities are subject to comprehensive risk planning, oversight and reporting. 
SCUSA’s Third Party Risk Management Program and process follows a continuous life cycle for all relationships and incorporates the phases below.  A failure within any of these critical phases could have negative reputational impact, as well as negative legal and compliance implications.
• Strategic Planning and Selection
• Risk Classification
• Due Diligence Assessment
• Contract Facilitation and Negotiation
• Incentive Compensation Review
• Business Continuity and Contingency Planning
• Ongoing Monitoring and Oversight
• Documentation and Reporting
• Independent Reviews 
• Training and Awareness
• Termination and Exit Planning</t>
  </si>
  <si>
    <t>9/30/2014</t>
  </si>
  <si>
    <t xml:space="preserve">Potential Loss Amount5645000
Value of Loss Recovery (IMPRECDIR) - Direct  
Actual Loss Amount5645000
Near Miss Amount0
</t>
  </si>
  <si>
    <t>5/6/2015</t>
  </si>
  <si>
    <t xml:space="preserve">Potential Loss Amount2650792.68
Value of Loss Recovery (IMPRECDIR) - Direct2650792.68
Actual Loss Amount0
Near Miss Amount0
</t>
  </si>
  <si>
    <t>Executive Payroll Processing Error 
On May 4, 2015, an employee exercised stock options resulting in our broker, UBS, processing the order and paying the employee directly. The payment from UBS to the employee would be net of amounts for Federal Withholding and Medicare taxes. SCUSA Payroll then enters the income and taxes from the transaction in Workday to ensure that the employee’s W-2 is accurate. This transaction was entered by SCUSA Payroll on May 6, 2015. _x000D_
 Once the gross amount is entered, Workday calculates the taxes automatically. The total gross amount of the transaction in question was $6,852,013. The amount for Federal Withholding was $2,713,397.21, and the amount for Additional Medicare was $61,688.12. If the calculated amounts do not match up with the actual amount paid and withheld, human intervention is required. In this instance, the Payroll employee entered the two amounts in the two lines provided, but inadvertently put the $61,688.12 in the Federal Withholding box and the $2,713,397.21 in the Medicare box. The net pay displayed the correct amount since both tax amounts were accounted for.   _x000D_
 The system detected that the Additional Medicare that should have been withheld was much lower than the $2.7 million that was entered. The system calculated the Additional Medicare that should have been withheld as $61,688.12. The system self-adjusts Social Security and Medicare. Therefore, Workday refunded the Additional Medicare by $2,650,792.68, which went on the employee’s regular paycheck. _x000D_
  _x000D_
 On Tuesday, June 16, 2015, we received notification that the funds had not been recovered due to an automatic freeze placed on the account. We will have the issue resolved and the funds recovered by close of business on June 24, 2015.</t>
  </si>
  <si>
    <t>9/12/2014</t>
  </si>
  <si>
    <t xml:space="preserve">Potential Loss Amount
Value of Loss Recovery (IMPRECDIR) - Direct
Actual Loss Amount
Near Miss Amount152131300
</t>
  </si>
  <si>
    <t xml:space="preserve">SCARF 2014-B4 settlement transaction error
Event Description: On Friday September 12, 2014, Deutsche Bank submitted incorrect wire instructions to SCUSA; subsequently a settlement transaction for SCARF 2014-B4 (securitization) was initiated by the Treasury group where $ 152,131,300.00 USD was transferred to the wrong banking participant under SCR10 warehouse. The SCR10 warehouse is the syndicated warehouse with four bank participants and Deutsche Bank Trust Companies America (DBTCA) as Admin Agent. The SCR10 warehouse payoff was delivered to Deutsche Bank’s lender account instead of DBTCA’s admin account. Deutsche Bank was unable to transfer to the admin account in a timely manner and SCUSA was unable to edit the wire on Friday September 12, 2014.  DBTCA decided to proceed and pay the other lenders because they knew the funds were in the conduit account.  The authenticated amended instructions were provided to JPM on Friday and confirmed by Jason Kulas (CFO) on Monday September 15, 2014. JPM then coordinated the delivery correction to the admin account on Monday September 15, 2014._x000D_
 Root Cause: SCUSA received incorrect wiring instructions from Deutsche Bank resulting in incorrect wire being sent to incorrect account. We accepted instructions from a known individual and to a known conduit account, but that individual was not authorized to modify the settlement for the DB admin account.  _x000D_
 How it was identified: The admin agent called because they didn’t receive the payment they were expecting on Friday 9/12/14._x000D_
 Note: Treasury is working with Deutsche  Bank to ensure they have controls in place to verify instructions are coming from an authorized source. _x000D_
  _x000D_
  _x000D_
  _x000D_
  </t>
  </si>
  <si>
    <t>9/29/2014</t>
  </si>
  <si>
    <t xml:space="preserve">Potential Loss Amount
Value of Loss Recovery (IMPRECDIR) - Direct
Actual Loss Amount
Near Miss Amount11005855
</t>
  </si>
  <si>
    <t>10/31/2014</t>
  </si>
  <si>
    <t xml:space="preserve">Potential Loss Amount
Value of Loss Recovery (IMPRECDIR) - Direct
Actual Loss Amount
Near Miss Amount49855200
</t>
  </si>
  <si>
    <t>World Omni Issue
In October 2014, it was brought to Management's attention that the provisions of the World Omni contracts and the impact of those provisions on SCUSA's consolidated financial statements was not evaluated to accurately reflect a possible Liability to World Omni when cumulative losses are below original forecast._x000D_
 Each of the 20 World Omni pools (purchased monthly from Jan 2009 through Aug 2010) requires annual credit mitigation payments from SCUSA to World Omni when cumulative losses are below original forecast, as well as a final total return settlement payment seven years after each pool’s purchase date if SCUSA’s IRR on the portfolio exceeds a defined cap. The pools started out with an aggregate balance of around $1 billion but are now down to around $70 million._x000D_
 SCUSA records the credit mitigation payments as contra-interest income as they effectively represent adjustments to purchase discount, which is accreted into interest income.  SCUSA has been recognizing them on a cash basis but now have decided to switch to accrual basis; hence the $2.4mm one-timer in October 2014._x000D_
 As for the total return settlement payment, due to the recent discussions about possibly selling the pools back to World Omni, SCUSA had been working on estimating what amounts, if any, are due.  Initially SCUSA thought their liability was zero, but was missing some key data from World Omni, who still services the loans. Once SCUSA obtained that data, their updated calculations now show that the Company likely will owe settlement payments on ten of the pools, with an estimated aggregate liability of $16.1 million. Although this amount is not due until 2016 or 2017, as it has substantially all already been incurred based on the pools’ performance to-date, and is a probable and estimable liability, SCUSA accrued the amount as additional contra-discount income in October 2014._x000D_
 Root Cause:_x000D_
 SCUSA had not calculated an estimate of any potential total return settlement liability and had not been obtaining any such calculations from World Omni. In October 2014, SCUSA prepared an initial estimate of liability of zero for all pools, but noted that certain performance data was missing that could be obtained only from World Omni, as servicer. Once this additional data was received, SCUSA updated its estimates, and is now projecting that a total return settlement payment will be due on ten pools, for a total of $16.1 million (SCUSA's initial calculation as of October 31, 2014)._x000D_
 Updated Analysis:_x000D_
 2014, World Omni supplied its own estimate of liability, which totaled approximately $50 million. SCUSA has confirmed that the previously missing data is reasonably accurate and accounts for the difference between SCUSA’s original estimate and World Omni’s. As of September 30, 2014, SCUSA had incurred liability on seven of the pools, aggregating to approximately $5.6 million; the remaining $44 million of the total $50 million gross exposure is based on expected cash flows on all 20 of the pools._x000D_
 Control Gaps:_x000D_
 Management has in place a control requiring the review of all new contracts and documentation of their accounting impact, and this control is operating effectively. However, the World Omni contracts, which were executed in 2009 and 2010 but continue to have an impact on SCUSA’s consolidated financial statements, such documentation was not maintained and accounting impact was not evaluated.</t>
  </si>
  <si>
    <t>8/31/2015</t>
  </si>
  <si>
    <t xml:space="preserve">Potential Loss Amount
Value of Loss Recovery (IMPRECDIR) - Direct
Actual Loss Amount
Near Miss Amount14267000
</t>
  </si>
  <si>
    <t>8/31/2014</t>
  </si>
  <si>
    <t xml:space="preserve">Potential Loss Amount
Value of Loss Recovery (IMPRECDIR) - Direct
Actual Loss Amount
Near Miss Amount5880000
</t>
  </si>
  <si>
    <t>5/20/2014</t>
  </si>
  <si>
    <t xml:space="preserve">Potential Loss Amount71274276
Value of Loss Recovery (IMPRECDIR) - Direct
Actual Loss Amount
Near Miss Amount51802329
</t>
  </si>
  <si>
    <t>3/11/2014</t>
  </si>
  <si>
    <t xml:space="preserve">Potential Loss Amount48200000
Value of Loss Recovery (IMPRECDIR) - Direct
Actual Loss Amount
Near Miss Amount42569563
</t>
  </si>
  <si>
    <t>SBNA Non-Conforming Loan Transactions
On March 13th, 2014, it was discovered that approximately 1,555 leases (~48.2MM) were approved and funded by SBNA below our score criteria (FICO&lt;700 or Custom Score&lt;650) due to an IT release SCUSA implemented on 3/9, and was subsequently fixed on 3/24. On 3/9, an IT release was implemented to ensure that US Citizenship was included in the application process for this program, where it had previously been left off. The Citizenship question was supposed to be included with the other questions that make up SBNA Eligibility. However the question was implemented separate, and thus overrode the SBNA Eligibility flag. The FICO/Customer Score was left off, as this was included as part of the SBNA Eligibility flag. Subsequent review of the SBNA Eligibility logic identified new situations where an application would be correctly identified as eligible at the initial decisions, but was not updating as it should after intervention from the Buyers. Certain events that would normally render the application ineligible, was not updating._x000D_
 The issue was discovered on March 11th, but was not resolved until an IT HotFix was implemented on March 24th, which corrected the Citizenship flag issue._x000D_
 Subsequent review of the SBNA Eligibility logic identified new situations where an application would be correctly identified as eligible at the initial decisions, but was not updating as it should after intervention from the Buyers. Certain events that would normally render the application ineligible, was not updating._x000D_
 It is known that additional leases were processed and approved during this time, but were not funded by SBNA by the April 30th, 2014 Participation Cut-off Date. If these leases are funded subsequently, or other non-conforming leases are identified, they will be remediated in the same fashion as the previously identified leases.</t>
  </si>
  <si>
    <t xml:space="preserve"> Operational Risk is notified of Evolving  Risks through monitoring of various reports, including, but not limited to, IT Change Management, Major Incidents, Quality Control Reviews and Fraud Losses. Additionally, Operational Risk is notified by the business area either directly through self-reporting or during monthly meetings that are held with each business area.  These risks are recorded and tracked in the system of record, Archer. Operational Risk then performs root cause analysis and develops action plans with the risk owner and track through to completion. </t>
  </si>
  <si>
    <t xml:space="preserve">SCUSA follows a  new business activity process through its approved policies and procedures.  Over the last 12 months we have reviewed a number of proposed initiatives but at this time we do not have any activities that would fit the definition of new products or business activities.  </t>
  </si>
  <si>
    <t xml:space="preserve">SCUSA Support Functions represents all business functional areas which support the Auto and Personal Lending Segments.  It is made up of Accounting, Finance, Information Technology, Legal, Strategic Operations, and Human Resources.  
</t>
  </si>
  <si>
    <t>1.1 Pre-Provision Net Revenue (PPNR) deviation vs. budget</t>
  </si>
  <si>
    <t>1.2 Profits Before Taxes (PBT) deviation vs. budget</t>
  </si>
  <si>
    <t>1.3 Return on risk-weighted assets (pre-tax and unweighted)</t>
  </si>
  <si>
    <t xml:space="preserve">1.4 Loss Absorption Ratio </t>
  </si>
  <si>
    <t xml:space="preserve">1.5.Retail Customer Satisfaction </t>
  </si>
  <si>
    <t xml:space="preserve">1.6. Risk Balance </t>
  </si>
  <si>
    <t xml:space="preserve">2.1. Non regulatory single event with an equivalent impact of $5mm in losses </t>
  </si>
  <si>
    <t>2.1. Non regulatory single event with an equivalent impact of $5mm in losses (MONTHLY)</t>
  </si>
  <si>
    <t>2.2.Total customer complaints received from regulatory agencies and government officials (only CFPB, excludes states)</t>
  </si>
  <si>
    <t>2.2 Total customer complaints received from regulatory agencies &amp; government officials (includes all regulatory complaints)</t>
  </si>
  <si>
    <t xml:space="preserve">2.3 Total complaints over portfolio count </t>
  </si>
  <si>
    <t xml:space="preserve">3.1.Total reserves against 12-month projected credit losses </t>
  </si>
  <si>
    <t>3.2.Total reserves against 12-month projected credit losses under stress conditions</t>
  </si>
  <si>
    <t>3.3 Total Dealership Exposure (CRE + Owner Occupied) **</t>
  </si>
  <si>
    <t>3.4 Auto brand concentration to retail portfolio</t>
  </si>
  <si>
    <t>3.5 State concentration to retail portfolio</t>
  </si>
  <si>
    <t>3.6 Auto Finance Losses/Tier 1 + ACL</t>
  </si>
  <si>
    <t>3.7 Unsecured Losses/Tier 1 +ACL</t>
  </si>
  <si>
    <t>3.8 Total Portfolio 61+ Delinquencies</t>
  </si>
  <si>
    <t xml:space="preserve">3.9 a) Net Lease Residual Balance  
</t>
  </si>
  <si>
    <t xml:space="preserve">3.9 b) Gross Lease Residual Balance </t>
  </si>
  <si>
    <t xml:space="preserve">3.10 a) Stressed Residual Losses / Lifetime Profit  </t>
  </si>
  <si>
    <t>3.10 b) Net Lease ROA % excluding residual value impact</t>
  </si>
  <si>
    <t>3.11 a) Stressed Residual Losses / Tier 1 Capital
Stressed Residual Losses (Max; excluding Chrysler Counterparty Risk) – Chrysler Profit Share / Tier 1 Capital</t>
  </si>
  <si>
    <t>3.11 b) Chrysler Counter Party Risk/Tier 1 Capital 
Chrysler losses / Tier 1 Capital</t>
  </si>
  <si>
    <t>3.11 c) Stressed Residual Losses vs Tier 1 Capital 
Chrysler losses / Tier 1 Capital</t>
  </si>
  <si>
    <t xml:space="preserve">4.1.Forecasted mark to market losses under VAR scenarios </t>
  </si>
  <si>
    <t xml:space="preserve">4.1 a) Forecasted mark to market losses under VAR scenarios </t>
  </si>
  <si>
    <t>4.1 QTD Losses</t>
  </si>
  <si>
    <t>4.1 b) Cumulative QTD Trading IRS Losses/Gains</t>
  </si>
  <si>
    <t>4.2.ALM:  Net interest income (NII) (+/-100bps)</t>
  </si>
  <si>
    <t xml:space="preserve">4.3.ALM:  Market value of equity (MVE) (+/-200bps) </t>
  </si>
  <si>
    <t>5.1 Structural Liquidity Ratio (SLR)</t>
  </si>
  <si>
    <t>5.2 Self Funding</t>
  </si>
  <si>
    <t>5.3% Outstanding Balance  of Warehouse and Intergroup Funding Lines, maturing in next 45 days</t>
  </si>
  <si>
    <t>5.4  % Cumulative Liquidity Gap- 3M</t>
  </si>
  <si>
    <t>5.5  % Cumulative Liquidity Gap - 12M</t>
  </si>
  <si>
    <t xml:space="preserve">6.1.Total operational losses (defined management internal loss data) as a percent of PPNR </t>
  </si>
  <si>
    <t xml:space="preserve">6.1 Total potential losses (defined as operational risk internal loss data) as a percent of Gross Income calculated on a 3 month rolling average.  </t>
  </si>
  <si>
    <t xml:space="preserve">6.2.Employee Voluntary Attrition to Average Number of Employees </t>
  </si>
  <si>
    <t>7.1.Percentage of employees who have completed the compliance training program on a yearly basis</t>
  </si>
  <si>
    <t xml:space="preserve">
100%</t>
  </si>
  <si>
    <t>7.2.Past due remediation plans to supervisory findings</t>
  </si>
  <si>
    <t>8.1. Material models put into production/used without the appropriate approval (as defined in the MRM Policy)</t>
  </si>
  <si>
    <t>8.2  Percentage of  13 controls completed for all high risk models</t>
  </si>
  <si>
    <t>Not Available</t>
  </si>
  <si>
    <t>Not available</t>
  </si>
  <si>
    <t>9.1 Tier 1 Common</t>
  </si>
  <si>
    <t>9.2 Tier 1 Leverage</t>
  </si>
  <si>
    <t>9.3 Tier 1 Risk-Based Capital</t>
  </si>
  <si>
    <t>9.4Total Risk-Based Capital</t>
  </si>
  <si>
    <t>9.5 Tangible Common Equity Ratio</t>
  </si>
  <si>
    <t>9.6 Common Equity Tier 1</t>
  </si>
  <si>
    <r>
      <t xml:space="preserve"> 2014 Metrics were measured using 2014 limits, EWI and calculations.
</t>
    </r>
    <r>
      <rPr>
        <u/>
        <sz val="11"/>
        <color theme="1"/>
        <rFont val="Calibri"/>
        <family val="2"/>
        <scheme val="minor"/>
      </rPr>
      <t>2015 changes in metrics:</t>
    </r>
    <r>
      <rPr>
        <sz val="11"/>
        <color theme="1"/>
        <rFont val="Calibri"/>
        <family val="2"/>
        <scheme val="minor"/>
      </rPr>
      <t xml:space="preserve">
Metric 1.3 - 2014 methodology equals Monthly PBT (Annualized) / Assets.  2015 methodology equals YTD PBT (Annualized) / Assets.   Annualized PBT is more appropriate of performance due to less volatility to monthly  income.
Metric 2.1 - Shifted from annual cumulative total, to a monthly single event total.  
Metric 2.3 - The numbers reported for 2014 are inquiries and complaints. Beginning in January 2015, we only report complaints. 
Metric 3.6 - For 2015 SCUSA utilizes the auto finance 12 month projected credit losses under stress conditions (Severely Adverse Scenario). 
Metric 3.7 - 2015 metric uses the unsecured exposure 12 month projected credit loses under stress conditions (Severely Adverse Scenario). NCLs are projected to increase in 2015 while the reserve build occurred earlier in the life of this portfolio. 
Metric 6.1 - The rationale for changing from PPNR to Gross Income is because Gross Income is larger and typically more stable than PPNR, which can be impacted by expenses and accounting items.  Gross Income is in line with what is used for the Basic Indicator Approach (BIA) and The Standardized Approach (TSA) as described in the Basel II Capital Accord.  
</t>
    </r>
    <r>
      <rPr>
        <u/>
        <sz val="11"/>
        <color theme="1"/>
        <rFont val="Calibri"/>
        <family val="2"/>
        <scheme val="minor"/>
      </rPr>
      <t xml:space="preserve">New 2015 Metrics: </t>
    </r>
    <r>
      <rPr>
        <sz val="11"/>
        <color theme="1"/>
        <rFont val="Calibri"/>
        <family val="2"/>
        <scheme val="minor"/>
      </rPr>
      <t xml:space="preserve">
Metric 3.8 - New metric added in 2015 to track 61+ day delinquencies at the Total Portfolio level.  
Metric 3.9 - New metric added to monitor the lease balance limit.
RTS 3.10 -  This metric calculates the potential stressed residual loss  as a percentage of lifetime profit.   
RTS 3.11 – These metrics express our worst potential loss as a percentage of Tier 1 Capital for the firm overall as well as the worst potential loss excluding our counterparty exposure.  
Metric 5.4 and 5.5: Cumulative Liquidity Gap reflects the percentage of (3 Months and 12 Months) asset cash flows divided by the liability cash flows (based on current methodology for Liquidity Gap Cash Flows). 
Metric 8.2: Model Risk Management covers the full model lifecycle; the 13 key controls which make up the MRM framework are designed to help mitigate model risk throughout the life of a model. 
Metric 9.6: CET1 (Common Equity Tier 1 Ratio) added in 2015 under new Basel III requirements.
</t>
    </r>
  </si>
  <si>
    <t xml:space="preserve">Financial problems or potential catastrophic failure of Tier 1 third party may result in business disruption, regulator compliance violations, legal action, cost to recover, reputation exposure, and potential fines/penalties. 
We have Tier 1 vendors in each aspect of our organization and each could present a different type of risk.  For example, the loss  of a key vendor, such as XEROX, a Tier 1 vendor, impacts all of SCUSA as XEROX hosts SHAW.  A loss of a vendor such as this would be catastrophic as it would impact our ability to service our loans or post payment.  Even if a vendor such as this has an extended outage (more than 24 hours) this could severely impact our business.  To mitigate a risk such as this, the vendors have redundant systems and have business continuity plans.  
Contractually the vendors are required to provide sufficient time if they do not want to renew our contracts.  
SCUSA Vendor Management monitors 3rd party performance daily to mitigate risks.  </t>
  </si>
  <si>
    <t xml:space="preserve">SLA scorecards are reviewed to monitor 3rd party performance.   Our contracts have termination clauses which allow us to terminate our agreement with said 3rd party for non-compliance with contractual provisions.    In additions, contracts have "right to audit" clauses which allows the SCUSA associates to independently evaluate the performance.  Vendor Managers in the 1LOD and the 3rd Party Vendor Management Team also conduct site visits for our vendors.  In addition, contractually the vendors are required to provide sufficient time if they do not want to renew our contracts.  </t>
  </si>
  <si>
    <t>Key Third Party Risk</t>
  </si>
  <si>
    <t>Support Functions</t>
  </si>
  <si>
    <t>Third Party Management</t>
  </si>
  <si>
    <t xml:space="preserve">
SCUSA compliance conducts meetings with Bluestem Compliance to review and approve any new Tier 1 vendors that will be used.  BlueStem provides updates SCUSA on the 4th party vendor results.  
SLA scorecards are reviewed to monitor 3rd party performance.   Our contracts have termination clauses which allow us to terminate our agreement with said 3rd party for non-compliance with contractual provisions.    In additions, contracts have "right to audit" clauses which allows the SCUSA associates to independently evaluate the performance.  Vendor Managers in the 1LOD and the 3rd Party Vendor Management Team also conduct site visits for our vendors.  </t>
  </si>
  <si>
    <t xml:space="preserve">Third Party's breach of contractual guidelines or compliance may result in regulatory violations, reputational exposure, and financial impacts, including potential fines/penalties.  
 SCUSA relies  on 3rd parties to perform services on our behalf.  Although the service has been outsourced, the liability still remains with SCUSA.  The vendors are required to uphold the same compliance standards  as SCUSA as well as contractual obligations.  Should a vendor breach their contractual guidelines or compliance requirements, this could results in regulatory violations, financial losses and reputational damage for SCUSA.   Mitigation of 3rd party risks are contained within our vendor management process, which includes initial due diligence, on-going site visits and monthly performance scorecards.   
</t>
  </si>
  <si>
    <t>Personal Lending</t>
  </si>
  <si>
    <t>Personal Lending Third Party Management</t>
  </si>
  <si>
    <t xml:space="preserve">Each third party vendor is reviewed annually by Vendor Manager and Supplier Oversight.  All agreements are created, reviewed and approved by Legal.  Accounting and Decision Science teams review daily transactions and monthly/annual reporting approval.  Compliance and Legal approve all customer facing materials including marketing, Terms &amp; Conditions, servicing statements and all account servicing activities.
</t>
  </si>
  <si>
    <t>Based on the nature of the failure, there could be no financial impact or the failure could be severe enough SCUSA has to; take over servicing, end originations, or possibly both.
SCUSA has the option to take over servicing if needed. Below is an explanation of how each program would be affected by this lapse in servicing, assuming a 90 day ramp up:
Bluestem (BSTM): During the 2007 recession BSTM's losses increased to 36%. BSTM 2015 YTD losses are at 27%. If a lapse in servicing occurred we assume loses could increase 9 points to their recession level. With a portfolio balance of $1.3B, the increase in losses would be $29.25M.
LendingClub: LendingClub losses for 2015 have averaged $4.5M a month. LendingClub does not have enough history to estimate a worst case, so losses are assumed to increase the same amount as BSTM's worst case. If losses increased 33%, the financial impact to SCUSA would be $4.5M.
NCL: NCL losses for 2015 have averaged $350K a month. NCL does not have enough history to estimate a worst case, so losses are assumed to increase the same amount as BSTM's worst case. If losses increased 33%, the financial impact to SCUSA would be $347K.
Assuming an ROA of 4.5% across all programs, below is an explanation of how each programs would be affected by ending originations.
Bluestem (BSTM): Average monthly originations over the past 12 months has been $96M. Assuming an annual origination volume of $1.2B ($96M * 12) and ROA of 4.5%, the total financial impact would be $52M.
LendingClub: Average monthly originations over the past 12 months has been $73M. Assuming an annual origination volume of $876M ($73M *12) and ROA of 4.5%, the total financial impact would be $39M.
NCL: Average monthly originations over the past 12 months has been $3M. Assuming an annual origination volume of $36M ($3M * 12) and ROA of 4.5%, the total financial impact would be $1.6M.</t>
  </si>
  <si>
    <t xml:space="preserve">Third Party's breach of contractual guidelines or expectations (such as reporting), may result in regulatory violations, reputational exposure, and financial impacts, including potential fines / penalties.
The nature of the programs to date are based on partners who are contractually obligated to; meet SLAs, provide servicing, reporting, etc. The SCUSA Personal Lending team manages these partnerships to ensure they are fulfilling the requirement of the relationship. If a partner breaches the terms of the partnership, SCUSA has the following options to mitigate any potential risk; notifying the partner (right to cure), escalating the issue, and ultimately termination.
To ensure these contractual obligations are met, controls have been built to monitor critical processes and transaction flows. This includes; review of transactions, balancing of funding and purchases, verification by finance and accounting of portfolios, periodic audits, regularly scheduled business and credit reviews.
Specifically to Bluestem (BSTM), SCUSA relies on BSTM to provide month end numbers. A delay in this reporting could in turn cause a delay in SCUSA's month end close process. To avoid any delay, SCUSA and BSTM coordinate and publish a calendar detailing when certain reports are expected.
</t>
  </si>
  <si>
    <t xml:space="preserve">Models are inaccurate or deteriorate gradually over time which may not effectively offset credit risk exposure leading to financial loss.
SCUSA leverages models in various business settings. Origination scorecard models provide rank ordering on loan applications and serves as a foundation for decisioning, pricing, and measuring profitability. Collection models allow for effective execution of collection, recovering, and servicing strategies. Loss forecasting models provide loss estimation for loan loss reserves.
These models are subject to model risk arising from such areas as deficiency in the model methodology, data limitations during model development, changes in the business practices over time, assumptions for modeling simplicty, macro economic factors, and defects in the implementation environment. Models may be inaccurate or may deteriorate gradually over time, which may not effectively offset credit risk exposure leading to financial loss.
SCUSA mitigates model risk by adopting strong model development and testing standards in the first-line-of-defense. All models are independently validated by SHUSA Model Risk Management Group prior to business use. Models that are in use are actively monitored for ongoing performance issues on a periodic basis and measured against performance thresholds. Deviations to these thresholds trigger in-depth analysis which may result in re-development of the model. 
</t>
  </si>
  <si>
    <t>Using ALLL Loss Forecasting Models as a basis, we quantify model risk roughly at $262m as of July 2015 since model risk tolerance on these models is set at 8-10% of the total ALLL Provision ($3.6b). The 8-10% model risk is a tolerance approved by the  ALLL Committee and requires the model owners to investigate any breaches to this threshold and make necessary adjustments/redevelopment of the models. Model risk on other models is difficult to quantify as it is difficult to translate into financial impact. The stressed model risk of $380m is also based on the risk associated with the ALLL Loss Forecasting Models based on the worst ever portfolio performance observed in 2008.</t>
  </si>
  <si>
    <t xml:space="preserve">Decision Science Analytics develops models that conform to Fed SR 11-7 guidelines around modeling practices and model risk management. Models are validated prior to implementation by SHUSA Model Risk Management Group (MRMG). Model are actively monitored by Decision Science as part of ongoing performance assessments.  Decision Science measures each model's actual performance against the expected results.  Significant deviations trigger review of the model validity and may result in adjustment or redevelopment of the model. Performance reporting is shared with SCUSA and SHUSA oversight committees. Origination models used in granting credit are also reviewed by Compliance to ensure regulatory and fair lending compliance. </t>
  </si>
  <si>
    <t>Model Errors or Deterioration</t>
  </si>
  <si>
    <t>Decision Science</t>
  </si>
  <si>
    <t>Macroeconomic Event</t>
  </si>
  <si>
    <t xml:space="preserve">As mentioned below in the narrative, should a macroeconomic event occur, SCUSA would re-evaluate our loss mitigation tools and adjust deferments and loan payment modifications to mitigate the rise in delinquencies and repossessions.   SCUSA may also reduce residual values and lower recovery rates, as a conservative approach from an ALLL  and loan reserve perspective.  </t>
  </si>
  <si>
    <t>Auto, Personal Lending</t>
  </si>
  <si>
    <t>Inaccurate Financial Reporting with Respect to ALLL</t>
  </si>
  <si>
    <t xml:space="preserve">The ALLL process is employed to reasonably assess and account for losses inherent in the portfolio.  An inaccurate quantitative forecast or incomplete assessment of the impact of external market and environmental factors could lead to SCUSA experiencing losses well in excess of those anticipated, as well as expose SCUSA to potential regulatory action, reputational exposure or mispricing of future loans.  The ALLL process includes several controls to mitigate this risk, including quantitative controls (backtesting of VLM with back-testing variance threshold, balance/volume reconciliation, etc.), qualitative controls (macroeconomic indicator monitoring, comparison of actual losses to plan, review of Operational and Risk Reporting Systems to identify potential risks to the business that could impact the losses experienced by SCUSA's portfolios, etc.), internal controls (regular review by SOX team, model input checks performed by Financial Analytics, annual review by Internal Audit, etc.) and governace controls (Risk Committee and SHUSA review and sign-off of quarterly reserve number, Board Ratification, etc.).  
</t>
  </si>
  <si>
    <t>Annual expected impact was calculated at $106MM, equal to the variance of actual losses to provision over the past twelve months (where unemployment and used vehicle values have been reasonably stable).   Worst 1 in 10 (2008-2009) saw the unemployment rate climb from 6-10% and the Manheim used index fall from 115 to 100 in the same short period of time (signiciantly impacting recovery rates).  The resultant increase in net annualized loss rate could require a rapid increase to reserve levels of $1 Bn or more.  With the controls in place, impact is not likely to exceed $500MM.</t>
  </si>
  <si>
    <t xml:space="preserve">Inability to forecast losses accurately leading to inappropriate of ALLL / TDR balances, may result in fines, penalties, potential regulatory action, reputational exposure, mispricing of future loans, and overall negative profitability for SCUSA.
As noted above, quantitative forecast errors (whether in model/methodology design or execution) or the inablility to incorporate appropriate qualitative adjustments can result in an allowance that does not appropriately reflect losses inherrent in SCUSA's portfolio.  While the accuracy of the models used and effectiveness of the methodology employed are key determinants of SCUSA'a ALLL process, the most significant risk drivers that impact accuracy in a stress environment are changes to unemployment rates and used vehicle values.  See above responses for additional discussion. 
</t>
  </si>
  <si>
    <t xml:space="preserve">Obligors not able or unwilling to fulfill obligations may default prior to maturity  resulting in a credit loss.
As a primarily non-prime lender, SCUSA extends credit to borrowers which have historically had higher loss rates. Due to these higher loss rates, the profitabily of SCUSA is highly dependent on accurately projecting and provisioning for expected losses. SCUSA mitigates the exposure by accurately estimating and provisioning for expected losses by building and validating loss models. The output of the loss models is enhanced by applying expert judgement and effective challenge through a documented governance process. To ensure accuracy of expected losses governance has been established including the ALLL Committee and ALLL Policy. Additionally the loss models are subject to SHUSA oversight including MRM validation including backtesting. Monthly monitoring is performed to ensure actual losses are inline with expected losses. If actual losses exceed expected losses by 8% or more, this triggers a complete indepth review of the ALLL process and assumptions to determine a more accurate loss forecast. SCUSA maintains a credit loss reserve in the amount of $3.6B which accounts for 16.5 months of expected loss.
</t>
  </si>
  <si>
    <t>The risk of loss exceeding the Allowance for Loan/Lease Loss (ALLL) Provision is estimated to be 8-10% of the total ALLL Provision. According to the ALLL (Allowance for Loan/Lease Loss) Committee approved Provision, July 2015, the SCUSA estimated losses for the next 16.5 months is $3.6B or 12.6% loss rate on a portfolio of $29b outstanding receivables. 10% of $3.6B, annualized is $262MM. This provision is calcuated based on loss forecasting models with judgemental overlays from the ALLL Committee. See attached ALLL Schedule. The 8-10% risk is determined based on ALLL approved guidelines which sets this trigger to redevelop the loss models for breaches in excess of 8% of actual to expected loss. With this trigger/control in place, the risk of excess loss should not exceed 10%. The stressed impact of $380 was determined by applying the 10% threshold against a stressed loss rate of 18% which was the highest loss rate observed on the SCUSA portfolio in 2008.</t>
  </si>
  <si>
    <t>The ALLL Provision is the most likely estimate of loss and is governed by the ALLL Committee, ALLL Policy and Risk Committee. ALLL loss estimates are calculated using a validated loss model with stringent backtesting requirements. All models are validated by the oversight of SHUSA Model Risk Management (MRM) and adhere to established model guidelines. ALLL processes and validations are subject to Sarbanes Oxley (SOX) regulatory controls which add further checks and balances to the process of quantifying loss and loss provisions. Internal Audit performs periodic audits to ensure the ALLL models, policies and controls are executed accurately.</t>
  </si>
  <si>
    <t>Overall Credit Default Risk</t>
  </si>
  <si>
    <t>Credit, Funding, Decision Science</t>
  </si>
  <si>
    <t xml:space="preserve">Failure to comply with the relevant employment laws and regulations could have serious consequences. Violations involve regulatory enforcement, prosecution by individuals or governmental agencies leading to potential fines, compensation payments, financial penalties/corrective action and/or reputational damage. The severity of the penalty depends on whether the violation is wilful or negligent. 
</t>
  </si>
  <si>
    <t>During 2014, SCUSA saw less than $200k in settlements. Also noted that historically, very few employees litigate.</t>
  </si>
  <si>
    <t xml:space="preserve">SCUSA has various controls in place to manage and mitigate risks associated with Noncompliance with HR legal or regulatory requirements. Policies and Procedures are in place covering the entire employment relationship from Pre-Hire to Termination. An Employee Handbook is in place as well as a Code of Conduct describing employee resposibilities. Employee attestation is required for the Code of Conduct. Onboard training is provided for SCUSA employees where responsibilities of the employee relationship are discussed. In addition, SCUSA HR provides ongoing monitoring of various HR metrics to ensure alignment with expectations.
</t>
  </si>
  <si>
    <t>Litigation associated with Compliance with HR Laws</t>
  </si>
  <si>
    <t>SCUSA - HR</t>
  </si>
  <si>
    <t>Workplace Safety and Security - Accidental</t>
  </si>
  <si>
    <t>SCUSA has established a strategy to respond to a natural event before, during and after the actual event.  The SVP of Property Management|Physical Security is part of the CIMT (Corporate Incident Management Team).  We established a Floor Warden Program and have trained select associates in CPR and the ability to provide guidance and response during emergencies and natural disasters.  All our facilities are compliant per local city and state codes.  The properties team conducts detailed facility inspections every quarter in addition to the daily safety observations provided by our physical security team.  We stock ice melt to use at entry ways and contract with outside vendors to sand/salt our parking lots to avoid slips/falls.  Our Business Operations sites are equipped with backup generators to provide power in the event of disruption of the local power delivery.  SCUSA has designed a Business Continuity Plan to provide workers an off-site work location in the event of a lost work site due to damage or destruction.</t>
  </si>
  <si>
    <t xml:space="preserve"> To date there have been no incidents associated with this risk. However, in the event of a natural disaster SCUSA carries property insurance covering buildings and content with a per location deductible. SCUSA currently transfers its insurable liability for 1st Party damage/loss to buildings and contents via Corporate Property Insurance.  Aggregate limits of $200MM are shared with SHUSA/SBNA.  Retention for each Occurrence/Location is the greater of $250,000 or (for catastrophic losses) 5% of the Location’s Declared Values. SCUSA currently transfers from first dollar its insurable liability for Employees’ occupational injuries via Corporate Workers’ Compensation Insurance, which pays for medical and lost wages up to statutory limits.  Part B insures Employer’s Liability up to $1MM for alleged negligence in effectively mitigating such injuries; Umbrella coverage is also in place.  Currently SCUSA employs approximately 4000 employees. 
SCUSA currently transfers from first dollar its insurable liability for 3rd Party bodily injury, death, personal injury and property damage via Corporate General Liability Insurance.  Aggregate limits of $120MM ($50MM per Occurrence) are shared with SHUSA/SBNA; Umbrella coverage is also in place.  
SCUSA Liabilities are equitably retained/transferred via contract language.
</t>
  </si>
  <si>
    <t>Natural hazards and the resulting disasters can happen at any time.  Texas is considered part of tornado alley and in the winter, subject to ice/sleet accumulations on our roads and building parking lots.  Natural hazards poses a real threat not only to associates but to physical property as well.  Fire is also a real threat, as evident of a recent fire in the underground parking area attached to our headquarters facility. In addition, environmental risks are also a threat. In the event of any natural disaster, associates run the risk of injury or loss of life, which could result in personal litigation and extensive damage to personal property. Effects of hazards need to be defined and identified.  Primary effects occur as a result of the process itself, e.g., water damage after a fire or flood.  Secondary effects occur only because a primary effect has caused them e.g., fire ignited as result of down electrical power lines, looting after damage and Tertiary effects are long-term effect set off as a result of the primary event.  Protection, planning and preparedness are key risk drivers.</t>
  </si>
  <si>
    <t xml:space="preserve">Security incidents potentially resulting in injury or loss of life, damage or theft of physical property, resulting in litigation exposure and / or associated costs. 
SCUSA operates multiple sites in different states.  There is a possibility that something could occur, potentially resulting in injury or loss of life, damage or theft of physical property, resulting in litigation exposure and / or associated costs. 
The potential threat of an individual entering a facility with malicious intent is ever present.  In one instance, a former associate with a violent history entered the property and subsequently was escorted off the property by SCUSA security.  Additionally, an associate was car-jacked at gunpoint in a remote parking area.  We have posted numerous "Private Property, No Trespassing" signage.  We intend to install pedestrian turnstile gates at our NRH facility entrances to prevent unauthorized piggy backing.  The officers perform daily shift change operations and share information through pass down books which includes security information regarding business operations and safety.   
In the last year, we are not aware of any litigation expenses associated with these or other related events, however we continue to identify potential risks and train for expected and unexpected scenarios.  The worst year impact is yet to be identified as the equipment and standardization of all sites is a new project.  The impact of replacement equipment could be substantial such as access servers, cameras or exterior lighting.  Additionally the cost of extra security or overtime expense after a major incident or significant event that could have a large financial impact.
</t>
  </si>
  <si>
    <t xml:space="preserve">SCUSA currently transfers its insurable liability for 1st Party damage/loss to buildings and contents via Corporate Property Insurance.  Aggregate limits of $200MM are shared with SHUSA/SBNA.  Retention for each Occurrence/Location is the greater of $250,000 or (for catastrophic losses) 5% of the Location’s Declared Values. SCUSA currently transfers from first dollar its insurable liability for Employees’ occupational injuries via Corporate Workers’ Compensation Insurance, which pays for medical and lost wages up to statutory limits.  Part B insures Employer’s Liability up to $1MM for alleged negligence in effectively mitigating such injuries; Umbrella coverage is also in place.  Currently SCUSA employs approximately 4000 employees. 
SCUSA currently transfers from first dollar its insurable liability for 3rd Party bodily injury, death, personal injury and property damage via Corporate General Liability Insurance.  Aggregate limits of $120MM ($50MM per Occurrence) are shared with SHUSA/SBNA; Umbrella coverage is also in place.  
SCUSA Liabilities are equitably retained/transferred via contract language.
</t>
  </si>
  <si>
    <t>SCUSA has recognized the real world need for enhanced physical security measures.  We have invested a large amount of resources to standardize all of our sites and ensure our workplace is safe and controlled as possible.  We have upgraded our buildings security with the newest controls, such as secure access badges, high visibility visitor lanyards, and additional video cameras inside the facility and in the parking areas.  We have extended security shifts to provide additional coverage and designed a 24 hour monitoring center that will oversee all sites 24x7x365.  Our Business Operation Facilities experience a high volume of vehicles in our parking areas.  The threat of auto accidents between vehicles and auto pedestrian accidents is always present as well as the threat of building damage by vehicles.  SCUSA mitigates these threats with on-site building security, cameras (CCTV), and badge access controls.  We have added additional lighting in the parking areas, installed speed bumps, and posted speed limit signs, as well as high visibility traffic cones.  Access badge audits are performed each quarter in addition to restricted access reviews to ensure all badges are accounted and terminated associates are inactive.  Security staff are provided continuous training throughout the year regarding evacuation procedures and safety measures.  All associates are drilled at least once a year in evacuation procedures.  Potential threats are continuously evaluated through the partnerships built with the local authorities and industry training and standards.</t>
  </si>
  <si>
    <t>Workplace Safety and Security - Willful</t>
  </si>
  <si>
    <t>Errors in financial or regulatory reporting may result in regulatory violations, reputational exposure, and potential fines / penalties.
The Company does extensive reporting to external parties (e.g., servicer certificate reporting, GAAP public financial statement reporting, regulatory reporting to the Federal Reserve, and tax returns) as well as reporting to internal parties for use in making decisions.  A financial reporting error that must be corrected through a restatement of previously issued public financial statements would likely have a large negative impact on stock price and the Company's reputation, making investors less likely to provide equity and/or debt financing in the future.  Inaccurate regulatory reporting could lead to adverse actions by the Federal Reserve such as further restrictions on activities. A tax return error could incur significant penalties and interest from the IRS or state taxing authorities.  Internal reporting errors could lead to poorly informed business investment decisions, costing the Company lost profits. Because of the potentially material consequences of a reporting error, the Company has an extensive suite of controls designed to prevent material misstatements.  Although a material weakness in internal control over financial reporting was recently assessed, there was no associated financial statement error and management believes that its controls are adequate to prevent material errors.</t>
  </si>
  <si>
    <t>SCUSA has never had a material misstatement in its financial statements.  However, it has had several immaterial misstatements, and currently has one material weakness in internal control over financial reporting. The cost of restating to correct a material misstatement could exceed $1 million in personnel, auditor, legal, and filing costs.  SCUSA has had to refile tax returns to correct preparer errors. The cost of penalties and interest on incorrectly filed tax returns could exceed $5 million. Lost business due to restrictions imposed by the Federal Reserve or reputational damage could cost the Company millions in lost profits.</t>
  </si>
  <si>
    <t>Accounting has in place standard spreadsheet controls over all spreadsheets identified as key to any financial reporting process. These standard controls represent all seven "end user computing" (EUC) categories: change control, version control, access control, input &amp; security control, logic inspection, backups/recovery, and archiving. Additionally, Accounting is implementing more advanced spreadsheet management controls using outside vendor ClusterSeven.  As all spreadsheets are prone to human error, management also conducts a manual review of the key outputs of spreadsheets for reasonableness.  In addition to spreadsheet controls, the Company has many controls around financial reporting in an effort to ensure material accuracy. These controls include automated data feeds, reconciliations, fluctuation analysis, documentation of the accounting treatment of new or unusual transactions, inquiry of executives to ensure material events are captured in the financial statements, management and various committees' review of the financial statements and disclosures, task and disclosure checklists (to ensure completeness), journal entry review, and system limitations preventing individuals from posting entries over their approval limit and preventing entries from being posted to closed periods.</t>
  </si>
  <si>
    <t>Financial Reporting Errors</t>
  </si>
  <si>
    <t>Errors in 1099 or property and sales tax processing may result in financial loss, regulatory violations, reputational exposure, customer remediation, and potential fines / penalties.
Sales and property tax on leased autos is a high volume of low dollar transactions that are passed through to the customer.  These transactions are reviewed in detail on a monthly basis and any necessary modifications are addressed in a timely manner.  It is unlikely that errors in the  area of sales and property tax on leased autos would materially impact the financial statements unless we discontinued passing these through to the customer.  Self assessed use tax and property tax (not leased autos) are typically less than $1MM a year each and unless SCUSA experienced substantial physical growth (new facility) it is unlikely that this exposure would increase substantially in coming years. The Tax Department is responsible for monitoring the 1099 reporting requirements and communicating any changes to Operations and Accounts Payable.  Operations is responsible for identifying the 1099 reportable events for customers.  Accounts Payable is responsible for identifying the 1099 reportable events for vendors and the preparation and filing of  1099s for both customers and vendors. The number of 1099s required to be filed in any year could vary dramatically; however, the penalty for filing of 1099's is capped at $6MM ($3MM for late filing of the taxpayer copy and $3MM for late filing of the IRS copy) per year in years after 2014.</t>
  </si>
  <si>
    <t>For calendar years beginning in 2015 the maximum penalty for erroneous or nonfiled 1099s (without "intentional disregard" of the filing requirements) is $3MM per filer.  This penalty applies to both the copy of the form filed with the IRS and the copy filed with the payee, for a maximum penalty of $6MM per year.  The maximum penalty is applicable at 12,000 Form 1099s.  In practice, the IRS generally does not apply both the penalties under sections 6721 (IRS copy of the form) and 6722 (payee copy of the form), but technically both penalties could apply.  It is assumed that both would apply in the Stressed Financial Impact.  Property tax on SCUSA reportable property (not leased autos) and self assessed use tax are typically both less than $1MM a year each.   Property tax for leased autos, which is passed through to the customer is expected to be $5.5MM for 2015.  Sales tax, which is also passed through to the customer, is expected to be $46MM for 2015.</t>
  </si>
  <si>
    <t>On a monthly basis, the Tax Department reconciles the lease sales taxes booked by the system against taxes re-calculated and due on a lease level to true up accruals and adjustments (if any) are booked. Supporting documentation is attached and reconciling items are investigated. All reconciliations are reviewed and approved by the Tax Manager, Tax Director and/or VP of Tax who also reviews and approves the resulting adjusting journal entries along with supporting documentation (if applicable).  Lease property tax bills are validated, processed and paid upon receipt from the taxing authority.  Property tax on leased autos is periodically billed to the customers through a non-automated batch process.  Property tax renditions on SCUSA property (not leased autos) are prepared by third party firm specializing in property tax. The population of purchases that may be subject to self assessed use tax is reviewed, use tax is assessed and remitted monthly by the Tax Department.  The Tax Department is responsible for monitoring the 1099 reporting requirements and communicating any changes to Operations and Accounts Payable.  Operations is responsible for identifying the 1099 reportable events for customers.  Accounts Payable is responsible for identifying the 1099 reportable events for vendors and the preparation and filing of  1099s for both customers and vendors.</t>
  </si>
  <si>
    <t xml:space="preserve">1099 and Indirect Tax Errors </t>
  </si>
  <si>
    <r>
      <rPr>
        <b/>
        <sz val="11"/>
        <color theme="1"/>
        <rFont val="Calibri"/>
        <family val="2"/>
        <scheme val="minor"/>
      </rPr>
      <t>Aggregation:</t>
    </r>
    <r>
      <rPr>
        <sz val="11"/>
        <color theme="1"/>
        <rFont val="Calibri"/>
        <family val="2"/>
        <scheme val="minor"/>
      </rPr>
      <t xml:space="preserve"> This Risk was derived from the following Lines of Business or Segments (not required for Line of Business Inventories)</t>
    </r>
  </si>
  <si>
    <t>Tax Errors</t>
  </si>
  <si>
    <t>Federal and State income tax returns are prepared and signed by a third party.  These returns, along with the documentation supporting the calculations within, are reviewed by the Vice President of Tax and/or Director of Tax prior to being signed by the CFO and filed with the appropriate taxing authority.</t>
  </si>
  <si>
    <t>From a tax perspective, most potential errors will result in a timing difference.  These timing differences may generate penalties and interest, but throughout time, should not increase overall tax liability.  The only items that would impact overall tax liability are permanent differences.  Permanent differences are typically between $3MM and $10MM a year, pre-tax.  This equates to a tax liability of $1MM to $3.7MM a year, assuming an effective tax rate of 37%. This does not include the permanent benefit from the electric vehicle tax credit, which is estimated to be $35-$40MM in 2015.  Tax related penalties and interest were under $1MM in 2014 and are expected to be $8MM in 2015.  It is assumed that future years will be within this range.  It is estimated that total worst case scenario exposure would range between $37MM and $52MM.</t>
  </si>
  <si>
    <t>Errors in tax filing process may result in financial loss, regulatory violations, reputational exposure, and potential fines / penalties.
The risk that there are errors in income tax  filings that would have a material impact on the financial statements is fairly small.  Most differences between GAAP net income and taxable income are temporary in nature.   Errors related to these temporary items would result in a difference in the year in which something was reported for tax purposes vs. book purposes.  The timing of this reporting could generate penalties and interest for any given year, but throughout time, the overall tax liability would be the same.  Errors in the reporting of permanent items would have an impact on the overall tax liability.  Permanent items, exclusive of the electric vehicle tax credit, are typically less than $10MM a year pre tax ($3.7MM after tax), which would not be material to the financial statements.  Federal and state income tax returns are prepared and signed by a third party accounting firm.  These returns are reviewed by SCUSA prior to being signed by the CFO and filed with the appropriate jurisdiction.</t>
  </si>
  <si>
    <t xml:space="preserve">Third Party Invoice Amounts </t>
  </si>
  <si>
    <t>SCUSA has a robust vendor management process and segregated department responsible for the approval of all vendors.  There are also controls in place around the Accounts Payable systems (Catalyst) including access controls, automatic payments, and approval limits (DOA), along with business and back office approval requirements and documented signoff on all check payments.  Vendor managers perform reconciliation of vendor invoices.
In regards to risk of error in securitization process, resulting in errors in distributions to issuer's noteholders resulting in a financial loss, SCUSA has automated processes and Robust review in the preparation of the servicer certificates.  those certificates are again reviewed by the Accounting team as the entries are prepared, reviewed and recorded in the General Ledger.  This is followed by subsequent review of the financial statements, not only by the accounting team, but by management and the business.  Account Reconciliations, Bank Reconciliations, and Account Analysis are all performed which would detect any significant issues as a result of Spreadsheet errors.</t>
  </si>
  <si>
    <t xml:space="preserve">Assessment of controls in place and automation of process.  In regards to Vendor processing and payment, given the controls in place, and the oversight, review and controls  in SCUSA's Accounting and Reporting Processes,  to reach the thresholds noted above, it would require a substantial amount of small dollar occurrences that went undetected over a lengthy period of time.  In regards to Securitization process, it would require a significant error in the spreadsheets going undetected thru the preparation and review process and then again thru the Journal Entry preparation, review and posting process along with the reconciliation process to drive a significant error in the distributions. 
Stressed Impact amount is driven by risk of spreadsheet error in the Distributions to issuer's noteholders.  As an error in this process could result in misstating performance of the SDART program.  Impact would be reputational, cost of correcting and potential penalties.  To reach the stressed level of impact it would likely require these errors to go undetected for a significant period of time.    </t>
  </si>
  <si>
    <t>Risk of loss resulting from Inadequate Management of Suppliers and Vendors is deemed to have substantial controls in place to mitigate this risk.  The controls in place include automated process, reducing amount of manual intervention, human error and fraud.  SUCSA has tiered review and approval process for all invoices, payments, vendor setup, Securitization Distributions and Journal Entries.  Significant errors or issues would also surface during the accounting close and reporting process, including account reconciliation and account analysis.  As such the annual Expected Loss is determined to be $1 - $5M and a Stressed Financial Impact of $5 - $50M would be driven by significant errors remaining undetected for an extended period of time, or thru a fraud event continuing over a longer period of time - see IR-66.</t>
  </si>
  <si>
    <t>Errors in Pooled Assets</t>
  </si>
  <si>
    <t xml:space="preserve">Financial Analytics has put in place a reporting module that mines the SCUSA database for the relevant pool and transaction information and creates the data spreadsheet, thereby minimizing the risk of human error. Because the data comes from the same system that is used in creating each monthly Servicer Report, the risk of error is greatly minimized.  The Securitization Reporting group also performs a review for data reasonableness, including a check of the summary tab back to certificates prepared by the group.  So as to reduce the amount of data being validated, all prior months' previously validated data will be locked and not recalculated, thereby only requiring the current month to be validated. Furthermore, it is expected that the implementation of the Lewtan system which includes a checks and balances process will provide system validation checks that will minimize potential human error. </t>
  </si>
  <si>
    <t xml:space="preserve">SCUSA currently issues approximately $9 billion in public and 144A transactions annually. The view is that up to 5bp in relative investor appetite might be attributable to inaccuracies in the summary of pool performance that we publish monthly. Should a situation exist where we were consistently unable to report correctly, the cost would likely be somewhat more, thereby increasing the risk. It is considered to be highly unlikely that the spread impact could be more than 50bp per annum.  </t>
  </si>
  <si>
    <t xml:space="preserve">Errors in pool/loan level data submitted to investors may result in financial loss, regulatory violations, reputational exposure, and potential fines / penalties.
All financings require varying levels of reporting and occasionally unique data points.  Consistent reporting errors, even though corrected upon identification, could lead to a loss of confidence by investors resulting in an increase in funding costs or worse yet, a decrease in investor appetite.  For example, certain reports such as Loss and Delinquency tables are compiled on an origination channel basis. Having a full understanding of how these channels fit into our financings is critical to data being accurately prepared.  The automation of the reporting and locking down of prior period numbers are important recent advances that limit the exposure to manual error. The implementation of the Lewtan system, given the checks and balances within the system including data integrity and validation tests, also will mitigate potential reporting errors.      </t>
  </si>
  <si>
    <t>Insufficient CCAR submission / capital plan / stress test results</t>
  </si>
  <si>
    <t xml:space="preserve">Internal controls have been implemented around the key contributing factors in the Company's annual CCAR submission including, for example, model development, forecasting and aggregations, population of reports and regulatory templates, and development of the Capital Plan.  Controls thoroughly cover review and sign-off of the financial information generated in the stress testing process and vetting of the information that is included in the Capital Plan.  Model development work is subject to SHUSA methodologies and submitted for validation to SHUSA's model risk management group.  Edit checks are performed at different stages in the forecasting process to validate numbers.  Information required to generate results as well as the actual results produced for each scenario are subject to review and approval by a series of working groups and Committees.  While SCUSA has made efforts to implement a sound control environment, due to the relative newness of CCAR at SCUSA, many of the controls are manual in nature and testing the effectiveness of the controls has been limited in some situations as the processes used to generate stress test results have continued to evolve.  As such, more work is required in the area of internal controls to more effectively assure quality and accuracy in the Company's CCAR submission. </t>
  </si>
  <si>
    <r>
      <t xml:space="preserve">Any FRB objections to the BHC's CCAR submission financially impact the holding company more than SCUSA, however, as a legal entity operating under the Holding Company, an objection can also have an impact on SCUSA's financials.  
When assessing declines in stock price for some BHC's that have had CCAR issues, stocks dropped on average between 5% and 10% either in anticipation of an objection or after an objection was received (see worksheet "IR-72 market value").  A 10% decline in SCUSA's stock price as of 7/31/2015 results in an ~$866mm decline in SCUSA's market value ($24.18 declines $2.42 per share * 357,783,809 shares outstanding). 
Financial impact created by reputational exposure to a failed CCAR submission is a second order impact that is not easily quantified.  
Financial impact for staff resources includes the following: 
- 2014 - new CCAR team at SCUSA; 20 resources at an average salary of $120,000 for a total cost of $2.4mm per year.  
- 2015 - three additional CCAR team members at an average salary of $120,000 for a total cost of $360K in addition to broader resource / staffing requirements for the entire Company in Risk, Finance and IT costing approximately ~$1mm - $2mm / year.      
Financial impact for systems / IT includes the following: 
- Expense associate to resources captured in estimates above; 
- Historically consultant fees for CCAR have been paid for by SHUSA.  If SCUSA were to assume these costs it could result in ~$1mm - $2mm per year; 
</t>
    </r>
    <r>
      <rPr>
        <sz val="11"/>
        <rFont val="Calibri"/>
        <family val="2"/>
        <scheme val="minor"/>
      </rPr>
      <t xml:space="preserve">- Current system costs for CCAR related IT initiatives include the Lewtan engagement (~$1mm / year) and Infomatica 
(~$730k / year).  
On any one year, not all expenses would be realized, keeping the estimated impact in the $1mm - $5mm range.  In a stress event, when all the possible expenses were realized in the same year, the estimate could cross into the $5mm - $50mm range, but would remain on the lower end. </t>
    </r>
  </si>
  <si>
    <r>
      <t>The risk associated to receiving an objection to the SHUSA CCAR submission is a direct result of SCUSA's ownership structure, whereby, the Company is 70% owned by a Bank Holding Company.  Due to this ownership, SCUSA is required to provide the information necessary for SHUSA to effectively complete the annual CCAR submission.  As such, SCUSA's processes related to forecasting its financial position, including models, systems, data and controls, must meet the regulatory expectations for a CCAR BHC.  In both 2014 and 2015, the holding company has received an objection to their Capital Plan / CCAR submission, as well as a large number of regulatory concerns that require immediate attention.  As such, the current regulatory risk, as it relates to CCAR, is considered to be high for the BHC and any subsidiaries.  Based on the number of regulatory findings included in the FRB's response to last year's submission, the possibility of another objection to the BHC's capital plan remains high.   
Based on current rules / guidance from the Federal Reserve, failure of a Bank Holding Company's CCAR submission does not carry with it any direct fines or penalties.  Regulators are able to restrict or eliminate capital distributions and impose restrictions on growth.  Additionally, institutions that receive objections to their CCAR submissions are perceived as (qualitatively) riskier by market participants.  As such, failure could result in reputational impact and negative market views that can be measured in reduced market valuation caused by declines in the stock price.   This result however will not directly impact the Company's bottom line, although a large enough impairment on SCUSA stock could impact the BHC's investment in the Company.  Additionally, the CCAR objection could result in reputational damage for SCUSA.  This could impact SCUSA's ability to receive funding in the capital markets, if lenders were concerned with the CCAR results.   Impact could include loss of lenders, inability to find new lenders, or an increase in the cost of funds on SCUSA's borrowings.  While a financial impact might be realized, trying to quantify this 2nd order impact becomes difficult.      
Direct impact to earnings for the Company are generally more associated to the issues identified by regulators that require immediate attention and create the need to devote resources (staff and systems) to those items.  In 2014, severe issues with SHUSA's oversight of SCUSA and SCUSA's limited resources devoted to CCAR activities prompted the Company to build out an entire team dedicated to the BHC's CCAR efforts. Approximately 20 resources were either internally or externally sourced to fill this void.  Upon evaluation of the CCAR team in 2015, roles for an additional 3 resources directly associated to CCAR efforts were identified.  More broadly however, resources needed to address continued regulatory concerns across the Company (either directly or indirectly related to CCAR concepts) were identified in Risk Management, Finance and IT, resulting in increased salary expense for these new hires.  Outside of direct hires, additional internal resources are required to contribute to CCAR initiatives, outside of normal business activities, resulting in opportunity costs that are difficult to measure, but will clearly have an impact on losses to profitability.  In addition to st</t>
    </r>
    <r>
      <rPr>
        <sz val="11"/>
        <rFont val="Calibri"/>
        <family val="2"/>
        <scheme val="minor"/>
      </rPr>
      <t xml:space="preserve">aff resources, CCAR objections result in additional expenses in the form of consulting fees and system development / implementation.   
On an annual basis, the stress financial impact should not vary substantially from the base financial impact.  Failing CCAR in any year results in additional costs for staff and systems.  A one-in-ten year stress for failing CCAR may result in additional losses due to extreme deficiencies, complete system overhauls, or massive staff additions.  As such, under stress, the estimated costs for this risk could exceed $5mm, however the impact would likely remain at the lower end of the $5mm - $50mm spectrum.  </t>
    </r>
  </si>
  <si>
    <t xml:space="preserve">Internal Fraud </t>
  </si>
  <si>
    <t>Controls in place to mitigate the risk of fraud thru misappropriation of financial assets include the Approval Process for opening up new bank accounts, Segregation of Duties, Delegation of authority, vendor management and vendor approval process,  Bank Reconciliations, Account reconciliations, Journal entry review and approval, and financial statement review.  Additionally, SCUSA has developed a robust risk training program which includes fraud training.  SCUSA also provides employees with a Fraud Hotline to report any concerns.  SCUSA also has a fraud department which is dedicated to the risk of fraud from external threats.</t>
  </si>
  <si>
    <t>Fraud Triangle is based on opportunity, motivation and rationalization.  SUCSA utilizes both preventative controls and detective controls to prevent fraud.   SCUSA processes a high volume of Low Dollar transactions.  In order for an event of fraud to occur that would reach the levels noted above, it would need to be short lived and high volume, as the activity would have to have by-passed the preventative controls,  been overlooked or set aside for follow-up in daily preventative controls, only to then be uncovered at month end when subject to SCUSA's detective controls which including, bank reconciliations, journal entry review, account reconciliation, account analysis and financial statement review.  Note that the level of review and approval throughout the process is tiered based on Dollar Amount, thus increasing the amount of scrutiny and oversight as the dollar amount become more significant.
*Note: starts at $5,000 for managers and requires dual approval at $100,000.  Thus maintaining a very low threshold, thus requiring a high frequency of fraudulent transactions to occur undetected to reach a material amount.</t>
  </si>
  <si>
    <t>Misappropriation of assets due to risk of Fraud would require the opportunity to commit the Fraud, along with Motivation and rationalization (Fraud Triangle).  The opportunity to commit Fraud within SCUSA is limited by SCUSA's preventative and detective controls.  Up front, SCUSA has processes, including automated systems and review and approval of new vendor approval, invoice approval, setting up new bank accounts and payment approvals, all of which are subject to a tiered dollar Delegation of authority.  Additionally, SCUSA has detective controls including automated processes, account reconciliation, bank reconciliation, journal entry review, account analysis and financial statement review.  Third line defenses include Internal Audit, QC and SOX.  Not to mention external audit.  The Annual Expected Loss and Stressed Financial Impact is based on the likelihood of a material impact, given that SCUSA's business consists of a high volume of low dollar transactions, thus it would require numerous repeated occurrences of fraudulent transactions going undetected.  Given the controls environment, and especially the detective controls in place, including bank reconciliations, account reconciliations, Journal Entry review, account analysis and financial statement review, the dollar threshold that would go undetected over an extended period of time would be low.</t>
  </si>
  <si>
    <t>Spreadsheet Risk</t>
  </si>
  <si>
    <t>Accounting has in place standard spreadsheet controls over all spreadsheets identified as key to any financial reporting process. These standard controls represent all seven "end user computing" (EUC) categories: change control, version control, access control, input &amp; security control, logic inspection, backups/recovery, and archiving. Additionally, Accounting is implementing more advanced spreadsheet management controls using outside vendor ClusterSeven.  As all spreadsheets are prone to human error, management also conducts a manual review of the key outputs of spreadsheets for reasonableness.</t>
  </si>
  <si>
    <t>SCUSA has had one material Risk Event related to spreadsheet risk - the erroneous servicer certificates issued in April and May 2014 on SDART 2013-5 allocating all principal payments to one bond class when they should have been split pro rata. The impacted bondholders were made whole through a $71 million capital infusion from SCUSA. The infusion had no income impact other than the cost of funds of the infusion amount as it amortizes over the remaining life of the deals.</t>
  </si>
  <si>
    <t xml:space="preserve">Errors in financial, regulatory, and other reporting, which could result in regulatory violations, reputational exposure, and potential fines / penalties.
Because of the extensive use of spreadsheets for aggregating data and computing financial reporting information, the range of possible error types is broad and could impact the accuracy of reporting to external parties (e.g., servicer certificate reporting, GAAP public financial statement reporting, regulatory reporting to the Federal Reserve, and tax returns) as well as reporting to internal parties for use in making decisions.  The worst impact of an error would be an undetected material misstatement that must be corrected through a restatement, which would likely have a large negative impact on stock price and the Company's reputation. One significant input control SCUSA has in place for many (but not all) key spreadsheets is the use of automated feeds to obtain data, thereby minimizing the risk from data entry or other human error. SCUSA also limits access to the drives where key spreadsheets are maintained, and archives files after a specified period of time.  Finally, all key outputs are subject to thorough manual review for reasonableness of the results compared to expectations.  </t>
  </si>
  <si>
    <t xml:space="preserve">Over the past year, the Credit Risk department has been involved in several efforts (including increases to Credit Risk staffing levels, expansion of existing policies/governance, enhancements to Credit Risk MIS reporting and an overhaul of SCUSA’s ALLL methodology) launched in order to build a robust second line of defense that can provide ongoing and effective challenge to the business line.  In many cases, these projects included gap assessments performed either by Credit Risk or by third party consultants in order to identify instances in which SCUSA’s practices were outside of either industry norm or regulatory guidance.  The results of these assessments were considered when establishing and reviewing the Material Risk inventory.  While these remediation efforts were completed in order to address matters and recommendations issued by the Federal Reserve and Internal Audit, respectively, it is anticipated that similar credit assessments will be completed by SHUSA’s credit/loan review function once it is fully established.
</t>
  </si>
  <si>
    <t>Annually, we repossess approximately 180,000 vehicles. If we experience a slight change in residual value in repossessions, $100-$200 less per vehicle, that equates to approximately $18-$36 million annually.  
Based on the historical events (2008), we assume a decline in wholesale values of an additional $1,500 per unit.  This means for each repossession, we are able to recover $1,500 less given a macroeconomic event.   This equates to 180,000 * $1500 = $270 million</t>
  </si>
  <si>
    <t xml:space="preserve">Macroeconomic events, such as a rise in unemployment, housing market decline, and/or increase in oil prices could result in an increase in repossessions, decline in repo residual value at auction, increase in returned leases, reduction in lease residual value, reduction in earnings or capital, increased volume of delinquencies and negative profitability in segments/products.  
Should a macro event occur, SCUSA would employ loss mitigation tools such as deferments, loan payment modifications to mitigate the rise in delinquencies and repossessions.   SCUSA may also reduce residual values (leases) and lower recovery rates assumptions, as a conservative approach from an ALLL  and loan reserve perspective.  Although SCUSA doesn't  reserve for leases, we do adjust the residual value on a regular basis to account for the reduction in leased residual value by way of applying accelerated depreciation on the books.  This is accomplished at the asset level by using the lower of monthly internal forecast. vs. quarterly ALG forecast for each active lease.  </t>
  </si>
  <si>
    <t>Business Continuity - DFW Concentration</t>
  </si>
  <si>
    <t xml:space="preserve">The facility concentration in the Dallas Metroplex was viewed as an emerging risk and was brought forth to the Executive Management Committee (EMC) and then subsequently to both Board Committee and Board levels over a 7 month period, each of which provided effective challenge and follow up diligence requests.  In addition, independent risk assessments were completed by the Risk Department to identify applicable risks associated with opening a new facilty. To mitigate this risk, new sites are being evaluated to minimize the concentration in the Dallas Metroplex and to replicate servicing functions.  </t>
  </si>
  <si>
    <t xml:space="preserve">Currently, there are 4 locations in the Dallas Metroplex, including our corporate facility.  Of approximately 3,000 servicing employees, a high majority are in the Dallas Metroplex area with several key centralized functional areas in a single location.  Loss of this facility or key personnel would result in loss of productivity, increase regulatory risk and reputational exposure. 
For example, if we were to lose our North Richland Hills (NRH) site, we do not have the capacity in the combination of the remaining domestic sites or the Outsourced sites to maintain the inbound and outbound call volume.  NRH has over 1,200 Servicing employees, approximately 800 of which are Customer Service and Collection agents.  These 800 Customer Service and Collection agents represent one third of the total agents in those groups.  If those resources were not available for an extended period of time the impact would come in the form of:
- Additional overtime in the remaining sites
- Additional resources at the Outsource providers
- Transportation of existing NRH resources to other locations
- Purchase of equipment to accommodate resources in other locations
We launch more than 12,000,000 phone calls a month and receive over 2,000,000 more.  If a third of those calls were not made or went unanswered it could result in higher delinquency and loss.  If the blended average balance of accounts is approximately $16,000 it would only take less than 320 accounts of additional loss to hit the 5 million mark. 
In addition, there are specialty functions in NRH that would require the redirection of employees, mail and equipment to another facility.  Bankruptcy, Titles, Impounds, and Insurance are 4 large specialty groups that are impacted by the timing of processes and if we fail to act in a timely manner we lose money:
- BK Proof of claims not filed on time
- BK court dates are missed
- Title releases are not processed in a timely manner result in fines and penalties
- Impound Claims notices go unprocessed and liens are lost
- Insurance total loss and repair claims are not filed
If the blended average balance of accounts is approximately $16,000 it would only take less than 320 accounts to hit the 5 million mark.
</t>
  </si>
  <si>
    <t>Concentration risk in DFW area creates a risk that a catastrophic event could disrupt business operations or result in the loss of facilities or damages to physical assets.  
Currently, there are 4 locations in the Dallas Metroplex, including our corporate facility.  Of approximately 3,000 servicing employees, a high majority are in the Dallas Metroplex area with several centralized functional areas in a single location.  As an industry best practice in Business Continuity, Risk believes that the business should have greater geographic and functional diversity in its centers.  Dallas is not appropriate for incremental site given disaster recovery objectives.  SCUSA’s servicing operation is also at capacity in its non-Dallas servicing centers as well as its vendor-based sites.
Proposed additional sites Phoenix and Puerto Rico are being considered and increasing capacity in Denver office to mitigate the concentration in the Dallas area.  In addtion, SCUSA is mitigating our concentration risk with redundant data  center sites in RIchardson, TX and Denver, CO.  We also have redundant capapities in Miami, FL  and Denver, CO.</t>
  </si>
  <si>
    <t>N/A - see below</t>
  </si>
  <si>
    <r>
      <t xml:space="preserve"> </t>
    </r>
    <r>
      <rPr>
        <b/>
        <sz val="11"/>
        <color theme="1"/>
        <rFont val="Calibri"/>
        <family val="2"/>
        <scheme val="minor"/>
      </rPr>
      <t>Project Background and Scope:</t>
    </r>
    <r>
      <rPr>
        <sz val="11"/>
        <color theme="1"/>
        <rFont val="Calibri"/>
        <family val="2"/>
        <scheme val="minor"/>
      </rPr>
      <t xml:space="preserve">
SCUSA is progressing toward a stronger 2nd Line of Defense.  As such, SCUSA is in the initial stages of implementing an RCSA program; however the results from RCSA were not available for use in the Material Risk Program.  Consequently, as a starting point to the Material Risk Program (MRP), SCUSA used the output from the Functional Unit Risk Assessment Project, which documented the process flows, risks and controls for SCUSA products and processes, including those in the following functional areas:  Originations and Decision Sciences, Personal Lending, Servicing Operations, Accounting and Finance, Information Technology, Corporate Support (Legal, HR, etc.), and Vendor Oversight.  The project included the following objectives:  a) obtain an understanding of the business products and processes; b) identify and document the process flows; c) identify and document the population of risks and controls; d) evaluate the inherent risks, control effectiveness and residual risks; e) obtain and map all SOX, SOC2, Compliance, QC/QA and other testing to identify any primary controls requiring additional evaluation.  The methodology followed for the Functional Unit Risk Assessments complied with the ISO 3100 risk assessment framework and allows for a repeatable process with a bottoms up approach to risk assessment.  A secondary project to test primary controls identified in the gap assessment (letter “e.” above) was initiated in August 2015 and the results were considered for the Material Risk Program deliverables.
The Functional Unit Risk Assessment project included key considerations to ensure the project not only identified all of the 1st line of defense business, product and process owners, but also assessed the risk exposure in each area.  SCUSA utilized the organizational chart to identify all line managers responsible for functional units/products/processes.  Each of these managers were interviewed to gain understanding of their area, key processes, etc.  These areas/processes were then risk ranked.  Any rated as high or moderate ranked areas/processes were included in the Functional Unit project.  Low risk areas/processes were evaluated to gain an understanding of the area/process and rationale for not including in the functional unit assessment project was documented.
SCUSA ensured that the key resources and Subject Matter Experts (SMEs) from the 1st Line of Defense (1LOD) and the corresponding Risk Managers in the 2nd Line of Defense (2LOD) who participated in the Functional Unit Risk Assessment project received training.  Each working session included discussions and live commentary to fully explain the objectives, methodology, and process that would be followed. In addition, ERM identified trained resources within the Risk Team to assist with the completion of the Functional Unit Risk Assessments, augmented with contracted expert resources.  
</t>
    </r>
    <r>
      <rPr>
        <b/>
        <sz val="11"/>
        <color theme="1"/>
        <rFont val="Calibri"/>
        <family val="2"/>
        <scheme val="minor"/>
      </rPr>
      <t>Functional Unit Risk Identification and Assessment:</t>
    </r>
    <r>
      <rPr>
        <sz val="11"/>
        <color theme="1"/>
        <rFont val="Calibri"/>
        <family val="2"/>
        <scheme val="minor"/>
      </rPr>
      <t xml:space="preserve">
Based on the project’s scope, multiple meetings were held with each moderate and high risk area to discuss their risks and corresponding controls.  Foundational materials such as internal audit findings, MRA/MRA’S, and Operational Loss Events were used to more fully formulate the risks within each process/product.  Risks and controls and updated process flows were documented using a consistent format based on these discussions.  The SMEs/1st LOD were responsible for reviewing the risks, controls, and assigned risk and control ratings for accuracy and comprehensiveness.  Senior leadership within each area reviewed the final functional unit assessments to ensure that the risks and controls were accurately captured for their areas.  
</t>
    </r>
    <r>
      <rPr>
        <b/>
        <sz val="11"/>
        <color theme="1"/>
        <rFont val="Calibri"/>
        <family val="2"/>
        <scheme val="minor"/>
      </rPr>
      <t>Review, Enrichment &amp; Challenge:</t>
    </r>
    <r>
      <rPr>
        <sz val="11"/>
        <color theme="1"/>
        <rFont val="Calibri"/>
        <family val="2"/>
        <scheme val="minor"/>
      </rPr>
      <t xml:space="preserve">
The Functional Unit Risk Assessments were reviewed by the 2nd LOD/Risk Managers to provide challenge and enrichment.  Changes suggested were then discussed with the 1LOD and included in the assessment, as appropriate.  
For quality purposes, the ERM team performed a two level review at the Senior Manager and Director levels of each functional unit risk assessment.  The reviews were to provide additional enrichment and challenge to the process, and to help ensure that the risks and controls were comprehensive, risk ratings were applied consistently, and consideration for any low/moderate risks that could be aggregated to create a material risk were included in the assessments. 
</t>
    </r>
  </si>
  <si>
    <r>
      <rPr>
        <sz val="11"/>
        <rFont val="Calibri"/>
        <family val="2"/>
        <scheme val="minor"/>
      </rPr>
      <t>Bluestem provides full 3rd party servicing for the portfolio so the loss of this vendor would mean we would need to service the currently existing 1.8m customers with a total balance of $1.3 billion.   Cost to convert the portfolio, hire additional staff of over 500 associates would result in $17.5m in additional operating expense per year.</t>
    </r>
    <r>
      <rPr>
        <b/>
        <sz val="11"/>
        <color rgb="FFFF0000"/>
        <rFont val="Calibri"/>
        <family val="2"/>
        <scheme val="minor"/>
      </rPr>
      <t xml:space="preserve">  </t>
    </r>
  </si>
  <si>
    <t xml:space="preserve">Based on the Tier 1 vendors much of our business is reliant on work performed by other vendors.  For example, in a scenario where we lost XEROX (TIER ONE VENDOR), we would lose all capabilities to post payments, take phone calls (inbound), place collection calls (outbound), sell vehicles at auction, or manage repossessions.   In essence, all operational associates would be immediately rendered “non-operational” as a result of this Tier One impact.  If there was no receivable system, our resources and their production results would be placed on “hold”.   Reputational risks such as playing a closed message, wrongful repossessions, Bankruptcy, SCRA and other specialized functions would cause additional impacts such as lawsuit litigation.  No Xerox files / system resources for an extended period of time would come in the form of:
-     Additional overtime in the remaining sites to make up for the down time(s)
-     Additional resources at the Outsource providers to make up for the down time(s)
-    $55M payments not posting per day no longer possible
-     Increasing Delinquency and Loss  
We launch more than 12,000,000 phone calls a month and receive over 2,000,000 more.  No money postings, no OB/IB calls will result in higher delinquency and loss.  If the blended average balance of accounts is approximately $16,000, it would only take less than 320 accounts of additional loss to hit the 5 million mark.  Additionally, Operational salary sitting idle with no production equates to $435K per day.     
Additionally, there are specialty functions that require Xerox (Tier One Vendor) impacted.  Bankruptcy, Titles, Impounds, and Insurance are 4 large specialty groups could not function.   Timing of processes should we fail to get back operational would cause losses accordingly: 
-    BK Proof of claims not filed on time
-    BK court dates are missed
-    Title releases are not processed in a timely manner result in fines and penalties
-    Impound Claims notices go unprocessed and liens are lost
-    Insurance total loss and repair claims are not filed
If the blended average balance of accounts is approximately $16,000 it would only take less than 320 accounts to hit the $5 million mark.
</t>
  </si>
  <si>
    <t>Support/IT</t>
  </si>
  <si>
    <t>Internal System Disruption</t>
  </si>
  <si>
    <t xml:space="preserve">Preventative controls for application, database, and infrastructure redundancy are in place with multiple data center locations that house similar hardware, capacity, and capabilities. Detective controls in place to execute annual disaster recovery testing for applications, database, and infrastructure. Detective controls in place to continually monitor infrastructure, applications, and database availability, and alert upon failure. Detective controls in place of identified key business functions within the in-house applications and defined expected performance threshhold. Many of these controls are tested internally and externally, both design and execution. Resiliency of core systems needs to be properly assessed. Our loan servicing system requires a minimum of 24 hours to recover from failure and operates within a single geography. The length (number of digits) of our account numbers in loan servicing does not permit growth in new business past Q3 of 2016. </t>
  </si>
  <si>
    <t>Early 2015 saw a near miss business disruption event of $500,000 with a key partner that prevented collateral expense posting. Other material scenarios contemplated include a signficant loss of productivity impacting collections by associates, funding of contracts and payment postings. This event considers only the internal disruption and assumes customers are able to self service while internal systems are unavailable.</t>
  </si>
  <si>
    <t xml:space="preserve">Santander Consumer USA provides systems and services to associates and business partners through custom applications, web sites, business services and telecommunications services. Prolonged internal service disruptions, whether perpetuated malicously or by accident, could result in lost revenue, increased epxenses, reputational damage, loss of material relationship, loss of customer affinity or opportunity cost to our business. 
</t>
  </si>
  <si>
    <t>Staff Expertise</t>
  </si>
  <si>
    <t>Attract &amp; Retain Key Personnel</t>
  </si>
  <si>
    <t xml:space="preserve">The primary controls we have in place today is our corporate succession plan, which assess current skill-sets to determine readiness and core competencies to perform within the identified key positions across the organization. </t>
  </si>
  <si>
    <t xml:space="preserve">Our analysis was based on attrition analysis performed over the last 4-years.  The data pulled illustrated inadequate experience/skills required required to ensure continuity of business knowledge/continuity within key areas of the business. </t>
  </si>
  <si>
    <t xml:space="preserve">Talent retention is a key focus for Talent Management and the Executive team. The last 2 years have been exceptionally high in regards to attrition amongst key areas/positions across the organization. The primary drivers of turnover are 1) lack of corporate vision/direction, 2) lack of opportunity for growth and development, and 3) lack of compensation structure/opportunities. To address these issues stronger communication plans are being created to ensure employee-base remains well-informed of current and future state initiatives, management is receiving more information around development/training opportunities available to them and their teams and a corporate compensation structure is being created to offer more clarity around the alignment of performance and compensation. 
    </t>
  </si>
  <si>
    <t>Payroll or Benefits Processing Errors</t>
  </si>
  <si>
    <t>We based our analysis on manual entries performed over the last 16-months.   Through this assessment, one event was identified and determined to be material. This item pertained to a sizeable error due to an equity entry for an exiting executive, that resulted in what could have been a $2mm loss.</t>
  </si>
  <si>
    <t>Key risks within this area revolve around manual entries (ad-hoc/one-offs) that could result in financial loss, regulatory violations, reputational exposure, and potential fines / penalties. Audit processes are in place to capture these entries.  Based on an analysis performed on these processes that occurred over the last 16-months, only one event was identified and determined to be material. This item pertained to an equity entry for an exiting executive. While this was a unique event and extremely rare, audit process have been heightened to ensure future transactions of similar nature are fully mitigated.</t>
  </si>
  <si>
    <t>Implementation of Changes / Change Management</t>
  </si>
  <si>
    <t>Change management controls are in place following industry best practices and the Information Technology Infrastructure Library (ITIL) framework. Changes are classifed by impact and tracked through the change lifecycle. Designated owners approve all changes.  Changes are monitored and managed by the IT Operations group. Some applications and technologies are managed outside of IT and not within the existing change management framework. Change management accountabilities and ownership need to be assessed for effectiveness.</t>
  </si>
  <si>
    <t xml:space="preserve">The financial impact of this risk can be significant based on the impact of the change. Change failures impacting customer payments, payment schedules, interest or fees can result in remediation payments, regulatory fines and legal fees. Change errors or failures impacting credit decisions can have widespread impact on loan volumes, funding levels, stipulations and pricing resulting in higher losses. Change errors can cause regulatory failures and related fines and fees across all operating areas and within third parties. Financial impact is difficult to assess, however our actual loss experience based on change errors over the past twleve months was 1.5M, which does not account for legal fees and customer remediation for failure of historical changes. The current regulatory environment could pose significant financial penalties for change failures on regulatory controls that impact customers. </t>
  </si>
  <si>
    <t>Santander Consumer USA manages infrastructure, systems, databases and software that are critical to its operations. Unauthorized or improper changes to technology assets within this environment may result in data loss, disruption of operations, exposure of protected data and increased vulnerability. These events could cause reputational damage, loss of material relationships, regulatory fines, class action lawsuits, erosion of customer affinity and opportunity cost from lost business.</t>
  </si>
  <si>
    <t>Data Governance</t>
  </si>
  <si>
    <t>Information technology governs access to data through it access control and security administration processes. Write and change access is tightly controlled for critical data stores such as the data warehouse. Read access to data is widely distributed and does not have adequate controls. Data stores exist with minimal IT controls and support to facilitate operational reporting and ad-hoc analysis. Data query governance software is in place to filter queries for assembly of NPI, but the effectiveness of the tool is inconsistent. Data governance was recently initiated in the Risk group. This effort should be accelerated to support proper data stewardship, data guardianship and well managed process for data management including technical and business data lineage, meta-data management and control of critical repositories.</t>
  </si>
  <si>
    <t>2014 saw a couple pools of ineligible or non-confirming loans sold to a partner based upon data and unknown downstream effects. The BANA loss was right under $1.5M. The SBNA loss was $7.7M. In a stress situation with data not being properly governed and used, losses could be more concentrated in a single year. The financial impact for misrepresentation of financial information or risk conditions can be significant. Santander could face severe regulatory action including significant fines and enforcement actions impeding the overall health and growth of the business.</t>
  </si>
  <si>
    <t>Santander Consumer USA employs data analysis, reporting and analytics across the organization to facilitate better decision-making, transparency to business operations and critical reporting. Failure to govern data for appropriate use could result in incorrect critical reporting, misrepresentation of our financial condition, misrepresentation of our risk posture, anomalous decisions or inefficient operations. Failure to adequately govern this data could result in regulatory enforcements, class action lawsuits, loss of ability to conduct business, and/or negative reputation exposure.</t>
  </si>
  <si>
    <t>External Service Disruption</t>
  </si>
  <si>
    <t xml:space="preserve">Core systems and operations are distributed across physcial machinery and locations. Disaster recovery prodcedures are in place and tested. Service provider contracts including key system services and data centers have contractual servivce level agreements.  Continuous system monitoring for incidents and management of incidents are in place. Third Party Management controls need strengthening to ensure new internet-based or cloud-based services follow existing controls and standards. Directive controls need strengthening.
</t>
  </si>
  <si>
    <t>The financial impact of this risk is primarily oriented to loss of new business during defined operating hours throughout the year. The actual impact of an originations loss is difficult to assess given the opportunity to adjust volume and recover. A like incident occurred in 2014 where a key business partner suspended originations due to instability/latency within the partner channel, resulting in a near miss of $1M. Based on our operating experience and resliiency posture, we conservatively asses the financial impact based on 99.5%  uptime in a 360 day operating year, adjusted for operating hours which yields annual dowtime of 1.8 days. Conservative financial impact is 3% annual income of originated loans of 36-54M  or 1-5M USD. Stressed impacts are also difficult to concieve. For planning purposes we place the range at 10 times the base, or 10-50M USD.</t>
  </si>
  <si>
    <t xml:space="preserve">Santander Consumer USA provides externally facing systems and services to consumers, customers and business partners through digital channels, web sites, business services and telecommunications services. Prolonged external service disruptions, whether perpetuated internally or externally, malicously or by accident, could result in lost revenue, increased epxenses, reputational damage, loss of material relationship or opportunity cost to our business. </t>
  </si>
  <si>
    <t>Cyber Security / Denial of Service attacks (DDoS)</t>
  </si>
  <si>
    <t>Detective controls are in place to monitor network traffic, looking for suspicious patterns, changes, or spikes. Preventative controls are in the network infrastructure to add limits, filters, threshholds. Exhaustive tests have not been peformed to ensure defense against the scenarios of the 2013 Izz ad-Din all-Qassam attacks. Processes/procedures need strengthening to manage key threats and threat escalation. Process/procedures need to be developed to support interaction with local, state and federal agencies in the event of cyber attacks.</t>
  </si>
  <si>
    <t>The financial impact of this risk is primarily oriented to loss of new business during defined operating hours throughout the year. The actual impact of an originations loss is difficult to assess given the opportunity to adjust volume and recover. Based on our operating experience and resliiency posture, we conservatively asses the financial impact based on 99.5%  uptime in a 360 day operating year, adjusted for operating hours which yields annual expected dowtime of 1.8 days. Conservative financial impact is 3% of annual income on originated loans of 36-54M  or 1-5M USD. Stressed impacts are also difficult to concieve. For planning purposes we place the range at 10 times the base, or 10-50M USD.</t>
  </si>
  <si>
    <t xml:space="preserve">Santander Consumer USA has externally facing websites, communications channels and web services that are under continual threat of cyber attack. Extreme latency or failure of services would primarily impact customers from logging into their accounts to make payments, and potential customers from creating an application. These attacks could cause system disruptions that may result in reputational damage, loss of material relationship, and opportunity cost from lost business. An example of these attacks occurred in the banking idustry during 2013 when a series of distributed denial of service attacks were launched against major banks over the course of several months by the self-proclaimed Muslim hacktivist group Izz ad-Din al-Qassam Cyber Fighters. Although the attackers communicated the exact date and time of the attacks well in advance, none of the major banks were able to fully defend themselves on the first round and progressive enhancements had to be made to install adequate defenses.
</t>
  </si>
  <si>
    <t>NPI Exposure / Data Protection / PCI Compliance</t>
  </si>
  <si>
    <t>Preventative controls utilizing least privilege methodology are in place within the applications, databases, and infrastructure. Detective controls monitor those access levels during periodic entitlement review cycles. Preventative controls particularly guarding SSN and other highly sensitive consumer data to ensure it's masked in the application UI, as well as Production-level databases. Preventative controls in place for infrastructure design utilizing firewalls, PCI zones, and separate vlans. Preventative controls are in place to block certain known external threats, as well as detective controls for realtime monitoring of traffic that might cause compromise to consumer data. Preventative controls exist for consumer data in motion with standard encryption, movement practices, and approvals.
While there are no active findings for these controls at this time, there are known improvements being made in the use of the database monitoring tool, Guardium. There is also an effort underway to mature the access control processes, and automate the work where much of it is manual today. There have been audit findings for both of these items in the past. Compensating controls and/or tighter processes have worked to remediate those findings for high-risk exposure.</t>
  </si>
  <si>
    <t>While Santander Consumer USA has not experienced a breach of customer data, the potential exists. Using industry statistics of a serious breach, Target's major data breach is reported to cost $162M; Home Depot's $33M; a Massachusetts-based company reported losses at $256M for 450,000 customers impacted.</t>
  </si>
  <si>
    <t xml:space="preserve">Santander Consumer USA collects, retains and uses consumer and customer nonpublic personal information and personally identifiable information in the normal course of its business operations. Failure to adequately protect this data could result in regulatory enforcements, class action lawsuits, loss of ability to conduct business, and/or negative reputation exposure.
</t>
  </si>
  <si>
    <t>MR10</t>
  </si>
  <si>
    <t>MR11</t>
  </si>
  <si>
    <t>MR21</t>
  </si>
  <si>
    <t>MR22</t>
  </si>
  <si>
    <t>MR23</t>
  </si>
  <si>
    <t>MR24</t>
  </si>
  <si>
    <t>MR25</t>
  </si>
  <si>
    <t>MR26</t>
  </si>
  <si>
    <t>MR27</t>
  </si>
  <si>
    <t>MR28</t>
  </si>
  <si>
    <t>MR29</t>
  </si>
  <si>
    <t>MR30</t>
  </si>
  <si>
    <t>MR31</t>
  </si>
  <si>
    <t>MR32</t>
  </si>
  <si>
    <t>MR33</t>
  </si>
  <si>
    <t>MR34</t>
  </si>
  <si>
    <t>MR35</t>
  </si>
  <si>
    <t>MR37</t>
  </si>
  <si>
    <t>MR38</t>
  </si>
  <si>
    <t>MR39</t>
  </si>
  <si>
    <t>MR40</t>
  </si>
  <si>
    <t>MR41</t>
  </si>
  <si>
    <t>MR42</t>
  </si>
  <si>
    <t>MR43</t>
  </si>
  <si>
    <t>MR44</t>
  </si>
  <si>
    <t>MR46</t>
  </si>
  <si>
    <t>MR47</t>
  </si>
  <si>
    <t>MR48</t>
  </si>
  <si>
    <t>MR49</t>
  </si>
  <si>
    <t>MR50</t>
  </si>
  <si>
    <t>MR52</t>
  </si>
  <si>
    <t>MR53</t>
  </si>
  <si>
    <t>Market Disrupter</t>
  </si>
  <si>
    <t>Annual expected loss estimate is based on the assumption that multiple projects will have to be implemented in the next 12 months to keep up with moderate changes to the industry.  
Stressed financial impact is based on an assumed game-changer in the industry, considering potential loss of market share and demands to implement new technology to keep pace with the industry.</t>
  </si>
  <si>
    <t>MR36</t>
  </si>
  <si>
    <t xml:space="preserve">Business Strategy
Our primary goal is to create stockholder value by leveraging our systems, data, liquidity, and management. Our business strategy is to increase market penetration in the consumer finance industry while deploying our capital and liquidity efficiently.
Expand Our Vehicle Finance Franchise
• Organic Growth in Indirect Auto Finance. We have extensive data on and experience with consumer behavior across the full credit spectrum and are a key player in the U.S. vehicle finance market. We have the ability to continue to increase our market penetration in the vehicle finance market, subject to attractive market conditions, via the number and depth of our relationships. We plan to achieve this in part through alliance programs with national vehicle dealer groups and financial institutions, including banks, credit unions, and other lenders, in both the prime and nonprime vehicle finance markets. Our technology-based platform enables us to integrate seamlessly with other originators and thereby benefit from their channels and brands.
• Strategic Alliances with Original Equipment Manufacturers (“OEMs”). We plan to expand our existing OEM relationships to drive incremental origination volume, primarily, through Chrysler Capital. The loans and leases originated through Chrysler Capital should provide us with the majority of our near-term expected growth. In addition, the experience gained in lease and dealer financing can be applied to improve origination volume through the rest of our dealer base. Our relationship with Chrysler has accelerated our transformation into a full-service vehicle finance company that provides financial products and services to consumers and automotive dealers.
• Growth in Direct-to-Consumer Exposure. We are working to further diversify our vehicle finance product offerings by expanding our web-based, direct to-consumer offerings. We are seeking to engage the consumer at the early stages of the car buying experience. Our RoadLoans.com program is a preferred finance resource for many major vehicle shopping websites, including Cars.com, AutoTrader.com, and eBay Motors, each of which have links on their websites promoting our RoadLoans.com website for financing. We will continue to focus on securing relationships with additional vehicle related websites. We anticipate that the next generation of our web-based direct-to-consumer offerings will include additional strategic relationships, an enhanced online experience, and additional products and services to assist with all stages of the vehicle ownership life cycle, including research, financing, buying, servicing, selling, and refinancing.
• Expansion of Fee-Based Income Opportunities. We seek out opportunities to leverage our technologically sophisticated and highly adaptable servicing platform primarily for vehicle finance (including recreational and marine vehicles). We collect fees to service loan portfolios for third parties, and we handle consumer products across the full credit spectrum. Loans and leases sold to or sourced to banks through flow agreements (including our flow agreements with Bank of America, Citizens Bank of Pennsylvania ("CBP") (a subsidiary of RBS Citizens Financial Group) and Santander Bank, N.A., an affiliate of the Company (“SBNA,” formerly Sovereign Bank), and off-balance sheet securitizations also provide additional opportunities to service large vehicle loan and lease pools. We believe our loan servicing business is scalable and provides an attractive return on equity, and we intend to continue to develop new third-party relationships to increase its size. In 2014, we added over $5.7 billion of assets to our portfolio of assets serviced for others.
</t>
  </si>
  <si>
    <t>Risk Management (ERM)</t>
  </si>
  <si>
    <t>To implement a comprehensive Risk ID and Assessment process inclusive of a complete analysis of those risks with an inherent risk rating lower than elevated are assessed; a proper evaluation of control effectiveness; and adequate documentation of inconsistencies identified in residual ratings.</t>
  </si>
  <si>
    <t>To formally document the rationale applied for the definition of the risk tolerance statement limits and early warning indicator thresholds, and to ensure that the latter are defined to appropriately monitor and anticipate limit breaches.</t>
  </si>
  <si>
    <t xml:space="preserve">To ensure management reports align with risk tolerance statement limits.  </t>
  </si>
  <si>
    <t xml:space="preserve">Regarding data validation of information provided to ERM by Risk Managers:_x000D_
_x000D_
- To document the judgmental sample methodology used for reconciling provided metric data._x000D_
- To ensure that all metric data validated by the ERM team is reconciled to source data._x000D_
</t>
  </si>
  <si>
    <t>Finance-Accounting</t>
  </si>
  <si>
    <t>To implement control mechanisms to be performed by an independent area in order to ensure the quality and integrity of the data underlying the information produced by Financial Analytics, in particular the Credit Risk information related to securitizations that is sent to third parties (investors, credit rating agencies).</t>
  </si>
  <si>
    <t>To obtain proper approval and validation of the model used to accrue discounts, subventions and fees paid by the Model Validation Group. In addition, to analyze the suitability of using specific curves for each portfolio and apply them in case that material differences are identified as a result of this analysis.</t>
  </si>
  <si>
    <t>To implement a dual approval procedure for material invoices. Furthermore, to implement a control to detect whether expenses are being split up to avoid the limits established in the Delegation of Power policy.</t>
  </si>
  <si>
    <t>Credit Risk</t>
  </si>
  <si>
    <t>Reinforce TDR monitoring by performing a report to verify the efficiency of deferral/modifications. Additionally Credit Risk should challenges the reviews performed by the servicing unit to ensure they are in line with the Credit Risk analysis of the TDR portfolio.</t>
  </si>
  <si>
    <t>To perform an independent analysis of the collateral dependency of small fleet lending customers (commercial). In addition, for retail customers, to consider credit risk management factors in the analysis for a more comprehensive evaluation of the collateral dependency of these customers.</t>
  </si>
  <si>
    <t>RAP (Priority Attention)</t>
  </si>
  <si>
    <t>3.30.2015</t>
  </si>
  <si>
    <t>12.04.2015</t>
  </si>
  <si>
    <t>IMPLEMENTED</t>
  </si>
  <si>
    <t>10.16.2014</t>
  </si>
  <si>
    <t>2.10.2015</t>
  </si>
  <si>
    <t xml:space="preserve">To implement process and controls to ensure that:_x000D_
_x000D_
- Compliance is included jointly with the Business unit and IT as part of the Iteration Planning Meetings to properly describe and identify project requirements with regulatory impact to prevent inadvertent non-compliance with regulations. _x000D_
_x000D_
- IT obtains the necessary Compliance approval prior to implementation, in all cases where IT change requests are identified as having potential regulatory impact. _x000D_
</t>
  </si>
  <si>
    <t xml:space="preserve">To enforce execution of policy by ensuring assigned PIR personnel performs the post-review process in a timely manner, and to ensure that appropriate status of RFC ticket is documented in the system of record. </t>
  </si>
  <si>
    <t>4.11.2014</t>
  </si>
  <si>
    <t>Operational Risk - Supplier Oversight</t>
  </si>
  <si>
    <t>To implement controls and procedures to ensure that all third party vendors utilized by all departments within the company; including independent contractors, is managed according to the standards established in SCUSA's policies and by external guidance.</t>
  </si>
  <si>
    <t>Regarding the third party providers risk assessment process: _x000D_
- To expand the analysis as part of the risk assessment to include all the necessary components outlined in the regulatory guidance (strategic, reputational, operational, legal, compliance, credit, and country risk), with evidence retained in the applicable system of records._x000D_
- To establish a plan regarding the reassessment of active vendors based on the updated risk assessment methodology.</t>
  </si>
  <si>
    <t>To establish an adequate governance framework, inclusive of monitoring of products, programs, and services to ensure adherence to regulatory requirements and SCUSA's internal process. In addition, evidence of AA notices should be retained, by following E-Sign rules to recreate the electronic disclosures exactly as provided to the consumer, including viewable versions on the website for the timeframe established by SCUSA.</t>
  </si>
  <si>
    <t>To implement an effective process and controls to ensure manual boarding of Uber lease accounts accurately reflect the lease terms within the MySup servicing system.</t>
  </si>
  <si>
    <t>To ensure that proper enforcement of the BSA/AML procedures related to the CIP Program is executed by the different departmental areas reviewed, when issues outside of internal policy are noted, such as the CAC process.</t>
  </si>
  <si>
    <t>To finalize the implementation of the BSA/AML risk segmentation process for customers.</t>
  </si>
  <si>
    <t xml:space="preserve">To enforce proper entitlement review in maintaining correct relationship between job profile and functional duties for the Tier 1 applications, SHAW and MySup. </t>
  </si>
  <si>
    <t xml:space="preserve">In regards to the patch management process:_x000D_
_x000D_
- To complete revision of the patch management process and establish formal procedure in the identification, management and oversight of the patch management process._x000D_
_x000D_
- To apply security updates and patches to network components and devices in a timely manner, based on manufacturer or SCUSA established timeline. </t>
  </si>
  <si>
    <t>Deploy network controls to isolate administrative consoles and management networks from those users with no valid business need for access.</t>
  </si>
  <si>
    <t>To improve control over the firewall devices:_x000D_
_x000D_
- Establish documentation of the firewall rules to keep record of the information that will allow Info Sec to monitor the technical rules applied._x000D_
_x000D_
- Implement a control to ensure that the rules applied in the firewalls are aligned with those defined in the document, requested above. Perform periodical reviews of the firewall's rules to ensure effectiveness of the security device.</t>
  </si>
  <si>
    <t>In regards to vendor/partner management process, establish adequate procedure and governance in provisioning and decommissioning partner's access/connectivity to SCUSA's network.</t>
  </si>
  <si>
    <t>To establish appropriate segregation of duties controls between users with admin access to the network equipment (TACACS, RADIUS, WLAN Controller, Cisco Prime) and users with access monitoring log capabilities. Perform periodic review of the users with admin access to ensure segregation of duties and ensure no one admin has full access to all network equipment.</t>
  </si>
  <si>
    <t>To perform the hardening guides for databases configuration.</t>
  </si>
  <si>
    <t>To provide a hardening guide for Network Devices._x000D_
Besides, configuration compliance reviews must be done in a periodic basis for databases configuration.</t>
  </si>
  <si>
    <t xml:space="preserve">To enhance the DLP controls in order to mitigate the data leak risk: * Carry Over_x000D_
_x000D_
3.1. Reinforce the actual mechanism to control the data in motion:_x000D_
	- Email content filter_x000D_
	- Web content filter_x000D_
	- Synchronization between personal mobile devices and exchange._x000D_
	- Outlook Web Access (OWA) through internet._x000D_
3.2. Perform a risk assessment to reinforce the DLP (data in motion) controls in the unit._x000D_
</t>
  </si>
  <si>
    <t>Perform a remediation plan to reduce the number of critical vulnerabilities identified.</t>
  </si>
  <si>
    <t>To establish a procedure to detect installation of unauthorized software in laptop and workstations.</t>
  </si>
  <si>
    <t>Implement a risk assessment process for first line to execute. As part of process, include requirement to perform a periodical risk assessment over all the major technology project pre-implementation. Following the current enterprise risk management framework, those assessments have to be performed by the first line of defense with the support and assistance of the second line.</t>
  </si>
  <si>
    <t>Complete a formal update and approval of all BCP (Business Continuity Plans) including BIAs (Business Impact Analysis) and Disaster Recovery Plans with the new datacenters, infrastructure and working locations information.</t>
  </si>
  <si>
    <t>RAI (Immediate Attention)</t>
  </si>
  <si>
    <t>9.12.2014</t>
  </si>
  <si>
    <t>2.26.2015</t>
  </si>
  <si>
    <t>PARTIAL 50%</t>
  </si>
  <si>
    <t>3.27.2015</t>
  </si>
  <si>
    <t>4.03.2015</t>
  </si>
  <si>
    <t>7.02.2014</t>
  </si>
  <si>
    <t>11.13.2014</t>
  </si>
  <si>
    <t>To implement the proper processes and controls around introducing Virtual Machines into the production environment.</t>
  </si>
  <si>
    <t>To establish a proper monitoring based on real time alert capabilities that allows to enhance the security over the virtual environment.</t>
  </si>
  <si>
    <t>To establish and approve a proper hardening guide for each of the elements (hypervisors, vCenters, etc.) following the best practices or security standards, and ensure all customizable security parameters are detailed.</t>
  </si>
  <si>
    <t>To apply the hardening guides mentioned above, over the whole infrastructure.</t>
  </si>
  <si>
    <t>To implement a compliance control to ensure the secure configuration in a regular basis.</t>
  </si>
  <si>
    <t>To establish a robust challenge by 2nd defense line that ensures the correct compliance of the Commercial Fleet Origination Policy, as well as develop a monitoring function over the whole portfolio performance, setting periodic controls over the reports elaborated by the Small Business Commercial department.</t>
  </si>
  <si>
    <t>NOT IMPLEMENTED</t>
  </si>
  <si>
    <t>To coordinate with Santander US the steps that should be follow in order to implement appropriate Group's Santander Corporate Policies at SCUSA, updating SCUSA's policies accordingly, obtaining the formal authorization for those requirements which are exempt.</t>
  </si>
  <si>
    <t xml:space="preserve">To submit the Custom Origination  Credit Scoring Model (Gen-5) to the SAN-US Model Risk Management Group (MRMG) for independent validation. Furthermore, develop written procedures for generating monthly model performance monitoring reports. </t>
  </si>
  <si>
    <t>To ensure the effectiveness of the second line of defense (Risk) by performing an independent challenge, as well as suggest different alternatives to the decisions determined by the first line of defense, in order to ensure the proper governance of the SCUSA.</t>
  </si>
  <si>
    <t xml:space="preserve">To coordinate with Santander US the steps that should be follow in order to implement Group's Santander Corporate Policies, regarding Customer Debt Reorganization at SCUSA, updating SCUSA's policies accordingly, obtaining the formal authorization for those requirements which are exempt. </t>
  </si>
  <si>
    <t>To reinforce the monitoring over the unsecured portfolio, ensuring the quality of the information provided and strengthen the management reporting over this portfolio.</t>
  </si>
  <si>
    <t>To document the used tools, as well as the procedure to obtain loss curves, formally approved by the appropriate Committee and with the adequate validation, analyzing the possibility to apply an adjustment factor which includes macroeconomic components that are not reflected in the historical information used in the calculation and being consistence with industry practices.</t>
  </si>
  <si>
    <t>To analyze the possibility to elaborate different estimations, considering the performance of products, segments and any other criteria that provide a better granularity of the ALLL and formally approve by the appropriate committee.</t>
  </si>
  <si>
    <t>To document properly the LDP calculation for auto loan portfolio, obtaining the formal approval by the appropriate Committee.</t>
  </si>
  <si>
    <t>To provide deeper information to the BERC and BoD on a quarterly basis that allows them to make or ratify decisions. ALLL Committee minutes should be more detailed, giving more information about the used data and analysis performed in a quarterly basis.</t>
  </si>
  <si>
    <t>To document and support in an internal procedures the calculation and booking of LLR for TDR, in order to avoid errors or misinterpretations of the criterion of the file used for the calculation</t>
  </si>
  <si>
    <t>To perform a separate Loss Estimation between TDR and Not TDR to comply with US GAAP.</t>
  </si>
  <si>
    <t>Market Risk</t>
  </si>
  <si>
    <t>To implement an appropriate governance structure over the asset and liabilities management activities ensuring the independency of the risk controlling function from the business area.</t>
  </si>
  <si>
    <t>To segregate the operational functions from the Treasury department related to the confirmation of market transactions (derivatives), settlement of payments, collateral oversight, and payments to third party lenders (warehouse facilities) in order to ensure an adequate independent control over these processes.</t>
  </si>
  <si>
    <t>To perform a thorough periodic reconciliation of the GAP analysis against the accounting records to ensure the integrity and correctness of the analysis.</t>
  </si>
  <si>
    <t>Regarding policies and procedures:_x000D_
_x000D_
-To formally document the current assumptions (defaults, recoveries, time delay and bucketing) used to calculate the measurements of the interest risk (NIM, MVE) validating and approving at the appropriate levels.  _x000D_
_x000D_
-To complete the current Contingency Funding Plan by:_x000D_
 _x000D_
 -Establishing triggers to activate each level of the plan; _x000D_
 -Defining detailed potential actions to be taken in each stress scenario; _x000D_
 -Formally documenting the current process for determining assets available to be pledged for liquidity in each scenario._x000D_
 -Including severe stress scenarios with high impact in the institution's liquidity, such as both no access to warehouse funding and no access to the asset based securities market.</t>
  </si>
  <si>
    <t>To formally document the policies and procedures governing the securitization process at SCUSA.  This includes items such as, business plan and outline objectives related to securitization activities, authority levels for transaction and pricing approvals, Board re-approvals for significant changes in the offering, permissible securitization activities, transaction monitoring processes, risk exposure limits from the underlying assets, limits/guidelines for collateral quality, document retention, internal reviews related to Reg. AB, and integration of securitization activities into liquidity planning.</t>
  </si>
  <si>
    <t>To define with the Board a comprehensive standard information package to be presented to the Board of Directors for decisioning the issuance of a securitization, and to continue to ensure that it is submitted to the Board for appropriate analysis.</t>
  </si>
  <si>
    <t xml:space="preserve">To establish controls to ensure that an adequate review of invoices is conducted prior to approving payments and that operational errors are adequately communicated to Operational Risk for analysis.  </t>
  </si>
  <si>
    <t>Establish and formalize a plan for SCUSA Identity Governance Administration program in order to ensure that it includes the different components and the timing of a robust IAM program,  including but not limited to, provisioning, de-provisioning, access rights update for transfers, access request and approval, access certification and SoD.</t>
  </si>
  <si>
    <t>Develop risk-appropriate standards and procedures to ensure that SCUSA establishes the controls to enforce the creation and maintenance of documentation (data model, technical architecture, functional model. etc.) of the different SCUSA systems. Establish a plan to get technical documentation in alignment with risk-appropriate standards and procedures.</t>
  </si>
  <si>
    <t>Review identified 59 users and ensure access is appropriate per job function.  Based upon a risk review of NPPI exposure, determine the control that needs to be in place, if any, to protect adequately the NPPI maintain in this system.</t>
  </si>
  <si>
    <t>4.09.2014</t>
  </si>
  <si>
    <t>6.17.2015</t>
  </si>
  <si>
    <t>6.01.2015</t>
  </si>
  <si>
    <t>Loss of material funding source or inability to secure new funding sources</t>
  </si>
  <si>
    <t xml:space="preserve">Bank concentrations are monitored and maintained within liquidity policy guidelines.  These guidelines also establish target minimum number of external credit providers.  Bond spreads represent a KRI and under constant focus in corporate finance areas of the company.  This key market indicator is published weekly by capital markets and reflected in dashboard reporting.  Funding capacity, including flow partnerships, remains a key component of liquidity policy with minimum thresholds established and KRI’s established to alert the company to trends and pending or potential shortfall.  Facility maturities are also closely monitored to provide timing on potential commitment runoff.  
These limits and thresholds were established subsequent to the prior financial crisis when the company relied heavily on parent funding and had only limited (1 or 2) external credit providers.  The limits and KRI’s have not been tested through an actual economic downturn.
</t>
  </si>
  <si>
    <t>Because of the volumes of production and levels of financing regularly executed by the business, financial impact could be experienced in several forms.  Unexpected use of unsecured financing would raise the marginal cost of borrowing up to 250 bps.  The $5M annualized threshold would be met on $200M of production.  Loss of flow partnerships could reduce competitive pricing creating the need to sell at unanticipated levels to maintain production capacity ($500MM sold at 5% loss - $25MM/mo).  This monthly loss would not annualize due to reductions in production once losses materialize.  Changes in capital markets execution such as contraction of subordinate bond appetite could create the need for extensive additional unsecured capacity and usage in order to securitize production (example would be the AAA only issuance of Q1 2010 and the requirement for the company to finance approximately 30% of the overcollateralization).</t>
  </si>
  <si>
    <t xml:space="preserve">In order to engage in SCUSA's core business of originating and servicing loan and lease assets, SCUSA requires access to external sources of funding.  Unlike a bank, as a consumer lending company, SCUSA does not have access to core deposits.  As such, SCUSA's funding sources are primarily obtained through access to the capital markets in the form of asset-backed securities, private amortizing facilities and warehouse lines of credit.  With a limited supply to the types of funding that SCUSA is able to utilize, the potential loss of any material source of funding could result in a negative financial impact for SCUSA in the form of lost capacity to originate new assets or an increase in the cost of funds charged to SCUSA for borrowed funds.  When assessing SCUSA's funding sources, the risk of loss for a material funding source could be experienced in a number of ways including the following:  
- SCUSA is the largest issuer of ABS supported by subprime collateral as well as an issuer of prime collateral ABS.  Approximately 60% of SCUSA's business is funding through the use of securitizations.  If investor's appetite to purchase auto ABS were to dissipate, SCUSA would be need to replace a substantial source of funding.  
- At present, SCUSA is reliant on flow partners to purchase prime assets.  As these partners purchase the assets, SCUSA receives proceeds from the sales and is able to pay down other liabilities to free up funding for future originations.  If SCUSA's flow partners were to no longer want to invest in the Company's originated assets, the assets would remain on SCUSA's balance sheet and funding would not be freed up for future loan originations.  
- Outside of funding received through the securitization markets, SCUSA's other primary source of funding is banks that extend the Company secured and unsecured warehouse lines of credit.  For the secured warehouse lines of credit, SCUSA will pledge newly originated assets in order to draw down on the credit lines extended to the Company.  For unsecured warehouse lines of credit, SCUSA will draw down on the lines, without the need to pledge collateral, in order to receive incremental funding.  While SCUSA is well diversified in its warehouse lenders, it is possible that as the warehouse lines come up for renewal, the lenders may choose not to renew the lines either due to the lender's internal lending limits (e.g., lender can't be overly exposed to any single counterparty) or due to a choice not to continue the relationship with SCUSA.  Loss of either a large warehouse lenders or a variety of smaller lenders would limit SCUSA's ability to fund assets in future periods.  
- While the loss of securitization market, flow partners, or warehouse lines could be driven by internal decisions or circumstances at the various lenders, it is possible that a negative shift in the macro economic environment could also result in the loss of a material source of funding for SCUSA.  Declines in economic conditions could lead to a loss in the market risk appetite for collateral backed investments, especially those backed by subprime collateral.  Additionally stressed environments could lead to situations where creditors reduce the credit that they are willing to extend to clients or no longer have an appetite to purchase loans.  
As discussed above, the loss of a material funding source or the inability to secure new funding sources would result in the loss of future revenues, as SCUSA would be unable to originate new assets, in addition to an increase in interest expense as the Company was forced to "pay up" in the market for any new funding.  SCUSA has implemented a series of controls (discussed above) to help mitigate this risk, which include monitoring concentrations to lenders to ensure that the Company is not over reliant on any one lender as well as the Company's strategy of incurring higher expenses in order to maintain access to committed lines of credit and a large number of lenders.  </t>
  </si>
  <si>
    <t>Contingent Liabilities</t>
  </si>
  <si>
    <t xml:space="preserve">Origination and Approval levels are monitored daily.  Chrysler contract elements list requirements by both parties.  Because these are not being met, the funding liabilities to SCUSA have been mitigated.  Personal Lending (Lending Club) allows contractual reductions with notice.  Personal Lending (BlueStem) contractually allows borrowing credit approval with incremental draws, which can mitigate contingent draw expectations.
These listed controls were established subsequent to the prior financial crisis.  The limits and KRI’s have not been tested through an actual economic downturn.
</t>
  </si>
  <si>
    <t>Unplanned or unexpected funding amounts would create unsecured debt in excess of projections.  This represents our highest cost of funds and the annualized $5M threshold could be breached with as little as $150 million unplanned contingent funding.</t>
  </si>
  <si>
    <t xml:space="preserve">As part of SCUSA's business operations, the Company provides funding for loan and lease assets associated to consumer's purchase or lease of vehicles, in addition to funding personal loans for consumers on either an installment or revolving basis.  Based on these business activities, SCUSA has entered into agreements, whereby the Company guarantees funding for certain loan and lease assets.  The guaranteed funding represents a contingent liability for SCUSA, as the Company is obligated to provide its customers the funding required on the loans or leases.  Exposure to contingent liabilities can become problematic for SCUSA in the event that the Company's funding capacity is not sufficient to cover these commitments.  If this were to occur, SCUSA would be forced to either (1) find new funding sources to make up the gap, which will result in a higher cost of funds for the company or (2) elect not to honor the Company's obligations which can result in negative impacts due to contract breaches and/or reputational repercussions  Ultimately, if the need for funding these contingent liabilities cannot be met by SCUSA's current funding capacity, the Company's earnings will be negatively impacted from the lost revenues, potential decline in market share, and reputational damage.  Details on the most material contingent liabilities for the Company are included below:  
- Unplanned origination volume:  SCUSA's Treasury Department diligently manages the Company's funding sources and funding capacity.   Based on the business expectations for future origination volume, Treasury ensures that sufficient capacity exists to fund those obligations.  In the event that new origination volumes were dramatically higher than expected/planned, SCUSA may not have the funding capacity to meet these obligations as the volumes were not included within the Company's planned funding needs.  
- Approved loan applications:  When SCUSA approves a customer's application for a loan, the approval is valid for 30 days.  Based on approved applications and estimates for which applications will ultimately require funding, SCUSA is able to generate funding plans to ensure that SCUSA will have the cash required to honor these agreements.  In general the book to approval rate is around 8%-10% for SCUSA's core portfolio and around 18%-20% for Chrysler vehicles.  As such, there is a large volume of approved applications that are not embedded within SCUSA's funding plans, but that SCUSA is contractually obligated to fund for the 30 day life of the approval.  If SCUSA were to see a dramatic spike in the book to approval rate, SCUSA would be forced to secure the funding needed for the increased volume or suffer reputational, and possible financial, damages if the approved applications were not honored.
- Contractual origination volumes obligations for personal lending partners:  As part of SCUSA's build out of its personal lending platform, the Company has entered into contractual relationships with certain partners, whereby SCUSA has committed to providing funding for an agreed to level of origination volume.  As part of SCUSA's relationship with LendingClub, SCUSA is committed to purchase at least the lesser of $30 million per month or 50% of the company’s near-prime originations through July 2017 (note the commitment can be reduced or canceled with 90 days’ notice).  As part of SCUSA's relationship with BlueStem, SCUSA has committed to purchasing new advances on BlueStem's unsecured, revolving financings along with existing balances on accounts with new advances, for an initial term ending in 2020 and renewing through 2022 at BlueStem's option.  
- Revolving lines of credit:  For SCUSA's personal lending assets with revolving lines of credit (e.g., BlueStem and NPL), each customer account generated under the agreements generally is approved with a credit limit higher than the amount of the initial purchase, with each subsequent purchase automatically approved as long as it does not cause the account to exceed its limit and the customer is in good standing.  These committed lines of credit to SCUSA's revolving customers must be funded by SCUSA as the lines are drawn down and could represent a material contingent funding need if a large volume of customers were to simultaneously draw down on these lines. 
- Chrysler contract:  As part of SCUSA's contract with Chrysler, the agreement includes certain penetration rates (funding obligations) that SCUSA must meet in order to be in compliance with the contract.  However, included within the contract language is the stipulation that SCUSA is not obligated to fund loans (to hit penetration rates) that do not meet minimum return hurdle rates.  Additionally, the higher penetration rates in the contract would require CCAP to board a high number of loans using special rate financing options on prime retail credits.  Those incentives are controlled by Chrysler and are typically higher credit quality with better loan performance.  Those loans are prime for flow arrangements to banks and other 3rd parties given loss characteristics.  As history has shown, as overall credit markets seize up, automotive sales deteriorate and therefore act as a natural hedge against volumes that can’t be funded off balance sheet.  As such, while there is a contingent funding liability for SCUSA implied within the Chrysler contract, that funding obligation is conditional on a variety of factors that lessen any possible exposure or risk that SCUSA would be in breach of the contract if penetration rates are not reached.     </t>
  </si>
  <si>
    <t>MR51</t>
  </si>
  <si>
    <t>Acceleration of liquidity requirements</t>
  </si>
  <si>
    <t xml:space="preserve">Cash forecast of sources and uses is reviewed by management daily to determine anticipated funding requirements and available cash.  The forecast is reviewed by the Treasurer, and presented weekly to the Contingency Liquidity Committee weekly, which enables consideration of upcoming significant cash flow items within the forecast. Liquidity metrics are monitored daily/weekly/monthly by treasury to assess whether the company is approaching or in a liquidity stress event.
</t>
  </si>
  <si>
    <t xml:space="preserve">Increased interest expense from unplanned unsecured usage (+325bps) would breach thresholds at only $150M of new debt.  While LKE funds may provide liquidity in an extreme funding crisis, the use of those funds would create an immediate tax expense from the gain recognition.  Taxes that would have been due from the initial sale of leases were estimated over $175M.  The expected interest expense exceeds the minimum risk threshold.  Regulatory fines or court judgments would have the same effect.
Trigger events in structured finance SPV’s accelerate repayment requirements and delay residual distributions.  Severe performance variance could eliminate residuals altogether.  SCUSA currently receive approximately $200M  residual cash flow monthly that would be replaced unexpectedly, resulting in increased costs.
</t>
  </si>
  <si>
    <t>While SCUSA diligently manages the cash/liquidity needs of the Company, situations may arise that create an immediate or accelerated need for additional liquidity.  When the acceleration of liquidity requirements occurs, it can create a strain on SCUSA's liquidity and funding position and put pressure on SCUSA to quickly generate cash to cover these obligations.  This situation can impair SCUSA's ability to fund future origination, as liquidity has been reallocated for other purpose, or reduce profitability when the Company is forced to pay a higher cost to obtain access to the needed liquidity.  In an effort to manage the Company's liquidity position, SCUSA generates daily, weekly, and monthly cash flow forecasts  that provide details on all the cash inflows and outflows over a period of time.  However, unexpected events, caused by either internal or external factors, that are not embedded within these forecasts can push SCUSA's liquidity position out of balance.  Examples of events that may create the immediate or accelerated need for liquidity can include the following:  
- Loss of like kind exchange:  On certain asset sales to third parties, where the assets are moved off of the balance sheet, sold assets may be classified as a like kind exchange.  This classification requires that SCUSA utilize the proceeds from the assets sales only for the purchase of similar assets.  While restricting the use of these proceeds limits what SCUSA can do with the cash, the Company receives favorable tax treatment on the assets and is able to delay  payment cash outflows for taxes until future periods.  SCUSA must fulfill a number of requirement in order to maintain the like kind exchange classification and favorable tax treatment.  In the event that SCUSA is unable to uphold these requirements, SCUSA would incur an  requirement to immediately pay the taxes due on these assets, which would result in the need for a substantial amount of unplanned liquidity in the near-term.  
- Unexpected expenses:  Although there generally isn't a lot of volatility in SCUSA's expenses, there may be times when unexpected expenses arise that impact the Company's short-term liquidity needs.  Examples of such expenses could include regulatory fines or penalties or legal settlements.  The unexpected expenses would have to be sizable to generate any sort of liquidity disruption, but it is possible that an unexpected, sizable expense could create a liquidity problem for the Company. 
- Trigger event causing asset repurchases: In connection with the sale of retail installment contracts through securitizations and other sales, SCUSA has made standard representations and warranties customary to the consumer finance industry.  Violations of these representations and warranties may require SCUSA to repurchase loans previously sold to on- or off-balance sheet trusts or other third parties. The stipulation for asset repurchases is generally driven by collateral that performs worse than expected.  The requirement to repurchase these assets will impact the Company's short-term liquidity, as the assets will require funding that was otherwise unanticipated.  
- Declines in pledged asset values:  In the event that assets pledged to warehouse lines or utilized in securitization transactions decline in value due to negative performance of the collateral, SCUSA may be required to either pledge additional assets to the warehouses to offset the loss, or increase the over collateralization requirements on securitized bonds to ensure that payments to investors are not disrupted.  The immediate requirement for this liquidity would encumber new assets and make these additional assets unavailable for funding needs.  
- Trigger event affecting repayment of liabilities:  Covenants and triggers may exist with the structured bonds for SCUSA's securitization deals.  In the event that covenants are breached or triggers are hit, an early amortization clause may be enacted.  This clause accelerates the payment to bond holders by immediately amortizing down the outstanding balances of the liabilities.  The early amortization would result in substantial liquidity requirements for SCUSA as bond holders would be receiving payback on their investment placing SCUSA last in the payment order waterfall and disrupting planned residual distributions.</t>
  </si>
  <si>
    <t>Increased Cost of Funds</t>
  </si>
  <si>
    <t>Key Interest rates and portfolio performance are monitored in regular dashboards and monthly reporting.  Movements would be identified well in advance.  These limits and thresholds were established subsequent to the prior financial crisis when the company relied heavily on parent funding and had only limited (1 or 2) external credit providers.  The limits and KRI’s have not been tested through an actual economic downturn.</t>
  </si>
  <si>
    <t>Increased interest expense from default levels (+250bps) would breach thresholds at only $200M of financings</t>
  </si>
  <si>
    <t>Concentration in funding sources</t>
  </si>
  <si>
    <t>SCUSA's liquidity management practices require that the Company maintain a diversified set of funding sources, such that over reliance on any one source of funding does not exist.  SCUSA has implemented strategies to help ensure diversification of funding, but as a capital markets funded company, the pool of potential funding sources for SCUSA is more limited than those available to a traditional bank.  Concentrations are monitored and maintained within liquidity policy guidelines.  These guidelines also establish target minimum number of external credit providers.  Bond spreads represent a KRI and under constant focus in corporate finance areas of the company.  This key market indicator is published weekly by capital markets and reflected in dashboard reporting.  Funding capacity, including flow partnerships, remains a key component of liquidity policy with minimum thresholds established and KRI’s established to alert the company to trends and pending or potential shortfall.  Treasury monitors for potential liquidity stress events through a series of liquidity risk reports, and daily/weekly/monthly monitoring of a suite of KRIs (i.e., Intragroup warehouse funding, OIS spread, TED spread, 2-10yr. Treasury yield spread, Self-Funding Ratio, etc.).   Treasury reports liquidity position to the Contingent Liquidity Committee weekly, and to the ALCO monthly. Reports provided to the ALCO includes macroeconomic trends, market and liquidity results, funding overview and liquidity forecast and Risk Tolerance Statements.</t>
  </si>
  <si>
    <r>
      <t xml:space="preserve">SCUSA's liquidity management practices require that the Company maintain a diversified set of funding sources, such that over reliance on any one source of funding does not exist.  SCUSA has implemented strategies to help ensure diversification of funding, but as a capital markets funded company, the pool of potential funding sources for SCUSA is more limited than those available to a traditional bank.  Being overly concentrated on any single funding source creates some exposure for the Company as it is possible that funding source might not be available in the future, resulting in declines in SCUSA's ability to fund future originations and reduction to overall profitability.  Based on SCUSA's current funding profile, the Company has potential exposure to concentration risk in the following areas:  
</t>
    </r>
    <r>
      <rPr>
        <b/>
        <sz val="11"/>
        <color theme="1"/>
        <rFont val="Calibri"/>
        <family val="2"/>
        <scheme val="minor"/>
      </rPr>
      <t>- Securitization Markets:</t>
    </r>
    <r>
      <rPr>
        <sz val="11"/>
        <color theme="1"/>
        <rFont val="Calibri"/>
        <family val="2"/>
        <scheme val="minor"/>
      </rPr>
      <t xml:space="preserve">  A large portion of the Company's funding is derived from the issuance of asset backed securities within the capital markets.  As demonstrated during the crisis, accessing the capital markets during periods of economic stress can become problematic as the market appetite for bonds backed by collateral experiencing losses dissipates or the deals require a rate of return so high that the economics of the deal no longer work.  Even under normal operating conditions, investor appetite for structured products is not unlimited.     
- </t>
    </r>
    <r>
      <rPr>
        <b/>
        <sz val="11"/>
        <color theme="1"/>
        <rFont val="Calibri"/>
        <family val="2"/>
        <scheme val="minor"/>
      </rPr>
      <t xml:space="preserve">Intragroup warehouse lines of credit: </t>
    </r>
    <r>
      <rPr>
        <sz val="11"/>
        <color theme="1"/>
        <rFont val="Calibri"/>
        <family val="2"/>
        <scheme val="minor"/>
      </rPr>
      <t xml:space="preserve"> The use of secured warehouse lines of credit do not provide dollar-for-dollar funding for pledged assets.  Assets pledged to these lines are pledged at a predetermined advance rate whereby $100 of pledged assets will receive cash back at a value below the $100.  To make up for this difference, SCUSA must maintain access to unsecured lines of credit that can be drawn down without pledging any collateral.  At present, all of SCUSA's unsecured borrowing capacity is obtained through warehouse lines with the Santander parent, which may result in an over reliance on the Company's parent.  
-</t>
    </r>
    <r>
      <rPr>
        <b/>
        <sz val="11"/>
        <color theme="1"/>
        <rFont val="Calibri"/>
        <family val="2"/>
        <scheme val="minor"/>
      </rPr>
      <t xml:space="preserve"> Asset sale flow partners: </t>
    </r>
    <r>
      <rPr>
        <sz val="11"/>
        <color theme="1"/>
        <rFont val="Calibri"/>
        <family val="2"/>
        <scheme val="minor"/>
      </rPr>
      <t xml:space="preserve"> Part of SCUSA's current strategic direction is to focus on the Company's "serviced for others" platform, where SCUSA originates and sells loans to third parties, but maintains the right to service the assets (for a fee).  The sale of these assets moves them off of SCUSA's balance sheet and frees up funding for future originations.  SCUSA has identified two major flow partners who purchase assets from the Company on a monthly basis.  With only two primary flow partners identified, SCUSA may experience some concentration risk on this funding source if the funding need from off-balance sheet sales continue to grow or one of the flow partners were to no longer have an appetite to purchase the loans.  
SCUSA manages and monitors the Company's funding sources and the utilization / concentration on each.  SCUSA is constantly seeking new opportunities to expand the funding options available to the Company, but must weigh the trade-off between the additional liquidity obtained and the cost of that liquidity. </t>
    </r>
  </si>
  <si>
    <t xml:space="preserve">Increased Cost of Funds
Internal or external factors cause SCUSA cost of funds to increase resulting in reduction of overall profitability.   
SCUSA forecasts for interest rate changes based on market generated forward interest rate curves and parent provided assumptions for budgeting exercises.  In the event of sudden interest rate movements, either caused by idiosyncratic drivers such as default pricing, or macroeconomic events, actual interest expense incurred would exceed projections or budget.  The variance to projections or budget would depend on the extent of the rate shock.   Default pricing in borrowing agreements - the automatic interest rates payable should SCUSA as servicer suffer a servicer termination event - is generally LIBOR plus a default spread of 200 - 250bps.  This compares unfavorably to non-default pricing of LIBOR plus a usual spread of 70  - 80 bps (or CP+; CP rates have trailed 1M LIBOR by up to 10bps over the last 5 years).    Unplanned FED rate hikes would have a similar effect on interest rate expense projections and budget if these rate increases were above and beyond expectations.                                                                        </t>
  </si>
  <si>
    <t>MR45</t>
  </si>
  <si>
    <t>Buy Backs</t>
  </si>
  <si>
    <t xml:space="preserve">Financial Analytics applies criteria on the SCUSA database that determines initial and continued eligibility of the assets for each financing on a loan by loan basis.  In most cases, this criteria is platform or funding specific and is based on the underlying documentation for each financing which is generally consistent across all platforms.  Should a loan no longer be eligible for a specific platform or financing, it will be identified via a monthly report issued by Financial Analytics to Treasury, Securitization Reporting and Capital Markets.  Securitization Reporting or Capital Markets performs a high level reasonableness assessment of the reasons why the loan(s) were identified and, upon its review, provides its approval to either repurchase the identified loan(s) or leave the loan(s) in the respective financing.  Since the data comes from the same system that is used to 1) identify the loans and the loan characteristics in each platform and 2) create each monthly Servicer Report, we have no reason to believe the loan population is not accurately reflected.  In addition, Capital Markets, Securitization Reporting, Treasury and Financial Analytics as well as Originations and Servicing, are working together to formalize the process for the initial and ongoing identification of the repurchase criteria, including processes that will make the identification of the repurchase requirements more robust initially at closing which will provide a better understanding of the required criteria and their respective data points amongst all departments.  This will also be reinforced via the implementation of the Lewtan system which includes a checks and balances process and compliance with Reg AB II in which we envision the process will have increased input and oversight from various SCUSA departments, including among others, Capital Markets, Securitization Reporting, Treasury, Financial Analytics, Originations, Servicing and Legal. 
Note i) identification for loans potentially subject to repurchase is reviewed at a point in time, therefore there is potential that some loans would/would not meet repurchase criteria if the review was done before or after the date the report for review was generated and ii) repurchase criteria could be subject to interpretation and/or materiality.   </t>
  </si>
  <si>
    <t xml:space="preserve">Over the last year the monthly average of repurchases in the ordinary course of business was 12bps (~ $35 million / ~ $30 million of securitizations outstanding) which is within historical levels.
 To date, in aggregate, less than 1bp of loans were not identified for repurchase that should have been ($1 million/ ~30 billion = .000033).
If a liquidity event were to exist, it could be difficult to satisfy this requirement for a few months before stability measures could be implemented.  The financial impact of such a scenario on base and stressed cases is dependent on the interest rate charged to borrow the full amount (ie. annual: $35 million per month * 12 * [8%] = ~$34 million).  </t>
  </si>
  <si>
    <t>Workplace and Operational Capacity</t>
  </si>
  <si>
    <t xml:space="preserve">Key risks within this area revolve around manual entries (ad-hoc/one-offs) that could result in financial loss, regulatory violations, reputational exposure, and potential fines / penalties. Audit processes are in place to capture these entries as well as the following:
• Procedures in place to monitor, review and recommend adjustments and/or remediation of incorrect payments to employee(s)             
• Procedures in place to remediate complete or partial failure of ACH payroll process
• Procedure in place to claw-back over-payments to employee(s) initiated by business or by HR
• Multiple-party review and multi-layer approvals process in place for discretionary and non-discretionary incentives across all levels and areas of the business
• Procedures in place to handle all regulatory requirements
</t>
  </si>
  <si>
    <t>Jason Grubb, President</t>
  </si>
  <si>
    <t>Jason Grubb</t>
  </si>
  <si>
    <t xml:space="preserve">SCUSA has a number of off-balance sheet considerations, contingent liabilities or other commitments that are not directly within the Company’s financials because they represent future obligations that may or may not actually be realized.  Over time, SCUSA may be required to uphold these agreements, which would impact assets, liabilities or earnings at some point in the future.  A description of the primary off-balance sheet exposures is included below.   
- Under terms of the agreement with Chrysler, SCUSA must make revenue sharing payments to Chrysler and also must make gain-sharing payments when residual gains on leased vehicles exceed a specified threshold.
- Contained within the Chrysler Agreement are certain penetration rates on the volume of Chrysler loans and leases that SCUSA is required to fund in order to stay in compliance with the contract.  Failure to meet these requirements gives Chrysler the right to terminate the agreement and keep SCUSA’s up-front payment.  SCUSA’s requirements to meet penetration rates included within the contract are conditional on Chrysler treating SCUSA as a true, captive OEM (generally evidenced through the volume of subvented dollars, bonus cash and other incentives  provided to a captive) in order to help SCUSA obtain the required returns to fund the contractual loan volumes.  
- The Company has extended revolving lines of credit to certain auto dealers. Under this arrangement, the Company is committed to lend up to each dealer’s established credit limit.
- In connection with the sale of retail installment contracts through securitizations and other sales, SCUSA has made standard representations and warranties customary to the consumer finance industry. Violations of these representations and warranties may require SCUSA to repurchase loans previously sold to on- or off-balance sheet trusts or other third parties, which can impact SCUSA’s liquidity / funding position.    
- In July 2013, SCUSA entered into certain additional agreements with LendingClub under which the Company is committed to purchase at least the lesser of $30 million per month or 75% of the lending platform company’s "near-prime" (as that term is defined in the agreements) originations through July 2015, and the lesser of $30 million per month or 50% of the lending platform company’s near-prime originations thereafter through July 2017. This commitment can be reduced or canceled with 90 days’ notice.
- SCUSA has committed to purchase certain new advances on unsecured revolving financings originated by a Bluestem, along with existing balances on accounts with new advances, for an initial term ending on April 2020 and renewing through April 2022 at Bluestem’s option. 
- For SCUSA’s Bluestem assets, each customer account generated under the agreements generally is approved with a credit limit higher than the amount of the initial purchase, with each subsequent purchase automatically approved as long as it does not cause the account to exceed its limit and the customer is in good standing. As these credit lines do not have a specified maturity, but rather can be terminated at any time in the event of adverse credit changes or lack of use, SCUSA has not recorded an allowance for unfunded commitments. 
- SCUSA may be required to make a profit-sharing payment to Bluestem each month, depending on the returns received by SCUSA on the assets.
- SCUSA has a flow agreement with Bank of America whereby the Company is committed to sell up to $300,000 of eligible loans to the bank each month through May 2018. The Company retains servicing on all sold loans and may receive or pay a servicer performance payment based on an agreed-upon formula if performance on the sold loans is better or worse, respectively, than expected performance at time of sale.
- SCUSA has sold loans to CBP in 2014 under terms of a flow agreement and predecessor sale agreements. SCUSA retains servicing on the sold loans and will owe CBP a loss-sharing payment capped at 0.5% of the original pool balance if losses exceed a specified threshold, established on a pool-by-pool basis.
- For certain third party sales of lease assets (e.g., to Credigy), SCUSA maintains limited residual value risk exposure on the vehicles, subject to a portfolio level deductible.  As such, upon termination of the lease, if the residual values realized on the sold portfolio are lower than anticipated, and that loss is in excess of the buyer’s deductible, SCUSA may incur limited losses.  The potential liability is limited to a maximum of 9.9% of the fair market value of each lease, defined as allocated purchase price.  SCUSA currently reserves for the expected potential exposure as a contingent liability, but does not reserve for the maximum 9.9%, thereby creating some risk in the event that losses exceed expectations.
- SCUSA has entered into various operating leases, primarily for office space and computer equipment, and is obligated to make future payments on these leased items.  
</t>
  </si>
  <si>
    <t>Loss Events from 1/1/15 -  8/13/15, QC Testing</t>
  </si>
  <si>
    <t>MVE/NIM Stress Testing</t>
  </si>
  <si>
    <t>Liquidity Stress Testing</t>
  </si>
  <si>
    <t>2015 Compliance Risk Assessments, Internal Audit Findings, MRAs, MRIAs, SOX Testing, QC Testing</t>
  </si>
  <si>
    <t>10-K, 10-Q, Strategic Plan, RAS Metrics</t>
  </si>
  <si>
    <t>Historical Financial Statements, Loss Events from 1/1/15-8/13/15, Media Monitoring Reports</t>
  </si>
  <si>
    <t>ALCO Presentations</t>
  </si>
  <si>
    <t>N/A</t>
  </si>
  <si>
    <t xml:space="preserve">External sources include:  media monitoring reports, CFPB regulatory guidance, ALG data, and other public sources. 
</t>
  </si>
  <si>
    <t xml:space="preserve">SCUSA is in the process of remediating all audit and regulatory findings. </t>
  </si>
  <si>
    <t xml:space="preserve">Unclaimed subventions for Chrysler
It was noted that there were 5,098 unclaimed loans for 0% APR at 75 months ranging from June 2014 through September 2014. These loans were related to a program expansion which began in June 2014 for 75 months on the Dodge RAM 1500 Pickup-V8, Chrysler Town &amp; Country and Dodge Grand Caravan (primarily in the MWBC)._x000D_
 Potential lost revenue of approx. $11m (June-August). September’s claims were not filed as of the discovery date of this event as such September's claims would have been included on their regular filings (see action plan 1 below). _x000D_
 For September 2014 the claims submitted for 0% (and 1.9% on Tier 4) on Rams, Grand Caravans and Town &amp; Country totaled 1,807 claims for ~$7MM._x000D_
_x000D_
 Midwest Special incentives= 694 claims for $3,091,354.40_x000D_
 National 0/0/0/0 offer Ram = 1,113 claims for $3,987,594.78         _x000D_
_x000D_
 A resubmission of missed September claims were processed in the October Claims process. A  resubmission of 1,095 September special incentives ($3.9MM) was made under the correct program code._x000D_
 For June 2014 – August 2014 the special incentives he claims submitted for 0% (and 1.9% on Tier 4) on Rams, Grand Caravans and Town &amp; Country totaled 3,291 claims for ~$11MM._x000D_
_x000D_
 June = 411 claims for $1,353,224.65_x000D_
 July = 785 claims for $2,730,370.80_x000D_
 August = 2,095 for $6,922,259.57_x000D_
_x000D_
 Root Cause: _x000D_
_x000D_
 The initial credit change request did not specify 75 months for June as we hadn’t negotiated a 75 month offering for 0%, but we approved deals with that structure. Not sure how this occurred, but we are looking into it.  This could be as simple as a vehicle trial overrode the incentive offer as I’m not entirely sure of the hierarchy._x000D_
 The credit request specified 75 months for June – August, but the file that the incentives claims process uses was incorrect. This caused those claims to be missed._x000D_
_x000D_
 -                 June, July and August – Max term only went to 72 months.  This would cause all 75 month term claims to be missed._x000D_
 -                 June – File submitted to Team Viper did not include Town &amp; Country or Grand Caravan.  This would cause all special incentives for these vehicles to be missed._x000D_
 -                 July – File submitted to Team Viper did not include MWBC or DEBC Town &amp; Country or Grand Caravan.  This would cause all special incentives for these vehicles to be missed._x000D_
 -                 August – File submitted to Team Viper did not include MABC offer for Town &amp; Country or Grand Caravan.  This would cause all special incentives for these vehicles to be missed._x000D_
 -                 August – File submitted to Team Viper did not include Town &amp; Country or Grand Caravan.  This would cause all special incentives for these vehicles to be missed._x000D_
_x000D_
 The ‘special program’ file given to Viper appears not to have used external tiers, but the internal tier, which will cause the process to miss claims. Not sure how many of these occurred yet as a result._x000D_
_x000D_
 -                 June, July and August – Internal tiers were used, which may have caused external tier 4 to be missed since the tier/rate/term combination would not be found.  Will not be able to confirm until files are corrected and reprocessed.  This would not impact Tiers 1-3 as the Internal tier was stated as 1-16 and would have included external tiers 1, 2 and 3._x000D_
  </t>
  </si>
  <si>
    <t xml:space="preserve">Blackrock repurchase Restricted Cash Misclassification
Based on a Memo on Errors in Q2’14 financial statements provided to the SCUSA Board of Directors from Jennifer Popp, SCUSA Chief Accounting Officer the following errors were noted in Q2 Financial Statements. _x000D_
  _x000D_
 The purpose of this memo is to evaluate, in accordance with ASC 250, Accounting Changes and Error Corrections (Topic 1‐M, Materiality, formerly SEC Staff Accounting Bulletin No. 99), the materiality of various errors identified in SCUSA’s consolidated financial statements as of and for the three and six months ended June 30, 2014. An error is considered material if it would impact the decisions of users of the financial statements._x000D_
  _x000D_
 The following was classified as a Deficiency._x000D_
  _x000D_
  _x000D_
 Blackrock repurchase and restricted cash‐ The Company deposits cash to a collateral account contractually required to hold 3% of the balance outstanding under its Blackrock repurchase (financing) agreement and had classified the entire account balance as restricted cash rather than bifurcating the amount between restricted and unrestricted cash. As this is not a common occurrence for cash, there was an oversight in the setting up of the general ledger accounts. Only a portion of the balance (3% of the market value of the collateral per the agreement) is required to be in the account and therefore truly restricted. This error caused an overstatement of restricted cash, and corresponding understatement of cash and cash equivalents, with corresponding cash flow statement impacts, of $14,267k as of June 30, 2014._x000D_
  _x000D_
  _x000D_
 Root Cause:_x000D_
  _x000D_
 Errors were identified related to balances reported for cash, restricted cash and negative cash as a result of improper balance sheet classifications at the initial recording of the balances. On a monthly basis, Management reviews the financial statements to ensure accuracy of the classifications of the account balances. Upon the occurrence of new or unusual transactions, management also determines appropriate accounting treatment of these new transactions. As each of the errors was not common occurrences of activity in the Company, there was an oversight on the part of Management. Additionally, we believe there was a lack of communication between GL and Treasury._x000D_
  _x000D_
 Regarding the Blackrock repurchase collateral, this is a new unique situation for the Company such that this is the only agreement that requires a bifurcation of cash between restricted and unrestricted. As this is the only situation of its kind, we believe the error is limited. Regarding the SBNA funding accounts, these accounts were erroneously classified as restricted cash rather than unrestricted in the initial set up. There were no contractual restrictions on these balances._x000D_
  _x000D_
 These errors were identified through both the reconciliations process and discussions between Accounting and Treasury regarding cash reporting. Accounting will enhance its documentation of new cash accounts to include the purpose of the account and the nature of the cash or cash equivalent. Management does not believe that these errors would rise to anything higher than a deficiency as the potential amount of misstatement would be considered immaterial. The errors were solely balance sheet reclasses and prevented the Company from operational use of unrestricted cash._x000D_
  _x000D_
 Control Deficiencies: FC&amp;R 8 ‐ The CAO or VP of External Reporting determines the appropriate accounting treatment and cash flow treatment of new or unusual transactions that occurred during the period and documents the accounting conclusions in a technical accounting memo._x000D_
  _x000D_
 FC&amp;R SP0123,C3R1113: An appropriate accounting manager reviews the financial statements monthly to ensure proper classification of accounts, ensure that the eliminating and any adjusting entries have properly been accounted for and agrees the financials back to the trial balance._x000D_
  _x000D_
 Compensating Control: Cash SP0051 (SP0051 C1R1102) (SP0051 C2R1204): Accountants reconciles all cash balances, including cash suspense accounts, to the general ledger and to bank statements on a monthly basis. Reconciliations are completed the earlier of 25 days after month end or 2 days prior to earnings release. Supporting documentation is attached and reconciling items are investigated. The reconciliations are reviewed and approved by the G/L Cash Reporting Manager and an appropriate higher‐level reviewer._x000D_
  </t>
  </si>
  <si>
    <t xml:space="preserve">Dealer Funding Restricted Cash Accts Misclassification
Based on a Memo on Errors in Q2’14 financial statements provided to the SCUSA Board of Directors from Jennifer Popp, SCUSA Chief Accounting Officer the following errors were noted in Q2 Financial Statements. _x000D_
  _x000D_
 The purpose of this memo is to evaluate, in accordance with ASC 250, Accounting Changes and Error Corrections (Topic 1‐M, Materiality, formerly SEC Staff Accounting Bulletin No. 99), the materiality of various errors identified in SCUSA’s consolidated financial statements as of and for the three and six months ended June 30, 2014. An error is considered material if it would impact the decisions of users of the financial statements._x000D_
  _x000D_
 The following was classified as a Deficiency._x000D_
  _x000D_
 Dealer Funding‐ Due to lack of proper classification of cash balances as restricted or unrestricted, two cash accounts used to fund SBNA floor plans and leases, which carry negative ledger balances due to timing of cash disbursements and the subsequent reimbursement by SBNA, also were classified as restricted cash but should not have been. If these amounts had been classified as cash, they would have been included in the negative cash balance reclassified to a negative cash liability. This error therefore caused an understatement of restricted cash, and corresponding understatement of negative cash liability, of $5,880k as of June 30, 20141._x000D_
  _x000D_
 Root Cause:_x000D_
  _x000D_
 Errors were identified related to balances reported for cash, restricted cash and negative cash as a result of improper balance sheet classifications at the initial recording of the balances. On a monthly basis, Management reviews the financial statements to ensure accuracy of the classifications of the account balances. Upon the occurrence of new or unusual transactions, management also determines appropriate accounting treatment of these new transactions. As each of the errors was not common occurrences of activity in the Company, there was an oversight on the part of Management. Additionally, we believe there was a lack of communication between GL and Treasury._x000D_
  _x000D_
 Regarding the Blackrock repurchase collateral, this is a new unique situation for the Company such that this is the only agreement that requires a bifurcation of cash between restricted and unrestricted. As this is the only situation of its kind, we believe the error is limited. Regarding the SBNA funding accounts, these accounts were erroneously classified as restricted cash rather than unrestricted in the initial set up. There were no contractual restrictions on these balances._x000D_
  _x000D_
 These errors were identified through both the reconciliations process and discussions between Accounting and Treasury regarding cash reporting. Accounting will enhance its documentation of new cash accounts to include the purpose of the account and the nature of the cash or cash equivalent. Management does not believe that these errors would rise to anything higher than a deficiency as the potential amount of misstatement would be considered immaterial. The errors were solely balance sheet reclasses and prevented the Company from operational use of unrestricted cash._x000D_
  _x000D_
 Control Deficiencies: FC&amp;R 8 ‐ The CAO or VP of External Reporting determines the appropriate accounting treatment and cash flow treatment of new or unusual transactions that occurred during the period and documents the accounting conclusions in a technical accounting memo._x000D_
  _x000D_
 FC&amp;R SP0123,C3R1113: An appropriate accounting manager reviews the financial statements monthly to ensure proper classification of accounts, ensure that the eliminating and any adjusting entries have properly been accounted for and agrees the financials back to the trial balance._x000D_
  _x000D_
 Compensating Control: Cash SP0051 (SP0051 C1R1102) (SP0051 C2R1204): Accountants reconciles all cash balances, including cash suspense accounts, to the general ledger and to bank statements on a monthly basis. Reconciliations are completed the earlier of 25 days after month end or 2 days prior to earnings release. Supporting documentation is attached and reconciling items are investigated. The reconciliations are reviewed and approved by the G/L Cash Reporting Manager and an appropriate higher‐level reviewer._x000D_
  </t>
  </si>
  <si>
    <t xml:space="preserve">SDART Payment Issue
On May 20, 2014, became aware of an error in the distribution of principal to the Issuer’s Class A-2 Note holders._x000D_
 A spreadsheet error caused Note holders of the Class A-2-A to receive an extra month's payment prior to the Class A-2-B holders receiving a payment. SDART 2013-5 Distribution waterfall states that after the Class A-1 notes are paid in full, holders of Class A-2-A and Class A-2-B are required to be paid ratably._x000D_
 To correct the issue, on June 16th, SCUSA injected approximately $71MM to the Class A-2-B holders, in order to bring parity to the respective note balances of Class A-2-A and A-2-B._x000D_
 This payment is, in effect, a transfer of equity from SCUSA’s balance sheet to equity in the ABS - which is then used to pay down principal on the A-2-B tranche. Thus it will be treated as a loss, with a complex calculation to determine the recovery amount._x000D_
  _x000D_
  _x000D_
  </t>
  </si>
  <si>
    <t>Implement controls to ensure ALG/incentive grids are maintained and archived in a centralized accessible location for conducting validation of underwriting, for retention and audit purposes.</t>
  </si>
  <si>
    <t>Update change management process documentation to be aligned with the IT change management program and define a periodic review schedule to keep the documentation up-to-date.  Update process documentation to include within the CHG ticket, evidence of Decision Sciences post-implementation validation.</t>
  </si>
  <si>
    <t xml:space="preserve">SCUSA monitors site capacity to ensure alignment with new business initiatives and economic conditions. An additional site in Puerto Rico is under review for approval. SCUSA is also currently building out an additional site in Phoenix and expanding the Denver site. 
</t>
  </si>
  <si>
    <t xml:space="preserve">A variety of scenarios could push us beyond our existing capacity, resulting in operational execution challenges, compliance exposure, reputational exposure and potential increased losses.
Currently, there are 4 locations in the Dallas Metroplex, including our corporate headquarters and NRH. With approximately 4,000 employees, we are at 90% capacity. In the event of a scenario such as increase in business demands, increase in losses, natural disaster, etc.; SCUSA is at risk of exceeding capacity. SCUSA monitors site capacity to ensure alignment with new business initiatives and economic conditions. An additional site in Puerto Rico is under review for approval. SCUSA is also currently building out an additional site in Phoenix and expanding the Denver site. 
</t>
  </si>
  <si>
    <t>SCUSA operates in a competitive environment, and is subject to heavy regulation.  In similar industry situations, competitive pressure has resulted in revolutionary changes for companies that can exploit technology and find opportunities to revolutionize the way an industry conducts business.  For example, UBER has transformed the taxi cab industry, Netflix and Redbox have nearly eliminated brick and mortar movie rental companies, and Apple recently released their Apple Pay product.  In the past, technology has appeared that has changed the way that SCUSA operates; for example, Electronic Titles, Automated Dialers, etc.  There are several text messaging and communication tools, as well as mobile device applications which improve business.  SCUSA is just starting to enter econtracting, which has the potential to be an industry changer or moderately shift the regulatory landscape, but isn't expected to have the revolutionary impact seen in the industries mentioned above.  SCUSA needs to continue to investigate for opportunities and scan the horizon to find opportunities to capitalize on potential competitive advantages.  
Over the next 12-months, technology shifts are expected to have little impact on SCUSA.  At some point within the next 10-years a company could develop some technology or program which could have significant impacts to consumer preference, mitigating regulatory risks, and SCUSA scalability.  If such a product is adopted by consumers, it may result in changes to the competitive landscape, business economics, or market conditions requiring SCUSA to rapidly change it's business strategies potentially resulting in loss of business, or increased costs.
Estimated impacts are difficult to quantify due to the wide range of potential implications, however at a minimum, a significant project and resources would need to be assembled to adapt, and SCUSA could see a loss of market share if it finds itself in a situation where it has to adapt to catch up.  A revolutionary change could impact the business in the range of $5MM-50MM</t>
  </si>
  <si>
    <t>SCUSA complaint monitoring - used to identify opportunities to improve business processes
Audit Findings can expose weaknesses, which help push the business to identify automated solutions to reduce the likelihood of regulatory violations
Attending conferences to learn about new and emerging technologies</t>
  </si>
  <si>
    <t xml:space="preserve">The risk here is twofold: 1) we are required to buy back loans that do not meet the representations and warranties of the underlying financing identified by either a) SCUSA (aggregate average of ~$35 million per month for all financings, typically assets not originated/acquired under customary practices which could be evidenced by items including early pay defaults and vehicles missing equipment triggered by dealers 'power booking') or b) an investor (none to date) or 2) we do not properly identify the loans that should have been repurchased (to date, in aggregate, less than $1 million of roughly &gt; $30 billion of outstanding securitizations); both could pose financial and reputational risks.  
All financings include specific eligibility criteria on a loan by loan basis such as: originated or acquired in accordance with SCUSA's customary practices, maximum term or interest rate.  If a loan falls outside this criteria, it is possible that SCUSA would be required to repurchase it.  This eligibility is identified and assessed initially and on an ongoing basis.  It is essential that eligibility/repurchase criteria is properly identified at the closing and monitored ongoing.  
If we were to be found in breach of our repurchase obligations, aside from potential legal action and the requirement to repurchase assets, this could lead to a liquidity issue, a crisis of confidence by investors resulting in an increase in funding costs or a decrease in investor appetite. 
Adequate controls are currently in place to mitigate these risks and the implementation of formal policies and procedures are in process of completion.   Given increased regulatory requirements and the implementation of the Lewtan system, we expect the repurchase process will be more robust going forward. </t>
  </si>
  <si>
    <r>
      <t>Aggregation:</t>
    </r>
    <r>
      <rPr>
        <sz val="11"/>
        <color theme="1"/>
        <rFont val="Calibri"/>
        <family val="2"/>
        <scheme val="minor"/>
      </rPr>
      <t xml:space="preserve"> This Risk was derived from the following Lines of Business or Segments (not required for Line of Business Inventories)</t>
    </r>
  </si>
  <si>
    <t xml:space="preserve">Santander Consumer USA Inc. is a specialized consumer finance company focused on vehicle finance and personal lending products.  The Support Functions, such as Accounting, Finance, IT, Talent Management (HR), and Strategic Operations support both the Personal Lending and Auto Finance segments.
For the Support Functions segment, the Material Risks (35) were made up of:
• Operational risks (22) related to transactional capture and input errors, workforce disruption, adequate management of suppliers vendors, taxation law, change management, process execution, data maintenance &amp; protection / cyber security / denial of service and internal fraud.
• Market and Liquidity risks (5) for Interest Rates, Wholesale Liabilities, General Contingent Liability, General Market Liquidity, and Diversification.
• Strategic risks (3) related to Economic conditions / market performance, Technology, and Management &amp; Personnel Expertise
• Credit risks (3) for Default, ALLL / TDR, and Key Third Party Risk
• Compliance risks (1) associated with CCAR submission / capital plan / stress test results
• Model risk (1) for model deterioration.
</t>
  </si>
  <si>
    <t>6/11/15 Training and Executive Meeting; 6/19 Acct’g; 6/17 Finance (7/6 Treasury; 7/7 Cap Mkt); 6/19 Strategic Operations; (6/23 IT Change Management; 6/26 IT Data Mgmt; 6/19 IT PMO; 6/22 IT Security and Ops); 6/22 Decision Science; 6/26 &amp; 7/9 Talent Management; 7/7 IT; 7/8 DS and PL Consolidation; 7/30 Executive Session - Talent Management; 7/31 Executive Session - Accounting/Treasury/Finance/Cap Markets; 8/4 Executive Session - IT/Strategic Ops</t>
  </si>
  <si>
    <t xml:space="preserve">Within the past 12 months SCUSA has engaged third parties to assess and test our Internet-facing environment on three separate occasions. Specifically, penetration testing has been performed on the external facing network, wireless  infrastructure, and “MyAccount” web applications. Zero high and five medium &amp; low vulnerabilities were detected. All five are being tracked for remediation via ServiceNow support tickets.
SCUSA has had zero significant events that have resulted in known loss of company confidential or regulated data.
</t>
  </si>
  <si>
    <r>
      <t xml:space="preserve">Anthony Kutiper- EVP Loan Originations; Brent Huisman- EVP Asset Remarketing; Bryan Magstadt- SVP Corporate Risk and Capital Planning; Cheri Hotman- VP Govern Strategic Oversight; Colin Davis- SVP Client Services CC; Dana Hartman- Director Capital Markets; George Schmelzel – EVP Personal Lending; Jeff Vanderbilt- VP Accounting Policy; Lana Johnson- EVP Decision Sciences; Mark McCastlain- SVP and Treasurer; Mark Smith- EVP Strategic Ops; Mark Sun- VP Capital Markets; Matt Fitzgerald- EVP Sales Marketing; Tamika Carr- SVP Enterprise Program and Project Management; Tony Kutiper- EVP Loan Originations; Troy Miller- EVP Customer Service; Wayne Nightengale- EVP Collections Loss Recovery
</t>
    </r>
    <r>
      <rPr>
        <b/>
        <sz val="10"/>
        <color theme="1"/>
        <rFont val="Calibri"/>
        <family val="2"/>
        <scheme val="minor"/>
      </rPr>
      <t>C Suite Executives</t>
    </r>
    <r>
      <rPr>
        <sz val="10"/>
        <color theme="1"/>
        <rFont val="Calibri"/>
        <family val="2"/>
        <scheme val="minor"/>
      </rPr>
      <t>: Ankush Chawla- Chief Credit Officer; Brad Martin- Chief Operating Officer; Eldridge Burns- Chief Legal Officer; James Fugitt - Chief Technology Officer; Jason Grubb- President and Chief Operating Officer; Jason Kulas - Chief Executive Officer; Michele Rodgers- Chief Compliance Officer; Jennifer Davis- Chief Accounting Officer; Michelle Whatley- Chief Human Resources Officer; Peter Moenickheim - Chief Risk Officer; Richard Morrin - EVP New Business; Don Goin- Chief Information Officer</t>
    </r>
  </si>
  <si>
    <t xml:space="preserve">Model risk management is managed at SHUSA level.  Please refer to the SHUSA MRP documentation.
</t>
  </si>
  <si>
    <t xml:space="preserve">Balance Sheet Reconciliations Errors
Based on a Memo on Errors in Q2’14 financial statements provided to the SCUSA Board of Directors from Jennifer Popp, SCUSA Chief Accounting Officer the following errors were noted in Q2 Financial Statements. _x000D_
  _x000D_
 The purpose of this memo is to evaluate, in accordance with ASC 250, Accounting Changes and Error Corrections (Topic 1‐M, Materiality, formerly SEC Staff Accounting Bulletin No. 99), the materiality of various errors identified in SCUSA’s consolidated financial statements as of and for the three and six months ended June 30, 2014. An error is considered material if it would impact the decisions of users of the financial statements._x000D_
  _x000D_
 The following was classified as a Deficiency._x000D_ _x000D_
 Balance Sheet Reconciliations‐Due to a lack of understanding or research of reconciling items on bank account reconciliations, a number of electronic funds transfers initiated in March 2014 that did not clear the bank due to a systemic error related to a bank account change (and were replaced by disbursements through other methods, such that the payee received the appropriate funds) remained recorded in the GL as an outstanding reconciling item on a cash reconciliation until September 2014 (over 90+ days). This error caused an overstatement of the dealer loans balance, which in turn led to various write offs of that balance, including $3,191k for the three and six months ended June 30, 2014. The EFTs totaled $5,645k, all of which was recorded as a reversal of previous write offs (including some amounts written off in 2013) in the third quarter._x000D_
  _x000D_
 Root Cause:_x000D_
 Temporary system issues initially caused a batch of EFTs to fail that were utilized to pay dealers to fund vehicles. As the EFTs did not clear within the standard 24‐48 hours, new EFTs were initialized and dealers were subsequently paid to clear the outstanding dealer payable. However the initial EFT balances remained as reconciling items on the bank reconciliation for an extended period of time beyond the stipulated 90 days per the control. The reason for the temporary system glitch in March 2014 was a result of the Company changing bank accounts, which caused some technical issues; Management subsequently has reviewed all outstanding items on all bank reconciliations and other balance sheet account reconciliations and determined that this issue is resolved and therefore not a pervasive problem. The issue was discovered through the account reconciliation review process after a change in supervision of the cash accounts. Although the issue ultimately was identified through the reconciliation process, Management considers this a control deficiency related to the bank reconciliation control as there were unresolved issues for an extended period of time. Management does not believe that these errors would rise to anything higher than a deficiency, as reconciliation controls are in place that aggregate unreconciled amounts to help identify if the balances become material. Additionally, management is confident there are no other such outstanding items as all bank reconciliations have now been, and will continue to be on a monthly basis, thoroughly reviewed for such issues._x000D_
  _x000D_
 Control Deficiency: Cash SP0051 (SP0051 C1R1102) (SP0051 C2R1204) ‐ Control: Accountants reconcile all cash balances, including cash suspense accounts, to the general ledger and to bank statements on a monthly basis. Reconciliations are completed the earlier of 25 days after month end or 2 days prior to earnings release. Supporting documentation is attached and reconciling items are investigated. The reconciliations are reviewed and approved by the G/L Cash Reporting Manager and an appropriate higher‐level reviewer._x000D_
  _x000D_
 Compensating Control: We believe the compensating control would also be the control reconciliation, operating effectively. Under new management, the responsible group will abide by the 90 day rule of researching and resolving reconciling items, and resolving material ($5 million or greater) reconciling items in a shorter timeline (prior to the issuance of any public financial statements), allowing the control owner to perform the control at a more precise level and thereby alleviate unresolved issues in a timely manner._x000D_
  </t>
  </si>
  <si>
    <t xml:space="preserve">   </t>
  </si>
  <si>
    <t xml:space="preserve">Currently, there are 4 locations in the Dallas Metroplex, including our corporate facility.  Of approximately 4,000 employees, a high majority are in the Dallas Metroplex area with several key centralized functional areas in a single location.  Loss of this facility or key personnel would result in loss of productivity, increase regulatory risk and reputational exposure. The majority of the SCUSA's capacity exposure is related to Operational functions (of which there are 3,000 servicing employees). 
For example, if we were to lose our North Richland Hills (NRH) site, we do not have the capacity in the combination of the remaining domestic sites or the Outsourced sites to maintain the inbound and outbound call volume.  NRH has over 1,200 Servicing employees, approximately 800 of which are Customer Service and Collection agents.  These 800 Customer Service and Collection agents represent one third of the total agents in those groups.  If those resources were not available for an extended period of time the impact would come in the form of:
- Additional overtime in the remaining sites - Additional resources at the Outsource providers
- Transportation of existing NRH resources to other locations - Purchase of equipment to accommodate resources in other locations
We launch more than 12,000,000 phone calls a month and receive over 2,000,000 more.  If a third of those calls were not made or went unanswered it could result in higher delinquency and loss.  If the blended average balance of accounts is approximately $16,000 it would only take less than 320 accounts of additional loss to hit the 5 million mark. 
In addition, there are specialty functions in NRH that would require the redirection of employees, mail and equipment to another facility.  Bankruptcy, Titles, Impounds, and Insurance are 4 large specialty groups that are impacted by the timing of processes and if we fail to act in a timely manner we lose money:
- BK Proof of claims not filed on time - BK court dates are missed - Title releases are not processed in a timely manner result in fines and penalties - Impound Claims notices go unprocessed and liens are lost - Insurance total loss and repair claims are not filed
If the blended average balance of accounts is approximately $16,000 it would only take less than 320 accounts to hit the 5 million mark.
</t>
  </si>
  <si>
    <r>
      <rPr>
        <b/>
        <sz val="11"/>
        <color theme="1"/>
        <rFont val="Calibri"/>
        <family val="2"/>
        <scheme val="minor"/>
      </rPr>
      <t xml:space="preserve">Functional Unit Risk Assessment </t>
    </r>
    <r>
      <rPr>
        <sz val="11"/>
        <color theme="1"/>
        <rFont val="Calibri"/>
        <family val="2"/>
        <scheme val="minor"/>
      </rPr>
      <t xml:space="preserve">
</t>
    </r>
    <r>
      <rPr>
        <b/>
        <sz val="11"/>
        <color theme="1"/>
        <rFont val="Calibri"/>
        <family val="2"/>
        <scheme val="minor"/>
      </rPr>
      <t xml:space="preserve">
Project Background and Scope:</t>
    </r>
    <r>
      <rPr>
        <sz val="11"/>
        <color theme="1"/>
        <rFont val="Calibri"/>
        <family val="2"/>
        <scheme val="minor"/>
      </rPr>
      <t xml:space="preserve">
As a starting point to the Material Risk Program (MRP), SCUSA used the output from the Functional Unit Risk Assessment Project, which documented the process flows, risks and controls for SCUSA products and processes, including those in the following functional areas:  Originations and Decision Sciences, Personal Lending, Servicing Operations, Accounting and Finance, Information Technology, Corporate Support (Legal, HR, etc.), and Vendor Oversight. The project included the following objectives:  a) obtain an understanding of the business products and processes; b) identify and document the process flows; c) identify and document the population of risks and controls; d) evaluate the inherent risks, control effectiveness and residual risks; e) obtain and map all SOX, SOC2, Compliance, QC/QA and other testing to identify any primary controls requiring additional evaluation.  The methodology followed for the Functional Unit Risk Assessments complied with the ISO 3100 risk assessment framework and allows for a repeatable process with a bottoms up approach to risk assessment.  A secondary project to test primary controls identified in the gap assessment (letter “e.” above) was initiated in August 2015 and the results were considered for the Material Risk Program deliverables.
The Functional Unit Risk Assessment project included key considerations to ensure the project not only identified all of the 1st line of defense business, product and process owners, but also assessed the risk exposure in each area.  SCUSA utilized the organizational chart to identify all line managers responsible for functional units/products/processes.  Each of these managers were interviewed to gain understanding of their area, key processes, etc.  These areas/processes were then risk ranked.  Any rated as high or moderate were included in the Functional Unit project.  Low risk areas/processes were evaluated to gain an understanding of the area/process and rationale for not including in the functional unit assessment project was documented.
SCUSA ensured that the key resources and Subject Matter Experts (SMEs) from the 1st Line of Defense (1LOD) and the corresponding Risk Managers in the 2nd Line of Defense (2LOD) who participated in the Functional Unit Risk Assessment project received training.  Each working session included discussions and live commentary to fully explain the objectives, methodology, and process that would be followed. In addition, ERM identified trained resources within the Risk Team to assist with the completion of the Functional Unit Risk Assessments, augmented with contracted expert resources.  
</t>
    </r>
    <r>
      <rPr>
        <b/>
        <sz val="11"/>
        <color theme="1"/>
        <rFont val="Calibri"/>
        <family val="2"/>
        <scheme val="minor"/>
      </rPr>
      <t>Functional Unit Risk Identification and Assessment:</t>
    </r>
    <r>
      <rPr>
        <sz val="11"/>
        <color theme="1"/>
        <rFont val="Calibri"/>
        <family val="2"/>
        <scheme val="minor"/>
      </rPr>
      <t xml:space="preserve">
Based on the project’s scope, multiple meetings were held with each moderate and high risk area to discuss their risks and corresponding controls.  Foundational materials such as internal audit findings, MRA/MRA’S, and Operational Loss Events were used to more fully formulate the risks within each process/product.  Risks and controls and updated process flows were documented using a consistent format based on these discussions.  The SMEs/1st LOD were responsible for reviewing the risks, controls, and assigned risk and control ratings for accuracy and comprehensiveness.  Senior leadership within each area reviewed the final functional unit assessments to ensure that the risks and controls were accurately captured for their areas.  
</t>
    </r>
    <r>
      <rPr>
        <b/>
        <sz val="11"/>
        <color theme="1"/>
        <rFont val="Calibri"/>
        <family val="2"/>
        <scheme val="minor"/>
      </rPr>
      <t>Review, Enrichment &amp; Challenge:</t>
    </r>
    <r>
      <rPr>
        <sz val="11"/>
        <color theme="1"/>
        <rFont val="Calibri"/>
        <family val="2"/>
        <scheme val="minor"/>
      </rPr>
      <t xml:space="preserve">
The Functional Unit Risk Assessments were reviewed by the 2nd LOD/Risk Managers to provide challenge and enrichment.  Changes suggested were then discussed with the 1LOD and included in the assessment, as appropriate.  
For quality purposes, the ERM team performed a two level review at the Senior Manager and Director levels of each functional unit risk assessment.  The reviews were to provide additional enrichment and challenge to the process, and to help ensure that the risks and controls were comprehensive, risk ratings were applied consistently, and consideration for any low/moderate risks that could be aggregated to create a material risk were included in the assessments. 
</t>
    </r>
    <r>
      <rPr>
        <b/>
        <sz val="11"/>
        <color theme="1"/>
        <rFont val="Calibri"/>
        <family val="2"/>
        <scheme val="minor"/>
      </rPr>
      <t>Material Risk Program (MRP)</t>
    </r>
    <r>
      <rPr>
        <sz val="11"/>
        <color theme="1"/>
        <rFont val="Calibri"/>
        <family val="2"/>
        <scheme val="minor"/>
      </rPr>
      <t xml:space="preserve">
</t>
    </r>
    <r>
      <rPr>
        <b/>
        <sz val="11"/>
        <color theme="1"/>
        <rFont val="Calibri"/>
        <family val="2"/>
        <scheme val="minor"/>
      </rPr>
      <t>Foundational Materials &amp; Training:</t>
    </r>
    <r>
      <rPr>
        <sz val="11"/>
        <color theme="1"/>
        <rFont val="Calibri"/>
        <family val="2"/>
        <scheme val="minor"/>
      </rPr>
      <t xml:space="preserve">
Foundational inputs used in the MRP process included but were not limited to the following:  functional unit risk assessments, Risk Appetite Statement metrics, business reporting, operational loss event data, business process maps, compliance risk assessments, new business initiative assessments, compliance testing results, QC/QA testing, emerging/evolving risks, Internal Audit findings, and MRA'S/MRIA's.  The 2014 CCAR process, corresponding risks and controls, and regulator feedback were also reviewed/considered.  
The SHUSA Material Risk Program Training was conducted with assistance from SHUSA over a two day period with the 1st LOD, 2nd LOD/Risk Managers, and the C-Suite to outline the program, criteria and the process to be followed for the Material Risk Program, their responsibilities, and the due dates for completion.  All C-Suite and senior level management participating in the MRP received training.
</t>
    </r>
    <r>
      <rPr>
        <b/>
        <sz val="11"/>
        <color theme="1"/>
        <rFont val="Calibri"/>
        <family val="2"/>
        <scheme val="minor"/>
      </rPr>
      <t xml:space="preserve">
MRP Risk Identification and Assessment:</t>
    </r>
    <r>
      <rPr>
        <sz val="11"/>
        <color theme="1"/>
        <rFont val="Calibri"/>
        <family val="2"/>
        <scheme val="minor"/>
      </rPr>
      <t xml:space="preserve">
Phase I:  The Functional Unit Risk Assessments, as well as other foundational materials noted above, were used as the starting point for the MRP assessment.  Facilitated meetings were held with senior leadership (EVP/SVP level) to identify the material risks using the criteria of $1M over 12 months or worst 1 in 10 years, based on residual risk.  During this process, management aggregated low/moderate risks and combined similar risks, where appropriate. This first inventory of MRP risks was then distributed to the 2LOD Risk Managers for enrichment and challenge.  In addition, a top-down perspective was obtained via individual meetings with the Executive C-Suite members to obtain their top 5 Material Risks.  A combination of the risks identified through the bottom-up and top-down meetings were compiled as the MRP’s “Interim Risks.”   This process identified approximately 80 MRP Interim Risks from an inventory of over 450 risks.
Phase II:  A series of 7 C-Suite workshops was held to capture top down risks and evaluate the MRP Interim Risks identified during Phase I.  Each session included 3 key components:  1) overview/training covering the program, goals and objectives, materiality definitions, and voting rules; 2) brainstorming to identify those risks the C-Suite expected to see in the MRP Interim Risk inventory; and 3) evaluation of Interim MRP Risks identified in Phase I.  During the workshops the C-Suite members discussed and challenged each Interim MRP Risk for inclusion in the final MRP inventory provided to SHUSA.  The C-Suite used the Qwizdom voting tool to anonymously cast their votes on whether a risk should move forward as a stand-alone Material Risk, be combined with another risk, or be excluded from the Material Risk inventory.  This tool helped ensure the C-Suite remained engaged in the process and allowed them the opportunity to provide their candid opinion on each risk.  The Qwizdom tool also reduced “group think” exposure.   Overall, this process reduced the Interim MRP Risk inventory down to 55 risks for the MRP inventory.
Once the Material Risk Inventory was defined, the 1st LOD developed the narratives for each risk.  The ERM team reviewed the narratives for completeness and to help ensure the narratives and financial information included key supporting information.  The 1st LOD, with assistance from the ERM Team and Risk Managers, completed the other tabs within the Segment Inventory Report.  
</t>
    </r>
    <r>
      <rPr>
        <b/>
        <sz val="11"/>
        <color theme="1"/>
        <rFont val="Calibri"/>
        <family val="2"/>
        <scheme val="minor"/>
      </rPr>
      <t>MRP Review, Enrichment &amp; Challenge:</t>
    </r>
    <r>
      <rPr>
        <sz val="11"/>
        <color theme="1"/>
        <rFont val="Calibri"/>
        <family val="2"/>
        <scheme val="minor"/>
      </rPr>
      <t xml:space="preserve">
Enrichment Training was completed for 2nd LOD to educate the Risk Managers and their designees on their role in challenging and enriching the Material Risk Inventory.  The 2nd LOD reviewed the Material Risks to determine if all relevant risks were included and aggregated, de-coupled or added risks in accordance with the program requirements and ranked the risks within their respective Risk type.  Risks added by the 2nd LOD were provided for informational purposes to the 1st LOD.  The 2nd LOD presented the risks from their Risk Category (Compliance, Operations, Market &amp; Liquidity, and Credit) to their respective subcommittees for additional review, enrichment, challenge and approval. Since SCUSA does not have a specific Strategic committee, and Model risk is handled at SHUSA, the Strategic and Model risks were presented to the Enterprise Risk Management Committee (ERMC) for additional review, enrichment, challenge and approval.  At the subcommittee meetings, Compliance participated to validate the regulatory impact entered by the other risk verticals. The entire suite of material risks were also covered with the ERMC for their final review, consideration and approval. 
The CRO and the Risk Managers will then risk rank the top 10-15 material risks.  These top risks will be presented to the ERMC for consideration and approval.  The final step will be to present an overview of the SCUSA material risk program and the material risks to the SCUSA Risk Committee for their review and approval.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</si>
</sst>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mmm\-yyyy"/>
    <numFmt numFmtId="173" formatCode="0.0%"/>
    <numFmt numFmtId="174" formatCode="0.000%"/>
  </numFmts>
  <fonts count="69"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b/>
      <sz val="11"/>
      <color rgb="FFFF0000"/>
      <name val="Times New Roman"/>
      <family val="1"/>
    </font>
    <font>
      <sz val="10"/>
      <name val="Calibri"/>
      <family val="2"/>
      <scheme val="minor"/>
    </font>
    <font>
      <sz val="11"/>
      <name val="Calibri"/>
      <family val="2"/>
      <scheme val="minor"/>
    </font>
    <font>
      <sz val="9"/>
      <color theme="1"/>
      <name val="Calibri"/>
      <family val="2"/>
      <scheme val="minor"/>
    </font>
    <font>
      <sz val="9"/>
      <color rgb="FF000000"/>
      <name val="Calibri"/>
      <family val="2"/>
      <scheme val="minor"/>
    </font>
    <font>
      <sz val="9"/>
      <name val="Calibri"/>
      <family val="2"/>
      <scheme val="minor"/>
    </font>
    <font>
      <u/>
      <sz val="11"/>
      <color theme="1"/>
      <name val="Calibri"/>
      <family val="2"/>
      <scheme val="minor"/>
    </font>
    <font>
      <b/>
      <sz val="9"/>
      <color indexed="81"/>
      <name val="Tahoma"/>
      <family val="2"/>
    </font>
    <font>
      <sz val="9"/>
      <color indexed="81"/>
      <name val="Tahoma"/>
      <family val="2"/>
    </font>
    <font>
      <sz val="8"/>
      <name val="Calibri"/>
      <family val="2"/>
    </font>
  </fonts>
  <fills count="3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
      <patternFill patternType="solid">
        <fgColor theme="1"/>
        <bgColor indexed="64"/>
      </patternFill>
    </fill>
  </fills>
  <borders count="46">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452">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9" fontId="4" fillId="0" borderId="0" applyFont="0" applyFill="0" applyBorder="0" applyAlignment="0" applyProtection="0"/>
  </cellStyleXfs>
  <cellXfs count="271">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6" fillId="31" borderId="0" xfId="0" applyFont="1" applyFill="1"/>
    <xf numFmtId="0" fontId="49"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49"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0" fillId="0" borderId="2" xfId="0" applyFont="1" applyBorder="1" applyAlignment="1" applyProtection="1">
      <alignment vertical="center" wrapText="1"/>
      <protection locked="0"/>
    </xf>
    <xf numFmtId="14" fontId="60" fillId="0" borderId="2" xfId="0" applyNumberFormat="1" applyFont="1" applyBorder="1" applyAlignment="1" applyProtection="1">
      <alignment vertical="center" wrapText="1"/>
      <protection locked="0"/>
    </xf>
    <xf numFmtId="6" fontId="60" fillId="0" borderId="2" xfId="0" applyNumberFormat="1" applyFont="1" applyBorder="1" applyAlignment="1" applyProtection="1">
      <alignment vertical="center" wrapText="1"/>
      <protection locked="0"/>
    </xf>
    <xf numFmtId="0" fontId="60" fillId="0" borderId="21" xfId="0" applyFont="1" applyBorder="1" applyAlignment="1" applyProtection="1">
      <alignment vertical="center" wrapText="1"/>
      <protection locked="0"/>
    </xf>
    <xf numFmtId="0" fontId="60" fillId="0" borderId="26" xfId="0" applyFont="1" applyBorder="1" applyAlignment="1" applyProtection="1">
      <alignment vertical="center" wrapText="1"/>
      <protection locked="0"/>
    </xf>
    <xf numFmtId="14" fontId="60"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60" fillId="0" borderId="2" xfId="0" applyFont="1" applyBorder="1" applyAlignment="1" applyProtection="1">
      <alignment horizontal="left" vertical="top" wrapText="1"/>
      <protection locked="0"/>
    </xf>
    <xf numFmtId="172" fontId="43" fillId="35" borderId="21" xfId="0" applyNumberFormat="1" applyFont="1" applyFill="1" applyBorder="1" applyAlignment="1">
      <alignment horizontal="center" vertical="center" wrapText="1"/>
    </xf>
    <xf numFmtId="172" fontId="43" fillId="35" borderId="42" xfId="0" applyNumberFormat="1" applyFont="1" applyFill="1" applyBorder="1" applyAlignment="1">
      <alignment horizontal="center" vertical="center" wrapText="1"/>
    </xf>
    <xf numFmtId="0" fontId="62" fillId="0" borderId="2" xfId="0" applyFont="1" applyBorder="1" applyAlignment="1">
      <alignment horizontal="left" vertical="center" wrapText="1"/>
    </xf>
    <xf numFmtId="9" fontId="60" fillId="0" borderId="2" xfId="451" applyFont="1" applyFill="1" applyBorder="1" applyAlignment="1">
      <alignment horizontal="center" vertical="center" wrapText="1"/>
    </xf>
    <xf numFmtId="9" fontId="60" fillId="0" borderId="2" xfId="0" applyNumberFormat="1" applyFont="1" applyFill="1" applyBorder="1" applyAlignment="1">
      <alignment horizontal="center" vertical="center" wrapText="1"/>
    </xf>
    <xf numFmtId="173" fontId="60" fillId="0" borderId="2" xfId="0" applyNumberFormat="1" applyFont="1" applyFill="1" applyBorder="1" applyAlignment="1">
      <alignment horizontal="center" vertical="center" wrapText="1"/>
    </xf>
    <xf numFmtId="9" fontId="60" fillId="0" borderId="21" xfId="0" applyNumberFormat="1" applyFont="1" applyFill="1" applyBorder="1" applyAlignment="1">
      <alignment horizontal="center" vertical="center" wrapText="1"/>
    </xf>
    <xf numFmtId="173" fontId="60" fillId="0" borderId="21" xfId="0" applyNumberFormat="1" applyFont="1" applyFill="1" applyBorder="1" applyAlignment="1">
      <alignment horizontal="center" vertical="center" wrapText="1"/>
    </xf>
    <xf numFmtId="0" fontId="62" fillId="30" borderId="2" xfId="0" applyFont="1" applyFill="1" applyBorder="1" applyAlignment="1">
      <alignment horizontal="left" vertical="center" wrapText="1"/>
    </xf>
    <xf numFmtId="9" fontId="60" fillId="36" borderId="2" xfId="0" applyNumberFormat="1" applyFont="1" applyFill="1" applyBorder="1" applyAlignment="1">
      <alignment horizontal="center" vertical="center" wrapText="1"/>
    </xf>
    <xf numFmtId="9" fontId="60" fillId="36" borderId="21" xfId="0" applyNumberFormat="1" applyFont="1" applyFill="1" applyBorder="1" applyAlignment="1">
      <alignment horizontal="center" vertical="center" wrapText="1"/>
    </xf>
    <xf numFmtId="171" fontId="60" fillId="0" borderId="2" xfId="0" applyNumberFormat="1" applyFont="1" applyFill="1" applyBorder="1" applyAlignment="1">
      <alignment horizontal="center" vertical="center" wrapText="1"/>
    </xf>
    <xf numFmtId="2" fontId="60" fillId="0" borderId="2" xfId="0" applyNumberFormat="1" applyFont="1" applyFill="1" applyBorder="1" applyAlignment="1">
      <alignment horizontal="center" vertical="center" wrapText="1"/>
    </xf>
    <xf numFmtId="171" fontId="60" fillId="0" borderId="21" xfId="0" applyNumberFormat="1" applyFont="1" applyFill="1" applyBorder="1" applyAlignment="1">
      <alignment horizontal="center" vertical="center" wrapText="1"/>
    </xf>
    <xf numFmtId="0" fontId="60" fillId="0" borderId="2" xfId="0" applyFont="1" applyFill="1" applyBorder="1" applyAlignment="1">
      <alignment horizontal="center" vertical="center" wrapText="1"/>
    </xf>
    <xf numFmtId="0" fontId="60" fillId="0" borderId="21" xfId="0" applyFont="1" applyFill="1" applyBorder="1" applyAlignment="1">
      <alignment horizontal="center" vertical="center" wrapText="1"/>
    </xf>
    <xf numFmtId="0" fontId="63" fillId="30" borderId="2" xfId="0" applyFont="1" applyFill="1" applyBorder="1" applyAlignment="1">
      <alignment horizontal="left" vertical="center" wrapText="1"/>
    </xf>
    <xf numFmtId="1" fontId="60" fillId="0" borderId="2" xfId="0" applyNumberFormat="1" applyFont="1" applyFill="1" applyBorder="1" applyAlignment="1">
      <alignment horizontal="center" vertical="center" wrapText="1"/>
    </xf>
    <xf numFmtId="1" fontId="60" fillId="0" borderId="21" xfId="0" applyNumberFormat="1" applyFont="1" applyFill="1" applyBorder="1" applyAlignment="1">
      <alignment horizontal="center" vertical="center" wrapText="1"/>
    </xf>
    <xf numFmtId="174" fontId="60" fillId="0" borderId="2" xfId="0" applyNumberFormat="1" applyFont="1" applyFill="1" applyBorder="1" applyAlignment="1">
      <alignment horizontal="center" vertical="center" wrapText="1"/>
    </xf>
    <xf numFmtId="174" fontId="60" fillId="0" borderId="21" xfId="0" applyNumberFormat="1" applyFont="1" applyFill="1" applyBorder="1" applyAlignment="1">
      <alignment horizontal="center" vertical="center" wrapText="1"/>
    </xf>
    <xf numFmtId="0" fontId="63" fillId="30" borderId="2" xfId="0" applyFont="1" applyFill="1" applyBorder="1" applyAlignment="1">
      <alignment vertical="center" wrapText="1"/>
    </xf>
    <xf numFmtId="0" fontId="64" fillId="30" borderId="2" xfId="0" applyFont="1" applyFill="1" applyBorder="1" applyAlignment="1">
      <alignment vertical="center" wrapText="1"/>
    </xf>
    <xf numFmtId="9" fontId="60" fillId="0" borderId="2" xfId="0" applyNumberFormat="1" applyFont="1" applyBorder="1" applyAlignment="1" applyProtection="1">
      <alignment horizontal="center" vertical="center" wrapText="1"/>
      <protection locked="0"/>
    </xf>
    <xf numFmtId="173" fontId="60" fillId="0" borderId="2" xfId="0" applyNumberFormat="1" applyFont="1" applyBorder="1" applyAlignment="1" applyProtection="1">
      <alignment horizontal="center" vertical="center" wrapText="1"/>
      <protection locked="0"/>
    </xf>
    <xf numFmtId="173" fontId="60" fillId="0" borderId="21" xfId="0" applyNumberFormat="1" applyFont="1" applyBorder="1" applyAlignment="1" applyProtection="1">
      <alignment horizontal="center" vertical="center" wrapText="1"/>
      <protection locked="0"/>
    </xf>
    <xf numFmtId="0" fontId="64" fillId="36" borderId="2" xfId="0" applyFont="1" applyFill="1" applyBorder="1" applyAlignment="1">
      <alignment vertical="center" wrapText="1"/>
    </xf>
    <xf numFmtId="9" fontId="60" fillId="36" borderId="2" xfId="0" applyNumberFormat="1" applyFont="1" applyFill="1" applyBorder="1" applyAlignment="1" applyProtection="1">
      <alignment horizontal="center" vertical="center" wrapText="1"/>
      <protection locked="0"/>
    </xf>
    <xf numFmtId="173" fontId="60" fillId="36" borderId="2" xfId="0" applyNumberFormat="1" applyFont="1" applyFill="1" applyBorder="1" applyAlignment="1" applyProtection="1">
      <alignment horizontal="center" vertical="center" wrapText="1"/>
      <protection locked="0"/>
    </xf>
    <xf numFmtId="1" fontId="60" fillId="0" borderId="2" xfId="0" applyNumberFormat="1" applyFont="1" applyBorder="1" applyAlignment="1" applyProtection="1">
      <alignment horizontal="center" vertical="center" wrapText="1"/>
      <protection locked="0"/>
    </xf>
    <xf numFmtId="171" fontId="60" fillId="0" borderId="2" xfId="0" applyNumberFormat="1" applyFont="1" applyBorder="1" applyAlignment="1" applyProtection="1">
      <alignment horizontal="center" vertical="center" wrapText="1"/>
      <protection locked="0"/>
    </xf>
    <xf numFmtId="171" fontId="60" fillId="0" borderId="21" xfId="0" applyNumberFormat="1" applyFont="1" applyBorder="1" applyAlignment="1" applyProtection="1">
      <alignment horizontal="center" vertical="center" wrapText="1"/>
      <protection locked="0"/>
    </xf>
    <xf numFmtId="2" fontId="60" fillId="0" borderId="2" xfId="0" applyNumberFormat="1" applyFont="1" applyBorder="1" applyAlignment="1" applyProtection="1">
      <alignment horizontal="center" vertical="center" wrapText="1"/>
      <protection locked="0"/>
    </xf>
    <xf numFmtId="3" fontId="60" fillId="0" borderId="2" xfId="0" applyNumberFormat="1" applyFont="1" applyBorder="1" applyAlignment="1" applyProtection="1">
      <alignment horizontal="center" vertical="center" wrapText="1"/>
      <protection locked="0"/>
    </xf>
    <xf numFmtId="10" fontId="60" fillId="0" borderId="2" xfId="0" applyNumberFormat="1" applyFont="1" applyBorder="1" applyAlignment="1" applyProtection="1">
      <alignment horizontal="center" vertical="center" wrapText="1"/>
      <protection locked="0"/>
    </xf>
    <xf numFmtId="10" fontId="60" fillId="0" borderId="21" xfId="0" applyNumberFormat="1" applyFont="1" applyBorder="1" applyAlignment="1" applyProtection="1">
      <alignment horizontal="center" vertical="center" wrapText="1"/>
      <protection locked="0"/>
    </xf>
    <xf numFmtId="9" fontId="60" fillId="0" borderId="21" xfId="0" applyNumberFormat="1" applyFont="1" applyBorder="1" applyAlignment="1" applyProtection="1">
      <alignment horizontal="center" vertical="center" wrapText="1"/>
      <protection locked="0"/>
    </xf>
    <xf numFmtId="1" fontId="60" fillId="0" borderId="21" xfId="0" applyNumberFormat="1" applyFont="1" applyBorder="1" applyAlignment="1" applyProtection="1">
      <alignment horizontal="center" vertical="center" wrapText="1"/>
      <protection locked="0"/>
    </xf>
    <xf numFmtId="0" fontId="60" fillId="0" borderId="2" xfId="0" applyFont="1" applyBorder="1" applyAlignment="1" applyProtection="1">
      <alignment horizontal="center" vertical="center" wrapText="1"/>
      <protection locked="0"/>
    </xf>
    <xf numFmtId="0" fontId="62" fillId="36" borderId="2" xfId="0" applyFont="1" applyFill="1" applyBorder="1" applyAlignment="1">
      <alignment horizontal="left" vertical="center" wrapText="1"/>
    </xf>
    <xf numFmtId="0" fontId="60" fillId="36" borderId="2" xfId="0" applyFont="1" applyFill="1" applyBorder="1" applyAlignment="1" applyProtection="1">
      <alignment horizontal="center" vertical="center" wrapText="1"/>
      <protection locked="0"/>
    </xf>
    <xf numFmtId="1" fontId="60" fillId="36" borderId="2" xfId="0" applyNumberFormat="1" applyFont="1" applyFill="1" applyBorder="1" applyAlignment="1" applyProtection="1">
      <alignment horizontal="center" vertical="center" wrapText="1"/>
      <protection locked="0"/>
    </xf>
    <xf numFmtId="0" fontId="62" fillId="0" borderId="2" xfId="0" applyFont="1" applyFill="1" applyBorder="1" applyAlignment="1">
      <alignment vertical="center" wrapText="1"/>
    </xf>
    <xf numFmtId="173" fontId="60" fillId="0" borderId="2" xfId="0" applyNumberFormat="1" applyFont="1" applyFill="1" applyBorder="1" applyAlignment="1" applyProtection="1">
      <alignment horizontal="center" vertical="center" wrapText="1"/>
      <protection locked="0"/>
    </xf>
    <xf numFmtId="0" fontId="62" fillId="36" borderId="45" xfId="0" applyFont="1" applyFill="1" applyBorder="1" applyAlignment="1">
      <alignment vertical="center" wrapText="1"/>
    </xf>
    <xf numFmtId="10" fontId="60" fillId="36" borderId="2" xfId="0" applyNumberFormat="1" applyFont="1" applyFill="1" applyBorder="1" applyAlignment="1" applyProtection="1">
      <alignment horizontal="center" vertical="center" wrapText="1"/>
      <protection locked="0"/>
    </xf>
    <xf numFmtId="0" fontId="0" fillId="31" borderId="0" xfId="0" applyFill="1" applyAlignment="1">
      <alignment vertical="top" wrapText="1"/>
    </xf>
    <xf numFmtId="0" fontId="0" fillId="31" borderId="0" xfId="0" applyFill="1" applyAlignment="1">
      <alignment wrapText="1"/>
    </xf>
    <xf numFmtId="0" fontId="0" fillId="31" borderId="0" xfId="0" applyFill="1" applyAlignment="1">
      <alignment vertical="top" wrapText="1"/>
    </xf>
    <xf numFmtId="0" fontId="0" fillId="31" borderId="0" xfId="0" applyFill="1" applyAlignment="1">
      <alignment wrapText="1"/>
    </xf>
    <xf numFmtId="0" fontId="0" fillId="31" borderId="0" xfId="0" applyFill="1" applyAlignment="1">
      <alignment vertical="top" wrapText="1"/>
    </xf>
    <xf numFmtId="0" fontId="0" fillId="31" borderId="0" xfId="0" applyFill="1" applyAlignment="1">
      <alignment wrapText="1"/>
    </xf>
    <xf numFmtId="0" fontId="44" fillId="35" borderId="2"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alignment wrapText="1"/>
    </xf>
    <xf numFmtId="0" fontId="68" fillId="0" borderId="2" xfId="0" applyFont="1" applyBorder="1" applyAlignment="1">
      <alignment vertical="top"/>
    </xf>
    <xf numFmtId="0" fontId="68" fillId="0" borderId="2" xfId="0" applyFont="1" applyBorder="1" applyAlignment="1">
      <alignment vertical="top" wrapText="1"/>
    </xf>
    <xf numFmtId="0" fontId="68" fillId="0" borderId="2" xfId="0" applyFont="1" applyBorder="1" applyAlignment="1">
      <alignment horizontal="center" vertical="top" wrapText="1"/>
    </xf>
    <xf numFmtId="14" fontId="68" fillId="0" borderId="2" xfId="0" applyNumberFormat="1" applyFont="1" applyBorder="1" applyAlignment="1">
      <alignment horizontal="center" vertical="top" wrapText="1"/>
    </xf>
    <xf numFmtId="0" fontId="0" fillId="31" borderId="0" xfId="0" applyFill="1" applyAlignment="1">
      <alignment vertical="top" wrapText="1"/>
    </xf>
    <xf numFmtId="0" fontId="0" fillId="31" borderId="0" xfId="0" applyFill="1" applyAlignment="1">
      <alignment wrapText="1"/>
    </xf>
    <xf numFmtId="0" fontId="19" fillId="33" borderId="19" xfId="0" applyFont="1" applyFill="1" applyBorder="1" applyAlignment="1" applyProtection="1">
      <alignment horizontal="left"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3" xfId="0" applyBorder="1" applyAlignment="1">
      <alignment vertical="top" wrapText="1"/>
    </xf>
    <xf numFmtId="0" fontId="0" fillId="0" borderId="44"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3"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0" fillId="31" borderId="0" xfId="0" applyFont="1" applyFill="1" applyAlignment="1">
      <alignment horizontal="center" vertical="center" wrapText="1"/>
    </xf>
    <xf numFmtId="0" fontId="50" fillId="0" borderId="0" xfId="0" applyFont="1" applyAlignment="1">
      <alignment horizontal="center" vertical="center"/>
    </xf>
    <xf numFmtId="0" fontId="52" fillId="31" borderId="0" xfId="0" applyFont="1" applyFill="1" applyAlignment="1">
      <alignment horizontal="center"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31" borderId="0" xfId="0" applyFont="1" applyFill="1" applyAlignment="1" applyProtection="1">
      <alignment horizontal="center" vertical="center"/>
      <protection locked="0"/>
    </xf>
    <xf numFmtId="0" fontId="53"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4" borderId="0" xfId="0" applyFill="1" applyBorder="1" applyAlignment="1" applyProtection="1">
      <alignment horizontal="left" vertical="top" wrapText="1"/>
      <protection locked="0"/>
    </xf>
    <xf numFmtId="0" fontId="0" fillId="34" borderId="31" xfId="0" applyFill="1" applyBorder="1" applyAlignment="1" applyProtection="1">
      <alignment horizontal="left" vertical="top" wrapText="1"/>
      <protection locked="0"/>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0" fillId="0" borderId="30" xfId="0" applyFont="1" applyBorder="1" applyAlignment="1" applyProtection="1">
      <alignment vertical="center" wrapText="1"/>
      <protection locked="0"/>
    </xf>
    <xf numFmtId="0" fontId="61" fillId="0" borderId="31" xfId="0" applyFont="1" applyBorder="1" applyAlignment="1" applyProtection="1">
      <protection locked="0"/>
    </xf>
    <xf numFmtId="0" fontId="61" fillId="0" borderId="32" xfId="0" applyFont="1" applyBorder="1" applyAlignment="1" applyProtection="1">
      <protection locked="0"/>
    </xf>
    <xf numFmtId="0" fontId="60" fillId="0" borderId="35" xfId="0" applyFont="1" applyBorder="1" applyAlignment="1" applyProtection="1">
      <alignment vertical="center" wrapText="1"/>
      <protection locked="0"/>
    </xf>
    <xf numFmtId="0" fontId="61" fillId="0" borderId="36" xfId="0" applyFont="1" applyBorder="1" applyAlignment="1" applyProtection="1">
      <protection locked="0"/>
    </xf>
    <xf numFmtId="0" fontId="61" fillId="0" borderId="1" xfId="0" applyFont="1" applyBorder="1" applyAlignment="1" applyProtection="1">
      <protection locked="0"/>
    </xf>
    <xf numFmtId="0" fontId="0" fillId="34" borderId="36" xfId="0" applyFill="1" applyBorder="1" applyAlignment="1" applyProtection="1">
      <alignment vertical="top" wrapText="1"/>
      <protection locked="0"/>
    </xf>
    <xf numFmtId="0" fontId="0" fillId="34" borderId="1" xfId="0" applyFill="1" applyBorder="1" applyAlignment="1" applyProtection="1">
      <alignment vertical="top" wrapText="1"/>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0" fillId="0" borderId="2" xfId="0" applyFont="1" applyBorder="1" applyAlignment="1" applyProtection="1">
      <alignment vertical="center" wrapText="1"/>
      <protection locked="0"/>
    </xf>
    <xf numFmtId="0" fontId="61"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3" fillId="35" borderId="41" xfId="0" applyFont="1" applyFill="1" applyBorder="1" applyAlignment="1">
      <alignment horizontal="center" vertical="center"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41" fillId="31" borderId="20" xfId="0" applyFont="1" applyFill="1" applyBorder="1" applyAlignment="1">
      <alignment vertical="top" wrapText="1"/>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61" fillId="32" borderId="22" xfId="0" applyFont="1" applyFill="1" applyBorder="1" applyAlignment="1" applyProtection="1">
      <alignment horizontal="left" vertical="top" wrapText="1"/>
      <protection locked="0"/>
    </xf>
    <xf numFmtId="0" fontId="61" fillId="32" borderId="25" xfId="0" applyFont="1" applyFill="1" applyBorder="1" applyAlignment="1" applyProtection="1">
      <alignment horizontal="left" vertical="top" wrapText="1"/>
      <protection locked="0"/>
    </xf>
    <xf numFmtId="0" fontId="61" fillId="32" borderId="23" xfId="0" applyFont="1" applyFill="1" applyBorder="1" applyAlignment="1" applyProtection="1">
      <alignment horizontal="left" vertical="top" wrapText="1"/>
      <protection locked="0"/>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41" xfId="0" applyFont="1" applyBorder="1" applyAlignment="1">
      <alignment vertical="center" wrapText="1"/>
    </xf>
    <xf numFmtId="0" fontId="55"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2">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1"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4">
    <dxf>
      <font>
        <color theme="0"/>
      </font>
      <fill>
        <patternFill>
          <bgColor rgb="FFFF0000"/>
        </patternFill>
      </fill>
    </dxf>
    <dxf>
      <font>
        <color theme="1"/>
      </font>
      <fill>
        <patternFill>
          <bgColor rgb="FFFFFF00"/>
        </patternFill>
      </fill>
    </dxf>
    <dxf>
      <font>
        <color theme="0"/>
      </font>
      <fill>
        <patternFill>
          <bgColor rgb="FF00B050"/>
        </patternFill>
      </fill>
    </dxf>
    <dxf>
      <font>
        <color theme="0" tint="-4.9989318521683403E-2"/>
      </font>
      <fill>
        <patternFill>
          <bgColor theme="0" tint="-4.9989318521683403E-2"/>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externalLink" Target="externalLinks/externalLink3.xml"/><Relationship Id="rId84" Type="http://schemas.openxmlformats.org/officeDocument/2006/relationships/externalLink" Target="externalLinks/externalLink11.xml"/><Relationship Id="rId89" Type="http://schemas.openxmlformats.org/officeDocument/2006/relationships/externalLink" Target="externalLinks/externalLink16.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9.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externalLink" Target="externalLinks/externalLink1.xml"/><Relationship Id="rId79" Type="http://schemas.openxmlformats.org/officeDocument/2006/relationships/externalLink" Target="externalLinks/externalLink6.xml"/><Relationship Id="rId87" Type="http://schemas.openxmlformats.org/officeDocument/2006/relationships/externalLink" Target="externalLinks/externalLink14.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externalLink" Target="externalLinks/externalLink9.xml"/><Relationship Id="rId90" Type="http://schemas.openxmlformats.org/officeDocument/2006/relationships/externalLink" Target="externalLinks/externalLink17.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4.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7.xml"/><Relationship Id="rId85" Type="http://schemas.openxmlformats.org/officeDocument/2006/relationships/externalLink" Target="externalLinks/externalLink12.xml"/><Relationship Id="rId93" Type="http://schemas.openxmlformats.org/officeDocument/2006/relationships/externalLink" Target="externalLinks/externalLink20.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externalLink" Target="externalLinks/externalLink2.xml"/><Relationship Id="rId83" Type="http://schemas.openxmlformats.org/officeDocument/2006/relationships/externalLink" Target="externalLinks/externalLink10.xml"/><Relationship Id="rId88" Type="http://schemas.openxmlformats.org/officeDocument/2006/relationships/externalLink" Target="externalLinks/externalLink15.xml"/><Relationship Id="rId91" Type="http://schemas.openxmlformats.org/officeDocument/2006/relationships/externalLink" Target="externalLinks/externalLink18.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5.xml"/><Relationship Id="rId81" Type="http://schemas.openxmlformats.org/officeDocument/2006/relationships/externalLink" Target="externalLinks/externalLink8.xml"/><Relationship Id="rId86" Type="http://schemas.openxmlformats.org/officeDocument/2006/relationships/externalLink" Target="externalLinks/externalLink13.xml"/><Relationship Id="rId94" Type="http://schemas.openxmlformats.org/officeDocument/2006/relationships/externalLink" Target="externalLinks/externalLink21.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B%20Martin%20(IR35-IR36-IR37,%20IR20,%20IR%2021,%20IR7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PL%203rd%20Pty%20Mgmt%20%20IR%2029%20IR%203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Model%20Errors%20or%20Deterioration%20IR%2033%2034%207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Inaccurate%20Fin%20Rpt%20ALLL%20-%20IR-39.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Overall%20Credit%20Default%20Risk%20-%20IR%207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IR%2040%20-%20Change%20Management.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IR-41%20Data%20Governance.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IR-42%20-%20External%20Service%20Disrup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IR-43%2045%20CyberThreat.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IR-44%2046%20-%20NPI%20Exposure.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IR-5%20-%20Internal%20System%20Disrup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Emp%20Liab_Disputes%20-%20IR%2047.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Willful%20damage%20to%20Physical%20Assets%20IR%2048.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Natural%20disasters%20IR%2048a.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Expertise%20IR50.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Transaction%20Errors%20IR%2051.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Act%20-%20IR%2054%2059%2060%2028.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Tax%20and%201099%2055%20&amp;%2056.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Act%20-IR%2053,57,58,61%20&amp;%20IR66.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Accounting%20and%20Finance-IR-72.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Chrysler Capital Lease Example"/>
      <sheetName val="Dealer Council Example"/>
      <sheetName val="Appendix - Risks"/>
      <sheetName val="IR-35 IR-36 IR-37"/>
      <sheetName val="IR-20"/>
      <sheetName val="IR-79"/>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40"/>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41"/>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42"/>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43"/>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44"/>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 47"/>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48"/>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48a"/>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IR 50"/>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refreshError="1"/>
      <sheetData sheetId="3" refreshError="1"/>
      <sheetData sheetId="4"/>
      <sheetData sheetId="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Chrysler Capital Lease Example"/>
      <sheetName val="Dealer Council Example"/>
      <sheetName val="Appendix - Risks"/>
      <sheetName val="IR54 IR-59"/>
      <sheetName val="IR-60"/>
      <sheetName val="IR-28"/>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Chrysler Capital Lease Example"/>
      <sheetName val="Dealer Council Example"/>
      <sheetName val="Appendix - Risks"/>
      <sheetName val="IR-55"/>
      <sheetName val="IR-56"/>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 sheetId="6"/>
      <sheetData sheetId="7"/>
      <sheetData sheetId="8"/>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Chrysler Capital Lease Example"/>
      <sheetName val="Dealer Council Example"/>
      <sheetName val="Appendix - Risks"/>
      <sheetName val="IR-53, 57, 58, 61"/>
      <sheetName val="IR-66"/>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 sheetId="6"/>
      <sheetData sheetId="7"/>
      <sheetData sheetId="8"/>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Chrysler Capital Lease Example"/>
      <sheetName val="Dealer Council Example"/>
      <sheetName val="Appendix - Risks"/>
      <sheetName val="IR-72"/>
      <sheetName val="IR-72 market value"/>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 sheetId="6"/>
      <sheetData sheetId="7"/>
      <sheetData sheetId="8"/>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 val="Appendix - Risk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election activeCell="B2" sqref="B2"/>
    </sheetView>
  </sheetViews>
  <sheetFormatPr defaultColWidth="0" defaultRowHeight="0" customHeight="1" zeroHeight="1" x14ac:dyDescent="0.25"/>
  <cols>
    <col min="1" max="1" width="28.85546875" style="93" customWidth="1"/>
    <col min="2" max="2" width="9.140625" style="93" customWidth="1"/>
    <col min="3" max="3" width="13" style="93" customWidth="1"/>
    <col min="4" max="4" width="13.140625" style="93" customWidth="1"/>
    <col min="5" max="5" width="47.7109375" style="9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3" t="s">
        <v>513</v>
      </c>
      <c r="B1" s="43"/>
      <c r="C1" s="43"/>
      <c r="D1" s="43"/>
      <c r="E1" s="43"/>
      <c r="AA1" s="43">
        <v>0</v>
      </c>
    </row>
    <row r="2" spans="1:27" ht="15" x14ac:dyDescent="0.25">
      <c r="A2" s="43"/>
      <c r="B2" s="43"/>
      <c r="C2" s="43"/>
      <c r="D2" s="43"/>
      <c r="E2" s="105" t="s">
        <v>525</v>
      </c>
    </row>
    <row r="3" spans="1:27" ht="15" x14ac:dyDescent="0.25">
      <c r="A3" s="39"/>
      <c r="B3" s="39"/>
      <c r="C3" s="39"/>
      <c r="D3" s="39"/>
      <c r="E3" s="171" t="s">
        <v>507</v>
      </c>
      <c r="F3" s="172"/>
    </row>
    <row r="4" spans="1:27" ht="15" x14ac:dyDescent="0.25">
      <c r="A4" s="39"/>
      <c r="B4" s="39"/>
      <c r="C4" s="39"/>
      <c r="D4" s="39"/>
      <c r="E4" s="173"/>
      <c r="F4" s="174"/>
    </row>
    <row r="5" spans="1:27" ht="4.5" customHeight="1" x14ac:dyDescent="0.25">
      <c r="A5" s="39"/>
      <c r="B5" s="39"/>
      <c r="C5" s="39"/>
      <c r="D5" s="39"/>
      <c r="E5" s="173"/>
      <c r="F5" s="174"/>
    </row>
    <row r="6" spans="1:27" ht="4.5" customHeight="1" x14ac:dyDescent="0.25">
      <c r="A6" s="39"/>
      <c r="B6" s="39"/>
      <c r="C6" s="39"/>
      <c r="D6" s="39"/>
      <c r="E6" s="173"/>
      <c r="F6" s="174"/>
    </row>
    <row r="7" spans="1:27" ht="15" x14ac:dyDescent="0.25">
      <c r="A7" s="39"/>
      <c r="B7" s="39"/>
      <c r="C7" s="39"/>
      <c r="D7" s="39"/>
      <c r="E7" s="173"/>
      <c r="F7" s="174"/>
    </row>
    <row r="8" spans="1:27" ht="15" x14ac:dyDescent="0.25">
      <c r="A8" s="39"/>
      <c r="B8" s="39"/>
      <c r="C8" s="39"/>
      <c r="D8" s="39"/>
      <c r="E8" s="173"/>
      <c r="F8" s="174"/>
    </row>
    <row r="9" spans="1:27" ht="15" x14ac:dyDescent="0.25">
      <c r="A9" s="39"/>
      <c r="B9" s="39"/>
      <c r="C9" s="39"/>
      <c r="D9" s="39"/>
      <c r="E9" s="173"/>
      <c r="F9" s="174"/>
    </row>
    <row r="10" spans="1:27" ht="15" hidden="1" customHeight="1" x14ac:dyDescent="0.25">
      <c r="A10" s="39"/>
      <c r="B10" s="39"/>
      <c r="C10" s="39"/>
      <c r="D10" s="39"/>
      <c r="E10" s="173"/>
      <c r="F10" s="174"/>
    </row>
    <row r="11" spans="1:27" ht="15" hidden="1" customHeight="1" x14ac:dyDescent="0.25">
      <c r="A11" s="39"/>
      <c r="B11" s="39"/>
      <c r="C11" s="39"/>
      <c r="D11" s="39"/>
      <c r="E11" s="173"/>
      <c r="F11" s="174"/>
    </row>
    <row r="12" spans="1:27" ht="15" hidden="1" customHeight="1" x14ac:dyDescent="0.25">
      <c r="A12" s="95"/>
      <c r="B12" s="39"/>
      <c r="C12" s="39"/>
      <c r="D12" s="39"/>
      <c r="E12" s="173"/>
      <c r="F12" s="174"/>
    </row>
    <row r="13" spans="1:27" ht="15" x14ac:dyDescent="0.25">
      <c r="A13" s="39"/>
      <c r="B13" s="39"/>
      <c r="C13" s="39"/>
      <c r="D13" s="39"/>
      <c r="E13" s="173"/>
      <c r="F13" s="174"/>
    </row>
    <row r="14" spans="1:27" ht="15" customHeight="1" x14ac:dyDescent="0.25">
      <c r="A14" s="177" t="s">
        <v>517</v>
      </c>
      <c r="B14" s="178"/>
      <c r="C14" s="179"/>
      <c r="D14" s="179"/>
      <c r="E14" s="173"/>
      <c r="F14" s="174"/>
    </row>
    <row r="15" spans="1:27" ht="15" customHeight="1" x14ac:dyDescent="0.25">
      <c r="A15" s="180"/>
      <c r="B15" s="181"/>
      <c r="C15" s="182"/>
      <c r="D15" s="182"/>
      <c r="E15" s="173"/>
      <c r="F15" s="174"/>
    </row>
    <row r="16" spans="1:27" ht="15" customHeight="1" x14ac:dyDescent="0.25">
      <c r="A16" s="180"/>
      <c r="B16" s="181"/>
      <c r="C16" s="182"/>
      <c r="D16" s="182"/>
      <c r="E16" s="173"/>
      <c r="F16" s="174"/>
    </row>
    <row r="17" spans="1:6" ht="53.25" customHeight="1" x14ac:dyDescent="0.25">
      <c r="A17" s="180"/>
      <c r="B17" s="181"/>
      <c r="C17" s="182"/>
      <c r="D17" s="182"/>
      <c r="E17" s="173"/>
      <c r="F17" s="174"/>
    </row>
    <row r="18" spans="1:6" ht="15" x14ac:dyDescent="0.25">
      <c r="A18" s="180"/>
      <c r="B18" s="181"/>
      <c r="C18" s="182"/>
      <c r="D18" s="182"/>
      <c r="E18" s="173"/>
      <c r="F18" s="174"/>
    </row>
    <row r="19" spans="1:6" ht="15" x14ac:dyDescent="0.25">
      <c r="A19" s="180"/>
      <c r="B19" s="181"/>
      <c r="C19" s="182"/>
      <c r="D19" s="182"/>
      <c r="E19" s="173"/>
      <c r="F19" s="174"/>
    </row>
    <row r="20" spans="1:6" ht="15" x14ac:dyDescent="0.25">
      <c r="A20" s="180"/>
      <c r="B20" s="181"/>
      <c r="C20" s="182"/>
      <c r="D20" s="182"/>
      <c r="E20" s="173"/>
      <c r="F20" s="174"/>
    </row>
    <row r="21" spans="1:6" ht="15" x14ac:dyDescent="0.25">
      <c r="A21" s="180"/>
      <c r="B21" s="181"/>
      <c r="C21" s="182"/>
      <c r="D21" s="182"/>
      <c r="E21" s="173"/>
      <c r="F21" s="174"/>
    </row>
    <row r="22" spans="1:6" ht="15" x14ac:dyDescent="0.25">
      <c r="A22" s="180"/>
      <c r="B22" s="181"/>
      <c r="C22" s="182"/>
      <c r="D22" s="182"/>
      <c r="E22" s="173"/>
      <c r="F22" s="174"/>
    </row>
    <row r="23" spans="1:6" ht="15" x14ac:dyDescent="0.25">
      <c r="A23" s="180"/>
      <c r="B23" s="181"/>
      <c r="C23" s="182"/>
      <c r="D23" s="182"/>
      <c r="E23" s="173"/>
      <c r="F23" s="174"/>
    </row>
    <row r="24" spans="1:6" ht="15" customHeight="1" x14ac:dyDescent="0.25">
      <c r="A24" s="180"/>
      <c r="B24" s="181"/>
      <c r="C24" s="182"/>
      <c r="D24" s="182"/>
      <c r="E24" s="173"/>
      <c r="F24" s="174"/>
    </row>
    <row r="25" spans="1:6" ht="15" customHeight="1" x14ac:dyDescent="0.25">
      <c r="A25" s="180"/>
      <c r="B25" s="181"/>
      <c r="C25" s="182"/>
      <c r="D25" s="182"/>
      <c r="E25" s="173"/>
      <c r="F25" s="174"/>
    </row>
    <row r="26" spans="1:6" ht="15" customHeight="1" x14ac:dyDescent="0.25">
      <c r="A26" s="180"/>
      <c r="B26" s="181"/>
      <c r="C26" s="182"/>
      <c r="D26" s="182"/>
      <c r="E26" s="173"/>
      <c r="F26" s="174"/>
    </row>
    <row r="27" spans="1:6" ht="36" customHeight="1" x14ac:dyDescent="0.25">
      <c r="A27" s="180"/>
      <c r="B27" s="181"/>
      <c r="C27" s="182"/>
      <c r="D27" s="182"/>
      <c r="E27" s="173"/>
      <c r="F27" s="174"/>
    </row>
    <row r="28" spans="1:6" ht="36" customHeight="1" x14ac:dyDescent="0.25">
      <c r="A28" s="180"/>
      <c r="B28" s="181"/>
      <c r="C28" s="182"/>
      <c r="D28" s="182"/>
      <c r="E28" s="173"/>
      <c r="F28" s="174"/>
    </row>
    <row r="29" spans="1:6" ht="36" customHeight="1" x14ac:dyDescent="0.25">
      <c r="A29" s="180"/>
      <c r="B29" s="181"/>
      <c r="C29" s="182"/>
      <c r="D29" s="182"/>
      <c r="E29" s="173"/>
      <c r="F29" s="174"/>
    </row>
    <row r="30" spans="1:6" ht="36" customHeight="1" x14ac:dyDescent="0.25">
      <c r="A30" s="180"/>
      <c r="B30" s="181"/>
      <c r="C30" s="182"/>
      <c r="D30" s="182"/>
      <c r="E30" s="173"/>
      <c r="F30" s="174"/>
    </row>
    <row r="31" spans="1:6" ht="36" customHeight="1" x14ac:dyDescent="0.25">
      <c r="A31" s="180"/>
      <c r="B31" s="181"/>
      <c r="C31" s="182"/>
      <c r="D31" s="182"/>
      <c r="E31" s="173"/>
      <c r="F31" s="174"/>
    </row>
    <row r="32" spans="1:6" ht="15" x14ac:dyDescent="0.25">
      <c r="A32" s="180"/>
      <c r="B32" s="181"/>
      <c r="C32" s="182"/>
      <c r="D32" s="182"/>
      <c r="E32" s="173"/>
      <c r="F32" s="174"/>
    </row>
    <row r="33" spans="1:6" ht="15" customHeight="1" x14ac:dyDescent="0.25">
      <c r="A33" s="180"/>
      <c r="B33" s="181"/>
      <c r="C33" s="182"/>
      <c r="D33" s="182"/>
      <c r="E33" s="173"/>
      <c r="F33" s="174"/>
    </row>
    <row r="34" spans="1:6" ht="15" customHeight="1" x14ac:dyDescent="0.25">
      <c r="A34" s="180"/>
      <c r="B34" s="181"/>
      <c r="C34" s="182"/>
      <c r="D34" s="182"/>
      <c r="E34" s="173"/>
      <c r="F34" s="174"/>
    </row>
    <row r="35" spans="1:6" ht="15" x14ac:dyDescent="0.25">
      <c r="A35" s="180"/>
      <c r="B35" s="181"/>
      <c r="C35" s="182"/>
      <c r="D35" s="182"/>
      <c r="E35" s="173"/>
      <c r="F35" s="174"/>
    </row>
    <row r="36" spans="1:6" ht="31.5" customHeight="1" x14ac:dyDescent="0.25">
      <c r="A36" s="180"/>
      <c r="B36" s="181"/>
      <c r="C36" s="182"/>
      <c r="D36" s="182"/>
      <c r="E36" s="173"/>
      <c r="F36" s="174"/>
    </row>
    <row r="37" spans="1:6" ht="31.5" customHeight="1" x14ac:dyDescent="0.25">
      <c r="A37" s="180"/>
      <c r="B37" s="181"/>
      <c r="C37" s="182"/>
      <c r="D37" s="182"/>
      <c r="E37" s="173"/>
      <c r="F37" s="174"/>
    </row>
    <row r="38" spans="1:6" ht="31.5" customHeight="1" x14ac:dyDescent="0.25">
      <c r="A38" s="180"/>
      <c r="B38" s="181"/>
      <c r="C38" s="182"/>
      <c r="D38" s="182"/>
      <c r="E38" s="173"/>
      <c r="F38" s="174"/>
    </row>
    <row r="39" spans="1:6" ht="31.5" customHeight="1" x14ac:dyDescent="0.25">
      <c r="A39" s="180"/>
      <c r="B39" s="181"/>
      <c r="C39" s="182"/>
      <c r="D39" s="182"/>
      <c r="E39" s="173"/>
      <c r="F39" s="174"/>
    </row>
    <row r="40" spans="1:6" ht="15" x14ac:dyDescent="0.25">
      <c r="A40" s="183"/>
      <c r="B40" s="184"/>
      <c r="C40" s="185"/>
      <c r="D40" s="185"/>
      <c r="E40" s="175"/>
      <c r="F40" s="176"/>
    </row>
  </sheetData>
  <sheetProtection formatCells="0" formatColumns="0" formatRows="0"/>
  <mergeCells count="2">
    <mergeCell ref="E3:F40"/>
    <mergeCell ref="A14:D40"/>
  </mergeCells>
  <pageMargins left="0.25" right="0.25" top="0.75" bottom="0.75" header="0.3" footer="0.3"/>
  <pageSetup scale="78" orientation="portrait" r:id="rId1"/>
  <headerFooter>
    <oddHeader>&amp;CSCUSA Support Functions</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Normal="100" zoomScaleSheetLayoutView="100" workbookViewId="0">
      <selection activeCell="F6" sqref="F6"/>
    </sheetView>
  </sheetViews>
  <sheetFormatPr defaultColWidth="0" defaultRowHeight="15" zeroHeight="1" x14ac:dyDescent="0.25"/>
  <cols>
    <col min="1" max="8" width="9.140625" style="43" customWidth="1"/>
    <col min="9" max="10" width="7.7109375" style="43" customWidth="1"/>
    <col min="11" max="11" width="7.7109375" style="106" hidden="1" customWidth="1"/>
    <col min="12" max="15" width="3.85546875" style="106" hidden="1" customWidth="1"/>
    <col min="16" max="16384" width="0.85546875" style="43" hidden="1"/>
  </cols>
  <sheetData>
    <row r="1" spans="1:15 16383:16383" ht="21" x14ac:dyDescent="0.35">
      <c r="B1" s="83"/>
      <c r="L1" s="39"/>
      <c r="M1" s="39"/>
      <c r="N1" s="39"/>
      <c r="O1" s="39"/>
      <c r="XFC1" s="43" t="s">
        <v>487</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95"/>
      <c r="L12" s="36"/>
      <c r="M12" s="36"/>
      <c r="N12" s="36"/>
      <c r="O12" s="36"/>
    </row>
    <row r="13" spans="1:15 16383:16383" x14ac:dyDescent="0.25">
      <c r="K13" s="36"/>
      <c r="L13" s="36"/>
      <c r="M13" s="36"/>
      <c r="N13" s="36"/>
      <c r="O13" s="36"/>
    </row>
    <row r="14" spans="1:15 16383:16383" x14ac:dyDescent="0.25">
      <c r="A14" s="186" t="s">
        <v>304</v>
      </c>
      <c r="B14" s="187"/>
      <c r="C14" s="187"/>
      <c r="D14" s="187"/>
      <c r="E14" s="187"/>
      <c r="F14" s="187"/>
      <c r="G14" s="187"/>
      <c r="H14" s="187"/>
      <c r="I14" s="187"/>
      <c r="J14" s="187"/>
      <c r="K14" s="107"/>
    </row>
    <row r="15" spans="1:15 16383:16383" x14ac:dyDescent="0.25">
      <c r="A15" s="187"/>
      <c r="B15" s="187"/>
      <c r="C15" s="187"/>
      <c r="D15" s="187"/>
      <c r="E15" s="187"/>
      <c r="F15" s="187"/>
      <c r="G15" s="187"/>
      <c r="H15" s="187"/>
      <c r="I15" s="187"/>
      <c r="J15" s="187"/>
    </row>
    <row r="16" spans="1:15 16383:16383" x14ac:dyDescent="0.25">
      <c r="A16" s="187"/>
      <c r="B16" s="187"/>
      <c r="C16" s="187"/>
      <c r="D16" s="187"/>
      <c r="E16" s="187"/>
      <c r="F16" s="187"/>
      <c r="G16" s="187"/>
      <c r="H16" s="187"/>
      <c r="I16" s="187"/>
      <c r="J16" s="187"/>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88" t="s">
        <v>477</v>
      </c>
      <c r="B24" s="189"/>
      <c r="C24" s="189"/>
      <c r="D24" s="189"/>
      <c r="E24" s="189"/>
      <c r="F24" s="189"/>
      <c r="G24" s="189"/>
      <c r="H24" s="189"/>
      <c r="I24" s="189"/>
      <c r="J24" s="189"/>
    </row>
    <row r="25" spans="1:10" x14ac:dyDescent="0.25">
      <c r="A25" s="189"/>
      <c r="B25" s="189"/>
      <c r="C25" s="189"/>
      <c r="D25" s="189"/>
      <c r="E25" s="189"/>
      <c r="F25" s="189"/>
      <c r="G25" s="189"/>
      <c r="H25" s="189"/>
      <c r="I25" s="189"/>
      <c r="J25" s="189"/>
    </row>
    <row r="26" spans="1:10" x14ac:dyDescent="0.25">
      <c r="A26" s="189"/>
      <c r="B26" s="189"/>
      <c r="C26" s="189"/>
      <c r="D26" s="189"/>
      <c r="E26" s="189"/>
      <c r="F26" s="189"/>
      <c r="G26" s="189"/>
      <c r="H26" s="189"/>
      <c r="I26" s="189"/>
      <c r="J26" s="189"/>
    </row>
    <row r="27" spans="1:10" x14ac:dyDescent="0.25">
      <c r="A27" s="190"/>
      <c r="B27" s="190"/>
      <c r="C27" s="190"/>
      <c r="D27" s="190"/>
      <c r="E27" s="190"/>
      <c r="F27" s="190"/>
      <c r="G27" s="190"/>
      <c r="H27" s="190"/>
      <c r="I27" s="190"/>
      <c r="J27" s="190"/>
    </row>
    <row r="28" spans="1:10" x14ac:dyDescent="0.25">
      <c r="A28" s="190"/>
      <c r="B28" s="190"/>
      <c r="C28" s="190"/>
      <c r="D28" s="190"/>
      <c r="E28" s="190"/>
      <c r="F28" s="190"/>
      <c r="G28" s="190"/>
      <c r="H28" s="190"/>
      <c r="I28" s="190"/>
      <c r="J28" s="190"/>
    </row>
    <row r="29" spans="1:10" x14ac:dyDescent="0.25"/>
    <row r="30" spans="1:10" x14ac:dyDescent="0.25"/>
    <row r="31" spans="1:10" x14ac:dyDescent="0.25"/>
    <row r="32" spans="1:10" x14ac:dyDescent="0.25"/>
    <row r="33" spans="1:10" x14ac:dyDescent="0.25">
      <c r="A33" s="191" t="s">
        <v>529</v>
      </c>
      <c r="B33" s="192"/>
      <c r="C33" s="192"/>
      <c r="D33" s="192"/>
      <c r="E33" s="192"/>
      <c r="F33" s="192"/>
      <c r="G33" s="192"/>
      <c r="H33" s="192"/>
      <c r="I33" s="192"/>
      <c r="J33" s="192"/>
    </row>
    <row r="34" spans="1:10" x14ac:dyDescent="0.25">
      <c r="A34" s="192"/>
      <c r="B34" s="192"/>
      <c r="C34" s="192"/>
      <c r="D34" s="192"/>
      <c r="E34" s="192"/>
      <c r="F34" s="192"/>
      <c r="G34" s="192"/>
      <c r="H34" s="192"/>
      <c r="I34" s="192"/>
      <c r="J34" s="192"/>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headerFooter>
    <oddHeader>&amp;CSCUSA Support Functions</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C3" sqref="C3"/>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487</v>
      </c>
    </row>
    <row r="2" spans="1:27" ht="15.75" thickBot="1" x14ac:dyDescent="0.3"/>
    <row r="3" spans="1:27" ht="29.25" customHeight="1" thickBot="1" x14ac:dyDescent="0.3">
      <c r="A3" s="193" t="s">
        <v>257</v>
      </c>
      <c r="B3" s="194"/>
      <c r="C3" s="170">
        <v>2015</v>
      </c>
    </row>
    <row r="4" spans="1:27" ht="33.75" customHeight="1" thickBot="1" x14ac:dyDescent="0.3">
      <c r="A4" s="193" t="s">
        <v>305</v>
      </c>
      <c r="B4" s="194"/>
      <c r="C4" s="94" t="s">
        <v>531</v>
      </c>
    </row>
    <row r="5" spans="1:27" ht="33.75" customHeight="1" thickBot="1" x14ac:dyDescent="0.3">
      <c r="A5" s="193" t="s">
        <v>306</v>
      </c>
      <c r="B5" s="194"/>
      <c r="C5" s="94" t="s">
        <v>875</v>
      </c>
    </row>
    <row r="6" spans="1:27" ht="33.75" customHeight="1" thickBot="1" x14ac:dyDescent="0.3">
      <c r="A6" s="193" t="s">
        <v>1</v>
      </c>
      <c r="B6" s="194"/>
      <c r="C6" s="94" t="str">
        <f>C4</f>
        <v>Support Functions: IT, Talent Management (HR), and Strategic Operations</v>
      </c>
    </row>
    <row r="7" spans="1:27" ht="33.75" customHeight="1" thickBot="1" x14ac:dyDescent="0.3">
      <c r="A7" s="193" t="s">
        <v>258</v>
      </c>
      <c r="B7" s="194"/>
      <c r="C7" s="94" t="str">
        <f>C5</f>
        <v>Jason Grubb, President</v>
      </c>
    </row>
    <row r="8" spans="1:27" ht="33.75" hidden="1" customHeight="1" thickBot="1" x14ac:dyDescent="0.3">
      <c r="A8" s="193" t="s">
        <v>508</v>
      </c>
      <c r="B8" s="194"/>
      <c r="C8" s="94"/>
    </row>
    <row r="9" spans="1:27" ht="33.75" hidden="1" customHeight="1" thickBot="1" x14ac:dyDescent="0.3">
      <c r="A9" s="193" t="s">
        <v>509</v>
      </c>
      <c r="B9" s="194"/>
      <c r="C9" s="94"/>
    </row>
    <row r="10" spans="1:27" ht="100.5" customHeight="1" thickBot="1" x14ac:dyDescent="0.3">
      <c r="A10" s="193" t="s">
        <v>259</v>
      </c>
      <c r="B10" s="194"/>
      <c r="C10" s="94" t="s">
        <v>901</v>
      </c>
    </row>
    <row r="11" spans="1:27" ht="217.5" thickBot="1" x14ac:dyDescent="0.3">
      <c r="A11" s="193" t="s">
        <v>260</v>
      </c>
      <c r="B11" s="194"/>
      <c r="C11" s="94" t="s">
        <v>903</v>
      </c>
    </row>
    <row r="12" spans="1:27" ht="33.75" customHeight="1" thickBot="1" x14ac:dyDescent="0.3">
      <c r="A12" s="193" t="s">
        <v>510</v>
      </c>
      <c r="B12" s="194"/>
      <c r="C12" s="94"/>
    </row>
    <row r="13" spans="1:27" ht="33.75" customHeight="1" thickBot="1" x14ac:dyDescent="0.3">
      <c r="A13" s="193" t="s">
        <v>261</v>
      </c>
      <c r="B13" s="194"/>
      <c r="C13" s="94" t="str">
        <f>C7</f>
        <v>Jason Grubb, President</v>
      </c>
    </row>
    <row r="14" spans="1:27" x14ac:dyDescent="0.25"/>
    <row r="15" spans="1:27" ht="15.75" thickBot="1" x14ac:dyDescent="0.3">
      <c r="A15" s="67" t="s">
        <v>486</v>
      </c>
      <c r="B15" s="195" t="s">
        <v>876</v>
      </c>
      <c r="C15" s="196"/>
    </row>
    <row r="16" spans="1:27" x14ac:dyDescent="0.25"/>
    <row r="17" spans="1:3" x14ac:dyDescent="0.25">
      <c r="A17" s="84" t="s">
        <v>511</v>
      </c>
      <c r="B17" s="47"/>
    </row>
    <row r="18" spans="1:3" x14ac:dyDescent="0.25"/>
    <row r="19" spans="1:3" x14ac:dyDescent="0.25">
      <c r="A19" s="48" t="s">
        <v>262</v>
      </c>
      <c r="B19" s="49"/>
      <c r="C19" s="50"/>
    </row>
    <row r="20" spans="1:3" ht="198.75" customHeight="1" x14ac:dyDescent="0.25">
      <c r="A20" s="197" t="s">
        <v>505</v>
      </c>
      <c r="B20" s="185"/>
      <c r="C20" s="198"/>
    </row>
  </sheetData>
  <sheetProtection formatRows="0"/>
  <mergeCells count="13">
    <mergeCell ref="A11:B11"/>
    <mergeCell ref="A12:B12"/>
    <mergeCell ref="A13:B13"/>
    <mergeCell ref="B15:C15"/>
    <mergeCell ref="A20:C20"/>
    <mergeCell ref="A10:B10"/>
    <mergeCell ref="A3:B3"/>
    <mergeCell ref="A4:B4"/>
    <mergeCell ref="A5:B5"/>
    <mergeCell ref="A6:B6"/>
    <mergeCell ref="A7:B7"/>
    <mergeCell ref="A8:B8"/>
    <mergeCell ref="A9:B9"/>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&amp;CSCUSA Support Functions</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6"/>
  <sheetViews>
    <sheetView tabSelected="1" view="pageLayout" topLeftCell="A9" zoomScale="37" zoomScaleNormal="100" zoomScaleSheetLayoutView="100" zoomScalePageLayoutView="37" workbookViewId="0">
      <selection activeCell="G9" sqref="G9"/>
    </sheetView>
  </sheetViews>
  <sheetFormatPr defaultColWidth="0" defaultRowHeight="408.75" customHeight="1" x14ac:dyDescent="0.25"/>
  <cols>
    <col min="1" max="1" width="130.42578125" style="51" customWidth="1"/>
    <col min="2" max="16384" width="2.140625" style="43" hidden="1"/>
  </cols>
  <sheetData>
    <row r="1" spans="1:27" ht="15.75" thickBot="1" x14ac:dyDescent="0.3">
      <c r="A1" s="71" t="s">
        <v>266</v>
      </c>
      <c r="AA1" s="43" t="s">
        <v>488</v>
      </c>
    </row>
    <row r="2" spans="1:27" ht="30" x14ac:dyDescent="0.25">
      <c r="A2" s="42" t="s">
        <v>518</v>
      </c>
    </row>
    <row r="3" spans="1:27" ht="276.75" customHeight="1" x14ac:dyDescent="0.25">
      <c r="A3" s="88" t="s">
        <v>900</v>
      </c>
    </row>
    <row r="4" spans="1:27" ht="15.75" thickBot="1" x14ac:dyDescent="0.3">
      <c r="A4" s="71" t="s">
        <v>263</v>
      </c>
    </row>
    <row r="5" spans="1:27" ht="75" x14ac:dyDescent="0.25">
      <c r="A5" s="42" t="s">
        <v>519</v>
      </c>
    </row>
    <row r="6" spans="1:27" ht="53.25" customHeight="1" x14ac:dyDescent="0.25">
      <c r="A6" s="88" t="s">
        <v>558</v>
      </c>
    </row>
    <row r="7" spans="1:27" ht="15.75" thickBot="1" x14ac:dyDescent="0.3">
      <c r="A7" s="71" t="s">
        <v>264</v>
      </c>
    </row>
    <row r="8" spans="1:27" ht="150" x14ac:dyDescent="0.25">
      <c r="A8" s="42" t="s">
        <v>475</v>
      </c>
    </row>
    <row r="9" spans="1:27" ht="408" customHeight="1" x14ac:dyDescent="0.25">
      <c r="A9" s="199" t="s">
        <v>908</v>
      </c>
    </row>
    <row r="10" spans="1:27" ht="408" customHeight="1" x14ac:dyDescent="0.25">
      <c r="A10" s="199"/>
    </row>
    <row r="11" spans="1:27" ht="339" customHeight="1" x14ac:dyDescent="0.25">
      <c r="A11" s="199"/>
    </row>
    <row r="12" spans="1:27" ht="408" customHeight="1" x14ac:dyDescent="0.25">
      <c r="A12" s="200"/>
    </row>
    <row r="13" spans="1:27" ht="15.75" thickBot="1" x14ac:dyDescent="0.3">
      <c r="A13" s="71" t="s">
        <v>265</v>
      </c>
    </row>
    <row r="14" spans="1:27" ht="135" x14ac:dyDescent="0.25">
      <c r="A14" s="42" t="s">
        <v>476</v>
      </c>
    </row>
    <row r="15" spans="1:27" ht="408.75" customHeight="1" x14ac:dyDescent="0.25">
      <c r="A15" s="199" t="s">
        <v>767</v>
      </c>
    </row>
    <row r="16" spans="1:27" ht="198" customHeight="1" x14ac:dyDescent="0.25">
      <c r="A16" s="200"/>
    </row>
  </sheetData>
  <sheetProtection formatCells="0" formatColumns="0" formatRows="0"/>
  <mergeCells count="2">
    <mergeCell ref="A9:A12"/>
    <mergeCell ref="A15:A16"/>
  </mergeCells>
  <pageMargins left="0.25" right="0.25" top="0.75" bottom="0.75" header="0.3" footer="0.3"/>
  <pageSetup scale="78" fitToHeight="5" orientation="portrait" r:id="rId1"/>
  <headerFooter>
    <oddHeader>&amp;CSCUSA Support Functions</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11" sqref="A11:E11"/>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488</v>
      </c>
    </row>
    <row r="2" spans="1:27" x14ac:dyDescent="0.25">
      <c r="A2" s="201" t="s">
        <v>273</v>
      </c>
      <c r="B2" s="202"/>
      <c r="C2" s="202"/>
      <c r="D2" s="202"/>
      <c r="E2" s="202"/>
      <c r="F2" s="202"/>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03" t="s">
        <v>695</v>
      </c>
      <c r="B5" s="102"/>
      <c r="C5" s="104"/>
      <c r="D5" s="102"/>
      <c r="E5" s="102"/>
    </row>
    <row r="6" spans="1:27" ht="15.75" thickBot="1" x14ac:dyDescent="0.3">
      <c r="A6" s="103"/>
      <c r="B6" s="102"/>
      <c r="C6" s="102"/>
      <c r="D6" s="102"/>
      <c r="E6" s="102"/>
    </row>
    <row r="7" spans="1:27" ht="15.75" thickBot="1" x14ac:dyDescent="0.3">
      <c r="A7" s="103"/>
      <c r="B7" s="102"/>
      <c r="C7" s="102"/>
      <c r="D7" s="102"/>
      <c r="E7" s="102"/>
    </row>
    <row r="8" spans="1:27" ht="15.75" thickBot="1" x14ac:dyDescent="0.3">
      <c r="A8" s="103"/>
      <c r="B8" s="102"/>
      <c r="C8" s="102"/>
      <c r="D8" s="102"/>
      <c r="E8" s="102"/>
    </row>
    <row r="9" spans="1:27" ht="15.75" thickBot="1" x14ac:dyDescent="0.3">
      <c r="A9" s="103"/>
      <c r="B9" s="102"/>
      <c r="C9" s="102"/>
      <c r="D9" s="102"/>
      <c r="E9" s="102"/>
    </row>
    <row r="10" spans="1:27" x14ac:dyDescent="0.25">
      <c r="A10" s="44"/>
      <c r="B10"/>
      <c r="C10"/>
      <c r="D10"/>
      <c r="E10"/>
    </row>
    <row r="11" spans="1:27" ht="48.75" customHeight="1" x14ac:dyDescent="0.25">
      <c r="A11" s="201" t="s">
        <v>274</v>
      </c>
      <c r="B11" s="203"/>
      <c r="C11" s="203"/>
      <c r="D11" s="203"/>
      <c r="E11" s="203"/>
    </row>
    <row r="12" spans="1:27" ht="61.5" customHeight="1" x14ac:dyDescent="0.25">
      <c r="A12" s="204" t="s">
        <v>557</v>
      </c>
      <c r="B12" s="205"/>
      <c r="C12" s="205"/>
      <c r="D12" s="205"/>
      <c r="E12" s="206"/>
    </row>
  </sheetData>
  <sheetProtection formatCells="0" formatColumns="0" formatRows="0"/>
  <mergeCells count="3">
    <mergeCell ref="A2:F2"/>
    <mergeCell ref="A11:E11"/>
    <mergeCell ref="A12:E12"/>
  </mergeCells>
  <pageMargins left="0.25" right="0.25" top="0.75" bottom="0.75" header="0.3" footer="0.3"/>
  <pageSetup scale="78" fitToHeight="3" orientation="portrait" r:id="rId1"/>
  <headerFooter>
    <oddHeader>&amp;CSCUSA Support Functions</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4"/>
  <sheetViews>
    <sheetView zoomScaleNormal="100" zoomScalePageLayoutView="80" workbookViewId="0">
      <selection activeCell="B4" sqref="A4:XFD4"/>
    </sheetView>
  </sheetViews>
  <sheetFormatPr defaultColWidth="0" defaultRowHeight="15" zeroHeight="1" x14ac:dyDescent="0.25"/>
  <cols>
    <col min="1" max="1" width="148.28515625" style="86" customWidth="1"/>
    <col min="2" max="16384" width="2" style="43" hidden="1"/>
  </cols>
  <sheetData>
    <row r="1" spans="1:27" ht="21.75" customHeight="1" thickBot="1" x14ac:dyDescent="0.3">
      <c r="A1" s="71" t="s">
        <v>500</v>
      </c>
      <c r="AA1" s="43" t="s">
        <v>488</v>
      </c>
    </row>
    <row r="2" spans="1:27" ht="57" customHeight="1" x14ac:dyDescent="0.25">
      <c r="A2" s="42" t="s">
        <v>501</v>
      </c>
    </row>
    <row r="3" spans="1:27" ht="409.5" customHeight="1" x14ac:dyDescent="0.25">
      <c r="A3" s="199" t="s">
        <v>877</v>
      </c>
    </row>
    <row r="4" spans="1:27" ht="409.5" customHeight="1" x14ac:dyDescent="0.25">
      <c r="A4" s="199"/>
    </row>
    <row r="5" spans="1:27" ht="409.5" customHeight="1" x14ac:dyDescent="0.25">
      <c r="A5" s="200"/>
    </row>
    <row r="6" spans="1:27" ht="24.75" customHeight="1" x14ac:dyDescent="0.25">
      <c r="A6" s="89"/>
    </row>
    <row r="7" spans="1:27" x14ac:dyDescent="0.25">
      <c r="A7" s="90"/>
    </row>
    <row r="8" spans="1:27" x14ac:dyDescent="0.25">
      <c r="A8" s="90"/>
    </row>
    <row r="9" spans="1:27" ht="27.75" customHeight="1" x14ac:dyDescent="0.25">
      <c r="A9" s="89"/>
    </row>
    <row r="10" spans="1:27" ht="21.75" customHeight="1" x14ac:dyDescent="0.25">
      <c r="A10" s="90"/>
    </row>
    <row r="11" spans="1:27" ht="20.25" customHeight="1" x14ac:dyDescent="0.25">
      <c r="A11" s="90"/>
    </row>
    <row r="12" spans="1:27" ht="24.75" customHeight="1" x14ac:dyDescent="0.25">
      <c r="A12" s="89"/>
    </row>
    <row r="13" spans="1:27" ht="22.5" customHeight="1" x14ac:dyDescent="0.25">
      <c r="A13" s="90"/>
    </row>
    <row r="14" spans="1:27" ht="20.25" customHeight="1" x14ac:dyDescent="0.25">
      <c r="A14" s="90"/>
    </row>
  </sheetData>
  <sheetProtection formatCells="0" formatColumns="0" formatRows="0"/>
  <mergeCells count="1">
    <mergeCell ref="A3:A5"/>
  </mergeCells>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37"/>
  <sheetViews>
    <sheetView view="pageLayout" topLeftCell="A16" zoomScaleNormal="100" workbookViewId="0">
      <selection activeCell="C5" sqref="C5"/>
    </sheetView>
  </sheetViews>
  <sheetFormatPr defaultColWidth="0" defaultRowHeight="15" zeroHeight="1" x14ac:dyDescent="0.25"/>
  <cols>
    <col min="1" max="1" width="9.85546875" style="43" customWidth="1"/>
    <col min="2" max="2" width="7.42578125" style="43" customWidth="1"/>
    <col min="3" max="3" width="28.85546875" style="43" customWidth="1"/>
    <col min="4" max="4" width="56.28515625" style="43" customWidth="1"/>
    <col min="5" max="16384" width="2.5703125" style="43" hidden="1"/>
  </cols>
  <sheetData>
    <row r="1" spans="1:27" ht="15.75" thickBot="1" x14ac:dyDescent="0.3">
      <c r="A1" s="57" t="s">
        <v>489</v>
      </c>
      <c r="B1" s="56"/>
      <c r="C1" s="56"/>
      <c r="D1" s="56"/>
      <c r="AA1" s="43" t="s">
        <v>488</v>
      </c>
    </row>
    <row r="2" spans="1:27" x14ac:dyDescent="0.25">
      <c r="A2" s="215" t="s">
        <v>280</v>
      </c>
      <c r="B2" s="216"/>
      <c r="C2" s="216"/>
      <c r="D2" s="216"/>
    </row>
    <row r="3" spans="1:27" x14ac:dyDescent="0.25"/>
    <row r="4" spans="1:27" ht="51" x14ac:dyDescent="0.25">
      <c r="A4" s="61" t="s">
        <v>275</v>
      </c>
      <c r="B4" s="61" t="s">
        <v>276</v>
      </c>
      <c r="C4" s="61" t="s">
        <v>277</v>
      </c>
      <c r="D4" s="61" t="s">
        <v>278</v>
      </c>
    </row>
    <row r="5" spans="1:27" ht="409.5" x14ac:dyDescent="0.25">
      <c r="A5" s="108" t="s">
        <v>534</v>
      </c>
      <c r="B5" s="108"/>
      <c r="C5" s="108" t="s">
        <v>535</v>
      </c>
      <c r="D5" s="108" t="s">
        <v>905</v>
      </c>
    </row>
    <row r="6" spans="1:27" ht="395.25" x14ac:dyDescent="0.25">
      <c r="A6" s="108" t="s">
        <v>536</v>
      </c>
      <c r="B6" s="108"/>
      <c r="C6" s="108" t="s">
        <v>537</v>
      </c>
      <c r="D6" s="108" t="s">
        <v>538</v>
      </c>
    </row>
    <row r="7" spans="1:27" ht="408" x14ac:dyDescent="0.25">
      <c r="A7" s="108" t="s">
        <v>539</v>
      </c>
      <c r="B7" s="108"/>
      <c r="C7" s="108" t="s">
        <v>540</v>
      </c>
      <c r="D7" s="108" t="s">
        <v>541</v>
      </c>
    </row>
    <row r="8" spans="1:27" ht="409.5" x14ac:dyDescent="0.25">
      <c r="A8" s="108" t="s">
        <v>542</v>
      </c>
      <c r="B8" s="108"/>
      <c r="C8" s="108" t="s">
        <v>543</v>
      </c>
      <c r="D8" s="108" t="s">
        <v>888</v>
      </c>
    </row>
    <row r="9" spans="1:27" ht="409.5" x14ac:dyDescent="0.25">
      <c r="A9" s="108" t="s">
        <v>544</v>
      </c>
      <c r="B9" s="108"/>
      <c r="C9" s="108" t="s">
        <v>545</v>
      </c>
      <c r="D9" s="108" t="s">
        <v>546</v>
      </c>
    </row>
    <row r="10" spans="1:27" ht="409.5" x14ac:dyDescent="0.25">
      <c r="A10" s="108" t="s">
        <v>547</v>
      </c>
      <c r="B10" s="108"/>
      <c r="C10" s="108" t="s">
        <v>548</v>
      </c>
      <c r="D10" s="108" t="s">
        <v>889</v>
      </c>
    </row>
    <row r="11" spans="1:27" ht="409.5" x14ac:dyDescent="0.25">
      <c r="A11" s="108" t="s">
        <v>549</v>
      </c>
      <c r="B11" s="108"/>
      <c r="C11" s="108" t="s">
        <v>550</v>
      </c>
      <c r="D11" s="108" t="s">
        <v>890</v>
      </c>
    </row>
    <row r="12" spans="1:27" ht="229.5" x14ac:dyDescent="0.25">
      <c r="A12" s="108" t="s">
        <v>551</v>
      </c>
      <c r="B12" s="108"/>
      <c r="C12" s="108" t="s">
        <v>552</v>
      </c>
      <c r="D12" s="108" t="s">
        <v>891</v>
      </c>
    </row>
    <row r="13" spans="1:27" ht="395.25" x14ac:dyDescent="0.25">
      <c r="A13" s="108" t="s">
        <v>553</v>
      </c>
      <c r="B13" s="108"/>
      <c r="C13" s="108" t="s">
        <v>554</v>
      </c>
      <c r="D13" s="108" t="s">
        <v>555</v>
      </c>
    </row>
    <row r="14" spans="1:27" x14ac:dyDescent="0.25">
      <c r="A14" s="99"/>
      <c r="B14" s="99"/>
      <c r="C14" s="99"/>
      <c r="D14" s="99"/>
    </row>
    <row r="15" spans="1:27" x14ac:dyDescent="0.25">
      <c r="A15" s="100"/>
      <c r="B15" s="100"/>
      <c r="C15" s="101"/>
      <c r="D15" s="99"/>
    </row>
    <row r="16" spans="1:27" x14ac:dyDescent="0.25">
      <c r="A16" s="99"/>
      <c r="B16" s="99"/>
      <c r="C16" s="99"/>
      <c r="D16" s="99"/>
    </row>
    <row r="17" spans="1:4" x14ac:dyDescent="0.25">
      <c r="A17" s="99"/>
      <c r="B17" s="99"/>
      <c r="C17" s="99"/>
      <c r="D17" s="99"/>
    </row>
    <row r="18" spans="1:4" x14ac:dyDescent="0.25"/>
    <row r="19" spans="1:4" x14ac:dyDescent="0.25">
      <c r="A19" s="43" t="s">
        <v>279</v>
      </c>
    </row>
    <row r="20" spans="1:4" ht="84.75" customHeight="1" x14ac:dyDescent="0.25">
      <c r="A20" s="204" t="s">
        <v>556</v>
      </c>
      <c r="B20" s="213"/>
      <c r="C20" s="213"/>
      <c r="D20" s="214"/>
    </row>
    <row r="21" spans="1:4" ht="20.25" customHeight="1" x14ac:dyDescent="0.25">
      <c r="A21" s="58"/>
      <c r="B21" s="33"/>
      <c r="C21" s="33"/>
      <c r="D21" s="33"/>
    </row>
    <row r="22" spans="1:4" ht="20.25" customHeight="1" thickBot="1" x14ac:dyDescent="0.3">
      <c r="A22" s="98" t="s">
        <v>490</v>
      </c>
      <c r="B22" s="62"/>
      <c r="C22" s="62"/>
      <c r="D22" s="62"/>
    </row>
    <row r="23" spans="1:4" x14ac:dyDescent="0.25">
      <c r="A23" s="63" t="s">
        <v>491</v>
      </c>
      <c r="B23" s="64"/>
      <c r="C23" s="64"/>
      <c r="D23" s="64"/>
    </row>
    <row r="24" spans="1:4" ht="49.5" customHeight="1" x14ac:dyDescent="0.25">
      <c r="A24" s="217" t="s">
        <v>281</v>
      </c>
      <c r="B24" s="182"/>
      <c r="C24" s="182"/>
      <c r="D24" s="182"/>
    </row>
    <row r="25" spans="1:4" x14ac:dyDescent="0.25">
      <c r="A25" s="61" t="s">
        <v>3</v>
      </c>
      <c r="B25" s="218" t="s">
        <v>282</v>
      </c>
      <c r="C25" s="219"/>
      <c r="D25" s="219"/>
    </row>
    <row r="26" spans="1:4" ht="25.5" x14ac:dyDescent="0.25">
      <c r="A26" s="60" t="s">
        <v>31</v>
      </c>
      <c r="B26" s="207" t="s">
        <v>878</v>
      </c>
      <c r="C26" s="208"/>
      <c r="D26" s="209"/>
    </row>
    <row r="27" spans="1:4" x14ac:dyDescent="0.25">
      <c r="A27" s="59" t="s">
        <v>13</v>
      </c>
      <c r="B27" s="220" t="s">
        <v>879</v>
      </c>
      <c r="C27" s="221"/>
      <c r="D27" s="221"/>
    </row>
    <row r="28" spans="1:4" x14ac:dyDescent="0.25">
      <c r="A28" s="59" t="s">
        <v>15</v>
      </c>
      <c r="B28" s="220" t="s">
        <v>880</v>
      </c>
      <c r="C28" s="221"/>
      <c r="D28" s="221"/>
    </row>
    <row r="29" spans="1:4" x14ac:dyDescent="0.25">
      <c r="A29" s="59" t="s">
        <v>11</v>
      </c>
      <c r="B29" s="220" t="s">
        <v>881</v>
      </c>
      <c r="C29" s="221"/>
      <c r="D29" s="221"/>
    </row>
    <row r="30" spans="1:4" x14ac:dyDescent="0.25">
      <c r="A30" s="59" t="s">
        <v>283</v>
      </c>
      <c r="B30" s="220" t="s">
        <v>882</v>
      </c>
      <c r="C30" s="221"/>
      <c r="D30" s="221"/>
    </row>
    <row r="31" spans="1:4" ht="25.5" x14ac:dyDescent="0.25">
      <c r="A31" s="59" t="s">
        <v>25</v>
      </c>
      <c r="B31" s="210" t="s">
        <v>883</v>
      </c>
      <c r="C31" s="211"/>
      <c r="D31" s="212"/>
    </row>
    <row r="32" spans="1:4" x14ac:dyDescent="0.25">
      <c r="A32" s="59" t="s">
        <v>17</v>
      </c>
      <c r="B32" s="220" t="s">
        <v>884</v>
      </c>
      <c r="C32" s="221"/>
      <c r="D32" s="221"/>
    </row>
    <row r="33" spans="1:4" x14ac:dyDescent="0.25">
      <c r="A33" s="59" t="s">
        <v>9</v>
      </c>
      <c r="B33" s="220" t="s">
        <v>885</v>
      </c>
      <c r="C33" s="221"/>
      <c r="D33" s="221"/>
    </row>
    <row r="34" spans="1:4" x14ac:dyDescent="0.25"/>
    <row r="35" spans="1:4" ht="15.75" x14ac:dyDescent="0.25">
      <c r="A35" s="96" t="s">
        <v>492</v>
      </c>
    </row>
    <row r="36" spans="1:4" x14ac:dyDescent="0.25">
      <c r="A36" s="97" t="s">
        <v>284</v>
      </c>
    </row>
    <row r="37" spans="1:4" ht="66.75" customHeight="1" x14ac:dyDescent="0.25">
      <c r="A37" s="222" t="s">
        <v>886</v>
      </c>
      <c r="B37" s="223"/>
      <c r="C37" s="223"/>
      <c r="D37" s="224"/>
    </row>
  </sheetData>
  <sheetProtection formatCells="0" formatColumns="0" formatRows="0"/>
  <mergeCells count="13">
    <mergeCell ref="A37:D37"/>
    <mergeCell ref="B29:D29"/>
    <mergeCell ref="B30:D30"/>
    <mergeCell ref="B32:D32"/>
    <mergeCell ref="B33:D33"/>
    <mergeCell ref="B26:D26"/>
    <mergeCell ref="B31:D31"/>
    <mergeCell ref="A20:D20"/>
    <mergeCell ref="A2:D2"/>
    <mergeCell ref="A24:D24"/>
    <mergeCell ref="B25:D25"/>
    <mergeCell ref="B27:D27"/>
    <mergeCell ref="B28:D28"/>
  </mergeCells>
  <pageMargins left="0.2" right="0.2" top="0.75" bottom="0.75" header="0.3" footer="0.3"/>
  <pageSetup fitToHeight="200" orientation="portrait" r:id="rId1"/>
  <headerFooter>
    <oddHeader>&amp;CSCUSA Support Functions</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77"/>
  <sheetViews>
    <sheetView view="pageLayout" zoomScaleNormal="100" workbookViewId="0">
      <selection activeCell="A5" sqref="A5"/>
    </sheetView>
  </sheetViews>
  <sheetFormatPr defaultColWidth="0" defaultRowHeight="15" zeroHeight="1" x14ac:dyDescent="0.25"/>
  <cols>
    <col min="1" max="1" width="18.28515625" style="43" customWidth="1"/>
    <col min="2" max="2" width="31.85546875" style="43" customWidth="1"/>
    <col min="3" max="3" width="16.85546875" style="43" customWidth="1"/>
    <col min="4" max="4" width="12.5703125" style="43" customWidth="1"/>
    <col min="5" max="5" width="17.140625" style="43" customWidth="1"/>
    <col min="6" max="6" width="16.28515625" style="43" customWidth="1"/>
    <col min="7" max="16384" width="2.140625" style="43" hidden="1"/>
  </cols>
  <sheetData>
    <row r="1" spans="1:27" x14ac:dyDescent="0.25">
      <c r="AA1" s="43" t="s">
        <v>488</v>
      </c>
    </row>
    <row r="2" spans="1:27" ht="15.75" thickBot="1" x14ac:dyDescent="0.3">
      <c r="A2" s="91" t="s">
        <v>502</v>
      </c>
      <c r="B2" s="56"/>
      <c r="C2" s="56"/>
      <c r="D2" s="56"/>
      <c r="E2" s="56"/>
      <c r="F2" s="56"/>
    </row>
    <row r="3" spans="1:27" x14ac:dyDescent="0.25">
      <c r="A3" s="43" t="s">
        <v>522</v>
      </c>
    </row>
    <row r="4" spans="1:27" x14ac:dyDescent="0.25">
      <c r="A4" s="161" t="s">
        <v>285</v>
      </c>
      <c r="B4" s="161" t="s">
        <v>286</v>
      </c>
      <c r="C4" s="161" t="s">
        <v>287</v>
      </c>
      <c r="D4" s="161" t="s">
        <v>288</v>
      </c>
      <c r="E4" s="161" t="s">
        <v>289</v>
      </c>
      <c r="F4" s="161" t="s">
        <v>270</v>
      </c>
    </row>
    <row r="5" spans="1:27" ht="90" x14ac:dyDescent="0.25">
      <c r="A5" s="164" t="s">
        <v>768</v>
      </c>
      <c r="B5" s="165" t="s">
        <v>769</v>
      </c>
      <c r="C5" s="166" t="s">
        <v>780</v>
      </c>
      <c r="D5" s="164" t="s">
        <v>781</v>
      </c>
      <c r="E5" s="167">
        <v>42369</v>
      </c>
      <c r="F5" s="165"/>
    </row>
    <row r="6" spans="1:27" ht="67.5" x14ac:dyDescent="0.25">
      <c r="A6" s="164" t="s">
        <v>768</v>
      </c>
      <c r="B6" s="165" t="s">
        <v>770</v>
      </c>
      <c r="C6" s="166" t="s">
        <v>780</v>
      </c>
      <c r="D6" s="164" t="s">
        <v>781</v>
      </c>
      <c r="E6" s="167">
        <v>42369</v>
      </c>
      <c r="F6" s="165"/>
    </row>
    <row r="7" spans="1:27" ht="22.5" x14ac:dyDescent="0.25">
      <c r="A7" s="164" t="s">
        <v>768</v>
      </c>
      <c r="B7" s="165" t="s">
        <v>771</v>
      </c>
      <c r="C7" s="166" t="s">
        <v>780</v>
      </c>
      <c r="D7" s="164" t="s">
        <v>781</v>
      </c>
      <c r="E7" s="167">
        <v>42308</v>
      </c>
      <c r="F7" s="165"/>
    </row>
    <row r="8" spans="1:27" ht="101.25" x14ac:dyDescent="0.25">
      <c r="A8" s="164" t="s">
        <v>768</v>
      </c>
      <c r="B8" s="165" t="s">
        <v>772</v>
      </c>
      <c r="C8" s="166" t="s">
        <v>780</v>
      </c>
      <c r="D8" s="164" t="s">
        <v>781</v>
      </c>
      <c r="E8" s="167">
        <v>42308</v>
      </c>
      <c r="F8" s="165"/>
    </row>
    <row r="9" spans="1:27" ht="90" x14ac:dyDescent="0.25">
      <c r="A9" s="164" t="s">
        <v>773</v>
      </c>
      <c r="B9" s="165" t="s">
        <v>774</v>
      </c>
      <c r="C9" s="166" t="s">
        <v>780</v>
      </c>
      <c r="D9" s="164" t="s">
        <v>782</v>
      </c>
      <c r="E9" s="167">
        <v>42308</v>
      </c>
      <c r="F9" s="165"/>
    </row>
    <row r="10" spans="1:27" ht="90" x14ac:dyDescent="0.25">
      <c r="A10" s="164" t="s">
        <v>773</v>
      </c>
      <c r="B10" s="165" t="s">
        <v>775</v>
      </c>
      <c r="C10" s="166" t="s">
        <v>780</v>
      </c>
      <c r="D10" s="164" t="s">
        <v>782</v>
      </c>
      <c r="E10" s="167">
        <v>42308</v>
      </c>
      <c r="F10" s="165"/>
    </row>
    <row r="11" spans="1:27" ht="67.5" x14ac:dyDescent="0.25">
      <c r="A11" s="164" t="s">
        <v>773</v>
      </c>
      <c r="B11" s="165" t="s">
        <v>776</v>
      </c>
      <c r="C11" s="166" t="s">
        <v>780</v>
      </c>
      <c r="D11" s="164" t="s">
        <v>782</v>
      </c>
      <c r="E11" s="167">
        <v>42216</v>
      </c>
      <c r="F11" s="165" t="s">
        <v>783</v>
      </c>
    </row>
    <row r="12" spans="1:27" ht="78.75" x14ac:dyDescent="0.25">
      <c r="A12" s="164" t="s">
        <v>777</v>
      </c>
      <c r="B12" s="165" t="s">
        <v>778</v>
      </c>
      <c r="C12" s="166" t="s">
        <v>780</v>
      </c>
      <c r="D12" s="164" t="s">
        <v>784</v>
      </c>
      <c r="E12" s="167">
        <v>42124</v>
      </c>
      <c r="F12" s="165" t="s">
        <v>783</v>
      </c>
    </row>
    <row r="13" spans="1:27" ht="78.75" x14ac:dyDescent="0.25">
      <c r="A13" s="164" t="s">
        <v>773</v>
      </c>
      <c r="B13" s="165" t="s">
        <v>779</v>
      </c>
      <c r="C13" s="166" t="s">
        <v>780</v>
      </c>
      <c r="D13" s="164" t="s">
        <v>785</v>
      </c>
      <c r="E13" s="167">
        <v>42323</v>
      </c>
      <c r="F13" s="165"/>
    </row>
    <row r="14" spans="1:27" ht="180" x14ac:dyDescent="0.25">
      <c r="A14" s="164" t="s">
        <v>324</v>
      </c>
      <c r="B14" s="165" t="s">
        <v>786</v>
      </c>
      <c r="C14" s="166" t="s">
        <v>780</v>
      </c>
      <c r="D14" s="164" t="s">
        <v>788</v>
      </c>
      <c r="E14" s="167">
        <v>41912</v>
      </c>
      <c r="F14" s="165" t="s">
        <v>783</v>
      </c>
    </row>
    <row r="15" spans="1:27" ht="56.25" x14ac:dyDescent="0.25">
      <c r="A15" s="164" t="s">
        <v>324</v>
      </c>
      <c r="B15" s="165" t="s">
        <v>787</v>
      </c>
      <c r="C15" s="166" t="s">
        <v>780</v>
      </c>
      <c r="D15" s="164" t="s">
        <v>788</v>
      </c>
      <c r="E15" s="167">
        <v>41912</v>
      </c>
      <c r="F15" s="165" t="s">
        <v>783</v>
      </c>
    </row>
    <row r="16" spans="1:27" ht="78.75" x14ac:dyDescent="0.25">
      <c r="A16" s="164" t="s">
        <v>789</v>
      </c>
      <c r="B16" s="165" t="s">
        <v>790</v>
      </c>
      <c r="C16" s="166" t="s">
        <v>780</v>
      </c>
      <c r="D16" s="164" t="s">
        <v>810</v>
      </c>
      <c r="E16" s="167">
        <v>42063</v>
      </c>
      <c r="F16" s="165" t="s">
        <v>783</v>
      </c>
    </row>
    <row r="17" spans="1:6" ht="135" x14ac:dyDescent="0.25">
      <c r="A17" s="164" t="s">
        <v>789</v>
      </c>
      <c r="B17" s="165" t="s">
        <v>791</v>
      </c>
      <c r="C17" s="166" t="s">
        <v>780</v>
      </c>
      <c r="D17" s="164" t="s">
        <v>810</v>
      </c>
      <c r="E17" s="167">
        <v>42262</v>
      </c>
      <c r="F17" s="165"/>
    </row>
    <row r="18" spans="1:6" ht="123.75" x14ac:dyDescent="0.25">
      <c r="A18" s="164" t="s">
        <v>11</v>
      </c>
      <c r="B18" s="165" t="s">
        <v>792</v>
      </c>
      <c r="C18" s="166" t="s">
        <v>809</v>
      </c>
      <c r="D18" s="164" t="s">
        <v>811</v>
      </c>
      <c r="E18" s="167">
        <v>42215</v>
      </c>
      <c r="F18" s="165" t="s">
        <v>812</v>
      </c>
    </row>
    <row r="19" spans="1:6" ht="56.25" x14ac:dyDescent="0.25">
      <c r="A19" s="164" t="s">
        <v>11</v>
      </c>
      <c r="B19" s="165" t="s">
        <v>892</v>
      </c>
      <c r="C19" s="166" t="s">
        <v>780</v>
      </c>
      <c r="D19" s="164" t="s">
        <v>813</v>
      </c>
      <c r="E19" s="167">
        <v>42125</v>
      </c>
      <c r="F19" s="165" t="s">
        <v>783</v>
      </c>
    </row>
    <row r="20" spans="1:6" ht="45" x14ac:dyDescent="0.25">
      <c r="A20" s="164" t="s">
        <v>11</v>
      </c>
      <c r="B20" s="165" t="s">
        <v>793</v>
      </c>
      <c r="C20" s="166" t="s">
        <v>780</v>
      </c>
      <c r="D20" s="164" t="s">
        <v>813</v>
      </c>
      <c r="E20" s="167">
        <v>42217</v>
      </c>
      <c r="F20" s="165" t="s">
        <v>783</v>
      </c>
    </row>
    <row r="21" spans="1:6" ht="67.5" x14ac:dyDescent="0.25">
      <c r="A21" s="164" t="s">
        <v>11</v>
      </c>
      <c r="B21" s="165" t="s">
        <v>794</v>
      </c>
      <c r="C21" s="166" t="s">
        <v>780</v>
      </c>
      <c r="D21" s="164" t="s">
        <v>814</v>
      </c>
      <c r="E21" s="167">
        <v>42369</v>
      </c>
      <c r="F21" s="165"/>
    </row>
    <row r="22" spans="1:6" ht="33.75" x14ac:dyDescent="0.25">
      <c r="A22" s="164" t="s">
        <v>11</v>
      </c>
      <c r="B22" s="165" t="s">
        <v>795</v>
      </c>
      <c r="C22" s="166" t="s">
        <v>780</v>
      </c>
      <c r="D22" s="164" t="s">
        <v>814</v>
      </c>
      <c r="E22" s="167">
        <v>42369</v>
      </c>
      <c r="F22" s="165"/>
    </row>
    <row r="23" spans="1:6" ht="45" x14ac:dyDescent="0.25">
      <c r="A23" s="164" t="s">
        <v>324</v>
      </c>
      <c r="B23" s="165" t="s">
        <v>796</v>
      </c>
      <c r="C23" s="166" t="s">
        <v>780</v>
      </c>
      <c r="D23" s="164" t="s">
        <v>815</v>
      </c>
      <c r="E23" s="167">
        <v>41912</v>
      </c>
      <c r="F23" s="165" t="s">
        <v>783</v>
      </c>
    </row>
    <row r="24" spans="1:6" ht="146.25" x14ac:dyDescent="0.25">
      <c r="A24" s="164" t="s">
        <v>324</v>
      </c>
      <c r="B24" s="165" t="s">
        <v>797</v>
      </c>
      <c r="C24" s="166" t="s">
        <v>809</v>
      </c>
      <c r="D24" s="164" t="s">
        <v>784</v>
      </c>
      <c r="E24" s="167">
        <v>42231</v>
      </c>
      <c r="F24" s="165" t="s">
        <v>783</v>
      </c>
    </row>
    <row r="25" spans="1:6" ht="45" x14ac:dyDescent="0.25">
      <c r="A25" s="164" t="s">
        <v>324</v>
      </c>
      <c r="B25" s="165" t="s">
        <v>798</v>
      </c>
      <c r="C25" s="166" t="s">
        <v>780</v>
      </c>
      <c r="D25" s="164" t="s">
        <v>784</v>
      </c>
      <c r="E25" s="167">
        <v>42139</v>
      </c>
      <c r="F25" s="165" t="s">
        <v>783</v>
      </c>
    </row>
    <row r="26" spans="1:6" ht="146.25" x14ac:dyDescent="0.25">
      <c r="A26" s="164" t="s">
        <v>324</v>
      </c>
      <c r="B26" s="165" t="s">
        <v>799</v>
      </c>
      <c r="C26" s="166" t="s">
        <v>780</v>
      </c>
      <c r="D26" s="164" t="s">
        <v>784</v>
      </c>
      <c r="E26" s="167">
        <v>42139</v>
      </c>
      <c r="F26" s="165" t="s">
        <v>783</v>
      </c>
    </row>
    <row r="27" spans="1:6" ht="56.25" x14ac:dyDescent="0.25">
      <c r="A27" s="164" t="s">
        <v>324</v>
      </c>
      <c r="B27" s="165" t="s">
        <v>800</v>
      </c>
      <c r="C27" s="166" t="s">
        <v>780</v>
      </c>
      <c r="D27" s="164" t="s">
        <v>784</v>
      </c>
      <c r="E27" s="167">
        <v>42308</v>
      </c>
      <c r="F27" s="165"/>
    </row>
    <row r="28" spans="1:6" ht="112.5" x14ac:dyDescent="0.25">
      <c r="A28" s="164" t="s">
        <v>324</v>
      </c>
      <c r="B28" s="165" t="s">
        <v>801</v>
      </c>
      <c r="C28" s="166" t="s">
        <v>780</v>
      </c>
      <c r="D28" s="164" t="s">
        <v>784</v>
      </c>
      <c r="E28" s="167">
        <v>42170</v>
      </c>
      <c r="F28" s="165" t="s">
        <v>783</v>
      </c>
    </row>
    <row r="29" spans="1:6" ht="22.5" x14ac:dyDescent="0.25">
      <c r="A29" s="164" t="s">
        <v>324</v>
      </c>
      <c r="B29" s="165" t="s">
        <v>802</v>
      </c>
      <c r="C29" s="166" t="s">
        <v>780</v>
      </c>
      <c r="D29" s="164" t="s">
        <v>816</v>
      </c>
      <c r="E29" s="167">
        <v>42308</v>
      </c>
      <c r="F29" s="165"/>
    </row>
    <row r="30" spans="1:6" ht="56.25" x14ac:dyDescent="0.25">
      <c r="A30" s="164" t="s">
        <v>324</v>
      </c>
      <c r="B30" s="165" t="s">
        <v>803</v>
      </c>
      <c r="C30" s="166" t="s">
        <v>780</v>
      </c>
      <c r="D30" s="164" t="s">
        <v>816</v>
      </c>
      <c r="E30" s="167">
        <v>42094</v>
      </c>
      <c r="F30" s="165" t="s">
        <v>783</v>
      </c>
    </row>
    <row r="31" spans="1:6" ht="157.5" x14ac:dyDescent="0.25">
      <c r="A31" s="164" t="s">
        <v>324</v>
      </c>
      <c r="B31" s="165" t="s">
        <v>804</v>
      </c>
      <c r="C31" s="166" t="s">
        <v>780</v>
      </c>
      <c r="D31" s="164" t="s">
        <v>816</v>
      </c>
      <c r="E31" s="167">
        <v>42094</v>
      </c>
      <c r="F31" s="165" t="s">
        <v>783</v>
      </c>
    </row>
    <row r="32" spans="1:6" ht="22.5" x14ac:dyDescent="0.25">
      <c r="A32" s="164" t="s">
        <v>324</v>
      </c>
      <c r="B32" s="165" t="s">
        <v>805</v>
      </c>
      <c r="C32" s="166" t="s">
        <v>780</v>
      </c>
      <c r="D32" s="164" t="s">
        <v>816</v>
      </c>
      <c r="E32" s="167">
        <v>42308</v>
      </c>
      <c r="F32" s="165"/>
    </row>
    <row r="33" spans="1:6" ht="33.75" x14ac:dyDescent="0.25">
      <c r="A33" s="164" t="s">
        <v>324</v>
      </c>
      <c r="B33" s="165" t="s">
        <v>806</v>
      </c>
      <c r="C33" s="166" t="s">
        <v>780</v>
      </c>
      <c r="D33" s="164" t="s">
        <v>816</v>
      </c>
      <c r="E33" s="167">
        <v>42094</v>
      </c>
      <c r="F33" s="165" t="s">
        <v>783</v>
      </c>
    </row>
    <row r="34" spans="1:6" ht="112.5" x14ac:dyDescent="0.25">
      <c r="A34" s="164" t="s">
        <v>324</v>
      </c>
      <c r="B34" s="165" t="s">
        <v>807</v>
      </c>
      <c r="C34" s="166" t="s">
        <v>780</v>
      </c>
      <c r="D34" s="164" t="s">
        <v>816</v>
      </c>
      <c r="E34" s="167">
        <v>42308</v>
      </c>
      <c r="F34" s="165"/>
    </row>
    <row r="35" spans="1:6" ht="67.5" x14ac:dyDescent="0.25">
      <c r="A35" s="164" t="s">
        <v>324</v>
      </c>
      <c r="B35" s="165" t="s">
        <v>808</v>
      </c>
      <c r="C35" s="166" t="s">
        <v>780</v>
      </c>
      <c r="D35" s="164" t="s">
        <v>816</v>
      </c>
      <c r="E35" s="167">
        <v>42308</v>
      </c>
      <c r="F35" s="165"/>
    </row>
    <row r="36" spans="1:6" ht="33.75" x14ac:dyDescent="0.25">
      <c r="A36" s="164" t="s">
        <v>324</v>
      </c>
      <c r="B36" s="165" t="s">
        <v>817</v>
      </c>
      <c r="C36" s="166" t="s">
        <v>780</v>
      </c>
      <c r="D36" s="164" t="s">
        <v>816</v>
      </c>
      <c r="E36" s="167">
        <v>42185</v>
      </c>
      <c r="F36" s="165" t="s">
        <v>783</v>
      </c>
    </row>
    <row r="37" spans="1:6" ht="45" x14ac:dyDescent="0.25">
      <c r="A37" s="164" t="s">
        <v>324</v>
      </c>
      <c r="B37" s="165" t="s">
        <v>818</v>
      </c>
      <c r="C37" s="166" t="s">
        <v>780</v>
      </c>
      <c r="D37" s="164" t="s">
        <v>816</v>
      </c>
      <c r="E37" s="167">
        <v>42277</v>
      </c>
      <c r="F37" s="165"/>
    </row>
    <row r="38" spans="1:6" ht="67.5" x14ac:dyDescent="0.25">
      <c r="A38" s="164" t="s">
        <v>324</v>
      </c>
      <c r="B38" s="165" t="s">
        <v>819</v>
      </c>
      <c r="C38" s="166" t="s">
        <v>780</v>
      </c>
      <c r="D38" s="164" t="s">
        <v>816</v>
      </c>
      <c r="E38" s="167">
        <v>42094</v>
      </c>
      <c r="F38" s="165" t="s">
        <v>783</v>
      </c>
    </row>
    <row r="39" spans="1:6" ht="22.5" x14ac:dyDescent="0.25">
      <c r="A39" s="164" t="s">
        <v>324</v>
      </c>
      <c r="B39" s="165" t="s">
        <v>820</v>
      </c>
      <c r="C39" s="166" t="s">
        <v>809</v>
      </c>
      <c r="D39" s="164" t="s">
        <v>816</v>
      </c>
      <c r="E39" s="167">
        <v>42231</v>
      </c>
      <c r="F39" s="165" t="s">
        <v>823</v>
      </c>
    </row>
    <row r="40" spans="1:6" ht="33.75" x14ac:dyDescent="0.25">
      <c r="A40" s="164" t="s">
        <v>324</v>
      </c>
      <c r="B40" s="165" t="s">
        <v>821</v>
      </c>
      <c r="C40" s="166" t="s">
        <v>780</v>
      </c>
      <c r="D40" s="164" t="s">
        <v>816</v>
      </c>
      <c r="E40" s="167">
        <v>42277</v>
      </c>
      <c r="F40" s="165"/>
    </row>
    <row r="41" spans="1:6" ht="90" x14ac:dyDescent="0.25">
      <c r="A41" s="164" t="s">
        <v>777</v>
      </c>
      <c r="B41" s="165" t="s">
        <v>822</v>
      </c>
      <c r="C41" s="166" t="s">
        <v>780</v>
      </c>
      <c r="D41" s="164" t="s">
        <v>784</v>
      </c>
      <c r="E41" s="167">
        <v>42124</v>
      </c>
      <c r="F41" s="165" t="s">
        <v>783</v>
      </c>
    </row>
    <row r="42" spans="1:6" ht="78.75" x14ac:dyDescent="0.25">
      <c r="A42" s="164" t="s">
        <v>777</v>
      </c>
      <c r="B42" s="165" t="s">
        <v>824</v>
      </c>
      <c r="C42" s="166" t="s">
        <v>780</v>
      </c>
      <c r="D42" s="164" t="s">
        <v>784</v>
      </c>
      <c r="E42" s="167">
        <v>42247</v>
      </c>
      <c r="F42" s="165"/>
    </row>
    <row r="43" spans="1:6" ht="78.75" x14ac:dyDescent="0.25">
      <c r="A43" s="164" t="s">
        <v>777</v>
      </c>
      <c r="B43" s="165" t="s">
        <v>825</v>
      </c>
      <c r="C43" s="166" t="s">
        <v>780</v>
      </c>
      <c r="D43" s="164" t="s">
        <v>784</v>
      </c>
      <c r="E43" s="167">
        <v>42124</v>
      </c>
      <c r="F43" s="165" t="s">
        <v>783</v>
      </c>
    </row>
    <row r="44" spans="1:6" ht="78.75" x14ac:dyDescent="0.25">
      <c r="A44" s="164" t="s">
        <v>777</v>
      </c>
      <c r="B44" s="165" t="s">
        <v>826</v>
      </c>
      <c r="C44" s="166" t="s">
        <v>780</v>
      </c>
      <c r="D44" s="164" t="s">
        <v>784</v>
      </c>
      <c r="E44" s="167">
        <v>42247</v>
      </c>
      <c r="F44" s="165"/>
    </row>
    <row r="45" spans="1:6" ht="90" x14ac:dyDescent="0.25">
      <c r="A45" s="164" t="s">
        <v>777</v>
      </c>
      <c r="B45" s="165" t="s">
        <v>827</v>
      </c>
      <c r="C45" s="166" t="s">
        <v>780</v>
      </c>
      <c r="D45" s="164" t="s">
        <v>784</v>
      </c>
      <c r="E45" s="167">
        <v>42094</v>
      </c>
      <c r="F45" s="165" t="s">
        <v>783</v>
      </c>
    </row>
    <row r="46" spans="1:6" ht="45" x14ac:dyDescent="0.25">
      <c r="A46" s="164" t="s">
        <v>777</v>
      </c>
      <c r="B46" s="165" t="s">
        <v>828</v>
      </c>
      <c r="C46" s="166" t="s">
        <v>780</v>
      </c>
      <c r="D46" s="164" t="s">
        <v>784</v>
      </c>
      <c r="E46" s="167">
        <v>42154</v>
      </c>
      <c r="F46" s="165" t="s">
        <v>783</v>
      </c>
    </row>
    <row r="47" spans="1:6" ht="101.25" x14ac:dyDescent="0.25">
      <c r="A47" s="164" t="s">
        <v>777</v>
      </c>
      <c r="B47" s="165" t="s">
        <v>829</v>
      </c>
      <c r="C47" s="166" t="s">
        <v>780</v>
      </c>
      <c r="D47" s="164" t="s">
        <v>784</v>
      </c>
      <c r="E47" s="167">
        <v>42124</v>
      </c>
      <c r="F47" s="165" t="s">
        <v>812</v>
      </c>
    </row>
    <row r="48" spans="1:6" ht="67.5" x14ac:dyDescent="0.25">
      <c r="A48" s="164" t="s">
        <v>777</v>
      </c>
      <c r="B48" s="165" t="s">
        <v>830</v>
      </c>
      <c r="C48" s="166" t="s">
        <v>780</v>
      </c>
      <c r="D48" s="164" t="s">
        <v>784</v>
      </c>
      <c r="E48" s="167">
        <v>42124</v>
      </c>
      <c r="F48" s="165" t="s">
        <v>783</v>
      </c>
    </row>
    <row r="49" spans="1:6" ht="33.75" x14ac:dyDescent="0.25">
      <c r="A49" s="164" t="s">
        <v>773</v>
      </c>
      <c r="B49" s="165" t="s">
        <v>831</v>
      </c>
      <c r="C49" s="166" t="s">
        <v>780</v>
      </c>
      <c r="D49" s="164" t="s">
        <v>784</v>
      </c>
      <c r="E49" s="167">
        <v>42216</v>
      </c>
      <c r="F49" s="165" t="s">
        <v>812</v>
      </c>
    </row>
    <row r="50" spans="1:6" ht="78.75" x14ac:dyDescent="0.25">
      <c r="A50" s="164" t="s">
        <v>777</v>
      </c>
      <c r="B50" s="165" t="s">
        <v>832</v>
      </c>
      <c r="C50" s="166" t="s">
        <v>780</v>
      </c>
      <c r="D50" s="164" t="s">
        <v>784</v>
      </c>
      <c r="E50" s="167">
        <v>42124</v>
      </c>
      <c r="F50" s="165" t="s">
        <v>783</v>
      </c>
    </row>
    <row r="51" spans="1:6" ht="56.25" x14ac:dyDescent="0.25">
      <c r="A51" s="164" t="s">
        <v>773</v>
      </c>
      <c r="B51" s="165" t="s">
        <v>833</v>
      </c>
      <c r="C51" s="166" t="s">
        <v>780</v>
      </c>
      <c r="D51" s="164" t="s">
        <v>784</v>
      </c>
      <c r="E51" s="167">
        <v>42216</v>
      </c>
      <c r="F51" s="165" t="s">
        <v>812</v>
      </c>
    </row>
    <row r="52" spans="1:6" ht="33.75" x14ac:dyDescent="0.25">
      <c r="A52" s="164" t="s">
        <v>777</v>
      </c>
      <c r="B52" s="165" t="s">
        <v>834</v>
      </c>
      <c r="C52" s="166" t="s">
        <v>780</v>
      </c>
      <c r="D52" s="164" t="s">
        <v>784</v>
      </c>
      <c r="E52" s="167">
        <v>42124</v>
      </c>
      <c r="F52" s="165" t="s">
        <v>812</v>
      </c>
    </row>
    <row r="53" spans="1:6" ht="56.25" x14ac:dyDescent="0.25">
      <c r="A53" s="164" t="s">
        <v>835</v>
      </c>
      <c r="B53" s="165" t="s">
        <v>836</v>
      </c>
      <c r="C53" s="166" t="s">
        <v>780</v>
      </c>
      <c r="D53" s="164" t="s">
        <v>846</v>
      </c>
      <c r="E53" s="167">
        <v>42004</v>
      </c>
      <c r="F53" s="165" t="s">
        <v>783</v>
      </c>
    </row>
    <row r="54" spans="1:6" ht="90" x14ac:dyDescent="0.25">
      <c r="A54" s="164" t="s">
        <v>835</v>
      </c>
      <c r="B54" s="165" t="s">
        <v>837</v>
      </c>
      <c r="C54" s="166" t="s">
        <v>780</v>
      </c>
      <c r="D54" s="164" t="s">
        <v>846</v>
      </c>
      <c r="E54" s="167">
        <v>41913</v>
      </c>
      <c r="F54" s="165" t="s">
        <v>783</v>
      </c>
    </row>
    <row r="55" spans="1:6" ht="45" x14ac:dyDescent="0.25">
      <c r="A55" s="164" t="s">
        <v>835</v>
      </c>
      <c r="B55" s="165" t="s">
        <v>838</v>
      </c>
      <c r="C55" s="166" t="s">
        <v>780</v>
      </c>
      <c r="D55" s="164" t="s">
        <v>846</v>
      </c>
      <c r="E55" s="167">
        <v>41852</v>
      </c>
      <c r="F55" s="165" t="s">
        <v>783</v>
      </c>
    </row>
    <row r="56" spans="1:6" ht="258.75" x14ac:dyDescent="0.25">
      <c r="A56" s="164" t="s">
        <v>773</v>
      </c>
      <c r="B56" s="165" t="s">
        <v>839</v>
      </c>
      <c r="C56" s="166" t="s">
        <v>780</v>
      </c>
      <c r="D56" s="164" t="s">
        <v>846</v>
      </c>
      <c r="E56" s="167">
        <v>41974</v>
      </c>
      <c r="F56" s="165" t="s">
        <v>783</v>
      </c>
    </row>
    <row r="57" spans="1:6" ht="168.75" x14ac:dyDescent="0.25">
      <c r="A57" s="164" t="s">
        <v>773</v>
      </c>
      <c r="B57" s="165" t="s">
        <v>840</v>
      </c>
      <c r="C57" s="166" t="s">
        <v>809</v>
      </c>
      <c r="D57" s="164" t="s">
        <v>847</v>
      </c>
      <c r="E57" s="167">
        <v>42429</v>
      </c>
      <c r="F57" s="165"/>
    </row>
    <row r="58" spans="1:6" ht="78.75" x14ac:dyDescent="0.25">
      <c r="A58" s="164" t="s">
        <v>773</v>
      </c>
      <c r="B58" s="165" t="s">
        <v>841</v>
      </c>
      <c r="C58" s="166" t="s">
        <v>780</v>
      </c>
      <c r="D58" s="164" t="s">
        <v>847</v>
      </c>
      <c r="E58" s="167">
        <v>42429</v>
      </c>
      <c r="F58" s="165"/>
    </row>
    <row r="59" spans="1:6" ht="67.5" x14ac:dyDescent="0.25">
      <c r="A59" s="164" t="s">
        <v>773</v>
      </c>
      <c r="B59" s="165" t="s">
        <v>842</v>
      </c>
      <c r="C59" s="166" t="s">
        <v>780</v>
      </c>
      <c r="D59" s="164" t="s">
        <v>847</v>
      </c>
      <c r="E59" s="167">
        <v>42429</v>
      </c>
      <c r="F59" s="165"/>
    </row>
    <row r="60" spans="1:6" ht="90" x14ac:dyDescent="0.25">
      <c r="A60" s="164" t="s">
        <v>324</v>
      </c>
      <c r="B60" s="165" t="s">
        <v>893</v>
      </c>
      <c r="C60" s="166" t="s">
        <v>780</v>
      </c>
      <c r="D60" s="164" t="s">
        <v>848</v>
      </c>
      <c r="E60" s="167">
        <v>42277</v>
      </c>
      <c r="F60" s="165"/>
    </row>
    <row r="61" spans="1:6" ht="101.25" x14ac:dyDescent="0.25">
      <c r="A61" s="164" t="s">
        <v>324</v>
      </c>
      <c r="B61" s="165" t="s">
        <v>843</v>
      </c>
      <c r="C61" s="166" t="s">
        <v>780</v>
      </c>
      <c r="D61" s="164" t="s">
        <v>848</v>
      </c>
      <c r="E61" s="167">
        <v>42277</v>
      </c>
      <c r="F61" s="165"/>
    </row>
    <row r="62" spans="1:6" ht="101.25" x14ac:dyDescent="0.25">
      <c r="A62" s="164" t="s">
        <v>324</v>
      </c>
      <c r="B62" s="165" t="s">
        <v>844</v>
      </c>
      <c r="C62" s="166" t="s">
        <v>780</v>
      </c>
      <c r="D62" s="164" t="s">
        <v>848</v>
      </c>
      <c r="E62" s="167">
        <v>42277</v>
      </c>
      <c r="F62" s="165"/>
    </row>
    <row r="63" spans="1:6" ht="67.5" x14ac:dyDescent="0.25">
      <c r="A63" s="164" t="s">
        <v>324</v>
      </c>
      <c r="B63" s="165" t="s">
        <v>845</v>
      </c>
      <c r="C63" s="166" t="s">
        <v>809</v>
      </c>
      <c r="D63" s="164" t="s">
        <v>848</v>
      </c>
      <c r="E63" s="167">
        <v>42277</v>
      </c>
      <c r="F63" s="165"/>
    </row>
    <row r="64" spans="1:6" x14ac:dyDescent="0.25"/>
    <row r="65" spans="1:6" x14ac:dyDescent="0.25"/>
    <row r="66" spans="1:6" x14ac:dyDescent="0.25"/>
    <row r="67" spans="1:6" x14ac:dyDescent="0.25"/>
    <row r="68" spans="1:6" x14ac:dyDescent="0.25">
      <c r="A68" s="87" t="s">
        <v>514</v>
      </c>
      <c r="B68" s="87"/>
      <c r="C68" s="87"/>
      <c r="D68" s="87"/>
      <c r="E68" s="87"/>
      <c r="F68" s="87"/>
    </row>
    <row r="69" spans="1:6" x14ac:dyDescent="0.25">
      <c r="A69" s="225" t="s">
        <v>887</v>
      </c>
      <c r="B69" s="226"/>
      <c r="C69" s="226"/>
      <c r="D69" s="226"/>
      <c r="E69" s="227"/>
      <c r="F69" s="228"/>
    </row>
    <row r="70" spans="1:6" x14ac:dyDescent="0.25">
      <c r="A70" s="229"/>
      <c r="B70" s="230"/>
      <c r="C70" s="230"/>
      <c r="D70" s="230"/>
      <c r="E70" s="230"/>
      <c r="F70" s="231"/>
    </row>
    <row r="71" spans="1:6" x14ac:dyDescent="0.25"/>
    <row r="72" spans="1:6" x14ac:dyDescent="0.25"/>
    <row r="73" spans="1:6" x14ac:dyDescent="0.25"/>
    <row r="74" spans="1:6" x14ac:dyDescent="0.25"/>
    <row r="75" spans="1:6" x14ac:dyDescent="0.25"/>
    <row r="76" spans="1:6" x14ac:dyDescent="0.25"/>
    <row r="77" spans="1:6" x14ac:dyDescent="0.25"/>
  </sheetData>
  <sheetProtection formatCells="0" formatColumns="0" formatRows="0"/>
  <mergeCells count="1">
    <mergeCell ref="A69:F70"/>
  </mergeCells>
  <pageMargins left="0.25" right="0.25" top="0.75" bottom="0.75" header="0.3" footer="0.3"/>
  <pageSetup scale="90" fitToHeight="0" orientation="portrait" r:id="rId1"/>
  <headerFooter>
    <oddHeader>&amp;CSCUSA Support Functions</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7"/>
  <sheetViews>
    <sheetView view="pageLayout" topLeftCell="A39" zoomScaleNormal="100" workbookViewId="0">
      <selection activeCell="A14" sqref="A14:C15"/>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1" t="s">
        <v>503</v>
      </c>
      <c r="B1" s="56"/>
      <c r="C1" s="56"/>
      <c r="AA1" s="43" t="s">
        <v>488</v>
      </c>
    </row>
    <row r="2" spans="1:27" x14ac:dyDescent="0.25">
      <c r="A2" s="67" t="s">
        <v>493</v>
      </c>
    </row>
    <row r="3" spans="1:27" ht="51" customHeight="1" thickBot="1" x14ac:dyDescent="0.3">
      <c r="A3" s="234" t="s">
        <v>290</v>
      </c>
      <c r="B3" s="235"/>
      <c r="C3" s="235"/>
    </row>
    <row r="4" spans="1:27" ht="15.75" thickBot="1" x14ac:dyDescent="0.3">
      <c r="A4" s="65" t="s">
        <v>3</v>
      </c>
      <c r="B4" s="66" t="s">
        <v>291</v>
      </c>
      <c r="C4" s="66" t="s">
        <v>292</v>
      </c>
    </row>
    <row r="5" spans="1:27" ht="16.5" thickBot="1" x14ac:dyDescent="0.3">
      <c r="A5" s="68" t="s">
        <v>39</v>
      </c>
      <c r="B5" s="102"/>
      <c r="C5" s="102"/>
    </row>
    <row r="6" spans="1:27" ht="16.5" thickBot="1" x14ac:dyDescent="0.3">
      <c r="A6" s="68" t="s">
        <v>38</v>
      </c>
      <c r="B6" s="102"/>
      <c r="C6" s="102"/>
    </row>
    <row r="7" spans="1:27" ht="16.5" thickBot="1" x14ac:dyDescent="0.3">
      <c r="A7" s="68" t="s">
        <v>37</v>
      </c>
      <c r="B7" s="102"/>
      <c r="C7" s="102"/>
    </row>
    <row r="8" spans="1:27" ht="16.5" thickBot="1" x14ac:dyDescent="0.3">
      <c r="A8" s="68" t="s">
        <v>34</v>
      </c>
      <c r="B8" s="102"/>
      <c r="C8" s="102"/>
    </row>
    <row r="9" spans="1:27" ht="16.5" thickBot="1" x14ac:dyDescent="0.3">
      <c r="A9" s="68" t="s">
        <v>33</v>
      </c>
      <c r="B9" s="102"/>
      <c r="C9" s="102"/>
    </row>
    <row r="10" spans="1:27" ht="16.5" thickBot="1" x14ac:dyDescent="0.3">
      <c r="A10" s="68" t="s">
        <v>32</v>
      </c>
      <c r="B10" s="102"/>
      <c r="C10" s="102"/>
    </row>
    <row r="11" spans="1:27" ht="16.5" thickBot="1" x14ac:dyDescent="0.3">
      <c r="A11" s="68" t="s">
        <v>30</v>
      </c>
      <c r="B11" s="102"/>
      <c r="C11" s="102"/>
    </row>
    <row r="12" spans="1:27" x14ac:dyDescent="0.25"/>
    <row r="13" spans="1:27" x14ac:dyDescent="0.25">
      <c r="A13" s="43" t="s">
        <v>293</v>
      </c>
    </row>
    <row r="14" spans="1:27" ht="311.25" customHeight="1" x14ac:dyDescent="0.25">
      <c r="A14" s="199" t="s">
        <v>696</v>
      </c>
      <c r="B14" s="199"/>
      <c r="C14" s="199"/>
    </row>
    <row r="15" spans="1:27" ht="306" customHeight="1" x14ac:dyDescent="0.25">
      <c r="A15" s="200"/>
      <c r="B15" s="200"/>
      <c r="C15" s="200"/>
    </row>
    <row r="16" spans="1:27" x14ac:dyDescent="0.25"/>
    <row r="17" spans="1:3" x14ac:dyDescent="0.25">
      <c r="A17" s="67" t="s">
        <v>494</v>
      </c>
    </row>
    <row r="18" spans="1:3" x14ac:dyDescent="0.25">
      <c r="A18" s="43" t="s">
        <v>294</v>
      </c>
    </row>
    <row r="19" spans="1:3" ht="50.25" customHeight="1" x14ac:dyDescent="0.25">
      <c r="A19" s="204" t="s">
        <v>530</v>
      </c>
      <c r="B19" s="232"/>
      <c r="C19" s="233"/>
    </row>
    <row r="20" spans="1:3" x14ac:dyDescent="0.25"/>
    <row r="21" spans="1:3" x14ac:dyDescent="0.25">
      <c r="A21" s="67" t="s">
        <v>495</v>
      </c>
    </row>
    <row r="22" spans="1:3" x14ac:dyDescent="0.25">
      <c r="A22" s="43" t="s">
        <v>295</v>
      </c>
    </row>
    <row r="23" spans="1:3" ht="322.5" customHeight="1" x14ac:dyDescent="0.25">
      <c r="A23" s="204" t="s">
        <v>533</v>
      </c>
      <c r="B23" s="232"/>
      <c r="C23" s="233"/>
    </row>
    <row r="24" spans="1:3" x14ac:dyDescent="0.25"/>
    <row r="25" spans="1:3" x14ac:dyDescent="0.25">
      <c r="A25" s="67" t="s">
        <v>496</v>
      </c>
    </row>
    <row r="26" spans="1:3" x14ac:dyDescent="0.25">
      <c r="A26" s="43" t="s">
        <v>294</v>
      </c>
    </row>
    <row r="27" spans="1:3" ht="68.25" customHeight="1" x14ac:dyDescent="0.25">
      <c r="A27" s="204" t="s">
        <v>902</v>
      </c>
      <c r="B27" s="232"/>
      <c r="C27" s="233"/>
    </row>
    <row r="28" spans="1:3" x14ac:dyDescent="0.25"/>
    <row r="29" spans="1:3" x14ac:dyDescent="0.25">
      <c r="A29" s="67" t="s">
        <v>497</v>
      </c>
    </row>
    <row r="30" spans="1:3" x14ac:dyDescent="0.25">
      <c r="A30" s="43" t="s">
        <v>296</v>
      </c>
    </row>
    <row r="31" spans="1:3" ht="112.5" customHeight="1" x14ac:dyDescent="0.25">
      <c r="A31" s="204" t="s">
        <v>688</v>
      </c>
      <c r="B31" s="232"/>
      <c r="C31" s="233"/>
    </row>
    <row r="32" spans="1:3" x14ac:dyDescent="0.25"/>
    <row r="33" spans="1:3" x14ac:dyDescent="0.25">
      <c r="A33" s="67" t="s">
        <v>498</v>
      </c>
    </row>
    <row r="34" spans="1:3" x14ac:dyDescent="0.25">
      <c r="A34" s="43" t="s">
        <v>297</v>
      </c>
    </row>
    <row r="35" spans="1:3" ht="42.75" customHeight="1" x14ac:dyDescent="0.25">
      <c r="A35" s="204" t="s">
        <v>904</v>
      </c>
      <c r="B35" s="232"/>
      <c r="C35" s="233"/>
    </row>
    <row r="36" spans="1:3" x14ac:dyDescent="0.25"/>
    <row r="37" spans="1:3" x14ac:dyDescent="0.25">
      <c r="A37" s="67" t="s">
        <v>526</v>
      </c>
    </row>
    <row r="38" spans="1:3" x14ac:dyDescent="0.25">
      <c r="A38" s="43" t="s">
        <v>527</v>
      </c>
    </row>
    <row r="39" spans="1:3" ht="165.75" customHeight="1" x14ac:dyDescent="0.25">
      <c r="A39" s="204" t="s">
        <v>532</v>
      </c>
      <c r="B39" s="232"/>
      <c r="C39" s="233"/>
    </row>
    <row r="40" spans="1:3" x14ac:dyDescent="0.25"/>
    <row r="41" spans="1:3" x14ac:dyDescent="0.25">
      <c r="A41" s="67" t="s">
        <v>528</v>
      </c>
    </row>
    <row r="42" spans="1:3" x14ac:dyDescent="0.25">
      <c r="A42" s="43" t="s">
        <v>298</v>
      </c>
    </row>
    <row r="43" spans="1:3" ht="57.75" customHeight="1" x14ac:dyDescent="0.25">
      <c r="A43" s="204" t="s">
        <v>885</v>
      </c>
      <c r="B43" s="232"/>
      <c r="C43" s="233"/>
    </row>
    <row r="44" spans="1:3" x14ac:dyDescent="0.25">
      <c r="A44" s="87"/>
      <c r="B44" s="87"/>
      <c r="C44" s="87"/>
    </row>
    <row r="45" spans="1:3" x14ac:dyDescent="0.25">
      <c r="A45" s="87"/>
      <c r="B45" s="87"/>
      <c r="C45" s="87"/>
    </row>
    <row r="46" spans="1:3" x14ac:dyDescent="0.25">
      <c r="A46" s="87"/>
      <c r="B46" s="87"/>
      <c r="C46" s="87"/>
    </row>
    <row r="47" spans="1:3" x14ac:dyDescent="0.25">
      <c r="A47" s="87"/>
      <c r="B47" s="87"/>
      <c r="C47" s="87"/>
    </row>
  </sheetData>
  <sheetProtection formatCells="0" formatColumns="0" formatRows="0"/>
  <mergeCells count="9">
    <mergeCell ref="A35:C35"/>
    <mergeCell ref="A43:C43"/>
    <mergeCell ref="A3:C3"/>
    <mergeCell ref="A19:C19"/>
    <mergeCell ref="A23:C23"/>
    <mergeCell ref="A27:C27"/>
    <mergeCell ref="A31:C31"/>
    <mergeCell ref="A39:C39"/>
    <mergeCell ref="A14:C15"/>
  </mergeCells>
  <pageMargins left="0.2" right="0.2" top="0.5" bottom="0.5" header="0.3" footer="0.3"/>
  <pageSetup scale="79" fitToHeight="7" orientation="portrait" r:id="rId1"/>
  <headerFooter>
    <oddHeader>&amp;CSCUSA Support Functions</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M81"/>
  <sheetViews>
    <sheetView view="pageLayout" zoomScaleNormal="100" workbookViewId="0">
      <selection activeCell="N6" sqref="N6"/>
    </sheetView>
  </sheetViews>
  <sheetFormatPr defaultColWidth="0" defaultRowHeight="15" zeroHeight="1" x14ac:dyDescent="0.25"/>
  <cols>
    <col min="1" max="1" width="22" style="43" customWidth="1"/>
    <col min="2" max="13" width="8.85546875" style="43" customWidth="1"/>
    <col min="14" max="14" width="16.42578125" style="43" customWidth="1"/>
    <col min="15" max="19" width="8.85546875" style="43" customWidth="1"/>
    <col min="20" max="16384" width="2" style="43" hidden="1"/>
  </cols>
  <sheetData>
    <row r="1" spans="1:39" x14ac:dyDescent="0.25">
      <c r="AM1" s="43" t="s">
        <v>488</v>
      </c>
    </row>
    <row r="2" spans="1:39" x14ac:dyDescent="0.25">
      <c r="A2" s="92" t="s">
        <v>504</v>
      </c>
      <c r="B2" s="92"/>
      <c r="C2" s="92"/>
      <c r="D2" s="92"/>
      <c r="E2" s="92"/>
      <c r="F2" s="92"/>
      <c r="G2" s="92"/>
      <c r="H2" s="92"/>
      <c r="I2" s="92"/>
      <c r="J2" s="92"/>
      <c r="K2" s="92"/>
      <c r="L2" s="92"/>
      <c r="M2" s="92"/>
    </row>
    <row r="3" spans="1:39" ht="15.75" thickBot="1" x14ac:dyDescent="0.3">
      <c r="A3" s="43" t="s">
        <v>299</v>
      </c>
    </row>
    <row r="4" spans="1:39" customFormat="1" ht="15.75" thickBot="1" x14ac:dyDescent="0.3">
      <c r="A4" s="238" t="s">
        <v>300</v>
      </c>
      <c r="B4" s="240" t="s">
        <v>301</v>
      </c>
      <c r="C4" s="241"/>
      <c r="D4" s="241"/>
      <c r="E4" s="241"/>
      <c r="F4" s="241"/>
      <c r="G4" s="241"/>
      <c r="H4" s="241"/>
      <c r="I4" s="241"/>
      <c r="J4" s="241"/>
      <c r="K4" s="241"/>
      <c r="L4" s="241"/>
      <c r="M4" s="242"/>
      <c r="N4" s="238" t="s">
        <v>300</v>
      </c>
      <c r="O4" s="240" t="s">
        <v>302</v>
      </c>
      <c r="P4" s="241"/>
      <c r="Q4" s="241"/>
      <c r="R4" s="241"/>
      <c r="S4" s="241"/>
      <c r="T4" s="242"/>
    </row>
    <row r="5" spans="1:39" customFormat="1" ht="15.75" thickBot="1" x14ac:dyDescent="0.3">
      <c r="A5" s="239"/>
      <c r="B5" s="110">
        <v>41640</v>
      </c>
      <c r="C5" s="110">
        <v>41671</v>
      </c>
      <c r="D5" s="110">
        <v>41699</v>
      </c>
      <c r="E5" s="110">
        <v>41730</v>
      </c>
      <c r="F5" s="110">
        <v>41760</v>
      </c>
      <c r="G5" s="110">
        <v>41791</v>
      </c>
      <c r="H5" s="110">
        <v>41821</v>
      </c>
      <c r="I5" s="110">
        <v>41852</v>
      </c>
      <c r="J5" s="110">
        <v>41883</v>
      </c>
      <c r="K5" s="110">
        <v>41913</v>
      </c>
      <c r="L5" s="110">
        <v>41944</v>
      </c>
      <c r="M5" s="110">
        <v>41974</v>
      </c>
      <c r="N5" s="243"/>
      <c r="O5" s="110">
        <v>42005</v>
      </c>
      <c r="P5" s="110">
        <v>42036</v>
      </c>
      <c r="Q5" s="110">
        <v>42064</v>
      </c>
      <c r="R5" s="110">
        <v>42095</v>
      </c>
      <c r="S5" s="110">
        <v>42125</v>
      </c>
      <c r="T5" s="109">
        <v>42156</v>
      </c>
    </row>
    <row r="6" spans="1:39" customFormat="1" ht="51.75" thickBot="1" x14ac:dyDescent="0.3">
      <c r="A6" s="111" t="s">
        <v>559</v>
      </c>
      <c r="B6" s="112">
        <v>-0.39</v>
      </c>
      <c r="C6" s="112">
        <v>0.01</v>
      </c>
      <c r="D6" s="112">
        <v>0.15</v>
      </c>
      <c r="E6" s="112">
        <v>0.13</v>
      </c>
      <c r="F6" s="112">
        <v>0.12</v>
      </c>
      <c r="G6" s="112">
        <v>0.1</v>
      </c>
      <c r="H6" s="112">
        <v>0.1</v>
      </c>
      <c r="I6" s="112">
        <v>0.09</v>
      </c>
      <c r="J6" s="112">
        <v>0.09</v>
      </c>
      <c r="K6" s="112">
        <v>7.6170015933196902E-2</v>
      </c>
      <c r="L6" s="112">
        <v>5.7157793350236498E-2</v>
      </c>
      <c r="M6" s="112">
        <v>5.4992249370933506E-2</v>
      </c>
      <c r="N6" s="112" t="s">
        <v>559</v>
      </c>
      <c r="O6" s="113">
        <v>-1.8755079397779546E-2</v>
      </c>
      <c r="P6" s="114">
        <v>-3.9924296836368299E-3</v>
      </c>
      <c r="Q6" s="113">
        <v>7.4129351905462396E-2</v>
      </c>
      <c r="R6" s="113">
        <v>0.10487375003980587</v>
      </c>
      <c r="S6" s="113">
        <v>0.10749330484302699</v>
      </c>
      <c r="T6" s="115">
        <v>0.12179726538465797</v>
      </c>
    </row>
    <row r="7" spans="1:39" customFormat="1" ht="51.75" thickBot="1" x14ac:dyDescent="0.3">
      <c r="A7" s="111" t="s">
        <v>560</v>
      </c>
      <c r="B7" s="113">
        <v>-2.36</v>
      </c>
      <c r="C7" s="113">
        <v>-0.46</v>
      </c>
      <c r="D7" s="113">
        <v>-0.54</v>
      </c>
      <c r="E7" s="113">
        <v>-0.41</v>
      </c>
      <c r="F7" s="113">
        <v>-0.4</v>
      </c>
      <c r="G7" s="113">
        <v>-0.2</v>
      </c>
      <c r="H7" s="113">
        <v>-0.18</v>
      </c>
      <c r="I7" s="113">
        <v>-0.23</v>
      </c>
      <c r="J7" s="113">
        <v>-0.18</v>
      </c>
      <c r="K7" s="113">
        <v>-0.19130094343123294</v>
      </c>
      <c r="L7" s="113">
        <v>-0.18124062229538937</v>
      </c>
      <c r="M7" s="113">
        <v>-0.11116053601662278</v>
      </c>
      <c r="N7" s="113" t="s">
        <v>560</v>
      </c>
      <c r="O7" s="113">
        <v>0.41797376957245236</v>
      </c>
      <c r="P7" s="113">
        <v>0.61461510980707501</v>
      </c>
      <c r="Q7" s="113">
        <v>2.9028006260951901E-2</v>
      </c>
      <c r="R7" s="113">
        <v>9.7625900892847228E-2</v>
      </c>
      <c r="S7" s="113">
        <v>3.84997459962911E-2</v>
      </c>
      <c r="T7" s="115">
        <v>0.1762191722201174</v>
      </c>
    </row>
    <row r="8" spans="1:39" customFormat="1" ht="51.75" thickBot="1" x14ac:dyDescent="0.3">
      <c r="A8" s="111" t="s">
        <v>561</v>
      </c>
      <c r="B8" s="114">
        <v>-2.8500000000000001E-2</v>
      </c>
      <c r="C8" s="114">
        <v>5.9900000000000002E-2</v>
      </c>
      <c r="D8" s="114">
        <v>2.2200000000000001E-2</v>
      </c>
      <c r="E8" s="114">
        <v>4.2500000000000003E-2</v>
      </c>
      <c r="F8" s="114">
        <v>4.2000000000000003E-2</v>
      </c>
      <c r="G8" s="114">
        <v>7.3999999999999996E-2</v>
      </c>
      <c r="H8" s="114">
        <v>3.5999999999999997E-2</v>
      </c>
      <c r="I8" s="114">
        <v>3.3000000000000002E-2</v>
      </c>
      <c r="J8" s="114">
        <v>3.4799999999999998E-2</v>
      </c>
      <c r="K8" s="114">
        <v>3.3168370129609423E-2</v>
      </c>
      <c r="L8" s="114">
        <v>3.4445970372578218E-2</v>
      </c>
      <c r="M8" s="114">
        <v>3.691631474642295E-2</v>
      </c>
      <c r="N8" s="114" t="s">
        <v>561</v>
      </c>
      <c r="O8" s="114">
        <v>5.4463990465275051E-2</v>
      </c>
      <c r="P8" s="114">
        <v>5.4675760828526133E-2</v>
      </c>
      <c r="Q8" s="114">
        <v>4.8822542042457139E-2</v>
      </c>
      <c r="R8" s="114">
        <v>4.9054918460884001E-2</v>
      </c>
      <c r="S8" s="114">
        <v>4.4943388284605132E-2</v>
      </c>
      <c r="T8" s="116">
        <v>3.6553415644529082E-2</v>
      </c>
    </row>
    <row r="9" spans="1:39" customFormat="1" ht="26.25" thickBot="1" x14ac:dyDescent="0.3">
      <c r="A9" s="117" t="s">
        <v>562</v>
      </c>
      <c r="B9" s="113">
        <v>0.70317291985562724</v>
      </c>
      <c r="C9" s="113">
        <v>1.1977307032296272</v>
      </c>
      <c r="D9" s="113">
        <v>1.1853817589069595</v>
      </c>
      <c r="E9" s="113">
        <v>1.252971150308579</v>
      </c>
      <c r="F9" s="113">
        <v>1.2929999999999999</v>
      </c>
      <c r="G9" s="113">
        <v>1.4039999999999999</v>
      </c>
      <c r="H9" s="113">
        <v>1.3979999999999999</v>
      </c>
      <c r="I9" s="113">
        <v>1.3879999999999999</v>
      </c>
      <c r="J9" s="113">
        <v>1.3879999999999999</v>
      </c>
      <c r="K9" s="113">
        <v>1.3779567632965883</v>
      </c>
      <c r="L9" s="113">
        <v>1.4044548417531724</v>
      </c>
      <c r="M9" s="113">
        <v>1.46</v>
      </c>
      <c r="N9" s="113" t="s">
        <v>562</v>
      </c>
      <c r="O9" s="113">
        <v>1.8216154308460302</v>
      </c>
      <c r="P9" s="113">
        <v>1.8837842084555028</v>
      </c>
      <c r="Q9" s="113">
        <v>1.7107080588212018</v>
      </c>
      <c r="R9" s="113">
        <v>1.69745915269728</v>
      </c>
      <c r="S9" s="113">
        <v>1.5917467733049269</v>
      </c>
      <c r="T9" s="115">
        <v>1.6528183550933775</v>
      </c>
    </row>
    <row r="10" spans="1:39" customFormat="1" ht="24.75" thickBot="1" x14ac:dyDescent="0.3">
      <c r="A10" s="117" t="s">
        <v>563</v>
      </c>
      <c r="B10" s="113">
        <v>0.87439999999999996</v>
      </c>
      <c r="C10" s="113">
        <v>0.84730000000000005</v>
      </c>
      <c r="D10" s="113">
        <v>0.80889999999999995</v>
      </c>
      <c r="E10" s="113">
        <v>0.83440000000000003</v>
      </c>
      <c r="F10" s="113">
        <v>0.85499999999999998</v>
      </c>
      <c r="G10" s="113">
        <v>0.86399999999999999</v>
      </c>
      <c r="H10" s="113">
        <v>0.85799999999999998</v>
      </c>
      <c r="I10" s="113">
        <v>0.85899999999999999</v>
      </c>
      <c r="J10" s="113">
        <v>0.84199999999999997</v>
      </c>
      <c r="K10" s="113">
        <v>0.85486211901306242</v>
      </c>
      <c r="L10" s="113">
        <v>0.83799999999999997</v>
      </c>
      <c r="M10" s="113">
        <v>0.83815946053153512</v>
      </c>
      <c r="N10" s="118"/>
      <c r="O10" s="118"/>
      <c r="P10" s="118"/>
      <c r="Q10" s="118"/>
      <c r="R10" s="118"/>
      <c r="S10" s="118"/>
      <c r="T10" s="119"/>
    </row>
    <row r="11" spans="1:39" customFormat="1" ht="15.75" thickBot="1" x14ac:dyDescent="0.3">
      <c r="A11" s="117" t="s">
        <v>564</v>
      </c>
      <c r="B11" s="120">
        <v>24.44</v>
      </c>
      <c r="C11" s="120">
        <v>25.451000000000001</v>
      </c>
      <c r="D11" s="120">
        <v>25.47</v>
      </c>
      <c r="E11" s="120">
        <v>25.992000000000001</v>
      </c>
      <c r="F11" s="120">
        <v>26.334</v>
      </c>
      <c r="G11" s="120">
        <v>26.623999999999999</v>
      </c>
      <c r="H11" s="120">
        <v>27.387</v>
      </c>
      <c r="I11" s="120">
        <v>27.94</v>
      </c>
      <c r="J11" s="120">
        <v>27.456</v>
      </c>
      <c r="K11" s="120">
        <v>28.2</v>
      </c>
      <c r="L11" s="120">
        <v>28.533795000000001</v>
      </c>
      <c r="M11" s="120">
        <v>28.975999999999999</v>
      </c>
      <c r="N11" s="113" t="s">
        <v>564</v>
      </c>
      <c r="O11" s="120">
        <v>29.484078761065266</v>
      </c>
      <c r="P11" s="120">
        <v>30.1323375900343</v>
      </c>
      <c r="Q11" s="121">
        <v>30.965</v>
      </c>
      <c r="R11" s="120">
        <v>31.135465</v>
      </c>
      <c r="S11" s="120">
        <v>31.7059150350488</v>
      </c>
      <c r="T11" s="122">
        <v>31.8</v>
      </c>
    </row>
    <row r="12" spans="1:39" customFormat="1" ht="64.5" thickBot="1" x14ac:dyDescent="0.3">
      <c r="A12" s="117" t="s">
        <v>565</v>
      </c>
      <c r="B12" s="123">
        <v>0</v>
      </c>
      <c r="C12" s="123">
        <v>0</v>
      </c>
      <c r="D12" s="123">
        <v>0</v>
      </c>
      <c r="E12" s="123">
        <v>0</v>
      </c>
      <c r="F12" s="123">
        <v>0</v>
      </c>
      <c r="G12" s="123">
        <v>1</v>
      </c>
      <c r="H12" s="123">
        <v>2</v>
      </c>
      <c r="I12" s="123">
        <v>2</v>
      </c>
      <c r="J12" s="123">
        <v>2</v>
      </c>
      <c r="K12" s="123">
        <v>2</v>
      </c>
      <c r="L12" s="123">
        <v>2</v>
      </c>
      <c r="M12" s="123">
        <v>3</v>
      </c>
      <c r="N12" s="120" t="s">
        <v>566</v>
      </c>
      <c r="O12" s="123">
        <v>0</v>
      </c>
      <c r="P12" s="123">
        <v>0</v>
      </c>
      <c r="Q12" s="123">
        <v>1</v>
      </c>
      <c r="R12" s="123">
        <v>0</v>
      </c>
      <c r="S12" s="123">
        <v>0</v>
      </c>
      <c r="T12" s="124">
        <v>0</v>
      </c>
    </row>
    <row r="13" spans="1:39" customFormat="1" ht="102.75" thickBot="1" x14ac:dyDescent="0.3">
      <c r="A13" s="125" t="s">
        <v>567</v>
      </c>
      <c r="B13" s="126">
        <v>247</v>
      </c>
      <c r="C13" s="126">
        <v>224</v>
      </c>
      <c r="D13" s="126">
        <v>221</v>
      </c>
      <c r="E13" s="126">
        <v>268</v>
      </c>
      <c r="F13" s="126">
        <v>236</v>
      </c>
      <c r="G13" s="126">
        <v>243</v>
      </c>
      <c r="H13" s="126">
        <v>289</v>
      </c>
      <c r="I13" s="126">
        <v>218</v>
      </c>
      <c r="J13" s="126">
        <v>256</v>
      </c>
      <c r="K13" s="126">
        <v>252</v>
      </c>
      <c r="L13" s="126">
        <v>180</v>
      </c>
      <c r="M13" s="126">
        <v>208</v>
      </c>
      <c r="N13" s="123" t="s">
        <v>568</v>
      </c>
      <c r="O13" s="126">
        <v>8</v>
      </c>
      <c r="P13" s="126">
        <v>8</v>
      </c>
      <c r="Q13" s="126">
        <v>7</v>
      </c>
      <c r="R13" s="126">
        <v>25</v>
      </c>
      <c r="S13" s="126">
        <v>30</v>
      </c>
      <c r="T13" s="127">
        <v>15</v>
      </c>
    </row>
    <row r="14" spans="1:39" customFormat="1" ht="26.25" thickBot="1" x14ac:dyDescent="0.3">
      <c r="A14" s="125" t="s">
        <v>569</v>
      </c>
      <c r="B14" s="128">
        <v>2.3633797312624377E-4</v>
      </c>
      <c r="C14" s="128">
        <v>2.5115865713837981E-4</v>
      </c>
      <c r="D14" s="128">
        <v>2.3862409556737346E-4</v>
      </c>
      <c r="E14" s="128">
        <v>2.4130028132954409E-4</v>
      </c>
      <c r="F14" s="128">
        <v>2.8234092666895274E-4</v>
      </c>
      <c r="G14" s="128">
        <v>2.5765624799092417E-4</v>
      </c>
      <c r="H14" s="128">
        <v>2.7677127514432864E-4</v>
      </c>
      <c r="I14" s="128">
        <v>2.760945347687048E-4</v>
      </c>
      <c r="J14" s="128">
        <v>2.9663637064690859E-4</v>
      </c>
      <c r="K14" s="128">
        <v>3.2868212434798965E-4</v>
      </c>
      <c r="L14" s="128">
        <v>1.9000000000000001E-4</v>
      </c>
      <c r="M14" s="128">
        <v>2.1056145324694402E-4</v>
      </c>
      <c r="N14" s="126" t="s">
        <v>569</v>
      </c>
      <c r="O14" s="128">
        <v>2.04E-4</v>
      </c>
      <c r="P14" s="128">
        <v>1.5300000000000001E-4</v>
      </c>
      <c r="Q14" s="128">
        <v>1.991353046178251E-4</v>
      </c>
      <c r="R14" s="128">
        <v>2.09404E-4</v>
      </c>
      <c r="S14" s="128">
        <v>2.1000000000000001E-4</v>
      </c>
      <c r="T14" s="129">
        <v>1.8435018554726468E-4</v>
      </c>
    </row>
    <row r="15" spans="1:39" customFormat="1" ht="51.75" thickBot="1" x14ac:dyDescent="0.3">
      <c r="A15" s="125" t="s">
        <v>570</v>
      </c>
      <c r="B15" s="113">
        <v>1.3707425590001348</v>
      </c>
      <c r="C15" s="113">
        <v>1.2281881991994044</v>
      </c>
      <c r="D15" s="113">
        <v>1.3115776688660654</v>
      </c>
      <c r="E15" s="113">
        <v>1.2832213143877667</v>
      </c>
      <c r="F15" s="113">
        <v>1.3453607164354144</v>
      </c>
      <c r="G15" s="113">
        <v>1.33</v>
      </c>
      <c r="H15" s="113">
        <v>1.34</v>
      </c>
      <c r="I15" s="113">
        <v>1.36</v>
      </c>
      <c r="J15" s="113">
        <v>1.413</v>
      </c>
      <c r="K15" s="113">
        <v>1.3228932808058351</v>
      </c>
      <c r="L15" s="113">
        <v>1.3010434167921965</v>
      </c>
      <c r="M15" s="113">
        <v>1.2507650315230745</v>
      </c>
      <c r="N15" s="128" t="s">
        <v>570</v>
      </c>
      <c r="O15" s="113">
        <v>1.1930199295338115</v>
      </c>
      <c r="P15" s="113">
        <v>1.1841132661065901</v>
      </c>
      <c r="Q15" s="113">
        <v>1.1747127026866888</v>
      </c>
      <c r="R15" s="113">
        <v>1.19458720359615</v>
      </c>
      <c r="S15" s="113">
        <v>1.2195619880096635</v>
      </c>
      <c r="T15" s="115">
        <v>1.2618935970648641</v>
      </c>
    </row>
    <row r="16" spans="1:39" customFormat="1" ht="64.5" thickBot="1" x14ac:dyDescent="0.3">
      <c r="A16" s="125" t="s">
        <v>571</v>
      </c>
      <c r="B16" s="113">
        <v>1.1499999999999999</v>
      </c>
      <c r="C16" s="113">
        <v>1.1100000000000001</v>
      </c>
      <c r="D16" s="113">
        <v>1.18</v>
      </c>
      <c r="E16" s="113">
        <v>1.1794344622221407</v>
      </c>
      <c r="F16" s="113">
        <v>1.22</v>
      </c>
      <c r="G16" s="113">
        <v>1.17</v>
      </c>
      <c r="H16" s="113">
        <v>1.1599999999999999</v>
      </c>
      <c r="I16" s="113">
        <v>1.1430206828551099</v>
      </c>
      <c r="J16" s="113">
        <v>1.1930000000000001</v>
      </c>
      <c r="K16" s="113">
        <v>1.0953791906709394</v>
      </c>
      <c r="L16" s="113">
        <v>1.0544070109469836</v>
      </c>
      <c r="M16" s="113">
        <v>0.90277994725881705</v>
      </c>
      <c r="N16" s="113" t="s">
        <v>571</v>
      </c>
      <c r="O16" s="113">
        <v>0.89965374771569318</v>
      </c>
      <c r="P16" s="113">
        <v>0.90501970181632974</v>
      </c>
      <c r="Q16" s="113">
        <v>0.94416237887478016</v>
      </c>
      <c r="R16" s="113">
        <v>0.97312661955832813</v>
      </c>
      <c r="S16" s="113">
        <v>1.0210381364105017</v>
      </c>
      <c r="T16" s="115">
        <v>1.1054576712592676</v>
      </c>
    </row>
    <row r="17" spans="1:20" customFormat="1" ht="64.5" thickBot="1" x14ac:dyDescent="0.3">
      <c r="A17" s="125" t="s">
        <v>572</v>
      </c>
      <c r="B17" s="126">
        <v>81.599999999999994</v>
      </c>
      <c r="C17" s="126">
        <v>84</v>
      </c>
      <c r="D17" s="126">
        <v>84.3</v>
      </c>
      <c r="E17" s="123">
        <v>85</v>
      </c>
      <c r="F17" s="123">
        <v>70</v>
      </c>
      <c r="G17" s="123">
        <v>70</v>
      </c>
      <c r="H17" s="123">
        <v>68</v>
      </c>
      <c r="I17" s="123">
        <v>67</v>
      </c>
      <c r="J17" s="123">
        <v>49</v>
      </c>
      <c r="K17" s="123">
        <v>49</v>
      </c>
      <c r="L17" s="123">
        <v>51</v>
      </c>
      <c r="M17" s="123">
        <v>51</v>
      </c>
      <c r="N17" s="113" t="s">
        <v>572</v>
      </c>
      <c r="O17" s="126">
        <v>53.423881189999996</v>
      </c>
      <c r="P17" s="126">
        <v>52.516427590000006</v>
      </c>
      <c r="Q17" s="126">
        <v>53.388981600000001</v>
      </c>
      <c r="R17" s="126">
        <v>51</v>
      </c>
      <c r="S17" s="126">
        <v>50</v>
      </c>
      <c r="T17" s="127">
        <v>42.665596630000003</v>
      </c>
    </row>
    <row r="18" spans="1:20" customFormat="1" ht="39" thickBot="1" x14ac:dyDescent="0.3">
      <c r="A18" s="130" t="s">
        <v>573</v>
      </c>
      <c r="B18" s="113">
        <v>0.14599999999999999</v>
      </c>
      <c r="C18" s="113">
        <v>0.151</v>
      </c>
      <c r="D18" s="113">
        <v>0.152</v>
      </c>
      <c r="E18" s="113">
        <v>0.154</v>
      </c>
      <c r="F18" s="113">
        <v>0.155</v>
      </c>
      <c r="G18" s="113">
        <v>0.156</v>
      </c>
      <c r="H18" s="113">
        <v>0.157</v>
      </c>
      <c r="I18" s="113">
        <v>0.157</v>
      </c>
      <c r="J18" s="113">
        <v>0.15260000000000001</v>
      </c>
      <c r="K18" s="113">
        <v>0.15223280980595133</v>
      </c>
      <c r="L18" s="113">
        <v>0.15196281253765143</v>
      </c>
      <c r="M18" s="113">
        <v>0.15154182251857268</v>
      </c>
      <c r="N18" s="123" t="s">
        <v>573</v>
      </c>
      <c r="O18" s="113">
        <v>0.14792244151151757</v>
      </c>
      <c r="P18" s="113">
        <v>0.147568902176789</v>
      </c>
      <c r="Q18" s="113">
        <v>0.14519107780958024</v>
      </c>
      <c r="R18" s="113">
        <v>0.14209618857343101</v>
      </c>
      <c r="S18" s="113">
        <v>0.14137189981617421</v>
      </c>
      <c r="T18" s="115">
        <v>0.14063532277464202</v>
      </c>
    </row>
    <row r="19" spans="1:20" customFormat="1" ht="39" thickBot="1" x14ac:dyDescent="0.3">
      <c r="A19" s="130" t="s">
        <v>574</v>
      </c>
      <c r="B19" s="113">
        <v>0.17299999999999999</v>
      </c>
      <c r="C19" s="113">
        <v>0.17399999999999999</v>
      </c>
      <c r="D19" s="113">
        <v>0.17499999999999999</v>
      </c>
      <c r="E19" s="113">
        <v>0.17499999999999999</v>
      </c>
      <c r="F19" s="113">
        <v>0.17599999999999999</v>
      </c>
      <c r="G19" s="113">
        <v>0.17599999999999999</v>
      </c>
      <c r="H19" s="113">
        <v>0.17599999999999999</v>
      </c>
      <c r="I19" s="113">
        <v>0.17699999999999999</v>
      </c>
      <c r="J19" s="113">
        <v>0.17879999999999999</v>
      </c>
      <c r="K19" s="113">
        <v>0.17835859846018301</v>
      </c>
      <c r="L19" s="113">
        <v>0.17824059431234246</v>
      </c>
      <c r="M19" s="113">
        <v>0.17782957808177852</v>
      </c>
      <c r="N19" s="113" t="s">
        <v>574</v>
      </c>
      <c r="O19" s="113">
        <v>0.14668083652184291</v>
      </c>
      <c r="P19" s="113">
        <v>0.14631016257668802</v>
      </c>
      <c r="Q19" s="113">
        <v>0.14521266963980858</v>
      </c>
      <c r="R19" s="113">
        <v>0.14511426557332999</v>
      </c>
      <c r="S19" s="113">
        <v>0.14362142945089768</v>
      </c>
      <c r="T19" s="115">
        <v>0.14448291844179825</v>
      </c>
    </row>
    <row r="20" spans="1:20" customFormat="1" ht="26.25" thickBot="1" x14ac:dyDescent="0.3">
      <c r="A20" s="131" t="s">
        <v>575</v>
      </c>
      <c r="B20" s="132">
        <v>0.39645354738068983</v>
      </c>
      <c r="C20" s="132">
        <v>0.33905467935028111</v>
      </c>
      <c r="D20" s="132">
        <v>0.27250000000000002</v>
      </c>
      <c r="E20" s="132">
        <v>0.2437</v>
      </c>
      <c r="F20" s="132">
        <v>0.23250000000000001</v>
      </c>
      <c r="G20" s="132">
        <v>0.24060000000000001</v>
      </c>
      <c r="H20" s="132">
        <v>0.24349999999999999</v>
      </c>
      <c r="I20" s="132">
        <v>0.24199999999999999</v>
      </c>
      <c r="J20" s="132">
        <v>0.253</v>
      </c>
      <c r="K20" s="132">
        <v>0.26610169439015463</v>
      </c>
      <c r="L20" s="132">
        <v>0.26761032775264376</v>
      </c>
      <c r="M20" s="132">
        <v>0.26290883709744151</v>
      </c>
      <c r="N20" s="113" t="s">
        <v>575</v>
      </c>
      <c r="O20" s="113">
        <v>0.43479169961577341</v>
      </c>
      <c r="P20" s="113">
        <v>0.42348365486730305</v>
      </c>
      <c r="Q20" s="113">
        <v>0.40662137931053877</v>
      </c>
      <c r="R20" s="113">
        <v>0.39266794067854899</v>
      </c>
      <c r="S20" s="113">
        <v>0.37157175916411389</v>
      </c>
      <c r="T20" s="115">
        <v>0.37169405306157999</v>
      </c>
    </row>
    <row r="21" spans="1:20" customFormat="1" ht="26.25" thickBot="1" x14ac:dyDescent="0.3">
      <c r="A21" s="131" t="s">
        <v>576</v>
      </c>
      <c r="B21" s="132">
        <v>2.8616693587275411E-2</v>
      </c>
      <c r="C21" s="132">
        <v>3.0978129089535282E-2</v>
      </c>
      <c r="D21" s="132">
        <v>2.8344627668190871E-2</v>
      </c>
      <c r="E21" s="132">
        <v>3.1028472725572503E-2</v>
      </c>
      <c r="F21" s="132">
        <v>3.1421738415403494E-2</v>
      </c>
      <c r="G21" s="132">
        <v>3.5000000000000003E-2</v>
      </c>
      <c r="H21" s="132">
        <v>3.7999999999999999E-2</v>
      </c>
      <c r="I21" s="132">
        <v>0.04</v>
      </c>
      <c r="J21" s="133">
        <v>3.7999999999999999E-2</v>
      </c>
      <c r="K21" s="133">
        <v>4.0429772774496858E-2</v>
      </c>
      <c r="L21" s="133">
        <v>4.1654221492980245E-2</v>
      </c>
      <c r="M21" s="133">
        <v>4.1500735921186513E-2</v>
      </c>
      <c r="N21" s="132" t="s">
        <v>576</v>
      </c>
      <c r="O21" s="133">
        <v>7.8919169377031834E-2</v>
      </c>
      <c r="P21" s="133">
        <v>7.7939125884229105E-2</v>
      </c>
      <c r="Q21" s="133">
        <v>7.5625729951742549E-2</v>
      </c>
      <c r="R21" s="133">
        <v>7.3716736652253798E-2</v>
      </c>
      <c r="S21" s="133">
        <v>7.0249453426139877E-2</v>
      </c>
      <c r="T21" s="134">
        <v>7.0999999999999994E-2</v>
      </c>
    </row>
    <row r="22" spans="1:20" customFormat="1" ht="26.25" thickBot="1" x14ac:dyDescent="0.3">
      <c r="A22" s="135"/>
      <c r="B22" s="136"/>
      <c r="C22" s="136"/>
      <c r="D22" s="136"/>
      <c r="E22" s="136"/>
      <c r="F22" s="136"/>
      <c r="G22" s="136"/>
      <c r="H22" s="136"/>
      <c r="I22" s="136"/>
      <c r="J22" s="137"/>
      <c r="K22" s="137"/>
      <c r="L22" s="137"/>
      <c r="M22" s="137"/>
      <c r="N22" s="133" t="s">
        <v>577</v>
      </c>
      <c r="O22" s="133">
        <v>3.8979798834114503E-2</v>
      </c>
      <c r="P22" s="133">
        <v>3.2565499512511385E-2</v>
      </c>
      <c r="Q22" s="133">
        <v>2.914755122302113E-2</v>
      </c>
      <c r="R22" s="133">
        <v>2.70006317741667E-2</v>
      </c>
      <c r="S22" s="133">
        <v>3.0912526180157409E-2</v>
      </c>
      <c r="T22" s="134">
        <v>3.4241173845090844E-2</v>
      </c>
    </row>
    <row r="23" spans="1:20" customFormat="1" ht="51.75" thickBot="1" x14ac:dyDescent="0.3">
      <c r="A23" s="135"/>
      <c r="B23" s="136"/>
      <c r="C23" s="136"/>
      <c r="D23" s="136"/>
      <c r="E23" s="136"/>
      <c r="F23" s="136"/>
      <c r="G23" s="136"/>
      <c r="H23" s="136"/>
      <c r="I23" s="136"/>
      <c r="J23" s="137"/>
      <c r="K23" s="137"/>
      <c r="L23" s="137"/>
      <c r="M23" s="137"/>
      <c r="N23" s="138" t="s">
        <v>578</v>
      </c>
      <c r="O23" s="139">
        <v>3.8246169640000001</v>
      </c>
      <c r="P23" s="139">
        <v>3.978635454</v>
      </c>
      <c r="Q23" s="139">
        <v>3.8212084599999998</v>
      </c>
      <c r="R23" s="139">
        <v>4.0239219989999997</v>
      </c>
      <c r="S23" s="139">
        <v>4.1844028839999998</v>
      </c>
      <c r="T23" s="140">
        <v>3.9340064840000002</v>
      </c>
    </row>
    <row r="24" spans="1:20" customFormat="1" ht="26.25" thickBot="1" x14ac:dyDescent="0.3">
      <c r="A24" s="135"/>
      <c r="B24" s="136"/>
      <c r="C24" s="136"/>
      <c r="D24" s="136"/>
      <c r="E24" s="136"/>
      <c r="F24" s="136"/>
      <c r="G24" s="136"/>
      <c r="H24" s="136"/>
      <c r="I24" s="136"/>
      <c r="J24" s="137"/>
      <c r="K24" s="137"/>
      <c r="L24" s="137"/>
      <c r="M24" s="137"/>
      <c r="N24" s="138" t="s">
        <v>579</v>
      </c>
      <c r="O24" s="141">
        <v>4.2271160234299998</v>
      </c>
      <c r="P24" s="139">
        <v>4.4026863414499999</v>
      </c>
      <c r="Q24" s="139">
        <v>4.2308156066700002</v>
      </c>
      <c r="R24" s="139">
        <v>4.4576362168600001</v>
      </c>
      <c r="S24" s="139">
        <v>4.6383819605500003</v>
      </c>
      <c r="T24" s="140">
        <v>4.3574766116000001</v>
      </c>
    </row>
    <row r="25" spans="1:20" customFormat="1" ht="39" thickBot="1" x14ac:dyDescent="0.3">
      <c r="A25" s="135"/>
      <c r="B25" s="136"/>
      <c r="C25" s="136"/>
      <c r="D25" s="136"/>
      <c r="E25" s="136"/>
      <c r="F25" s="136"/>
      <c r="G25" s="136"/>
      <c r="H25" s="136"/>
      <c r="I25" s="136"/>
      <c r="J25" s="137"/>
      <c r="K25" s="137"/>
      <c r="L25" s="137"/>
      <c r="M25" s="137"/>
      <c r="N25" s="142" t="s">
        <v>580</v>
      </c>
      <c r="O25" s="133">
        <v>0.77041828144500757</v>
      </c>
      <c r="P25" s="133">
        <v>0.75900000000000001</v>
      </c>
      <c r="Q25" s="133">
        <v>0.80700000000000005</v>
      </c>
      <c r="R25" s="133">
        <v>0.79</v>
      </c>
      <c r="S25" s="133">
        <v>0.79100000000000004</v>
      </c>
      <c r="T25" s="134">
        <v>0.75987551231041361</v>
      </c>
    </row>
    <row r="26" spans="1:20" customFormat="1" ht="51.75" thickBot="1" x14ac:dyDescent="0.3">
      <c r="A26" s="135"/>
      <c r="B26" s="136"/>
      <c r="C26" s="136"/>
      <c r="D26" s="136"/>
      <c r="E26" s="136"/>
      <c r="F26" s="136"/>
      <c r="G26" s="136"/>
      <c r="H26" s="136"/>
      <c r="I26" s="136"/>
      <c r="J26" s="137"/>
      <c r="K26" s="137"/>
      <c r="L26" s="137"/>
      <c r="M26" s="137"/>
      <c r="N26" s="142" t="s">
        <v>581</v>
      </c>
      <c r="O26" s="133">
        <v>3.9414579162690942E-2</v>
      </c>
      <c r="P26" s="143">
        <v>3.8062692684483417E-2</v>
      </c>
      <c r="Q26" s="143">
        <v>3.0443904397120313E-2</v>
      </c>
      <c r="R26" s="143">
        <v>3.1011234870950997E-2</v>
      </c>
      <c r="S26" s="143">
        <v>3.0192616665047425E-2</v>
      </c>
      <c r="T26" s="144">
        <v>2.8067896110568209E-2</v>
      </c>
    </row>
    <row r="27" spans="1:20" customFormat="1" ht="128.25" thickBot="1" x14ac:dyDescent="0.3">
      <c r="A27" s="135"/>
      <c r="B27" s="136"/>
      <c r="C27" s="136"/>
      <c r="D27" s="136"/>
      <c r="E27" s="136"/>
      <c r="F27" s="136"/>
      <c r="G27" s="136"/>
      <c r="H27" s="136"/>
      <c r="I27" s="136"/>
      <c r="J27" s="137"/>
      <c r="K27" s="137"/>
      <c r="L27" s="137"/>
      <c r="M27" s="137"/>
      <c r="N27" s="132" t="s">
        <v>582</v>
      </c>
      <c r="O27" s="133">
        <v>0.1960033401905048</v>
      </c>
      <c r="P27" s="133">
        <v>0.19469407951861806</v>
      </c>
      <c r="Q27" s="133">
        <v>0.22442002546131801</v>
      </c>
      <c r="R27" s="133">
        <v>0.22153879405554527</v>
      </c>
      <c r="S27" s="133">
        <v>0.22617239033973274</v>
      </c>
      <c r="T27" s="134">
        <v>0.20029051165883954</v>
      </c>
    </row>
    <row r="28" spans="1:20" customFormat="1" ht="64.5" thickBot="1" x14ac:dyDescent="0.3">
      <c r="A28" s="135"/>
      <c r="B28" s="136"/>
      <c r="C28" s="136"/>
      <c r="D28" s="136"/>
      <c r="E28" s="136"/>
      <c r="F28" s="136"/>
      <c r="G28" s="136"/>
      <c r="H28" s="136"/>
      <c r="I28" s="136"/>
      <c r="J28" s="137"/>
      <c r="K28" s="137"/>
      <c r="L28" s="137"/>
      <c r="M28" s="137"/>
      <c r="N28" s="132" t="s">
        <v>583</v>
      </c>
      <c r="O28" s="132">
        <v>0.11169600312087805</v>
      </c>
      <c r="P28" s="132">
        <v>0.11111186501498847</v>
      </c>
      <c r="Q28" s="132">
        <v>0.10076330157438124</v>
      </c>
      <c r="R28" s="132">
        <v>9.9764827430089631E-2</v>
      </c>
      <c r="S28" s="132">
        <v>0.10168588089686557</v>
      </c>
      <c r="T28" s="145">
        <v>9.0898347984011127E-2</v>
      </c>
    </row>
    <row r="29" spans="1:20" customFormat="1" ht="64.5" thickBot="1" x14ac:dyDescent="0.3">
      <c r="A29" s="135"/>
      <c r="B29" s="136"/>
      <c r="C29" s="136"/>
      <c r="D29" s="136"/>
      <c r="E29" s="136"/>
      <c r="F29" s="136"/>
      <c r="G29" s="136"/>
      <c r="H29" s="136"/>
      <c r="I29" s="136"/>
      <c r="J29" s="137"/>
      <c r="K29" s="137"/>
      <c r="L29" s="137"/>
      <c r="M29" s="137"/>
      <c r="N29" s="132" t="s">
        <v>584</v>
      </c>
      <c r="O29" s="133">
        <v>5.5639539104594453E-2</v>
      </c>
      <c r="P29" s="133">
        <v>5.5695406943262658E-2</v>
      </c>
      <c r="Q29" s="133">
        <v>5.2133869976304238E-2</v>
      </c>
      <c r="R29" s="133">
        <v>5.2072183621319816E-2</v>
      </c>
      <c r="S29" s="133">
        <v>5.2823697934323552E-2</v>
      </c>
      <c r="T29" s="134">
        <v>4.8017075492180025E-2</v>
      </c>
    </row>
    <row r="30" spans="1:20" customFormat="1" ht="51.75" thickBot="1" x14ac:dyDescent="0.3">
      <c r="A30" s="117" t="s">
        <v>585</v>
      </c>
      <c r="B30" s="138">
        <v>-12.450089</v>
      </c>
      <c r="C30" s="138">
        <v>-10.336565</v>
      </c>
      <c r="D30" s="138">
        <v>-11.084273</v>
      </c>
      <c r="E30" s="138">
        <v>-10.315326000000001</v>
      </c>
      <c r="F30" s="138">
        <v>-8.1854259057299714</v>
      </c>
      <c r="G30" s="138">
        <v>-8.2674269906008444</v>
      </c>
      <c r="H30" s="138">
        <v>-8.8413769999999996</v>
      </c>
      <c r="I30" s="138">
        <v>-7.73</v>
      </c>
      <c r="J30" s="138">
        <v>-8</v>
      </c>
      <c r="K30" s="138">
        <v>-6.6752593839698706</v>
      </c>
      <c r="L30" s="138">
        <v>-6.0522763109965796</v>
      </c>
      <c r="M30" s="138">
        <v>-11.446225999999999</v>
      </c>
      <c r="N30" s="133" t="s">
        <v>586</v>
      </c>
      <c r="O30" s="138">
        <v>-10.593593</v>
      </c>
      <c r="P30" s="138">
        <v>-9.8212119313810398</v>
      </c>
      <c r="Q30" s="138">
        <v>-9.0270600907981109</v>
      </c>
      <c r="R30" s="138">
        <v>-11.46572101473709</v>
      </c>
      <c r="S30" s="138">
        <v>-10.659331999999999</v>
      </c>
      <c r="T30" s="146">
        <v>-9.8987949999999998</v>
      </c>
    </row>
    <row r="31" spans="1:20" customFormat="1" ht="39" thickBot="1" x14ac:dyDescent="0.3">
      <c r="A31" s="117" t="s">
        <v>587</v>
      </c>
      <c r="B31" s="138">
        <v>-1.083321</v>
      </c>
      <c r="C31" s="138">
        <v>-0.89683199999999996</v>
      </c>
      <c r="D31" s="138">
        <v>5.0238140160000002</v>
      </c>
      <c r="E31" s="138">
        <v>-0.52527059399999954</v>
      </c>
      <c r="F31" s="138">
        <v>-1.5524479139999994</v>
      </c>
      <c r="G31" s="138">
        <v>3.0183829040000001</v>
      </c>
      <c r="H31" s="138">
        <v>11.396943418999999</v>
      </c>
      <c r="I31" s="138">
        <v>8.8699999999999992</v>
      </c>
      <c r="J31" s="138">
        <v>7.76</v>
      </c>
      <c r="K31" s="138">
        <v>-3.0201060000000002</v>
      </c>
      <c r="L31" s="138">
        <v>-2.190677253</v>
      </c>
      <c r="M31" s="138">
        <v>1.673404069</v>
      </c>
      <c r="N31" s="132" t="s">
        <v>588</v>
      </c>
      <c r="O31" s="138">
        <v>-7.4430126960000003</v>
      </c>
      <c r="P31" s="138">
        <v>-1.442043711</v>
      </c>
      <c r="Q31" s="138">
        <v>-2.4293987410000004</v>
      </c>
      <c r="R31" s="138">
        <v>9.7625900892847228E-2</v>
      </c>
      <c r="S31" s="138">
        <v>3.7725148239999999</v>
      </c>
      <c r="T31" s="146">
        <v>6.8535912029999997</v>
      </c>
    </row>
    <row r="32" spans="1:20" customFormat="1" ht="39" thickBot="1" x14ac:dyDescent="0.3">
      <c r="A32" s="117" t="s">
        <v>589</v>
      </c>
      <c r="B32" s="142">
        <v>-49.41</v>
      </c>
      <c r="C32" s="142">
        <v>-58.181706494181867</v>
      </c>
      <c r="D32" s="142">
        <v>-54.21320111604016</v>
      </c>
      <c r="E32" s="142">
        <v>-53.012672648901557</v>
      </c>
      <c r="F32" s="142">
        <v>-51.09</v>
      </c>
      <c r="G32" s="142">
        <v>-46.48</v>
      </c>
      <c r="H32" s="142">
        <v>-52.35</v>
      </c>
      <c r="I32" s="142">
        <v>-52.95</v>
      </c>
      <c r="J32" s="142">
        <v>-45.59</v>
      </c>
      <c r="K32" s="142">
        <v>-47.714710562333153</v>
      </c>
      <c r="L32" s="142">
        <v>-42.238502595713314</v>
      </c>
      <c r="M32" s="142">
        <v>-40.464208089094804</v>
      </c>
      <c r="N32" s="132" t="s">
        <v>589</v>
      </c>
      <c r="O32" s="138">
        <v>-51.698132232876979</v>
      </c>
      <c r="P32" s="138">
        <v>-51.871690824807096</v>
      </c>
      <c r="Q32" s="138">
        <v>-61.25874683387314</v>
      </c>
      <c r="R32" s="138">
        <v>-52.304316413512694</v>
      </c>
      <c r="S32" s="138">
        <v>-56.163772205471034</v>
      </c>
      <c r="T32" s="146">
        <v>-51.127240519434068</v>
      </c>
    </row>
    <row r="33" spans="1:20" customFormat="1" ht="39" thickBot="1" x14ac:dyDescent="0.3">
      <c r="A33" s="117" t="s">
        <v>590</v>
      </c>
      <c r="B33" s="142">
        <v>-142.70787061621576</v>
      </c>
      <c r="C33" s="142">
        <v>-174.22066454963021</v>
      </c>
      <c r="D33" s="142">
        <v>-176.92031638776677</v>
      </c>
      <c r="E33" s="142">
        <v>-179.05050705664172</v>
      </c>
      <c r="F33" s="142">
        <v>-167.24</v>
      </c>
      <c r="G33" s="142">
        <v>-159.91999999999999</v>
      </c>
      <c r="H33" s="142">
        <v>-176.76</v>
      </c>
      <c r="I33" s="142">
        <v>-175.57</v>
      </c>
      <c r="J33" s="142">
        <v>-155.01</v>
      </c>
      <c r="K33" s="142">
        <v>-177.45744423482924</v>
      </c>
      <c r="L33" s="142">
        <v>-174.49774942057985</v>
      </c>
      <c r="M33" s="142">
        <v>-170.98224460518043</v>
      </c>
      <c r="N33" s="147" t="s">
        <v>590</v>
      </c>
      <c r="O33" s="138">
        <v>-224.27140580918407</v>
      </c>
      <c r="P33" s="138">
        <v>-228.59845521603</v>
      </c>
      <c r="Q33" s="138">
        <v>-265.94460910192851</v>
      </c>
      <c r="R33" s="138">
        <v>-228.38581978394814</v>
      </c>
      <c r="S33" s="138">
        <v>-269.0561113282676</v>
      </c>
      <c r="T33" s="146">
        <v>-195.33530653701462</v>
      </c>
    </row>
    <row r="34" spans="1:20" customFormat="1" ht="39" thickBot="1" x14ac:dyDescent="0.3">
      <c r="A34" s="117" t="s">
        <v>591</v>
      </c>
      <c r="B34" s="132">
        <v>1.0418084774320202</v>
      </c>
      <c r="C34" s="132">
        <v>1.0383240046499835</v>
      </c>
      <c r="D34" s="132">
        <v>1.0332591513070719</v>
      </c>
      <c r="E34" s="132">
        <v>1.0324682771960805</v>
      </c>
      <c r="F34" s="132">
        <v>1.1201000000000001</v>
      </c>
      <c r="G34" s="132">
        <v>1.1193</v>
      </c>
      <c r="H34" s="132">
        <v>1.1177999999999999</v>
      </c>
      <c r="I34" s="132">
        <v>1.1184000000000001</v>
      </c>
      <c r="J34" s="132">
        <v>1.1200000000000001</v>
      </c>
      <c r="K34" s="132">
        <v>1.1167251475337139</v>
      </c>
      <c r="L34" s="132">
        <v>1.109793212386849</v>
      </c>
      <c r="M34" s="132">
        <v>1.1067249030759281</v>
      </c>
      <c r="N34" s="138" t="s">
        <v>591</v>
      </c>
      <c r="O34" s="132">
        <v>0.92600000000000005</v>
      </c>
      <c r="P34" s="132">
        <v>0.93844160443161095</v>
      </c>
      <c r="Q34" s="132">
        <v>0.89406945059810827</v>
      </c>
      <c r="R34" s="132">
        <v>0.92140916804407824</v>
      </c>
      <c r="S34" s="132">
        <v>0.9358946737941517</v>
      </c>
      <c r="T34" s="145">
        <v>0.86911968736728951</v>
      </c>
    </row>
    <row r="35" spans="1:20" customFormat="1" ht="15.75" thickBot="1" x14ac:dyDescent="0.3">
      <c r="A35" s="117" t="s">
        <v>592</v>
      </c>
      <c r="B35" s="132">
        <v>0.83630000000000004</v>
      </c>
      <c r="C35" s="132">
        <v>0.83699999999999997</v>
      </c>
      <c r="D35" s="132">
        <v>0.82830000000000004</v>
      </c>
      <c r="E35" s="132">
        <v>0.83320000000000005</v>
      </c>
      <c r="F35" s="132">
        <v>0.87690000000000001</v>
      </c>
      <c r="G35" s="132">
        <v>0.87419999999999998</v>
      </c>
      <c r="H35" s="132">
        <v>0.87709999999999999</v>
      </c>
      <c r="I35" s="132">
        <v>0.87190000000000001</v>
      </c>
      <c r="J35" s="132">
        <v>0.88</v>
      </c>
      <c r="K35" s="132">
        <v>0.86535937168995369</v>
      </c>
      <c r="L35" s="132">
        <v>0.87081455619557147</v>
      </c>
      <c r="M35" s="132">
        <v>0.86769811302818067</v>
      </c>
      <c r="N35" s="132" t="s">
        <v>592</v>
      </c>
      <c r="O35" s="132">
        <v>0.8676014141785322</v>
      </c>
      <c r="P35" s="132">
        <v>0.85732480673664702</v>
      </c>
      <c r="Q35" s="132">
        <v>0.85303680290352046</v>
      </c>
      <c r="R35" s="132">
        <v>0.86028883602485806</v>
      </c>
      <c r="S35" s="132">
        <v>0.87201272223222581</v>
      </c>
      <c r="T35" s="145">
        <v>0.85867838083753145</v>
      </c>
    </row>
    <row r="36" spans="1:20" customFormat="1" ht="77.25" thickBot="1" x14ac:dyDescent="0.3">
      <c r="A36" s="117" t="s">
        <v>593</v>
      </c>
      <c r="B36" s="132">
        <v>0</v>
      </c>
      <c r="C36" s="132">
        <v>0</v>
      </c>
      <c r="D36" s="132">
        <v>1.570354992155221E-2</v>
      </c>
      <c r="E36" s="132">
        <v>1.5599553692538598E-2</v>
      </c>
      <c r="F36" s="132">
        <v>3.2153891642619163E-2</v>
      </c>
      <c r="G36" s="132">
        <v>1.5699999999999999E-2</v>
      </c>
      <c r="H36" s="132">
        <v>0</v>
      </c>
      <c r="I36" s="132">
        <v>0</v>
      </c>
      <c r="J36" s="132">
        <v>0</v>
      </c>
      <c r="K36" s="132">
        <v>0</v>
      </c>
      <c r="L36" s="132">
        <v>0</v>
      </c>
      <c r="M36" s="132">
        <v>0</v>
      </c>
      <c r="N36" s="143" t="s">
        <v>593</v>
      </c>
      <c r="O36" s="132">
        <v>2.2282421255715085E-2</v>
      </c>
      <c r="P36" s="132">
        <v>3.7829321534746399E-2</v>
      </c>
      <c r="Q36" s="132">
        <v>4.1517695367308212E-2</v>
      </c>
      <c r="R36" s="132">
        <v>1.45609321842264E-2</v>
      </c>
      <c r="S36" s="132">
        <v>3.8630709252354851E-2</v>
      </c>
      <c r="T36" s="145">
        <v>0</v>
      </c>
    </row>
    <row r="37" spans="1:20" customFormat="1" ht="26.25" thickBot="1" x14ac:dyDescent="0.3">
      <c r="A37" s="148"/>
      <c r="B37" s="136"/>
      <c r="C37" s="136"/>
      <c r="D37" s="136"/>
      <c r="E37" s="136"/>
      <c r="F37" s="136"/>
      <c r="G37" s="136"/>
      <c r="H37" s="136"/>
      <c r="I37" s="136"/>
      <c r="J37" s="136"/>
      <c r="K37" s="136"/>
      <c r="L37" s="136"/>
      <c r="M37" s="136"/>
      <c r="N37" s="143" t="s">
        <v>594</v>
      </c>
      <c r="O37" s="132">
        <v>0.91951764392722557</v>
      </c>
      <c r="P37" s="132">
        <v>0.780403579318661</v>
      </c>
      <c r="Q37" s="132">
        <v>0.77044082660382818</v>
      </c>
      <c r="R37" s="132">
        <v>0.74817268309859897</v>
      </c>
      <c r="S37" s="132">
        <v>0.73609290501058222</v>
      </c>
      <c r="T37" s="145">
        <v>0.73557688805469379</v>
      </c>
    </row>
    <row r="38" spans="1:20" customFormat="1" ht="39" thickBot="1" x14ac:dyDescent="0.3">
      <c r="A38" s="148"/>
      <c r="B38" s="136"/>
      <c r="C38" s="136"/>
      <c r="D38" s="136"/>
      <c r="E38" s="136"/>
      <c r="F38" s="136"/>
      <c r="G38" s="136"/>
      <c r="H38" s="136"/>
      <c r="I38" s="136"/>
      <c r="J38" s="136"/>
      <c r="K38" s="136"/>
      <c r="L38" s="136"/>
      <c r="M38" s="136"/>
      <c r="N38" s="143" t="s">
        <v>595</v>
      </c>
      <c r="O38" s="132">
        <v>1.2195631243322045</v>
      </c>
      <c r="P38" s="132">
        <v>0.99384854378833198</v>
      </c>
      <c r="Q38" s="132">
        <v>0.98768006570220412</v>
      </c>
      <c r="R38" s="132">
        <v>0.97603207453187113</v>
      </c>
      <c r="S38" s="132">
        <v>0.97044242019054883</v>
      </c>
      <c r="T38" s="145">
        <v>0.97326834646382399</v>
      </c>
    </row>
    <row r="39" spans="1:20" customFormat="1" ht="115.5" thickBot="1" x14ac:dyDescent="0.3">
      <c r="A39" s="117" t="s">
        <v>596</v>
      </c>
      <c r="B39" s="133">
        <v>0</v>
      </c>
      <c r="C39" s="133">
        <v>0</v>
      </c>
      <c r="D39" s="133">
        <v>0</v>
      </c>
      <c r="E39" s="133">
        <v>0</v>
      </c>
      <c r="F39" s="133">
        <v>8.0000000000000004E-4</v>
      </c>
      <c r="G39" s="133">
        <v>0.223</v>
      </c>
      <c r="H39" s="133">
        <v>0.14399999999999999</v>
      </c>
      <c r="I39" s="133">
        <v>8.0000000000000004E-4</v>
      </c>
      <c r="J39" s="133">
        <v>1.6999999999999999E-3</v>
      </c>
      <c r="K39" s="133">
        <v>1.4E-3</v>
      </c>
      <c r="L39" s="133">
        <v>2.2772636329916422E-4</v>
      </c>
      <c r="M39" s="133">
        <v>3.5999999999999997E-2</v>
      </c>
      <c r="N39" s="143" t="s">
        <v>597</v>
      </c>
      <c r="O39" s="133">
        <v>3.8E-3</v>
      </c>
      <c r="P39" s="133">
        <v>1.95E-2</v>
      </c>
      <c r="Q39" s="133">
        <v>1.9E-2</v>
      </c>
      <c r="R39" s="133">
        <v>1.1133871596858985E-4</v>
      </c>
      <c r="S39" s="143">
        <v>1.2999999999999999E-4</v>
      </c>
      <c r="T39" s="144">
        <v>6.9999999999999999E-4</v>
      </c>
    </row>
    <row r="40" spans="1:20" customFormat="1" ht="51.75" thickBot="1" x14ac:dyDescent="0.3">
      <c r="A40" s="117" t="s">
        <v>598</v>
      </c>
      <c r="B40" s="132">
        <v>0.108</v>
      </c>
      <c r="C40" s="132">
        <v>0.112</v>
      </c>
      <c r="D40" s="132">
        <v>0.111</v>
      </c>
      <c r="E40" s="132">
        <v>0.105</v>
      </c>
      <c r="F40" s="132">
        <v>0.1072</v>
      </c>
      <c r="G40" s="132">
        <v>0.1041</v>
      </c>
      <c r="H40" s="132">
        <v>0.1012</v>
      </c>
      <c r="I40" s="132">
        <v>0.1091</v>
      </c>
      <c r="J40" s="132">
        <v>0.112</v>
      </c>
      <c r="K40" s="132">
        <v>0.10929999999999999</v>
      </c>
      <c r="L40" s="132">
        <v>0.11093466424682395</v>
      </c>
      <c r="M40" s="132">
        <v>0.10804077010192525</v>
      </c>
      <c r="N40" s="143" t="s">
        <v>598</v>
      </c>
      <c r="O40" s="133">
        <v>0.111382836816363</v>
      </c>
      <c r="P40" s="133">
        <v>0.113821138211382</v>
      </c>
      <c r="Q40" s="133">
        <v>0.10676464231683599</v>
      </c>
      <c r="R40" s="133">
        <v>0.111728263191626</v>
      </c>
      <c r="S40" s="133">
        <v>0.11799999999999999</v>
      </c>
      <c r="T40" s="134">
        <v>0.11896838602329451</v>
      </c>
    </row>
    <row r="41" spans="1:20" customFormat="1" ht="77.25" thickBot="1" x14ac:dyDescent="0.3">
      <c r="A41" s="117" t="s">
        <v>599</v>
      </c>
      <c r="B41" s="132" t="s">
        <v>600</v>
      </c>
      <c r="C41" s="132" t="s">
        <v>600</v>
      </c>
      <c r="D41" s="132">
        <v>1</v>
      </c>
      <c r="E41" s="132">
        <v>1</v>
      </c>
      <c r="F41" s="132">
        <v>0.99199999999999999</v>
      </c>
      <c r="G41" s="132">
        <v>0.995</v>
      </c>
      <c r="H41" s="132">
        <v>0.995</v>
      </c>
      <c r="I41" s="132">
        <v>0.99399999999999999</v>
      </c>
      <c r="J41" s="132">
        <v>1</v>
      </c>
      <c r="K41" s="132">
        <v>1</v>
      </c>
      <c r="L41" s="132">
        <v>1</v>
      </c>
      <c r="M41" s="132">
        <v>0.99099999999999999</v>
      </c>
      <c r="N41" s="143" t="s">
        <v>599</v>
      </c>
      <c r="O41" s="133">
        <v>1</v>
      </c>
      <c r="P41" s="133">
        <v>1</v>
      </c>
      <c r="Q41" s="133">
        <v>0.99718065495554109</v>
      </c>
      <c r="R41" s="133">
        <v>1</v>
      </c>
      <c r="S41" s="133">
        <v>1</v>
      </c>
      <c r="T41" s="134">
        <v>0.995</v>
      </c>
    </row>
    <row r="42" spans="1:20" customFormat="1" ht="51.75" thickBot="1" x14ac:dyDescent="0.3">
      <c r="A42" s="117" t="s">
        <v>601</v>
      </c>
      <c r="B42" s="147">
        <v>0</v>
      </c>
      <c r="C42" s="147">
        <v>0</v>
      </c>
      <c r="D42" s="147">
        <v>0</v>
      </c>
      <c r="E42" s="147">
        <v>0</v>
      </c>
      <c r="F42" s="147">
        <v>0</v>
      </c>
      <c r="G42" s="147">
        <v>0</v>
      </c>
      <c r="H42" s="147">
        <v>0</v>
      </c>
      <c r="I42" s="147">
        <v>0</v>
      </c>
      <c r="J42" s="147">
        <v>0</v>
      </c>
      <c r="K42" s="147">
        <v>0</v>
      </c>
      <c r="L42" s="147">
        <v>0</v>
      </c>
      <c r="M42" s="147">
        <v>0</v>
      </c>
      <c r="N42" s="143" t="s">
        <v>601</v>
      </c>
      <c r="O42" s="133">
        <v>0</v>
      </c>
      <c r="P42" s="133">
        <v>0</v>
      </c>
      <c r="Q42" s="133">
        <v>0</v>
      </c>
      <c r="R42" s="133">
        <v>0</v>
      </c>
      <c r="S42" s="133">
        <v>0</v>
      </c>
      <c r="T42" s="134">
        <v>0</v>
      </c>
    </row>
    <row r="43" spans="1:20" customFormat="1" ht="102.75" thickBot="1" x14ac:dyDescent="0.3">
      <c r="A43" s="117" t="s">
        <v>602</v>
      </c>
      <c r="B43" s="147">
        <v>0</v>
      </c>
      <c r="C43" s="147">
        <v>0</v>
      </c>
      <c r="D43" s="147">
        <v>0</v>
      </c>
      <c r="E43" s="147">
        <v>0</v>
      </c>
      <c r="F43" s="147">
        <v>0</v>
      </c>
      <c r="G43" s="147">
        <v>0</v>
      </c>
      <c r="H43" s="147">
        <v>0</v>
      </c>
      <c r="I43" s="147">
        <v>0</v>
      </c>
      <c r="J43" s="147">
        <v>0</v>
      </c>
      <c r="K43" s="147">
        <v>0</v>
      </c>
      <c r="L43" s="147">
        <v>0</v>
      </c>
      <c r="M43" s="138">
        <v>0</v>
      </c>
      <c r="N43" s="143" t="s">
        <v>602</v>
      </c>
      <c r="O43" s="133">
        <v>0</v>
      </c>
      <c r="P43" s="133">
        <v>0</v>
      </c>
      <c r="Q43" s="133">
        <v>0</v>
      </c>
      <c r="R43" s="133">
        <v>0</v>
      </c>
      <c r="S43" s="143">
        <v>0</v>
      </c>
      <c r="T43" s="144">
        <v>0</v>
      </c>
    </row>
    <row r="44" spans="1:20" customFormat="1" ht="153.75" thickBot="1" x14ac:dyDescent="0.3">
      <c r="A44" s="148"/>
      <c r="B44" s="149"/>
      <c r="C44" s="149"/>
      <c r="D44" s="149"/>
      <c r="E44" s="149"/>
      <c r="F44" s="149"/>
      <c r="G44" s="149"/>
      <c r="H44" s="149"/>
      <c r="I44" s="149"/>
      <c r="J44" s="149"/>
      <c r="K44" s="149"/>
      <c r="L44" s="149"/>
      <c r="M44" s="150"/>
      <c r="N44" s="143" t="s">
        <v>603</v>
      </c>
      <c r="O44" s="133">
        <v>0.32</v>
      </c>
      <c r="P44" s="133">
        <v>0.32</v>
      </c>
      <c r="Q44" s="133">
        <v>0.32</v>
      </c>
      <c r="R44" s="133" t="s">
        <v>604</v>
      </c>
      <c r="S44" s="143" t="s">
        <v>604</v>
      </c>
      <c r="T44" s="144" t="s">
        <v>605</v>
      </c>
    </row>
    <row r="45" spans="1:20" customFormat="1" ht="15.75" thickBot="1" x14ac:dyDescent="0.3">
      <c r="A45" s="151" t="s">
        <v>606</v>
      </c>
      <c r="B45" s="132">
        <v>9.039341931058556E-2</v>
      </c>
      <c r="C45" s="132">
        <v>8.6400742458524124E-2</v>
      </c>
      <c r="D45" s="132">
        <v>8.8388119009020244E-2</v>
      </c>
      <c r="E45" s="132">
        <v>8.9538772739494274E-2</v>
      </c>
      <c r="F45" s="132">
        <v>9.0200000000000002E-2</v>
      </c>
      <c r="G45" s="132">
        <v>8.8300000000000003E-2</v>
      </c>
      <c r="H45" s="132">
        <v>8.7999999999999995E-2</v>
      </c>
      <c r="I45" s="132">
        <v>9.3700000000000006E-2</v>
      </c>
      <c r="J45" s="143">
        <v>9.4100000000000003E-2</v>
      </c>
      <c r="K45" s="143">
        <v>9.2700000000000005E-2</v>
      </c>
      <c r="L45" s="143">
        <v>9.35E-2</v>
      </c>
      <c r="M45" s="143">
        <v>0.10029613043713527</v>
      </c>
      <c r="N45" s="143" t="s">
        <v>606</v>
      </c>
      <c r="O45" s="133">
        <v>0.10199412624399412</v>
      </c>
      <c r="P45" s="133">
        <v>0.1036</v>
      </c>
      <c r="Q45" s="133">
        <v>0.1021</v>
      </c>
      <c r="R45" s="133">
        <v>0.1051</v>
      </c>
      <c r="S45" s="143">
        <v>0.1074</v>
      </c>
      <c r="T45" s="144">
        <v>0.1081</v>
      </c>
    </row>
    <row r="46" spans="1:20" customFormat="1" ht="15.75" thickBot="1" x14ac:dyDescent="0.3">
      <c r="A46" s="151" t="s">
        <v>607</v>
      </c>
      <c r="B46" s="132">
        <v>9.4753000000000004E-2</v>
      </c>
      <c r="C46" s="132">
        <v>9.1200000000000003E-2</v>
      </c>
      <c r="D46" s="132">
        <v>9.2200000000000004E-2</v>
      </c>
      <c r="E46" s="132">
        <v>9.0899999999999995E-2</v>
      </c>
      <c r="F46" s="132">
        <v>9.1300000000000006E-2</v>
      </c>
      <c r="G46" s="132">
        <v>8.9700000000000002E-2</v>
      </c>
      <c r="H46" s="132">
        <v>9.0499999999999997E-2</v>
      </c>
      <c r="I46" s="132">
        <v>9.74E-2</v>
      </c>
      <c r="J46" s="143">
        <v>9.5000000000000001E-2</v>
      </c>
      <c r="K46" s="143">
        <v>9.4899999999999998E-2</v>
      </c>
      <c r="L46" s="143">
        <v>9.5799999999999996E-2</v>
      </c>
      <c r="M46" s="143">
        <v>0.10380691980189138</v>
      </c>
      <c r="N46" s="143" t="s">
        <v>607</v>
      </c>
      <c r="O46" s="152">
        <v>0.10564580420356801</v>
      </c>
      <c r="P46" s="133">
        <v>0.1077</v>
      </c>
      <c r="Q46" s="133">
        <v>0.10879999999999999</v>
      </c>
      <c r="R46" s="133">
        <v>0.1113</v>
      </c>
      <c r="S46" s="143">
        <v>0.1118</v>
      </c>
      <c r="T46" s="144">
        <v>0.1128</v>
      </c>
    </row>
    <row r="47" spans="1:20" customFormat="1" ht="26.25" thickBot="1" x14ac:dyDescent="0.3">
      <c r="A47" s="151" t="s">
        <v>608</v>
      </c>
      <c r="B47" s="132">
        <v>9.039341931058556E-2</v>
      </c>
      <c r="C47" s="132">
        <v>8.6400742458524124E-2</v>
      </c>
      <c r="D47" s="132">
        <v>8.8388119009020244E-2</v>
      </c>
      <c r="E47" s="132">
        <v>8.9538772739494274E-2</v>
      </c>
      <c r="F47" s="132">
        <v>9.0200000000000002E-2</v>
      </c>
      <c r="G47" s="132">
        <v>8.8300000000000003E-2</v>
      </c>
      <c r="H47" s="132">
        <v>8.7999999999999995E-2</v>
      </c>
      <c r="I47" s="132">
        <v>9.3700000000000006E-2</v>
      </c>
      <c r="J47" s="143">
        <v>9.4100000000000003E-2</v>
      </c>
      <c r="K47" s="143">
        <v>9.2700000000000005E-2</v>
      </c>
      <c r="L47" s="143">
        <v>9.35E-2</v>
      </c>
      <c r="M47" s="143">
        <v>0.10029613043713527</v>
      </c>
      <c r="N47" s="143" t="s">
        <v>608</v>
      </c>
      <c r="O47" s="133">
        <v>0.10199412624399412</v>
      </c>
      <c r="P47" s="133">
        <v>0.1036</v>
      </c>
      <c r="Q47" s="133">
        <v>0.10340000000000001</v>
      </c>
      <c r="R47" s="133">
        <v>0.1051</v>
      </c>
      <c r="S47" s="143">
        <v>0.1074</v>
      </c>
      <c r="T47" s="144">
        <v>0.1081</v>
      </c>
    </row>
    <row r="48" spans="1:20" customFormat="1" ht="26.25" thickBot="1" x14ac:dyDescent="0.3">
      <c r="A48" s="151" t="s">
        <v>609</v>
      </c>
      <c r="B48" s="132">
        <v>0.10387641444471633</v>
      </c>
      <c r="C48" s="132">
        <v>9.9874567904505371E-2</v>
      </c>
      <c r="D48" s="132">
        <v>0.1019563928390556</v>
      </c>
      <c r="E48" s="132">
        <v>0.10313348682126956</v>
      </c>
      <c r="F48" s="132">
        <v>0.1038</v>
      </c>
      <c r="G48" s="132">
        <v>0.1019</v>
      </c>
      <c r="H48" s="132">
        <v>0.1017</v>
      </c>
      <c r="I48" s="132">
        <v>0.10730000000000001</v>
      </c>
      <c r="J48" s="143">
        <v>0.1077</v>
      </c>
      <c r="K48" s="143">
        <v>0.10630000000000001</v>
      </c>
      <c r="L48" s="143">
        <v>0.1071</v>
      </c>
      <c r="M48" s="143">
        <v>0.11380428850409996</v>
      </c>
      <c r="N48" s="143" t="s">
        <v>609</v>
      </c>
      <c r="O48" s="133">
        <v>0.11549073350973234</v>
      </c>
      <c r="P48" s="133">
        <v>0.1171</v>
      </c>
      <c r="Q48" s="133">
        <v>0.11559999999999999</v>
      </c>
      <c r="R48" s="133">
        <v>0.1186</v>
      </c>
      <c r="S48" s="143">
        <v>0.12089999999999999</v>
      </c>
      <c r="T48" s="144">
        <v>0.1217</v>
      </c>
    </row>
    <row r="49" spans="1:20" customFormat="1" ht="39" thickBot="1" x14ac:dyDescent="0.3">
      <c r="A49" s="151" t="s">
        <v>610</v>
      </c>
      <c r="B49" s="132">
        <v>9.9900000000000003E-2</v>
      </c>
      <c r="C49" s="132">
        <v>0.1002</v>
      </c>
      <c r="D49" s="132">
        <v>9.7000000000000003E-2</v>
      </c>
      <c r="E49" s="132">
        <v>9.7000000000000003E-2</v>
      </c>
      <c r="F49" s="132">
        <v>9.7600000000000006E-2</v>
      </c>
      <c r="G49" s="132">
        <v>0.10050000000000001</v>
      </c>
      <c r="H49" s="132">
        <v>0.10004</v>
      </c>
      <c r="I49" s="132">
        <v>0.10050000000000001</v>
      </c>
      <c r="J49" s="143">
        <v>0.1038</v>
      </c>
      <c r="K49" s="143">
        <v>0.1023823048032293</v>
      </c>
      <c r="L49" s="143">
        <v>0.10398366889277108</v>
      </c>
      <c r="M49" s="143">
        <v>0.10607456366840526</v>
      </c>
      <c r="N49" s="143" t="s">
        <v>610</v>
      </c>
      <c r="O49" s="133">
        <v>0.10756125754294295</v>
      </c>
      <c r="P49" s="133">
        <v>0.109</v>
      </c>
      <c r="Q49" s="133">
        <v>0.10780000000000001</v>
      </c>
      <c r="R49" s="133">
        <v>0.1119</v>
      </c>
      <c r="S49" s="143">
        <v>0.10929999999999999</v>
      </c>
      <c r="T49" s="144">
        <v>0.1147</v>
      </c>
    </row>
    <row r="50" spans="1:20" customFormat="1" ht="26.25" thickBot="1" x14ac:dyDescent="0.3">
      <c r="A50" s="153"/>
      <c r="B50" s="136"/>
      <c r="C50" s="136"/>
      <c r="D50" s="136"/>
      <c r="E50" s="136"/>
      <c r="F50" s="136"/>
      <c r="G50" s="136"/>
      <c r="H50" s="136"/>
      <c r="I50" s="136"/>
      <c r="J50" s="154"/>
      <c r="K50" s="154"/>
      <c r="L50" s="154"/>
      <c r="M50" s="154"/>
      <c r="N50" s="143" t="s">
        <v>611</v>
      </c>
      <c r="O50" s="133">
        <v>0.10199999999999999</v>
      </c>
      <c r="P50" s="133">
        <v>0.1036</v>
      </c>
      <c r="Q50" s="133">
        <v>0.1021</v>
      </c>
      <c r="R50" s="133">
        <v>0.1051</v>
      </c>
      <c r="S50" s="143">
        <v>0.1074</v>
      </c>
      <c r="T50" s="144">
        <v>0.1081</v>
      </c>
    </row>
    <row r="51" spans="1:20" x14ac:dyDescent="0.25"/>
    <row r="52" spans="1:20" x14ac:dyDescent="0.25">
      <c r="A52" s="43" t="s">
        <v>303</v>
      </c>
    </row>
    <row r="53" spans="1:20" ht="300" customHeight="1" x14ac:dyDescent="0.25">
      <c r="A53" s="204" t="s">
        <v>612</v>
      </c>
      <c r="B53" s="213"/>
      <c r="C53" s="213"/>
      <c r="D53" s="213"/>
      <c r="E53" s="213"/>
      <c r="F53" s="213"/>
      <c r="G53" s="213"/>
      <c r="H53" s="213"/>
      <c r="I53" s="213"/>
      <c r="J53" s="213"/>
      <c r="K53" s="213"/>
      <c r="L53" s="213"/>
      <c r="M53" s="213"/>
      <c r="N53" s="236"/>
      <c r="O53" s="236"/>
      <c r="P53" s="236"/>
      <c r="Q53" s="236"/>
      <c r="R53" s="236"/>
      <c r="S53" s="237"/>
    </row>
    <row r="54" spans="1:20" x14ac:dyDescent="0.25">
      <c r="A54" s="87"/>
      <c r="B54" s="87"/>
      <c r="C54" s="87"/>
      <c r="D54" s="87"/>
      <c r="E54" s="87"/>
      <c r="F54" s="87"/>
      <c r="G54" s="87"/>
      <c r="H54" s="87"/>
      <c r="I54" s="87"/>
      <c r="J54" s="87"/>
      <c r="K54" s="87"/>
      <c r="L54" s="87"/>
      <c r="M54" s="87"/>
      <c r="N54" s="87"/>
      <c r="O54" s="87"/>
      <c r="P54" s="87"/>
      <c r="Q54" s="87"/>
      <c r="R54" s="87"/>
      <c r="S54" s="87"/>
    </row>
    <row r="55" spans="1:20" x14ac:dyDescent="0.25">
      <c r="A55" s="87"/>
      <c r="B55" s="87"/>
      <c r="C55" s="87"/>
      <c r="D55" s="87"/>
      <c r="E55" s="87"/>
      <c r="F55" s="87"/>
      <c r="G55" s="87"/>
      <c r="H55" s="87"/>
      <c r="I55" s="87"/>
      <c r="J55" s="87"/>
      <c r="K55" s="87"/>
      <c r="L55" s="87"/>
      <c r="M55" s="87"/>
      <c r="N55" s="87"/>
      <c r="O55" s="87"/>
      <c r="P55" s="87"/>
      <c r="Q55" s="87"/>
      <c r="R55" s="87"/>
      <c r="S55" s="87"/>
    </row>
    <row r="56" spans="1:20" x14ac:dyDescent="0.25">
      <c r="A56" s="87"/>
      <c r="B56" s="87"/>
      <c r="C56" s="87"/>
      <c r="D56" s="87"/>
      <c r="E56" s="87"/>
      <c r="F56" s="87"/>
      <c r="G56" s="87"/>
      <c r="H56" s="87"/>
      <c r="I56" s="87"/>
      <c r="J56" s="87"/>
      <c r="K56" s="87"/>
      <c r="L56" s="87"/>
      <c r="M56" s="87"/>
      <c r="N56" s="87"/>
      <c r="O56" s="87"/>
      <c r="P56" s="87"/>
      <c r="Q56" s="87"/>
      <c r="R56" s="87"/>
      <c r="S56" s="87"/>
    </row>
    <row r="57" spans="1:20" x14ac:dyDescent="0.25">
      <c r="A57" s="87"/>
      <c r="B57" s="87"/>
      <c r="C57" s="87"/>
      <c r="D57" s="87"/>
      <c r="E57" s="87"/>
      <c r="F57" s="87"/>
      <c r="G57" s="87"/>
      <c r="H57" s="87"/>
      <c r="I57" s="87"/>
      <c r="J57" s="87"/>
      <c r="K57" s="87"/>
      <c r="L57" s="87"/>
      <c r="M57" s="87"/>
      <c r="N57" s="87"/>
      <c r="O57" s="87"/>
      <c r="P57" s="87"/>
      <c r="Q57" s="87"/>
      <c r="R57" s="87"/>
      <c r="S57" s="87"/>
    </row>
    <row r="58" spans="1:20" x14ac:dyDescent="0.25">
      <c r="A58" s="87"/>
      <c r="B58" s="87"/>
      <c r="C58" s="87"/>
      <c r="D58" s="87"/>
      <c r="E58" s="87"/>
      <c r="F58" s="87"/>
      <c r="G58" s="87"/>
      <c r="H58" s="87"/>
      <c r="I58" s="87"/>
      <c r="J58" s="87"/>
      <c r="K58" s="87"/>
      <c r="L58" s="87"/>
      <c r="M58" s="87"/>
      <c r="N58" s="87"/>
      <c r="O58" s="87"/>
      <c r="P58" s="87"/>
      <c r="Q58" s="87"/>
      <c r="R58" s="87"/>
      <c r="S58" s="87"/>
    </row>
    <row r="59" spans="1:20" x14ac:dyDescent="0.25">
      <c r="A59" s="87"/>
      <c r="B59" s="87"/>
      <c r="C59" s="87"/>
      <c r="D59" s="87"/>
      <c r="E59" s="87"/>
      <c r="F59" s="87"/>
      <c r="G59" s="87"/>
      <c r="H59" s="87"/>
      <c r="I59" s="87"/>
      <c r="J59" s="87"/>
      <c r="K59" s="87"/>
      <c r="L59" s="87"/>
      <c r="M59" s="87"/>
      <c r="N59" s="87"/>
      <c r="O59" s="87"/>
      <c r="P59" s="87"/>
      <c r="Q59" s="87"/>
      <c r="R59" s="87"/>
      <c r="S59" s="87"/>
    </row>
    <row r="60" spans="1:20" x14ac:dyDescent="0.25">
      <c r="A60" s="87"/>
      <c r="B60" s="87"/>
      <c r="C60" s="87"/>
      <c r="D60" s="87"/>
      <c r="E60" s="87"/>
      <c r="F60" s="87"/>
      <c r="G60" s="87"/>
      <c r="H60" s="87"/>
      <c r="I60" s="87"/>
      <c r="J60" s="87"/>
      <c r="K60" s="87"/>
      <c r="L60" s="87"/>
      <c r="M60" s="87"/>
      <c r="N60" s="87"/>
      <c r="O60" s="87"/>
      <c r="P60" s="87"/>
      <c r="Q60" s="87"/>
      <c r="R60" s="87"/>
      <c r="S60" s="87"/>
    </row>
    <row r="61" spans="1:20" x14ac:dyDescent="0.25">
      <c r="A61" s="87"/>
      <c r="B61" s="87"/>
      <c r="C61" s="87"/>
      <c r="D61" s="87"/>
      <c r="E61" s="87"/>
      <c r="F61" s="87"/>
      <c r="G61" s="87"/>
      <c r="H61" s="87"/>
      <c r="I61" s="87"/>
      <c r="J61" s="87"/>
      <c r="K61" s="87"/>
      <c r="L61" s="87"/>
      <c r="M61" s="87"/>
      <c r="N61" s="87"/>
      <c r="O61" s="87"/>
      <c r="P61" s="87"/>
      <c r="Q61" s="87"/>
      <c r="R61" s="87"/>
      <c r="S61" s="87"/>
    </row>
    <row r="62" spans="1:20" x14ac:dyDescent="0.25">
      <c r="A62" s="87"/>
      <c r="B62" s="87"/>
      <c r="C62" s="87"/>
      <c r="D62" s="87"/>
      <c r="E62" s="87"/>
      <c r="F62" s="87"/>
      <c r="G62" s="87"/>
      <c r="H62" s="87"/>
      <c r="I62" s="87"/>
      <c r="J62" s="87"/>
      <c r="K62" s="87"/>
      <c r="L62" s="87"/>
      <c r="M62" s="87"/>
      <c r="N62" s="87"/>
      <c r="O62" s="87"/>
      <c r="P62" s="87"/>
      <c r="Q62" s="87"/>
      <c r="R62" s="87"/>
      <c r="S62" s="87"/>
    </row>
    <row r="63" spans="1:20" x14ac:dyDescent="0.25">
      <c r="A63" s="87"/>
      <c r="B63" s="87"/>
      <c r="C63" s="87"/>
      <c r="D63" s="87"/>
      <c r="E63" s="87"/>
      <c r="F63" s="87"/>
      <c r="G63" s="87"/>
      <c r="H63" s="87"/>
      <c r="I63" s="87"/>
      <c r="J63" s="87"/>
      <c r="K63" s="87"/>
      <c r="L63" s="87"/>
      <c r="M63" s="87"/>
      <c r="N63" s="87"/>
      <c r="O63" s="87"/>
      <c r="P63" s="87"/>
      <c r="Q63" s="87"/>
      <c r="R63" s="87"/>
      <c r="S63" s="87"/>
    </row>
    <row r="64" spans="1:20" x14ac:dyDescent="0.25">
      <c r="A64" s="87"/>
      <c r="B64" s="87"/>
      <c r="C64" s="87"/>
      <c r="D64" s="87"/>
      <c r="E64" s="87"/>
      <c r="F64" s="87"/>
      <c r="G64" s="87"/>
      <c r="H64" s="87"/>
      <c r="I64" s="87"/>
      <c r="J64" s="87"/>
      <c r="K64" s="87"/>
      <c r="L64" s="87"/>
      <c r="M64" s="87"/>
      <c r="N64" s="87"/>
      <c r="O64" s="87"/>
      <c r="P64" s="87"/>
      <c r="Q64" s="87"/>
      <c r="R64" s="87"/>
      <c r="S64" s="87"/>
    </row>
    <row r="65" spans="1:19" x14ac:dyDescent="0.25">
      <c r="A65" s="87"/>
      <c r="B65" s="87"/>
      <c r="C65" s="87"/>
      <c r="D65" s="87"/>
      <c r="E65" s="87"/>
      <c r="F65" s="87"/>
      <c r="G65" s="87"/>
      <c r="H65" s="87"/>
      <c r="I65" s="87"/>
      <c r="J65" s="87"/>
      <c r="K65" s="87"/>
      <c r="L65" s="87"/>
      <c r="M65" s="87"/>
      <c r="N65" s="87"/>
      <c r="O65" s="87"/>
      <c r="P65" s="87"/>
      <c r="Q65" s="87"/>
      <c r="R65" s="87"/>
      <c r="S65" s="87"/>
    </row>
    <row r="66" spans="1:19" x14ac:dyDescent="0.25">
      <c r="A66" s="87"/>
      <c r="B66" s="87"/>
      <c r="C66" s="87"/>
      <c r="D66" s="87"/>
      <c r="E66" s="87"/>
      <c r="F66" s="87"/>
      <c r="G66" s="87"/>
      <c r="H66" s="87"/>
      <c r="I66" s="87"/>
      <c r="J66" s="87"/>
      <c r="K66" s="87"/>
      <c r="L66" s="87"/>
      <c r="M66" s="87"/>
      <c r="N66" s="87"/>
      <c r="O66" s="87"/>
      <c r="P66" s="87"/>
      <c r="Q66" s="87"/>
      <c r="R66" s="87"/>
      <c r="S66" s="87"/>
    </row>
    <row r="67" spans="1:19" x14ac:dyDescent="0.25">
      <c r="A67" s="87"/>
      <c r="B67" s="87"/>
      <c r="C67" s="87"/>
      <c r="D67" s="87"/>
      <c r="E67" s="87"/>
      <c r="F67" s="87"/>
      <c r="G67" s="87"/>
      <c r="H67" s="87"/>
      <c r="I67" s="87"/>
      <c r="J67" s="87"/>
      <c r="K67" s="87"/>
      <c r="L67" s="87"/>
      <c r="M67" s="87"/>
      <c r="N67" s="87"/>
      <c r="O67" s="87"/>
      <c r="P67" s="87"/>
      <c r="Q67" s="87"/>
      <c r="R67" s="87"/>
      <c r="S67" s="87"/>
    </row>
    <row r="68" spans="1:19" x14ac:dyDescent="0.25">
      <c r="A68" s="87"/>
      <c r="B68" s="87"/>
      <c r="C68" s="87"/>
      <c r="D68" s="87"/>
      <c r="E68" s="87"/>
      <c r="F68" s="87"/>
      <c r="G68" s="87"/>
      <c r="H68" s="87"/>
      <c r="I68" s="87"/>
      <c r="J68" s="87"/>
      <c r="K68" s="87"/>
      <c r="L68" s="87"/>
      <c r="M68" s="87"/>
      <c r="N68" s="87"/>
      <c r="O68" s="87"/>
      <c r="P68" s="87"/>
      <c r="Q68" s="87"/>
      <c r="R68" s="87"/>
      <c r="S68" s="87"/>
    </row>
    <row r="69" spans="1:19" x14ac:dyDescent="0.25">
      <c r="A69" s="87"/>
      <c r="B69" s="87"/>
      <c r="C69" s="87"/>
      <c r="D69" s="87"/>
      <c r="E69" s="87"/>
      <c r="F69" s="87"/>
      <c r="G69" s="87"/>
      <c r="H69" s="87"/>
      <c r="I69" s="87"/>
      <c r="J69" s="87"/>
      <c r="K69" s="87"/>
      <c r="L69" s="87"/>
      <c r="M69" s="87"/>
      <c r="N69" s="87"/>
      <c r="O69" s="87"/>
      <c r="P69" s="87"/>
      <c r="Q69" s="87"/>
      <c r="R69" s="87"/>
      <c r="S69" s="87"/>
    </row>
    <row r="70" spans="1:19" x14ac:dyDescent="0.25">
      <c r="A70" s="87"/>
      <c r="B70" s="87"/>
      <c r="C70" s="87"/>
      <c r="D70" s="87"/>
      <c r="E70" s="87"/>
      <c r="F70" s="87"/>
      <c r="G70" s="87"/>
      <c r="H70" s="87"/>
      <c r="I70" s="87"/>
      <c r="J70" s="87"/>
      <c r="K70" s="87"/>
      <c r="L70" s="87"/>
      <c r="M70" s="87"/>
      <c r="N70" s="87"/>
      <c r="O70" s="87"/>
      <c r="P70" s="87"/>
      <c r="Q70" s="87"/>
      <c r="R70" s="87"/>
      <c r="S70" s="87"/>
    </row>
    <row r="71" spans="1:19" x14ac:dyDescent="0.25">
      <c r="A71" s="87"/>
      <c r="B71" s="87"/>
      <c r="C71" s="87"/>
      <c r="D71" s="87"/>
      <c r="E71" s="87"/>
      <c r="F71" s="87"/>
      <c r="G71" s="87"/>
      <c r="H71" s="87"/>
      <c r="I71" s="87"/>
      <c r="J71" s="87"/>
      <c r="K71" s="87"/>
      <c r="L71" s="87"/>
      <c r="M71" s="87"/>
      <c r="N71" s="87"/>
      <c r="O71" s="87"/>
      <c r="P71" s="87"/>
      <c r="Q71" s="87"/>
      <c r="R71" s="87"/>
      <c r="S71" s="87"/>
    </row>
    <row r="72" spans="1:19" x14ac:dyDescent="0.25">
      <c r="A72" s="87"/>
      <c r="B72" s="87"/>
      <c r="C72" s="87"/>
      <c r="D72" s="87"/>
      <c r="E72" s="87"/>
      <c r="F72" s="87"/>
      <c r="G72" s="87"/>
      <c r="H72" s="87"/>
      <c r="I72" s="87"/>
      <c r="J72" s="87"/>
      <c r="K72" s="87"/>
      <c r="L72" s="87"/>
      <c r="M72" s="87"/>
      <c r="N72" s="87"/>
      <c r="O72" s="87"/>
      <c r="P72" s="87"/>
      <c r="Q72" s="87"/>
      <c r="R72" s="87"/>
      <c r="S72" s="87"/>
    </row>
    <row r="73" spans="1:19" x14ac:dyDescent="0.25">
      <c r="A73" s="87"/>
      <c r="B73" s="87"/>
      <c r="C73" s="87"/>
      <c r="D73" s="87"/>
      <c r="E73" s="87"/>
      <c r="F73" s="87"/>
      <c r="G73" s="87"/>
      <c r="H73" s="87"/>
      <c r="I73" s="87"/>
      <c r="J73" s="87"/>
      <c r="K73" s="87"/>
      <c r="L73" s="87"/>
      <c r="M73" s="87"/>
      <c r="N73" s="87"/>
      <c r="O73" s="87"/>
      <c r="P73" s="87"/>
      <c r="Q73" s="87"/>
      <c r="R73" s="87"/>
      <c r="S73" s="87"/>
    </row>
    <row r="74" spans="1:19" x14ac:dyDescent="0.25">
      <c r="A74" s="87"/>
      <c r="B74" s="87"/>
      <c r="C74" s="87"/>
      <c r="D74" s="87"/>
      <c r="E74" s="87"/>
      <c r="F74" s="87"/>
      <c r="G74" s="87"/>
      <c r="H74" s="87"/>
      <c r="I74" s="87"/>
      <c r="J74" s="87"/>
      <c r="K74" s="87"/>
      <c r="L74" s="87"/>
      <c r="M74" s="87"/>
      <c r="N74" s="87"/>
      <c r="O74" s="87"/>
      <c r="P74" s="87"/>
      <c r="Q74" s="87"/>
      <c r="R74" s="87"/>
      <c r="S74" s="87"/>
    </row>
    <row r="75" spans="1:19" x14ac:dyDescent="0.25"/>
    <row r="76" spans="1:19" x14ac:dyDescent="0.25"/>
    <row r="77" spans="1:19" x14ac:dyDescent="0.25"/>
    <row r="78" spans="1:19" x14ac:dyDescent="0.25"/>
    <row r="79" spans="1:19" x14ac:dyDescent="0.25"/>
    <row r="80" spans="1:19" x14ac:dyDescent="0.25"/>
    <row r="81" x14ac:dyDescent="0.25"/>
  </sheetData>
  <sheetProtection formatCells="0" formatColumns="0" formatRows="0"/>
  <mergeCells count="5">
    <mergeCell ref="A53:S53"/>
    <mergeCell ref="A4:A5"/>
    <mergeCell ref="B4:M4"/>
    <mergeCell ref="N4:N5"/>
    <mergeCell ref="O4:T4"/>
  </mergeCells>
  <conditionalFormatting sqref="A45:A50">
    <cfRule type="expression" dxfId="3" priority="1">
      <formula>#REF!="-"</formula>
    </cfRule>
  </conditionalFormatting>
  <pageMargins left="0.25" right="0.25" top="0.75" bottom="0.75" header="0.3" footer="0.3"/>
  <pageSetup scale="53" fitToHeight="4" orientation="portrait" r:id="rId1"/>
  <headerFooter>
    <oddHeader>&amp;CSCUSA Support Functions</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515</v>
      </c>
    </row>
    <row r="88" spans="1:4" x14ac:dyDescent="0.25">
      <c r="A88" t="s">
        <v>31</v>
      </c>
      <c r="B88" s="13" t="s">
        <v>183</v>
      </c>
    </row>
    <row r="89" spans="1:4" x14ac:dyDescent="0.25">
      <c r="A89" t="s">
        <v>31</v>
      </c>
      <c r="B89" s="13" t="s">
        <v>516</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305</v>
      </c>
      <c r="C1" s="1" t="s">
        <v>1</v>
      </c>
      <c r="D1" s="2" t="s">
        <v>2</v>
      </c>
      <c r="E1" s="3" t="s">
        <v>3</v>
      </c>
      <c r="F1" s="2" t="s">
        <v>226</v>
      </c>
      <c r="G1" s="2" t="s">
        <v>76</v>
      </c>
      <c r="H1" s="4" t="s">
        <v>6</v>
      </c>
      <c r="I1" s="2" t="s">
        <v>65</v>
      </c>
      <c r="J1" s="1" t="s">
        <v>4</v>
      </c>
      <c r="K1" s="4" t="s">
        <v>224</v>
      </c>
      <c r="L1" s="4" t="s">
        <v>110</v>
      </c>
      <c r="M1" s="1" t="s">
        <v>5</v>
      </c>
      <c r="N1" s="4" t="s">
        <v>499</v>
      </c>
      <c r="O1" s="4" t="s">
        <v>478</v>
      </c>
    </row>
    <row r="2" spans="1:15" ht="105.75" customHeight="1" x14ac:dyDescent="0.25">
      <c r="A2" s="5" t="s">
        <v>0</v>
      </c>
      <c r="B2" s="5" t="s">
        <v>512</v>
      </c>
      <c r="C2" s="5" t="s">
        <v>66</v>
      </c>
      <c r="D2" s="5" t="s">
        <v>7</v>
      </c>
      <c r="E2" s="6" t="s">
        <v>229</v>
      </c>
      <c r="F2" s="5" t="s">
        <v>228</v>
      </c>
      <c r="G2" s="5" t="s">
        <v>230</v>
      </c>
      <c r="H2" s="25" t="s">
        <v>223</v>
      </c>
      <c r="I2" s="5" t="s">
        <v>111</v>
      </c>
      <c r="J2" s="25" t="s">
        <v>231</v>
      </c>
      <c r="K2" s="5" t="s">
        <v>225</v>
      </c>
      <c r="L2" s="5" t="s">
        <v>227</v>
      </c>
      <c r="M2" s="5" t="s">
        <v>250</v>
      </c>
      <c r="N2" s="37" t="s">
        <v>506</v>
      </c>
      <c r="O2" s="37" t="s">
        <v>479</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zoomScale="70" zoomScaleNormal="70" workbookViewId="0">
      <selection activeCell="A9" sqref="A9:XFD9"/>
    </sheetView>
  </sheetViews>
  <sheetFormatPr defaultRowHeight="33.75" customHeight="1"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33.75" customHeight="1" x14ac:dyDescent="0.25">
      <c r="A1" s="1" t="s">
        <v>0</v>
      </c>
      <c r="B1" s="1" t="s">
        <v>248</v>
      </c>
      <c r="C1" s="1" t="s">
        <v>1</v>
      </c>
      <c r="D1" s="1" t="s">
        <v>481</v>
      </c>
      <c r="E1" s="2" t="s">
        <v>2</v>
      </c>
      <c r="F1" s="3" t="s">
        <v>3</v>
      </c>
      <c r="G1" s="2" t="s">
        <v>226</v>
      </c>
      <c r="H1" s="2" t="s">
        <v>76</v>
      </c>
      <c r="I1" s="4" t="s">
        <v>6</v>
      </c>
      <c r="J1" s="2" t="s">
        <v>65</v>
      </c>
      <c r="K1" s="1" t="s">
        <v>4</v>
      </c>
      <c r="L1" s="4" t="s">
        <v>224</v>
      </c>
      <c r="M1" s="4" t="s">
        <v>110</v>
      </c>
      <c r="N1" s="1" t="s">
        <v>5</v>
      </c>
      <c r="O1" s="4" t="s">
        <v>246</v>
      </c>
    </row>
    <row r="2" spans="1:15" ht="33.75" customHeight="1" x14ac:dyDescent="0.25">
      <c r="A2" s="5" t="s">
        <v>0</v>
      </c>
      <c r="B2" s="5" t="s">
        <v>249</v>
      </c>
      <c r="C2" s="5" t="s">
        <v>66</v>
      </c>
      <c r="D2" s="5" t="s">
        <v>482</v>
      </c>
      <c r="E2" s="5" t="s">
        <v>7</v>
      </c>
      <c r="F2" s="6" t="s">
        <v>229</v>
      </c>
      <c r="G2" s="5" t="s">
        <v>228</v>
      </c>
      <c r="H2" s="5" t="s">
        <v>230</v>
      </c>
      <c r="I2" s="25" t="s">
        <v>223</v>
      </c>
      <c r="J2" s="5" t="s">
        <v>111</v>
      </c>
      <c r="K2" s="25" t="s">
        <v>231</v>
      </c>
      <c r="L2" s="5" t="s">
        <v>225</v>
      </c>
      <c r="M2" s="5" t="s">
        <v>227</v>
      </c>
      <c r="N2" s="5" t="s">
        <v>250</v>
      </c>
      <c r="O2" s="37" t="s">
        <v>247</v>
      </c>
    </row>
    <row r="3" spans="1:15" ht="33.75" customHeight="1" x14ac:dyDescent="0.25">
      <c r="B3" s="7" t="str">
        <f>'Approval and Documentation'!C$4</f>
        <v>Support Functions: IT, Talent Management (HR), and Strategic Operations</v>
      </c>
      <c r="C3" s="7" t="str">
        <f>'Approval and Documentation'!C$6</f>
        <v>Support Functions: IT, Talent Management (HR), and Strategic Operations</v>
      </c>
      <c r="D3" s="8" t="str">
        <f>'MR-10'!$C$1</f>
        <v>Support Functions</v>
      </c>
      <c r="E3" s="11" t="s">
        <v>732</v>
      </c>
      <c r="F3" s="8" t="str">
        <f>'MR-10'!$C$2</f>
        <v>Credit</v>
      </c>
      <c r="G3" s="8" t="str">
        <f>'MR-10'!$C$3</f>
        <v>Counterparty</v>
      </c>
      <c r="H3" s="8" t="str">
        <f>'MR-10'!$C$4</f>
        <v>Key Third Party Risk</v>
      </c>
      <c r="I3" s="8" t="str">
        <f>'MR-10'!$A$12</f>
        <v xml:space="preserve">Financial problems or potential catastrophic failure of Tier 1 third party may result in business disruption, regulator compliance violations, legal action, cost to recover, reputation exposure, and potential fines/penalties. 
We have Tier 1 vendors in each aspect of our organization and each could present a different type of risk.  For example, the loss  of a key vendor, such as XEROX, a Tier 1 vendor, impacts all of SCUSA as XEROX hosts SHAW.  A loss of a vendor such as this would be catastrophic as it would impact our ability to service our loans or post payment.  Even if a vendor such as this has an extended outage (more than 24 hours) this could severely impact our business.  To mitigate a risk such as this, the vendors have redundant systems and have business continuity plans.  
Contractually the vendors are required to provide sufficient time if they do not want to renew our contracts.  
SCUSA Vendor Management monitors 3rd party performance daily to mitigate risks.  </v>
      </c>
      <c r="J3" s="8">
        <f>'MR-10'!$C$5</f>
        <v>0</v>
      </c>
      <c r="K3" s="8" t="str">
        <f>'MR-10'!$A$9</f>
        <v xml:space="preserve">SLA scorecards are reviewed to monitor 3rd party performance.   Our contracts have termination clauses which allow us to terminate our agreement with said 3rd party for non-compliance with contractual provisions.    In additions, contracts have "right to audit" clauses which allows the SCUSA associates to independently evaluate the performance.  Vendor Managers in the 1LOD and the 3rd Party Vendor Management Team also conduct site visits for our vendors.  In addition, contractually the vendors are required to provide sufficient time if they do not want to renew our contracts.  </v>
      </c>
      <c r="L3" s="8" t="str">
        <f>'MR-10'!$C$6</f>
        <v>$5 M - $50 M</v>
      </c>
      <c r="M3" s="8" t="str">
        <f>'MR-10'!$C$7</f>
        <v>$50 M - $250 M</v>
      </c>
      <c r="N3" s="8" t="str">
        <f>'MR-10'!$B$10</f>
        <v xml:space="preserve">Based on the Tier 1 vendors much of our business is reliant on work performed by other vendors.  For example, in a scenario where we lost XEROX (TIER ONE VENDOR), we would lose all capabilities to post payments, take phone calls (inbound), place collection calls (outbound), sell vehicles at auction, or manage repossessions.   In essence, all operational associates would be immediately rendered “non-operational” as a result of this Tier One impact.  If there was no receivable system, our resources and their production results would be placed on “hold”.   Reputational risks such as playing a closed message, wrongful repossessions, Bankruptcy, SCRA and other specialized functions would cause additional impacts such as lawsuit litigation.  No Xerox files / system resources for an extended period of time would come in the form of:
-     Additional overtime in the remaining sites to make up for the down time(s)
-     Additional resources at the Outsource providers to make up for the down time(s)
-    $55M payments not posting per day no longer possible
-     Increasing Delinquency and Loss  
We launch more than 12,000,000 phone calls a month and receive over 2,000,000 more.  No money postings, no OB/IB calls will result in higher delinquency and loss.  If the blended average balance of accounts is approximately $16,000, it would only take less than 320 accounts of additional loss to hit the 5 million mark.  Additionally, Operational salary sitting idle with no production equates to $435K per day.     
Additionally, there are specialty functions that require Xerox (Tier One Vendor) impacted.  Bankruptcy, Titles, Impounds, and Insurance are 4 large specialty groups could not function.   Timing of processes should we fail to get back operational would cause losses accordingly: 
-    BK Proof of claims not filed on time
-    BK court dates are missed
-    Title releases are not processed in a timely manner result in fines and penalties
-    Impound Claims notices go unprocessed and liens are lost
-    Insurance total loss and repair claims are not filed
If the blended average balance of accounts is approximately $16,000 it would only take less than 320 accounts to hit the $5 million mark.
</v>
      </c>
      <c r="O3" s="10"/>
    </row>
    <row r="4" spans="1:15" ht="33.75" customHeight="1" x14ac:dyDescent="0.25">
      <c r="A4" s="7"/>
      <c r="B4" s="7" t="str">
        <f>'Approval and Documentation'!C$4</f>
        <v>Support Functions: IT, Talent Management (HR), and Strategic Operations</v>
      </c>
      <c r="C4" s="7" t="str">
        <f>'Approval and Documentation'!C$6</f>
        <v>Support Functions: IT, Talent Management (HR), and Strategic Operations</v>
      </c>
      <c r="D4" s="8" t="str">
        <f>'MR-11'!$C$1</f>
        <v>Support Functions</v>
      </c>
      <c r="E4" s="11" t="s">
        <v>733</v>
      </c>
      <c r="F4" s="8" t="str">
        <f>'MR-11'!$C$2</f>
        <v>Operational</v>
      </c>
      <c r="G4" s="8" t="str">
        <f>'MR-11'!$C$3</f>
        <v>Inadequate Management of Suppliers/Vendors</v>
      </c>
      <c r="H4" s="8" t="str">
        <f>'MR-11'!$C$4</f>
        <v>Third Party Management</v>
      </c>
      <c r="I4" s="8" t="str">
        <f>'MR-11'!$A$12</f>
        <v xml:space="preserve">Third Party's breach of contractual guidelines or compliance may result in regulatory violations, reputational exposure, and financial impacts, including potential fines/penalties.  
 SCUSA relies  on 3rd parties to perform services on our behalf.  Although the service has been outsourced, the liability still remains with SCUSA.  The vendors are required to uphold the same compliance standards  as SCUSA as well as contractual obligations.  Should a vendor breach their contractual guidelines or compliance requirements, this could results in regulatory violations, financial losses and reputational damage for SCUSA.   Mitigation of 3rd party risks are contained within our vendor management process, which includes initial due diligence, on-going site visits and monthly performance scorecards.   
</v>
      </c>
      <c r="J4" s="8">
        <f>'MR-11'!$C$5</f>
        <v>0</v>
      </c>
      <c r="K4" s="8" t="str">
        <f>'MR-11'!$A$9</f>
        <v xml:space="preserve">
SCUSA compliance conducts meetings with Bluestem Compliance to review and approve any new Tier 1 vendors that will be used.  BlueStem provides updates SCUSA on the 4th party vendor results.  
SLA scorecards are reviewed to monitor 3rd party performance.   Our contracts have termination clauses which allow us to terminate our agreement with said 3rd party for non-compliance with contractual provisions.    In additions, contracts have "right to audit" clauses which allows the SCUSA associates to independently evaluate the performance.  Vendor Managers in the 1LOD and the 3rd Party Vendor Management Team also conduct site visits for our vendors.  </v>
      </c>
      <c r="L4" s="8" t="str">
        <f>'MR-11'!$C$6</f>
        <v>$5 M - $50 M</v>
      </c>
      <c r="M4" s="8" t="str">
        <f>'MR-11'!$C$7</f>
        <v>$50 M - $250 M</v>
      </c>
      <c r="N4" s="8" t="str">
        <f>'MR-11'!$B$10</f>
        <v xml:space="preserve">Bluestem provides full 3rd party servicing for the portfolio so the loss of this vendor would mean we would need to service the currently existing 1.8m customers with a total balance of $1.3 billion.   Cost to convert the portfolio, hire additional staff of over 500 associates would result in $17.5m in additional operating expense per year.  </v>
      </c>
      <c r="O4" s="10"/>
    </row>
    <row r="5" spans="1:15" ht="33.75" customHeight="1" x14ac:dyDescent="0.25">
      <c r="A5" s="7"/>
      <c r="B5" s="7" t="str">
        <f>'Approval and Documentation'!C$4</f>
        <v>Support Functions: IT, Talent Management (HR), and Strategic Operations</v>
      </c>
      <c r="C5" s="7" t="str">
        <f>'Approval and Documentation'!C$6</f>
        <v>Support Functions: IT, Talent Management (HR), and Strategic Operations</v>
      </c>
      <c r="D5" s="8" t="str">
        <f>'MR-21'!$C$1</f>
        <v>Personal Lending</v>
      </c>
      <c r="E5" s="11" t="s">
        <v>734</v>
      </c>
      <c r="F5" s="8" t="str">
        <f>'MR-21'!$C$2</f>
        <v>Operational</v>
      </c>
      <c r="G5" s="8" t="str">
        <f>'MR-21'!$C$3</f>
        <v>Counterparty</v>
      </c>
      <c r="H5" s="8" t="str">
        <f>'MR-21'!$C$4</f>
        <v>Personal Lending Third Party Management</v>
      </c>
      <c r="I5" s="8" t="str">
        <f>'MR-21'!$A$12</f>
        <v xml:space="preserve">Third Party's breach of contractual guidelines or expectations (such as reporting), may result in regulatory violations, reputational exposure, and financial impacts, including potential fines / penalties.
The nature of the programs to date are based on partners who are contractually obligated to; meet SLAs, provide servicing, reporting, etc. The SCUSA Personal Lending team manages these partnerships to ensure they are fulfilling the requirement of the relationship. If a partner breaches the terms of the partnership, SCUSA has the following options to mitigate any potential risk; notifying the partner (right to cure), escalating the issue, and ultimately termination.
To ensure these contractual obligations are met, controls have been built to monitor critical processes and transaction flows. This includes; review of transactions, balancing of funding and purchases, verification by finance and accounting of portfolios, periodic audits, regularly scheduled business and credit reviews.
Specifically to Bluestem (BSTM), SCUSA relies on BSTM to provide month end numbers. A delay in this reporting could in turn cause a delay in SCUSA's month end close process. To avoid any delay, SCUSA and BSTM coordinate and publish a calendar detailing when certain reports are expected.
</v>
      </c>
      <c r="J5" s="8">
        <f>'MR-21'!$C$5</f>
        <v>0</v>
      </c>
      <c r="K5" s="8" t="str">
        <f>'MR-21'!$A$9</f>
        <v xml:space="preserve">Each third party vendor is reviewed annually by Vendor Manager and Supplier Oversight.  All agreements are created, reviewed and approved by Legal.  Accounting and Decision Science teams review daily transactions and monthly/annual reporting approval.  Compliance and Legal approve all customer facing materials including marketing, Terms &amp; Conditions, servicing statements and all account servicing activities.
</v>
      </c>
      <c r="L5" s="8" t="str">
        <f>'MR-21'!$C$6</f>
        <v>$50 M - $250 M</v>
      </c>
      <c r="M5" s="8" t="str">
        <f>'MR-21'!$C$7</f>
        <v>$50 M - $250 M</v>
      </c>
      <c r="N5" s="8" t="str">
        <f>'MR-21'!$B$10</f>
        <v>Based on the nature of the failure, there could be no financial impact or the failure could be severe enough SCUSA has to; take over servicing, end originations, or possibly both.
SCUSA has the option to take over servicing if needed. Below is an explanation of how each program would be affected by this lapse in servicing, assuming a 90 day ramp up:
Bluestem (BSTM): During the 2007 recession BSTM's losses increased to 36%. BSTM 2015 YTD losses are at 27%. If a lapse in servicing occurred we assume loses could increase 9 points to their recession level. With a portfolio balance of $1.3B, the increase in losses would be $29.25M.
LendingClub: LendingClub losses for 2015 have averaged $4.5M a month. LendingClub does not have enough history to estimate a worst case, so losses are assumed to increase the same amount as BSTM's worst case. If losses increased 33%, the financial impact to SCUSA would be $4.5M.
NCL: NCL losses for 2015 have averaged $350K a month. NCL does not have enough history to estimate a worst case, so losses are assumed to increase the same amount as BSTM's worst case. If losses increased 33%, the financial impact to SCUSA would be $347K.
Assuming an ROA of 4.5% across all programs, below is an explanation of how each programs would be affected by ending originations.
Bluestem (BSTM): Average monthly originations over the past 12 months has been $96M. Assuming an annual origination volume of $1.2B ($96M * 12) and ROA of 4.5%, the total financial impact would be $52M.
LendingClub: Average monthly originations over the past 12 months has been $73M. Assuming an annual origination volume of $876M ($73M *12) and ROA of 4.5%, the total financial impact would be $39M.
NCL: Average monthly originations over the past 12 months has been $3M. Assuming an annual origination volume of $36M ($3M * 12) and ROA of 4.5%, the total financial impact would be $1.6M.</v>
      </c>
      <c r="O5" s="10"/>
    </row>
    <row r="6" spans="1:15" ht="33.75" customHeight="1" x14ac:dyDescent="0.25">
      <c r="A6" s="7"/>
      <c r="B6" s="7" t="str">
        <f>'Approval and Documentation'!C$4</f>
        <v>Support Functions: IT, Talent Management (HR), and Strategic Operations</v>
      </c>
      <c r="C6" s="7" t="str">
        <f>'Approval and Documentation'!C$6</f>
        <v>Support Functions: IT, Talent Management (HR), and Strategic Operations</v>
      </c>
      <c r="D6" s="8" t="str">
        <f>'MR-22'!$C$1</f>
        <v>Decision Science</v>
      </c>
      <c r="E6" s="11" t="s">
        <v>735</v>
      </c>
      <c r="F6" s="8" t="str">
        <f>'MR-22'!$C$2</f>
        <v>Model</v>
      </c>
      <c r="G6" s="8" t="str">
        <f>'MR-22'!$C$3</f>
        <v>Deterioration</v>
      </c>
      <c r="H6" s="8" t="str">
        <f>'MR-22'!$C$4</f>
        <v>Model Errors or Deterioration</v>
      </c>
      <c r="I6" s="8" t="str">
        <f>'MR-22'!$A$12</f>
        <v xml:space="preserve">Models are inaccurate or deteriorate gradually over time which may not effectively offset credit risk exposure leading to financial loss.
SCUSA leverages models in various business settings. Origination scorecard models provide rank ordering on loan applications and serves as a foundation for decisioning, pricing, and measuring profitability. Collection models allow for effective execution of collection, recovering, and servicing strategies. Loss forecasting models provide loss estimation for loan loss reserves.
These models are subject to model risk arising from such areas as deficiency in the model methodology, data limitations during model development, changes in the business practices over time, assumptions for modeling simplicty, macro economic factors, and defects in the implementation environment. Models may be inaccurate or may deteriorate gradually over time, which may not effectively offset credit risk exposure leading to financial loss.
SCUSA mitigates model risk by adopting strong model development and testing standards in the first-line-of-defense. All models are independently validated by SHUSA Model Risk Management Group prior to business use. Models that are in use are actively monitored for ongoing performance issues on a periodic basis and measured against performance thresholds. Deviations to these thresholds trigger in-depth analysis which may result in re-development of the model. 
</v>
      </c>
      <c r="J6" s="8" t="str">
        <f>'MR-22'!$C$5</f>
        <v>Unemployment (Up)</v>
      </c>
      <c r="K6" s="8" t="str">
        <f>'MR-22'!$A$9</f>
        <v xml:space="preserve">Decision Science Analytics develops models that conform to Fed SR 11-7 guidelines around modeling practices and model risk management. Models are validated prior to implementation by SHUSA Model Risk Management Group (MRMG). Model are actively monitored by Decision Science as part of ongoing performance assessments.  Decision Science measures each model's actual performance against the expected results.  Significant deviations trigger review of the model validity and may result in adjustment or redevelopment of the model. Performance reporting is shared with SCUSA and SHUSA oversight committees. Origination models used in granting credit are also reviewed by Compliance to ensure regulatory and fair lending compliance. </v>
      </c>
      <c r="L6" s="8" t="str">
        <f>'MR-22'!$C$6</f>
        <v>$250 M - $500 M</v>
      </c>
      <c r="M6" s="8" t="str">
        <f>'MR-22'!$C$7</f>
        <v>$250 M - $500 M</v>
      </c>
      <c r="N6" s="8" t="str">
        <f>'MR-22'!$B$10</f>
        <v>Using ALLL Loss Forecasting Models as a basis, we quantify model risk roughly at $262m as of July 2015 since model risk tolerance on these models is set at 8-10% of the total ALLL Provision ($3.6b). The 8-10% model risk is a tolerance approved by the  ALLL Committee and requires the model owners to investigate any breaches to this threshold and make necessary adjustments/redevelopment of the models. Model risk on other models is difficult to quantify as it is difficult to translate into financial impact. The stressed model risk of $380m is also based on the risk associated with the ALLL Loss Forecasting Models based on the worst ever portfolio performance observed in 2008.</v>
      </c>
      <c r="O6" s="10"/>
    </row>
    <row r="7" spans="1:15" ht="33.75" customHeight="1" x14ac:dyDescent="0.25">
      <c r="A7" s="7"/>
      <c r="B7" s="7" t="str">
        <f>'Approval and Documentation'!C$4</f>
        <v>Support Functions: IT, Talent Management (HR), and Strategic Operations</v>
      </c>
      <c r="C7" s="7" t="str">
        <f>'Approval and Documentation'!C$6</f>
        <v>Support Functions: IT, Talent Management (HR), and Strategic Operations</v>
      </c>
      <c r="D7" s="8" t="str">
        <f>'MR-23'!$C$1</f>
        <v>Support Functions</v>
      </c>
      <c r="E7" s="11" t="s">
        <v>736</v>
      </c>
      <c r="F7" s="8" t="str">
        <f>'MR-23'!$C$2</f>
        <v xml:space="preserve">Strategic </v>
      </c>
      <c r="G7" s="8" t="str">
        <f>'MR-23'!$C$3</f>
        <v>Economic conditions / market performance</v>
      </c>
      <c r="H7" s="8" t="str">
        <f>'MR-23'!$C$4</f>
        <v>Macroeconomic Event</v>
      </c>
      <c r="I7" s="8" t="str">
        <f>'MR-23'!$A$12</f>
        <v xml:space="preserve">Macroeconomic events, such as a rise in unemployment, housing market decline, and/or increase in oil prices could result in an increase in repossessions, decline in repo residual value at auction, increase in returned leases, reduction in lease residual value, reduction in earnings or capital, increased volume of delinquencies and negative profitability in segments/products.  
Should a macro event occur, SCUSA would employ loss mitigation tools such as deferments, loan payment modifications to mitigate the rise in delinquencies and repossessions.   SCUSA may also reduce residual values (leases) and lower recovery rates assumptions, as a conservative approach from an ALLL  and loan reserve perspective.  Although SCUSA doesn't  reserve for leases, we do adjust the residual value on a regular basis to account for the reduction in leased residual value by way of applying accelerated depreciation on the books.  This is accomplished at the asset level by using the lower of monthly internal forecast. vs. quarterly ALG forecast for each active lease.  </v>
      </c>
      <c r="J7" s="8" t="str">
        <f>'MR-23'!$C$5</f>
        <v>Unemployment (Up)</v>
      </c>
      <c r="K7" s="8" t="str">
        <f>'MR-23'!$A$9</f>
        <v xml:space="preserve">As mentioned below in the narrative, should a macroeconomic event occur, SCUSA would re-evaluate our loss mitigation tools and adjust deferments and loan payment modifications to mitigate the rise in delinquencies and repossessions.   SCUSA may also reduce residual values and lower recovery rates, as a conservative approach from an ALLL  and loan reserve perspective.  </v>
      </c>
      <c r="L7" s="8" t="str">
        <f>'MR-23'!$C$6</f>
        <v>$5 M - $50 M</v>
      </c>
      <c r="M7" s="8" t="str">
        <f>'MR-23'!$C$7</f>
        <v>$250 M - $500 M</v>
      </c>
      <c r="N7" s="8" t="str">
        <f>'MR-23'!$B$10</f>
        <v>Annually, we repossess approximately 180,000 vehicles. If we experience a slight change in residual value in repossessions, $100-$200 less per vehicle, that equates to approximately $18-$36 million annually.  
Based on the historical events (2008), we assume a decline in wholesale values of an additional $1,500 per unit.  This means for each repossession, we are able to recover $1,500 less given a macroeconomic event.   This equates to 180,000 * $1500 = $270 million</v>
      </c>
      <c r="O7" s="10"/>
    </row>
    <row r="8" spans="1:15" ht="33.75" customHeight="1" x14ac:dyDescent="0.25">
      <c r="A8" s="7"/>
      <c r="B8" s="7" t="str">
        <f>'Approval and Documentation'!C$4</f>
        <v>Support Functions: IT, Talent Management (HR), and Strategic Operations</v>
      </c>
      <c r="C8" s="7" t="str">
        <f>'Approval and Documentation'!C$6</f>
        <v>Support Functions: IT, Talent Management (HR), and Strategic Operations</v>
      </c>
      <c r="D8" s="8" t="str">
        <f>'MR-24'!$C$1</f>
        <v>Auto, Personal Lending</v>
      </c>
      <c r="E8" s="11" t="s">
        <v>737</v>
      </c>
      <c r="F8" s="8" t="str">
        <f>'MR-24'!$C$2</f>
        <v>Credit</v>
      </c>
      <c r="G8" s="8" t="str">
        <f>'MR-24'!$C$3</f>
        <v>Regulators</v>
      </c>
      <c r="H8" s="8" t="str">
        <f>'MR-24'!$C$4</f>
        <v>Inaccurate Financial Reporting with Respect to ALLL</v>
      </c>
      <c r="I8" s="8" t="str">
        <f>'MR-24'!$A$12</f>
        <v xml:space="preserve">Inability to forecast losses accurately leading to inappropriate of ALLL / TDR balances, may result in fines, penalties, potential regulatory action, reputational exposure, mispricing of future loans, and overall negative profitability for SCUSA.
As noted above, quantitative forecast errors (whether in model/methodology design or execution) or the inablility to incorporate appropriate qualitative adjustments can result in an allowance that does not appropriately reflect losses inherrent in SCUSA's portfolio.  While the accuracy of the models used and effectiveness of the methodology employed are key determinants of SCUSA'a ALLL process, the most significant risk drivers that impact accuracy in a stress environment are changes to unemployment rates and used vehicle values.  See above responses for additional discussion. 
</v>
      </c>
      <c r="J8" s="8" t="str">
        <f>'MR-24'!$C$5</f>
        <v>Unemployment (Up)</v>
      </c>
      <c r="K8" s="8" t="str">
        <f>'MR-24'!$A$9</f>
        <v xml:space="preserve">The ALLL process is employed to reasonably assess and account for losses inherent in the portfolio.  An inaccurate quantitative forecast or incomplete assessment of the impact of external market and environmental factors could lead to SCUSA experiencing losses well in excess of those anticipated, as well as expose SCUSA to potential regulatory action, reputational exposure or mispricing of future loans.  The ALLL process includes several controls to mitigate this risk, including quantitative controls (backtesting of VLM with back-testing variance threshold, balance/volume reconciliation, etc.), qualitative controls (macroeconomic indicator monitoring, comparison of actual losses to plan, review of Operational and Risk Reporting Systems to identify potential risks to the business that could impact the losses experienced by SCUSA's portfolios, etc.), internal controls (regular review by SOX team, model input checks performed by Financial Analytics, annual review by Internal Audit, etc.) and governace controls (Risk Committee and SHUSA review and sign-off of quarterly reserve number, Board Ratification, etc.).  
</v>
      </c>
      <c r="L8" s="8" t="str">
        <f>'MR-24'!$C$6</f>
        <v>$50 M - $250 M</v>
      </c>
      <c r="M8" s="8" t="str">
        <f>'MR-24'!$C$7</f>
        <v>$250 M - $500 M</v>
      </c>
      <c r="N8" s="8" t="str">
        <f>'MR-24'!$B$10</f>
        <v>Annual expected impact was calculated at $106MM, equal to the variance of actual losses to provision over the past twelve months (where unemployment and used vehicle values have been reasonably stable).   Worst 1 in 10 (2008-2009) saw the unemployment rate climb from 6-10% and the Manheim used index fall from 115 to 100 in the same short period of time (signiciantly impacting recovery rates).  The resultant increase in net annualized loss rate could require a rapid increase to reserve levels of $1 Bn or more.  With the controls in place, impact is not likely to exceed $500MM.</v>
      </c>
      <c r="O8" s="10"/>
    </row>
    <row r="9" spans="1:15" ht="33.75" customHeight="1" x14ac:dyDescent="0.25">
      <c r="A9" s="7"/>
      <c r="B9" s="7" t="str">
        <f>'Approval and Documentation'!C$4</f>
        <v>Support Functions: IT, Talent Management (HR), and Strategic Operations</v>
      </c>
      <c r="C9" s="7" t="str">
        <f>'Approval and Documentation'!C$6</f>
        <v>Support Functions: IT, Talent Management (HR), and Strategic Operations</v>
      </c>
      <c r="D9" s="8" t="str">
        <f>'MR-25'!$C$1</f>
        <v>Credit, Funding, Decision Science</v>
      </c>
      <c r="E9" s="11" t="s">
        <v>738</v>
      </c>
      <c r="F9" s="8" t="str">
        <f>'MR-25'!$C$2</f>
        <v>Credit</v>
      </c>
      <c r="G9" s="8" t="str">
        <f>'MR-25'!$C$3</f>
        <v>Default</v>
      </c>
      <c r="H9" s="8" t="str">
        <f>'MR-25'!$C$4</f>
        <v>Overall Credit Default Risk</v>
      </c>
      <c r="I9" s="8" t="str">
        <f>'MR-25'!$A$12</f>
        <v xml:space="preserve">Obligors not able or unwilling to fulfill obligations may default prior to maturity  resulting in a credit loss.
As a primarily non-prime lender, SCUSA extends credit to borrowers which have historically had higher loss rates. Due to these higher loss rates, the profitabily of SCUSA is highly dependent on accurately projecting and provisioning for expected losses. SCUSA mitigates the exposure by accurately estimating and provisioning for expected losses by building and validating loss models. The output of the loss models is enhanced by applying expert judgement and effective challenge through a documented governance process. To ensure accuracy of expected losses governance has been established including the ALLL Committee and ALLL Policy. Additionally the loss models are subject to SHUSA oversight including MRM validation including backtesting. Monthly monitoring is performed to ensure actual losses are inline with expected losses. If actual losses exceed expected losses by 8% or more, this triggers a complete indepth review of the ALLL process and assumptions to determine a more accurate loss forecast. SCUSA maintains a credit loss reserve in the amount of $3.6B which accounts for 16.5 months of expected loss.
</v>
      </c>
      <c r="J9" s="8" t="str">
        <f>'MR-25'!$C$5</f>
        <v>Unemployment (Up)</v>
      </c>
      <c r="K9" s="8" t="str">
        <f>'MR-25'!$A$9</f>
        <v>The ALLL Provision is the most likely estimate of loss and is governed by the ALLL Committee, ALLL Policy and Risk Committee. ALLL loss estimates are calculated using a validated loss model with stringent backtesting requirements. All models are validated by the oversight of SHUSA Model Risk Management (MRM) and adhere to established model guidelines. ALLL processes and validations are subject to Sarbanes Oxley (SOX) regulatory controls which add further checks and balances to the process of quantifying loss and loss provisions. Internal Audit performs periodic audits to ensure the ALLL models, policies and controls are executed accurately.</v>
      </c>
      <c r="L9" s="8" t="str">
        <f>'MR-25'!$C$6</f>
        <v>$250 M - $500 M</v>
      </c>
      <c r="M9" s="8" t="str">
        <f>'MR-25'!$C$7</f>
        <v>$250 M - $500 M</v>
      </c>
      <c r="N9" s="8" t="str">
        <f>'MR-25'!$B$10</f>
        <v>The risk of loss exceeding the Allowance for Loan/Lease Loss (ALLL) Provision is estimated to be 8-10% of the total ALLL Provision. According to the ALLL (Allowance for Loan/Lease Loss) Committee approved Provision, July 2015, the SCUSA estimated losses for the next 16.5 months is $3.6B or 12.6% loss rate on a portfolio of $29b outstanding receivables. 10% of $3.6B, annualized is $262MM. This provision is calcuated based on loss forecasting models with judgemental overlays from the ALLL Committee. See attached ALLL Schedule. The 8-10% risk is determined based on ALLL approved guidelines which sets this trigger to redevelop the loss models for breaches in excess of 8% of actual to expected loss. With this trigger/control in place, the risk of excess loss should not exceed 10%. The stressed impact of $380 was determined by applying the 10% threshold against a stressed loss rate of 18% which was the highest loss rate observed on the SCUSA portfolio in 2008.</v>
      </c>
      <c r="O9" s="10"/>
    </row>
    <row r="10" spans="1:15" ht="33.75" customHeight="1" x14ac:dyDescent="0.25">
      <c r="A10" s="7"/>
      <c r="B10" s="7" t="str">
        <f>'Approval and Documentation'!C$4</f>
        <v>Support Functions: IT, Talent Management (HR), and Strategic Operations</v>
      </c>
      <c r="C10" s="7" t="str">
        <f>'Approval and Documentation'!C$6</f>
        <v>Support Functions: IT, Talent Management (HR), and Strategic Operations</v>
      </c>
      <c r="D10" s="8" t="str">
        <f>'MR-26'!$C$1</f>
        <v>Support/IT</v>
      </c>
      <c r="E10" s="11" t="s">
        <v>739</v>
      </c>
      <c r="F10" s="8" t="str">
        <f>'MR-26'!$C$2</f>
        <v>Operational</v>
      </c>
      <c r="G10" s="8" t="str">
        <f>'MR-26'!$C$3</f>
        <v>Ineffective management of Change</v>
      </c>
      <c r="H10" s="8" t="str">
        <f>'MR-26'!$C$4</f>
        <v>Implementation of Changes / Change Management</v>
      </c>
      <c r="I10" s="8" t="str">
        <f>'MR-26'!$A$12</f>
        <v>Santander Consumer USA manages infrastructure, systems, databases and software that are critical to its operations. Unauthorized or improper changes to technology assets within this environment may result in data loss, disruption of operations, exposure of protected data and increased vulnerability. These events could cause reputational damage, loss of material relationships, regulatory fines, class action lawsuits, erosion of customer affinity and opportunity cost from lost business.</v>
      </c>
      <c r="J10" s="8">
        <f>'MR-26'!$C$5</f>
        <v>0</v>
      </c>
      <c r="K10" s="8" t="str">
        <f>'MR-26'!$A$9</f>
        <v>Change management controls are in place following industry best practices and the Information Technology Infrastructure Library (ITIL) framework. Changes are classifed by impact and tracked through the change lifecycle. Designated owners approve all changes.  Changes are monitored and managed by the IT Operations group. Some applications and technologies are managed outside of IT and not within the existing change management framework. Change management accountabilities and ownership need to be assessed for effectiveness.</v>
      </c>
      <c r="L10" s="8" t="str">
        <f>'MR-26'!$C$6</f>
        <v>$5 M - $50 M</v>
      </c>
      <c r="M10" s="8" t="str">
        <f>'MR-26'!$C$7</f>
        <v>&gt; $500 M</v>
      </c>
      <c r="N10" s="8" t="str">
        <f>'MR-26'!$B$10</f>
        <v xml:space="preserve">The financial impact of this risk can be significant based on the impact of the change. Change failures impacting customer payments, payment schedules, interest or fees can result in remediation payments, regulatory fines and legal fees. Change errors or failures impacting credit decisions can have widespread impact on loan volumes, funding levels, stipulations and pricing resulting in higher losses. Change errors can cause regulatory failures and related fines and fees across all operating areas and within third parties. Financial impact is difficult to assess, however our actual loss experience based on change errors over the past twleve months was 1.5M, which does not account for legal fees and customer remediation for failure of historical changes. The current regulatory environment could pose significant financial penalties for change failures on regulatory controls that impact customers. </v>
      </c>
      <c r="O10" s="10"/>
    </row>
    <row r="11" spans="1:15" ht="33.75" customHeight="1" x14ac:dyDescent="0.25">
      <c r="A11" s="7"/>
      <c r="B11" s="7" t="str">
        <f>'Approval and Documentation'!C$4</f>
        <v>Support Functions: IT, Talent Management (HR), and Strategic Operations</v>
      </c>
      <c r="C11" s="7" t="str">
        <f>'Approval and Documentation'!C$6</f>
        <v>Support Functions: IT, Talent Management (HR), and Strategic Operations</v>
      </c>
      <c r="D11" s="8" t="str">
        <f>'MR-27'!$C$1</f>
        <v>Support/IT</v>
      </c>
      <c r="E11" s="11" t="s">
        <v>740</v>
      </c>
      <c r="F11" s="8" t="str">
        <f>'MR-27'!$C$2</f>
        <v>Operational</v>
      </c>
      <c r="G11" s="8" t="str">
        <f>'MR-27'!$C$3</f>
        <v>Internal Systems Infrastructure and Application Failure or Defect</v>
      </c>
      <c r="H11" s="8" t="str">
        <f>'MR-27'!$C$4</f>
        <v>Data Governance</v>
      </c>
      <c r="I11" s="8" t="str">
        <f>'MR-27'!$A$12</f>
        <v>Santander Consumer USA employs data analysis, reporting and analytics across the organization to facilitate better decision-making, transparency to business operations and critical reporting. Failure to govern data for appropriate use could result in incorrect critical reporting, misrepresentation of our financial condition, misrepresentation of our risk posture, anomalous decisions or inefficient operations. Failure to adequately govern this data could result in regulatory enforcements, class action lawsuits, loss of ability to conduct business, and/or negative reputation exposure.</v>
      </c>
      <c r="J11" s="8">
        <f>'MR-27'!$C$5</f>
        <v>0</v>
      </c>
      <c r="K11" s="8" t="str">
        <f>'MR-27'!$A$9</f>
        <v>Information technology governs access to data through it access control and security administration processes. Write and change access is tightly controlled for critical data stores such as the data warehouse. Read access to data is widely distributed and does not have adequate controls. Data stores exist with minimal IT controls and support to facilitate operational reporting and ad-hoc analysis. Data query governance software is in place to filter queries for assembly of NPI, but the effectiveness of the tool is inconsistent. Data governance was recently initiated in the Risk group. This effort should be accelerated to support proper data stewardship, data guardianship and well managed process for data management including technical and business data lineage, meta-data management and control of critical repositories.</v>
      </c>
      <c r="L11" s="8" t="str">
        <f>'MR-27'!$C$6</f>
        <v>$5 M - $50 M</v>
      </c>
      <c r="M11" s="8" t="str">
        <f>'MR-27'!$C$7</f>
        <v>$5 M - $50 M</v>
      </c>
      <c r="N11" s="8" t="str">
        <f>'MR-27'!$B$10</f>
        <v>2014 saw a couple pools of ineligible or non-confirming loans sold to a partner based upon data and unknown downstream effects. The BANA loss was right under $1.5M. The SBNA loss was $7.7M. In a stress situation with data not being properly governed and used, losses could be more concentrated in a single year. The financial impact for misrepresentation of financial information or risk conditions can be significant. Santander could face severe regulatory action including significant fines and enforcement actions impeding the overall health and growth of the business.</v>
      </c>
      <c r="O11" s="10"/>
    </row>
    <row r="12" spans="1:15" ht="33.75" customHeight="1" x14ac:dyDescent="0.25">
      <c r="A12" s="7"/>
      <c r="B12" s="7" t="str">
        <f>'Approval and Documentation'!C$4</f>
        <v>Support Functions: IT, Talent Management (HR), and Strategic Operations</v>
      </c>
      <c r="C12" s="7" t="str">
        <f>'Approval and Documentation'!C$6</f>
        <v>Support Functions: IT, Talent Management (HR), and Strategic Operations</v>
      </c>
      <c r="D12" s="8" t="str">
        <f>'MR-28'!$C$1</f>
        <v>Support/IT</v>
      </c>
      <c r="E12" s="11" t="s">
        <v>741</v>
      </c>
      <c r="F12" s="8" t="str">
        <f>'MR-28'!$C$2</f>
        <v>Operational</v>
      </c>
      <c r="G12" s="8" t="str">
        <f>'MR-28'!$C$3</f>
        <v>External Service Disruption or Denial of Service</v>
      </c>
      <c r="H12" s="8" t="str">
        <f>'MR-28'!$C$4</f>
        <v>External Service Disruption</v>
      </c>
      <c r="I12" s="8" t="str">
        <f>'MR-28'!$A$12</f>
        <v xml:space="preserve">Santander Consumer USA provides externally facing systems and services to consumers, customers and business partners through digital channels, web sites, business services and telecommunications services. Prolonged external service disruptions, whether perpetuated internally or externally, malicously or by accident, could result in lost revenue, increased epxenses, reputational damage, loss of material relationship or opportunity cost to our business. </v>
      </c>
      <c r="J12" s="8" t="str">
        <f>'MR-28'!$C$5</f>
        <v>Consumer Confidence (Down)</v>
      </c>
      <c r="K12" s="8" t="str">
        <f>'MR-28'!$A$9</f>
        <v xml:space="preserve">Core systems and operations are distributed across physcial machinery and locations. Disaster recovery prodcedures are in place and tested. Service provider contracts including key system services and data centers have contractual servivce level agreements.  Continuous system monitoring for incidents and management of incidents are in place. Third Party Management controls need strengthening to ensure new internet-based or cloud-based services follow existing controls and standards. Directive controls need strengthening.
</v>
      </c>
      <c r="L12" s="8" t="str">
        <f>'MR-28'!$C$6</f>
        <v>$1 - $5 M</v>
      </c>
      <c r="M12" s="8" t="str">
        <f>'MR-28'!$C$7</f>
        <v>$5 M - $50 M</v>
      </c>
      <c r="N12" s="8" t="str">
        <f>'MR-28'!$B$10</f>
        <v>The financial impact of this risk is primarily oriented to loss of new business during defined operating hours throughout the year. The actual impact of an originations loss is difficult to assess given the opportunity to adjust volume and recover. A like incident occurred in 2014 where a key business partner suspended originations due to instability/latency within the partner channel, resulting in a near miss of $1M. Based on our operating experience and resliiency posture, we conservatively asses the financial impact based on 99.5%  uptime in a 360 day operating year, adjusted for operating hours which yields annual dowtime of 1.8 days. Conservative financial impact is 3% annual income of originated loans of 36-54M  or 1-5M USD. Stressed impacts are also difficult to concieve. For planning purposes we place the range at 10 times the base, or 10-50M USD.</v>
      </c>
      <c r="O12" s="10"/>
    </row>
    <row r="13" spans="1:15" ht="33.75" customHeight="1" x14ac:dyDescent="0.25">
      <c r="A13" s="7"/>
      <c r="B13" s="7" t="str">
        <f>'Approval and Documentation'!C$4</f>
        <v>Support Functions: IT, Talent Management (HR), and Strategic Operations</v>
      </c>
      <c r="C13" s="7" t="str">
        <f>'Approval and Documentation'!C$6</f>
        <v>Support Functions: IT, Talent Management (HR), and Strategic Operations</v>
      </c>
      <c r="D13" s="8" t="str">
        <f>'MR-29'!$C$1</f>
        <v>Support/IT</v>
      </c>
      <c r="E13" s="11" t="s">
        <v>742</v>
      </c>
      <c r="F13" s="8" t="str">
        <f>'MR-29'!$C$2</f>
        <v>Operational</v>
      </c>
      <c r="G13" s="8" t="str">
        <f>'MR-29'!$C$3</f>
        <v>Cyber attack</v>
      </c>
      <c r="H13" s="8" t="str">
        <f>'MR-29'!$C$4</f>
        <v>Cyber Security / Denial of Service attacks (DDoS)</v>
      </c>
      <c r="I13" s="8" t="str">
        <f>'MR-29'!$A$12</f>
        <v xml:space="preserve">Santander Consumer USA has externally facing websites, communications channels and web services that are under continual threat of cyber attack. Extreme latency or failure of services would primarily impact customers from logging into their accounts to make payments, and potential customers from creating an application. These attacks could cause system disruptions that may result in reputational damage, loss of material relationship, and opportunity cost from lost business. An example of these attacks occurred in the banking idustry during 2013 when a series of distributed denial of service attacks were launched against major banks over the course of several months by the self-proclaimed Muslim hacktivist group Izz ad-Din al-Qassam Cyber Fighters. Although the attackers communicated the exact date and time of the attacks well in advance, none of the major banks were able to fully defend themselves on the first round and progressive enhancements had to be made to install adequate defenses.
</v>
      </c>
      <c r="J13" s="8">
        <f>'MR-29'!$C$5</f>
        <v>0</v>
      </c>
      <c r="K13" s="8" t="str">
        <f>'MR-29'!$A$9</f>
        <v>Detective controls are in place to monitor network traffic, looking for suspicious patterns, changes, or spikes. Preventative controls are in the network infrastructure to add limits, filters, threshholds. Exhaustive tests have not been peformed to ensure defense against the scenarios of the 2013 Izz ad-Din all-Qassam attacks. Processes/procedures need strengthening to manage key threats and threat escalation. Process/procedures need to be developed to support interaction with local, state and federal agencies in the event of cyber attacks.</v>
      </c>
      <c r="L13" s="8" t="str">
        <f>'MR-29'!$C$6</f>
        <v>$1 - $5 M</v>
      </c>
      <c r="M13" s="8" t="str">
        <f>'MR-29'!$C$7</f>
        <v>$5 M - $50 M</v>
      </c>
      <c r="N13" s="8" t="str">
        <f>'MR-29'!$B$10</f>
        <v>The financial impact of this risk is primarily oriented to loss of new business during defined operating hours throughout the year. The actual impact of an originations loss is difficult to assess given the opportunity to adjust volume and recover. Based on our operating experience and resliiency posture, we conservatively asses the financial impact based on 99.5%  uptime in a 360 day operating year, adjusted for operating hours which yields annual expected dowtime of 1.8 days. Conservative financial impact is 3% of annual income on originated loans of 36-54M  or 1-5M USD. Stressed impacts are also difficult to concieve. For planning purposes we place the range at 10 times the base, or 10-50M USD.</v>
      </c>
      <c r="O13" s="10"/>
    </row>
    <row r="14" spans="1:15" ht="33.75" customHeight="1" x14ac:dyDescent="0.25">
      <c r="A14" s="7"/>
      <c r="B14" s="7" t="str">
        <f>'Approval and Documentation'!C$4</f>
        <v>Support Functions: IT, Talent Management (HR), and Strategic Operations</v>
      </c>
      <c r="C14" s="7" t="str">
        <f>'Approval and Documentation'!C$6</f>
        <v>Support Functions: IT, Talent Management (HR), and Strategic Operations</v>
      </c>
      <c r="D14" s="8" t="str">
        <f>'MR-30'!$C$1</f>
        <v>Support/IT</v>
      </c>
      <c r="E14" s="11" t="s">
        <v>743</v>
      </c>
      <c r="F14" s="8" t="str">
        <f>'MR-30'!$C$2</f>
        <v>Operational</v>
      </c>
      <c r="G14" s="8" t="str">
        <f>'MR-30'!$C$3</f>
        <v>Inappropriate disclosure of Client Data</v>
      </c>
      <c r="H14" s="8" t="str">
        <f>'MR-30'!$C$4</f>
        <v>NPI Exposure / Data Protection / PCI Compliance</v>
      </c>
      <c r="I14" s="8" t="str">
        <f>'MR-30'!$A$12</f>
        <v xml:space="preserve">Santander Consumer USA collects, retains and uses consumer and customer nonpublic personal information and personally identifiable information in the normal course of its business operations. Failure to adequately protect this data could result in regulatory enforcements, class action lawsuits, loss of ability to conduct business, and/or negative reputation exposure.
</v>
      </c>
      <c r="J14" s="8">
        <f>'MR-30'!$C$5</f>
        <v>0</v>
      </c>
      <c r="K14" s="8" t="str">
        <f>'MR-30'!$A$9</f>
        <v>Preventative controls utilizing least privilege methodology are in place within the applications, databases, and infrastructure. Detective controls monitor those access levels during periodic entitlement review cycles. Preventative controls particularly guarding SSN and other highly sensitive consumer data to ensure it's masked in the application UI, as well as Production-level databases. Preventative controls in place for infrastructure design utilizing firewalls, PCI zones, and separate vlans. Preventative controls are in place to block certain known external threats, as well as detective controls for realtime monitoring of traffic that might cause compromise to consumer data. Preventative controls exist for consumer data in motion with standard encryption, movement practices, and approvals.
While there are no active findings for these controls at this time, there are known improvements being made in the use of the database monitoring tool, Guardium. There is also an effort underway to mature the access control processes, and automate the work where much of it is manual today. There have been audit findings for both of these items in the past. Compensating controls and/or tighter processes have worked to remediate those findings for high-risk exposure.</v>
      </c>
      <c r="L14" s="8" t="str">
        <f>'MR-30'!$C$6</f>
        <v>$1 - $5 M</v>
      </c>
      <c r="M14" s="8" t="str">
        <f>'MR-30'!$C$7</f>
        <v>$50 M - $250 M</v>
      </c>
      <c r="N14" s="8" t="str">
        <f>'MR-30'!$B$10</f>
        <v>While Santander Consumer USA has not experienced a breach of customer data, the potential exists. Using industry statistics of a serious breach, Target's major data breach is reported to cost $162M; Home Depot's $33M; a Massachusetts-based company reported losses at $256M for 450,000 customers impacted.</v>
      </c>
      <c r="O14" s="10"/>
    </row>
    <row r="15" spans="1:15" ht="33.75" customHeight="1" x14ac:dyDescent="0.25">
      <c r="A15" s="7"/>
      <c r="B15" s="7" t="str">
        <f>'Approval and Documentation'!C$4</f>
        <v>Support Functions: IT, Talent Management (HR), and Strategic Operations</v>
      </c>
      <c r="C15" s="7" t="str">
        <f>'Approval and Documentation'!C$6</f>
        <v>Support Functions: IT, Talent Management (HR), and Strategic Operations</v>
      </c>
      <c r="D15" s="8" t="str">
        <f>'MR-31'!$C$1</f>
        <v>Support/IT</v>
      </c>
      <c r="E15" s="11" t="s">
        <v>744</v>
      </c>
      <c r="F15" s="8" t="str">
        <f>'MR-31'!$C$2</f>
        <v>Operational</v>
      </c>
      <c r="G15" s="8" t="str">
        <f>'MR-31'!$C$3</f>
        <v>Workforce Disruption</v>
      </c>
      <c r="H15" s="8" t="str">
        <f>'MR-31'!$C$4</f>
        <v>Internal System Disruption</v>
      </c>
      <c r="I15" s="8" t="str">
        <f>'MR-31'!$A$12</f>
        <v xml:space="preserve">Santander Consumer USA provides systems and services to associates and business partners through custom applications, web sites, business services and telecommunications services. Prolonged internal service disruptions, whether perpetuated malicously or by accident, could result in lost revenue, increased epxenses, reputational damage, loss of material relationship, loss of customer affinity or opportunity cost to our business. 
</v>
      </c>
      <c r="J15" s="8">
        <f>'MR-31'!$C$5</f>
        <v>0</v>
      </c>
      <c r="K15" s="8" t="str">
        <f>'MR-31'!$A$9</f>
        <v xml:space="preserve">Preventative controls for application, database, and infrastructure redundancy are in place with multiple data center locations that house similar hardware, capacity, and capabilities. Detective controls in place to execute annual disaster recovery testing for applications, database, and infrastructure. Detective controls in place to continually monitor infrastructure, applications, and database availability, and alert upon failure. Detective controls in place of identified key business functions within the in-house applications and defined expected performance threshhold. Many of these controls are tested internally and externally, both design and execution. Resiliency of core systems needs to be properly assessed. Our loan servicing system requires a minimum of 24 hours to recover from failure and operates within a single geography. The length (number of digits) of our account numbers in loan servicing does not permit growth in new business past Q3 of 2016. </v>
      </c>
      <c r="L15" s="8" t="str">
        <f>'MR-31'!$C$6</f>
        <v>$1 - $5 M</v>
      </c>
      <c r="M15" s="8" t="str">
        <f>'MR-31'!$C$7</f>
        <v>$5 M - $50 M</v>
      </c>
      <c r="N15" s="8" t="str">
        <f>'MR-31'!$B$10</f>
        <v>Early 2015 saw a near miss business disruption event of $500,000 with a key partner that prevented collateral expense posting. Other material scenarios contemplated include a signficant loss of productivity impacting collections by associates, funding of contracts and payment postings. This event considers only the internal disruption and assumes customers are able to self service while internal systems are unavailable.</v>
      </c>
      <c r="O15" s="10"/>
    </row>
    <row r="16" spans="1:15" ht="33.75" customHeight="1" x14ac:dyDescent="0.25">
      <c r="A16" s="7"/>
      <c r="B16" s="7" t="str">
        <f>'Approval and Documentation'!C$4</f>
        <v>Support Functions: IT, Talent Management (HR), and Strategic Operations</v>
      </c>
      <c r="C16" s="7" t="str">
        <f>'Approval and Documentation'!C$6</f>
        <v>Support Functions: IT, Talent Management (HR), and Strategic Operations</v>
      </c>
      <c r="D16" s="8" t="str">
        <f>'MR-32'!$C$1</f>
        <v>SCUSA - HR</v>
      </c>
      <c r="E16" s="11" t="s">
        <v>745</v>
      </c>
      <c r="F16" s="8" t="str">
        <f>'MR-32'!$C$2</f>
        <v>Operational</v>
      </c>
      <c r="G16" s="8" t="str">
        <f>'MR-32'!$C$3</f>
        <v>Employment Liability and Disputes</v>
      </c>
      <c r="H16" s="8" t="str">
        <f>'MR-32'!$C$4</f>
        <v>Litigation associated with Compliance with HR Laws</v>
      </c>
      <c r="I16" s="8" t="str">
        <f>'MR-32'!$A$12</f>
        <v xml:space="preserve">Failure to comply with the relevant employment laws and regulations could have serious consequences. Violations involve regulatory enforcement, prosecution by individuals or governmental agencies leading to potential fines, compensation payments, financial penalties/corrective action and/or reputational damage. The severity of the penalty depends on whether the violation is wilful or negligent. 
</v>
      </c>
      <c r="J16" s="8">
        <f>'MR-32'!$C$5</f>
        <v>0</v>
      </c>
      <c r="K16" s="8" t="str">
        <f>'MR-32'!$A$9</f>
        <v xml:space="preserve">SCUSA has various controls in place to manage and mitigate risks associated with Noncompliance with HR legal or regulatory requirements. Policies and Procedures are in place covering the entire employment relationship from Pre-Hire to Termination. An Employee Handbook is in place as well as a Code of Conduct describing employee resposibilities. Employee attestation is required for the Code of Conduct. Onboard training is provided for SCUSA employees where responsibilities of the employee relationship are discussed. In addition, SCUSA HR provides ongoing monitoring of various HR metrics to ensure alignment with expectations.
</v>
      </c>
      <c r="L16" s="8" t="str">
        <f>'MR-32'!$C$6</f>
        <v>$1 - $5 M</v>
      </c>
      <c r="M16" s="8" t="str">
        <f>'MR-32'!$C$7</f>
        <v>$1 - $5 M</v>
      </c>
      <c r="N16" s="8" t="str">
        <f>'MR-32'!$B$10</f>
        <v>During 2014, SCUSA saw less than $200k in settlements. Also noted that historically, very few employees litigate.</v>
      </c>
      <c r="O16" s="10"/>
    </row>
    <row r="17" spans="1:15" ht="33.75" customHeight="1" x14ac:dyDescent="0.25">
      <c r="A17" s="7"/>
      <c r="B17" s="7" t="str">
        <f>'Approval and Documentation'!C$4</f>
        <v>Support Functions: IT, Talent Management (HR), and Strategic Operations</v>
      </c>
      <c r="C17" s="7" t="str">
        <f>'Approval and Documentation'!C$6</f>
        <v>Support Functions: IT, Talent Management (HR), and Strategic Operations</v>
      </c>
      <c r="D17" s="8" t="str">
        <f>'MR-33'!$C$1</f>
        <v>SCUSA - HR</v>
      </c>
      <c r="E17" s="11" t="s">
        <v>746</v>
      </c>
      <c r="F17" s="8" t="str">
        <f>'MR-33'!$C$2</f>
        <v>Operational</v>
      </c>
      <c r="G17" s="8" t="str">
        <f>'MR-33'!$C$3</f>
        <v>Willful damage to Physical Assets</v>
      </c>
      <c r="H17" s="8" t="str">
        <f>'MR-33'!$C$4</f>
        <v>Workplace Safety and Security - Willful</v>
      </c>
      <c r="I17" s="8" t="str">
        <f>'MR-33'!$A$12</f>
        <v xml:space="preserve">Security incidents potentially resulting in injury or loss of life, damage or theft of physical property, resulting in litigation exposure and / or associated costs. 
SCUSA operates multiple sites in different states.  There is a possibility that something could occur, potentially resulting in injury or loss of life, damage or theft of physical property, resulting in litigation exposure and / or associated costs. 
The potential threat of an individual entering a facility with malicious intent is ever present.  In one instance, a former associate with a violent history entered the property and subsequently was escorted off the property by SCUSA security.  Additionally, an associate was car-jacked at gunpoint in a remote parking area.  We have posted numerous "Private Property, No Trespassing" signage.  We intend to install pedestrian turnstile gates at our NRH facility entrances to prevent unauthorized piggy backing.  The officers perform daily shift change operations and share information through pass down books which includes security information regarding business operations and safety.   
In the last year, we are not aware of any litigation expenses associated with these or other related events, however we continue to identify potential risks and train for expected and unexpected scenarios.  The worst year impact is yet to be identified as the equipment and standardization of all sites is a new project.  The impact of replacement equipment could be substantial such as access servers, cameras or exterior lighting.  Additionally the cost of extra security or overtime expense after a major incident or significant event that could have a large financial impact.
</v>
      </c>
      <c r="J17" s="8">
        <f>'MR-33'!$C$5</f>
        <v>0</v>
      </c>
      <c r="K17" s="8" t="str">
        <f>'MR-33'!$A$9</f>
        <v>SCUSA has recognized the real world need for enhanced physical security measures.  We have invested a large amount of resources to standardize all of our sites and ensure our workplace is safe and controlled as possible.  We have upgraded our buildings security with the newest controls, such as secure access badges, high visibility visitor lanyards, and additional video cameras inside the facility and in the parking areas.  We have extended security shifts to provide additional coverage and designed a 24 hour monitoring center that will oversee all sites 24x7x365.  Our Business Operation Facilities experience a high volume of vehicles in our parking areas.  The threat of auto accidents between vehicles and auto pedestrian accidents is always present as well as the threat of building damage by vehicles.  SCUSA mitigates these threats with on-site building security, cameras (CCTV), and badge access controls.  We have added additional lighting in the parking areas, installed speed bumps, and posted speed limit signs, as well as high visibility traffic cones.  Access badge audits are performed each quarter in addition to restricted access reviews to ensure all badges are accounted and terminated associates are inactive.  Security staff are provided continuous training throughout the year regarding evacuation procedures and safety measures.  All associates are drilled at least once a year in evacuation procedures.  Potential threats are continuously evaluated through the partnerships built with the local authorities and industry training and standards.</v>
      </c>
      <c r="L17" s="8" t="str">
        <f>'MR-33'!$C$6</f>
        <v>$1 - $5 M</v>
      </c>
      <c r="M17" s="8" t="str">
        <f>'MR-33'!$C$7</f>
        <v>$5 M - $50 M</v>
      </c>
      <c r="N17" s="8" t="str">
        <f>'MR-33'!$B$10</f>
        <v xml:space="preserve">SCUSA currently transfers its insurable liability for 1st Party damage/loss to buildings and contents via Corporate Property Insurance.  Aggregate limits of $200MM are shared with SHUSA/SBNA.  Retention for each Occurrence/Location is the greater of $250,000 or (for catastrophic losses) 5% of the Location’s Declared Values. SCUSA currently transfers from first dollar its insurable liability for Employees’ occupational injuries via Corporate Workers’ Compensation Insurance, which pays for medical and lost wages up to statutory limits.  Part B insures Employer’s Liability up to $1MM for alleged negligence in effectively mitigating such injuries; Umbrella coverage is also in place.  Currently SCUSA employs approximately 4000 employees. 
SCUSA currently transfers from first dollar its insurable liability for 3rd Party bodily injury, death, personal injury and property damage via Corporate General Liability Insurance.  Aggregate limits of $120MM ($50MM per Occurrence) are shared with SHUSA/SBNA; Umbrella coverage is also in place.  
SCUSA Liabilities are equitably retained/transferred via contract language.
</v>
      </c>
      <c r="O17" s="10"/>
    </row>
    <row r="18" spans="1:15" ht="33.75" customHeight="1" x14ac:dyDescent="0.25">
      <c r="A18" s="7"/>
      <c r="B18" s="7" t="str">
        <f>'Approval and Documentation'!C$4</f>
        <v>Support Functions: IT, Talent Management (HR), and Strategic Operations</v>
      </c>
      <c r="C18" s="7" t="str">
        <f>'Approval and Documentation'!C$6</f>
        <v>Support Functions: IT, Talent Management (HR), and Strategic Operations</v>
      </c>
      <c r="D18" s="8" t="str">
        <f>'MR-34'!$C$1</f>
        <v>SCUSA - HR</v>
      </c>
      <c r="E18" s="11" t="s">
        <v>747</v>
      </c>
      <c r="F18" s="8" t="str">
        <f>'MR-34'!$C$2</f>
        <v>Operational</v>
      </c>
      <c r="G18" s="8" t="str">
        <f>'MR-34'!$C$3</f>
        <v>Accidental damage to Physical Assets</v>
      </c>
      <c r="H18" s="8" t="str">
        <f>'MR-34'!$C$4</f>
        <v>Workplace Safety and Security - Accidental</v>
      </c>
      <c r="I18" s="8" t="str">
        <f>'MR-34'!$A$12</f>
        <v>Natural hazards and the resulting disasters can happen at any time.  Texas is considered part of tornado alley and in the winter, subject to ice/sleet accumulations on our roads and building parking lots.  Natural hazards poses a real threat not only to associates but to physical property as well.  Fire is also a real threat, as evident of a recent fire in the underground parking area attached to our headquarters facility. In addition, environmental risks are also a threat. In the event of any natural disaster, associates run the risk of injury or loss of life, which could result in personal litigation and extensive damage to personal property. Effects of hazards need to be defined and identified.  Primary effects occur as a result of the process itself, e.g., water damage after a fire or flood.  Secondary effects occur only because a primary effect has caused them e.g., fire ignited as result of down electrical power lines, looting after damage and Tertiary effects are long-term effect set off as a result of the primary event.  Protection, planning and preparedness are key risk drivers.</v>
      </c>
      <c r="J18" s="8">
        <f>'MR-34'!$C$5</f>
        <v>0</v>
      </c>
      <c r="K18" s="8" t="str">
        <f>'MR-34'!$A$9</f>
        <v>SCUSA has established a strategy to respond to a natural event before, during and after the actual event.  The SVP of Property Management|Physical Security is part of the CIMT (Corporate Incident Management Team).  We established a Floor Warden Program and have trained select associates in CPR and the ability to provide guidance and response during emergencies and natural disasters.  All our facilities are compliant per local city and state codes.  The properties team conducts detailed facility inspections every quarter in addition to the daily safety observations provided by our physical security team.  We stock ice melt to use at entry ways and contract with outside vendors to sand/salt our parking lots to avoid slips/falls.  Our Business Operations sites are equipped with backup generators to provide power in the event of disruption of the local power delivery.  SCUSA has designed a Business Continuity Plan to provide workers an off-site work location in the event of a lost work site due to damage or destruction.</v>
      </c>
      <c r="L18" s="8" t="str">
        <f>'MR-34'!$C$6</f>
        <v>$1 - $5 M</v>
      </c>
      <c r="M18" s="8" t="str">
        <f>'MR-34'!$C$7</f>
        <v>$5 M - $50 M</v>
      </c>
      <c r="N18" s="8" t="str">
        <f>'MR-34'!$B$10</f>
        <v xml:space="preserve"> To date there have been no incidents associated with this risk. However, in the event of a natural disaster SCUSA carries property insurance covering buildings and content with a per location deductible. SCUSA currently transfers its insurable liability for 1st Party damage/loss to buildings and contents via Corporate Property Insurance.  Aggregate limits of $200MM are shared with SHUSA/SBNA.  Retention for each Occurrence/Location is the greater of $250,000 or (for catastrophic losses) 5% of the Location’s Declared Values. SCUSA currently transfers from first dollar its insurable liability for Employees’ occupational injuries via Corporate Workers’ Compensation Insurance, which pays for medical and lost wages up to statutory limits.  Part B insures Employer’s Liability up to $1MM for alleged negligence in effectively mitigating such injuries; Umbrella coverage is also in place.  Currently SCUSA employs approximately 4000 employees. 
SCUSA currently transfers from first dollar its insurable liability for 3rd Party bodily injury, death, personal injury and property damage via Corporate General Liability Insurance.  Aggregate limits of $120MM ($50MM per Occurrence) are shared with SHUSA/SBNA; Umbrella coverage is also in place.  
SCUSA Liabilities are equitably retained/transferred via contract language.
</v>
      </c>
      <c r="O18" s="10"/>
    </row>
    <row r="19" spans="1:15" ht="33.75" customHeight="1" x14ac:dyDescent="0.25">
      <c r="A19" s="7"/>
      <c r="B19" s="7" t="str">
        <f>'Approval and Documentation'!C$4</f>
        <v>Support Functions: IT, Talent Management (HR), and Strategic Operations</v>
      </c>
      <c r="C19" s="7" t="str">
        <f>'Approval and Documentation'!C$6</f>
        <v>Support Functions: IT, Talent Management (HR), and Strategic Operations</v>
      </c>
      <c r="D19" s="8" t="str">
        <f>'MR-35'!$C$1</f>
        <v>Support Functions</v>
      </c>
      <c r="E19" s="11" t="s">
        <v>748</v>
      </c>
      <c r="F19" s="8" t="str">
        <f>'MR-35'!$C$2</f>
        <v>Operational</v>
      </c>
      <c r="G19" s="8" t="str">
        <f>'MR-35'!$C$3</f>
        <v>Workforce Disruption</v>
      </c>
      <c r="H19" s="8" t="str">
        <f>'MR-35'!$C$4</f>
        <v>Workplace and Operational Capacity</v>
      </c>
      <c r="I19" s="8" t="str">
        <f>'MR-35'!$A$12</f>
        <v xml:space="preserve">A variety of scenarios could push us beyond our existing capacity, resulting in operational execution challenges, compliance exposure, reputational exposure and potential increased losses.
Currently, there are 4 locations in the Dallas Metroplex, including our corporate headquarters and NRH. With approximately 4,000 employees, we are at 90% capacity. In the event of a scenario such as increase in business demands, increase in losses, natural disaster, etc.; SCUSA is at risk of exceeding capacity. SCUSA monitors site capacity to ensure alignment with new business initiatives and economic conditions. An additional site in Puerto Rico is under review for approval. SCUSA is also currently building out an additional site in Phoenix and expanding the Denver site. 
</v>
      </c>
      <c r="J19" s="8">
        <f>'MR-35'!$C$5</f>
        <v>0</v>
      </c>
      <c r="K19" s="8" t="str">
        <f>'MR-35'!$A$9</f>
        <v xml:space="preserve">SCUSA monitors site capacity to ensure alignment with new business initiatives and economic conditions. An additional site in Puerto Rico is under review for approval. SCUSA is also currently building out an additional site in Phoenix and expanding the Denver site. 
</v>
      </c>
      <c r="L19" s="8" t="str">
        <f>'MR-35'!$C$6</f>
        <v>$5 M - $50 M</v>
      </c>
      <c r="M19" s="8" t="str">
        <f>'MR-35'!$C$7</f>
        <v>$50 M - $250 M</v>
      </c>
      <c r="N19" s="8" t="str">
        <f>'MR-35'!$B$10</f>
        <v xml:space="preserve">Currently, there are 4 locations in the Dallas Metroplex, including our corporate facility.  Of approximately 4,000 employees, a high majority are in the Dallas Metroplex area with several key centralized functional areas in a single location.  Loss of this facility or key personnel would result in loss of productivity, increase regulatory risk and reputational exposure. The majority of the SCUSA's capacity exposure is related to Operational functions (of which there are 3,000 servicing employees). 
For example, if we were to lose our North Richland Hills (NRH) site, we do not have the capacity in the combination of the remaining domestic sites or the Outsourced sites to maintain the inbound and outbound call volume.  NRH has over 1,200 Servicing employees, approximately 800 of which are Customer Service and Collection agents.  These 800 Customer Service and Collection agents represent one third of the total agents in those groups.  If those resources were not available for an extended period of time the impact would come in the form of:
- Additional overtime in the remaining sites - Additional resources at the Outsource providers
- Transportation of existing NRH resources to other locations - Purchase of equipment to accommodate resources in other locations
We launch more than 12,000,000 phone calls a month and receive over 2,000,000 more.  If a third of those calls were not made or went unanswered it could result in higher delinquency and loss.  If the blended average balance of accounts is approximately $16,000 it would only take less than 320 accounts of additional loss to hit the 5 million mark. 
In addition, there are specialty functions in NRH that would require the redirection of employees, mail and equipment to another facility.  Bankruptcy, Titles, Impounds, and Insurance are 4 large specialty groups that are impacted by the timing of processes and if we fail to act in a timely manner we lose money:
- BK Proof of claims not filed on time - BK court dates are missed - Title releases are not processed in a timely manner result in fines and penalties - Impound Claims notices go unprocessed and liens are lost - Insurance total loss and repair claims are not filed
If the blended average balance of accounts is approximately $16,000 it would only take less than 320 accounts to hit the 5 million mark.
</v>
      </c>
      <c r="O19" s="10"/>
    </row>
    <row r="20" spans="1:15" ht="33.75" customHeight="1" x14ac:dyDescent="0.25">
      <c r="A20" s="7"/>
      <c r="B20" s="7" t="str">
        <f>'Approval and Documentation'!C$4</f>
        <v>Support Functions: IT, Talent Management (HR), and Strategic Operations</v>
      </c>
      <c r="C20" s="7" t="str">
        <f>'Approval and Documentation'!C$6</f>
        <v>Support Functions: IT, Talent Management (HR), and Strategic Operations</v>
      </c>
      <c r="D20" s="8" t="str">
        <f>'MR-36'!$C$1</f>
        <v>Staff Expertise</v>
      </c>
      <c r="E20" s="11" t="s">
        <v>766</v>
      </c>
      <c r="F20" s="8" t="str">
        <f>'MR-36'!$C$2</f>
        <v xml:space="preserve">Strategic </v>
      </c>
      <c r="G20" s="8" t="str">
        <f>'MR-36'!$C$3</f>
        <v>Staffing levels and skills</v>
      </c>
      <c r="H20" s="8" t="str">
        <f>'MR-36'!$C$4</f>
        <v>Attract &amp; Retain Key Personnel</v>
      </c>
      <c r="I20" s="8" t="str">
        <f>'MR-36'!$A$12</f>
        <v xml:space="preserve">Talent retention is a key focus for Talent Management and the Executive team. The last 2 years have been exceptionally high in regards to attrition amongst key areas/positions across the organization. The primary drivers of turnover are 1) lack of corporate vision/direction, 2) lack of opportunity for growth and development, and 3) lack of compensation structure/opportunities. To address these issues stronger communication plans are being created to ensure employee-base remains well-informed of current and future state initiatives, management is receiving more information around development/training opportunities available to them and their teams and a corporate compensation structure is being created to offer more clarity around the alignment of performance and compensation. 
    </v>
      </c>
      <c r="J20" s="8" t="str">
        <f>'MR-36'!$C$5</f>
        <v>Unemployment (Down)</v>
      </c>
      <c r="K20" s="8" t="str">
        <f>'MR-36'!$A$9</f>
        <v xml:space="preserve">The primary controls we have in place today is our corporate succession plan, which assess current skill-sets to determine readiness and core competencies to perform within the identified key positions across the organization. </v>
      </c>
      <c r="L20" s="8" t="str">
        <f>'MR-36'!$C$6</f>
        <v>$1 - $5 M</v>
      </c>
      <c r="M20" s="8" t="str">
        <f>'MR-36'!$C$7</f>
        <v>$1 - $5 M</v>
      </c>
      <c r="N20" s="8" t="str">
        <f>'MR-36'!$B$10</f>
        <v xml:space="preserve">Our analysis was based on attrition analysis performed over the last 4-years.  The data pulled illustrated inadequate experience/skills required required to ensure continuity of business knowledge/continuity within key areas of the business. </v>
      </c>
      <c r="O20" s="10"/>
    </row>
    <row r="21" spans="1:15" ht="33.75" customHeight="1" x14ac:dyDescent="0.25">
      <c r="A21" s="7"/>
      <c r="B21" s="7" t="str">
        <f>'Approval and Documentation'!C$4</f>
        <v>Support Functions: IT, Talent Management (HR), and Strategic Operations</v>
      </c>
      <c r="C21" s="7" t="str">
        <f>'Approval and Documentation'!C$6</f>
        <v>Support Functions: IT, Talent Management (HR), and Strategic Operations</v>
      </c>
      <c r="D21" s="8" t="str">
        <f>'MR-37'!$C$1</f>
        <v>Transaction Capture and Input Errors</v>
      </c>
      <c r="E21" s="11" t="s">
        <v>749</v>
      </c>
      <c r="F21" s="8" t="str">
        <f>'MR-37'!$C$2</f>
        <v>Operational</v>
      </c>
      <c r="G21" s="8" t="str">
        <f>'MR-37'!$C$3</f>
        <v>Transaction Capture and Input Errors</v>
      </c>
      <c r="H21" s="8" t="str">
        <f>'MR-37'!$C$4</f>
        <v>Payroll or Benefits Processing Errors</v>
      </c>
      <c r="I21" s="8" t="str">
        <f>'MR-37'!$A$12</f>
        <v>Key risks within this area revolve around manual entries (ad-hoc/one-offs) that could result in financial loss, regulatory violations, reputational exposure, and potential fines / penalties. Audit processes are in place to capture these entries.  Based on an analysis performed on these processes that occurred over the last 16-months, only one event was identified and determined to be material. This item pertained to an equity entry for an exiting executive. While this was a unique event and extremely rare, audit process have been heightened to ensure future transactions of similar nature are fully mitigated.</v>
      </c>
      <c r="J21" s="8">
        <f>'MR-37'!$C$5</f>
        <v>0</v>
      </c>
      <c r="K21" s="8" t="str">
        <f>'MR-37'!$A$9</f>
        <v xml:space="preserve">Key risks within this area revolve around manual entries (ad-hoc/one-offs) that could result in financial loss, regulatory violations, reputational exposure, and potential fines / penalties. Audit processes are in place to capture these entries as well as the following:
• Procedures in place to monitor, review and recommend adjustments and/or remediation of incorrect payments to employee(s)             
• Procedures in place to remediate complete or partial failure of ACH payroll process
• Procedure in place to claw-back over-payments to employee(s) initiated by business or by HR
• Multiple-party review and multi-layer approvals process in place for discretionary and non-discretionary incentives across all levels and areas of the business
• Procedures in place to handle all regulatory requirements
</v>
      </c>
      <c r="L21" s="8" t="str">
        <f>'MR-37'!$C$6</f>
        <v>$1 - $5 M</v>
      </c>
      <c r="M21" s="8" t="str">
        <f>'MR-37'!$C$7</f>
        <v>$1 - $5 M</v>
      </c>
      <c r="N21" s="8" t="str">
        <f>'MR-37'!$B$10</f>
        <v>We based our analysis on manual entries performed over the last 16-months.   Through this assessment, one event was identified and determined to be material. This item pertained to a sizeable error due to an equity entry for an exiting executive, that resulted in what could have been a $2mm loss.</v>
      </c>
      <c r="O21" s="10"/>
    </row>
    <row r="22" spans="1:15" ht="33.75" customHeight="1" x14ac:dyDescent="0.25">
      <c r="A22" s="7"/>
      <c r="B22" s="7" t="str">
        <f>'Approval and Documentation'!C$4</f>
        <v>Support Functions: IT, Talent Management (HR), and Strategic Operations</v>
      </c>
      <c r="C22" s="7" t="str">
        <f>'Approval and Documentation'!C$6</f>
        <v>Support Functions: IT, Talent Management (HR), and Strategic Operations</v>
      </c>
      <c r="D22" s="8" t="str">
        <f>'MR-38'!$C$1</f>
        <v>Support Functions</v>
      </c>
      <c r="E22" s="11" t="s">
        <v>750</v>
      </c>
      <c r="F22" s="8" t="str">
        <f>'MR-38'!$C$2</f>
        <v>Operational</v>
      </c>
      <c r="G22" s="8" t="str">
        <f>'MR-38'!$C$3</f>
        <v>Workforce Disruption</v>
      </c>
      <c r="H22" s="8" t="str">
        <f>'MR-38'!$C$4</f>
        <v>Business Continuity - DFW Concentration</v>
      </c>
      <c r="I22" s="8" t="str">
        <f>'MR-38'!$A$12</f>
        <v>Concentration risk in DFW area creates a risk that a catastrophic event could disrupt business operations or result in the loss of facilities or damages to physical assets.  
Currently, there are 4 locations in the Dallas Metroplex, including our corporate facility.  Of approximately 3,000 servicing employees, a high majority are in the Dallas Metroplex area with several centralized functional areas in a single location.  As an industry best practice in Business Continuity, Risk believes that the business should have greater geographic and functional diversity in its centers.  Dallas is not appropriate for incremental site given disaster recovery objectives.  SCUSA’s servicing operation is also at capacity in its non-Dallas servicing centers as well as its vendor-based sites.
Proposed additional sites Phoenix and Puerto Rico are being considered and increasing capacity in Denver office to mitigate the concentration in the Dallas area.  In addtion, SCUSA is mitigating our concentration risk with redundant data  center sites in RIchardson, TX and Denver, CO.  We also have redundant capapities in Miami, FL  and Denver, CO.</v>
      </c>
      <c r="J22" s="8">
        <f>'MR-38'!$C$5</f>
        <v>0</v>
      </c>
      <c r="K22" s="8" t="str">
        <f>'MR-38'!$A$9</f>
        <v xml:space="preserve">The facility concentration in the Dallas Metroplex was viewed as an emerging risk and was brought forth to the Executive Management Committee (EMC) and then subsequently to both Board Committee and Board levels over a 7 month period, each of which provided effective challenge and follow up diligence requests.  In addition, independent risk assessments were completed by the Risk Department to identify applicable risks associated with opening a new facilty. To mitigate this risk, new sites are being evaluated to minimize the concentration in the Dallas Metroplex and to replicate servicing functions.  </v>
      </c>
      <c r="L22" s="8" t="str">
        <f>'MR-38'!$C$6</f>
        <v>$5 M - $50 M</v>
      </c>
      <c r="M22" s="8" t="str">
        <f>'MR-38'!$C$7</f>
        <v>$50 M - $250 M</v>
      </c>
      <c r="N22" s="8" t="str">
        <f>'MR-38'!$B$10</f>
        <v xml:space="preserve">Currently, there are 4 locations in the Dallas Metroplex, including our corporate facility.  Of approximately 3,000 servicing employees, a high majority are in the Dallas Metroplex area with several key centralized functional areas in a single location.  Loss of this facility or key personnel would result in loss of productivity, increase regulatory risk and reputational exposure. 
For example, if we were to lose our North Richland Hills (NRH) site, we do not have the capacity in the combination of the remaining domestic sites or the Outsourced sites to maintain the inbound and outbound call volume.  NRH has over 1,200 Servicing employees, approximately 800 of which are Customer Service and Collection agents.  These 800 Customer Service and Collection agents represent one third of the total agents in those groups.  If those resources were not available for an extended period of time the impact would come in the form of:
- Additional overtime in the remaining sites
- Additional resources at the Outsource providers
- Transportation of existing NRH resources to other locations
- Purchase of equipment to accommodate resources in other locations
We launch more than 12,000,000 phone calls a month and receive over 2,000,000 more.  If a third of those calls were not made or went unanswered it could result in higher delinquency and loss.  If the blended average balance of accounts is approximately $16,000 it would only take less than 320 accounts of additional loss to hit the 5 million mark. 
In addition, there are specialty functions in NRH that would require the redirection of employees, mail and equipment to another facility.  Bankruptcy, Titles, Impounds, and Insurance are 4 large specialty groups that are impacted by the timing of processes and if we fail to act in a timely manner we lose money:
- BK Proof of claims not filed on time
- BK court dates are missed
- Title releases are not processed in a timely manner result in fines and penalties
- Impound Claims notices go unprocessed and liens are lost
- Insurance total loss and repair claims are not filed
If the blended average balance of accounts is approximately $16,000 it would only take less than 320 accounts to hit the 5 million mark.
</v>
      </c>
      <c r="O22" s="10"/>
    </row>
    <row r="23" spans="1:15" ht="33.75" customHeight="1" x14ac:dyDescent="0.25">
      <c r="A23" s="7"/>
      <c r="B23" s="7" t="str">
        <f>'Approval and Documentation'!C$4</f>
        <v>Support Functions: IT, Talent Management (HR), and Strategic Operations</v>
      </c>
      <c r="C23" s="7" t="str">
        <f>'Approval and Documentation'!C$6</f>
        <v>Support Functions: IT, Talent Management (HR), and Strategic Operations</v>
      </c>
      <c r="D23" s="8" t="str">
        <f>'MR-39'!$C$1</f>
        <v>SCUSA</v>
      </c>
      <c r="E23" s="11" t="s">
        <v>751</v>
      </c>
      <c r="F23" s="8" t="str">
        <f>'MR-39'!$C$2</f>
        <v xml:space="preserve">Strategic </v>
      </c>
      <c r="G23" s="8" t="str">
        <f>'MR-39'!$C$3</f>
        <v>Technology</v>
      </c>
      <c r="H23" s="8" t="str">
        <f>'MR-39'!$C$4</f>
        <v>Market Disrupter</v>
      </c>
      <c r="I23" s="8" t="str">
        <f>'MR-39'!$A$12</f>
        <v>SCUSA operates in a competitive environment, and is subject to heavy regulation.  In similar industry situations, competitive pressure has resulted in revolutionary changes for companies that can exploit technology and find opportunities to revolutionize the way an industry conducts business.  For example, UBER has transformed the taxi cab industry, Netflix and Redbox have nearly eliminated brick and mortar movie rental companies, and Apple recently released their Apple Pay product.  In the past, technology has appeared that has changed the way that SCUSA operates; for example, Electronic Titles, Automated Dialers, etc.  There are several text messaging and communication tools, as well as mobile device applications which improve business.  SCUSA is just starting to enter econtracting, which has the potential to be an industry changer or moderately shift the regulatory landscape, but isn't expected to have the revolutionary impact seen in the industries mentioned above.  SCUSA needs to continue to investigate for opportunities and scan the horizon to find opportunities to capitalize on potential competitive advantages.  
Over the next 12-months, technology shifts are expected to have little impact on SCUSA.  At some point within the next 10-years a company could develop some technology or program which could have significant impacts to consumer preference, mitigating regulatory risks, and SCUSA scalability.  If such a product is adopted by consumers, it may result in changes to the competitive landscape, business economics, or market conditions requiring SCUSA to rapidly change it's business strategies potentially resulting in loss of business, or increased costs.
Estimated impacts are difficult to quantify due to the wide range of potential implications, however at a minimum, a significant project and resources would need to be assembled to adapt, and SCUSA could see a loss of market share if it finds itself in a situation where it has to adapt to catch up.  A revolutionary change could impact the business in the range of $5MM-50MM</v>
      </c>
      <c r="J23" s="8">
        <f>'MR-39'!$C$5</f>
        <v>0</v>
      </c>
      <c r="K23" s="8" t="str">
        <f>'MR-39'!$A$9</f>
        <v>SCUSA complaint monitoring - used to identify opportunities to improve business processes
Audit Findings can expose weaknesses, which help push the business to identify automated solutions to reduce the likelihood of regulatory violations
Attending conferences to learn about new and emerging technologies</v>
      </c>
      <c r="L23" s="8" t="str">
        <f>'MR-39'!$C$6</f>
        <v>$1 - $5 M</v>
      </c>
      <c r="M23" s="8" t="str">
        <f>'MR-39'!$C$7</f>
        <v>$5 M - $50 M</v>
      </c>
      <c r="N23" s="8" t="str">
        <f>'MR-39'!$B$10</f>
        <v>Annual expected loss estimate is based on the assumption that multiple projects will have to be implemented in the next 12 months to keep up with moderate changes to the industry.  
Stressed financial impact is based on an assumed game-changer in the industry, considering potential loss of market share and demands to implement new technology to keep pace with the industry.</v>
      </c>
      <c r="O23" s="10"/>
    </row>
    <row r="24" spans="1:15" ht="33.75" customHeight="1" x14ac:dyDescent="0.25">
      <c r="A24" s="7"/>
      <c r="B24" s="7" t="str">
        <f>'Approval and Documentation'!C$4</f>
        <v>Support Functions: IT, Talent Management (HR), and Strategic Operations</v>
      </c>
      <c r="C24" s="7" t="str">
        <f>'Approval and Documentation'!C$6</f>
        <v>Support Functions: IT, Talent Management (HR), and Strategic Operations</v>
      </c>
      <c r="D24" s="8" t="str">
        <f>'MR-40'!$C$1</f>
        <v>Support Functions</v>
      </c>
      <c r="E24" s="11" t="s">
        <v>752</v>
      </c>
      <c r="F24" s="8" t="str">
        <f>'MR-40'!$C$2</f>
        <v>Operational</v>
      </c>
      <c r="G24" s="8" t="str">
        <f>'MR-40'!$C$3</f>
        <v>Inaccurate Financial Reporting</v>
      </c>
      <c r="H24" s="8" t="str">
        <f>'MR-40'!$C$4</f>
        <v>Financial Reporting Errors</v>
      </c>
      <c r="I24" s="8" t="str">
        <f>'MR-40'!$A$12</f>
        <v>Errors in financial or regulatory reporting may result in regulatory violations, reputational exposure, and potential fines / penalties.
The Company does extensive reporting to external parties (e.g., servicer certificate reporting, GAAP public financial statement reporting, regulatory reporting to the Federal Reserve, and tax returns) as well as reporting to internal parties for use in making decisions.  A financial reporting error that must be corrected through a restatement of previously issued public financial statements would likely have a large negative impact on stock price and the Company's reputation, making investors less likely to provide equity and/or debt financing in the future.  Inaccurate regulatory reporting could lead to adverse actions by the Federal Reserve such as further restrictions on activities. A tax return error could incur significant penalties and interest from the IRS or state taxing authorities.  Internal reporting errors could lead to poorly informed business investment decisions, costing the Company lost profits. Because of the potentially material consequences of a reporting error, the Company has an extensive suite of controls designed to prevent material misstatements.  Although a material weakness in internal control over financial reporting was recently assessed, there was no associated financial statement error and management believes that its controls are adequate to prevent material errors.</v>
      </c>
      <c r="J24" s="8" t="str">
        <f>'MR-40'!$C$5</f>
        <v>Consumer Confidence (Down)</v>
      </c>
      <c r="K24" s="8" t="str">
        <f>'MR-40'!$A$9</f>
        <v>Accounting has in place standard spreadsheet controls over all spreadsheets identified as key to any financial reporting process. These standard controls represent all seven "end user computing" (EUC) categories: change control, version control, access control, input &amp; security control, logic inspection, backups/recovery, and archiving. Additionally, Accounting is implementing more advanced spreadsheet management controls using outside vendor ClusterSeven.  As all spreadsheets are prone to human error, management also conducts a manual review of the key outputs of spreadsheets for reasonableness.  In addition to spreadsheet controls, the Company has many controls around financial reporting in an effort to ensure material accuracy. These controls include automated data feeds, reconciliations, fluctuation analysis, documentation of the accounting treatment of new or unusual transactions, inquiry of executives to ensure material events are captured in the financial statements, management and various committees' review of the financial statements and disclosures, task and disclosure checklists (to ensure completeness), journal entry review, and system limitations preventing individuals from posting entries over their approval limit and preventing entries from being posted to closed periods.</v>
      </c>
      <c r="L24" s="8" t="str">
        <f>'MR-40'!$C$6</f>
        <v>$1 - $5 M</v>
      </c>
      <c r="M24" s="8" t="str">
        <f>'MR-40'!$C$7</f>
        <v>$5 M - $50 M</v>
      </c>
      <c r="N24" s="8" t="str">
        <f>'MR-40'!$B$10</f>
        <v>SCUSA has never had a material misstatement in its financial statements.  However, it has had several immaterial misstatements, and currently has one material weakness in internal control over financial reporting. The cost of restating to correct a material misstatement could exceed $1 million in personnel, auditor, legal, and filing costs.  SCUSA has had to refile tax returns to correct preparer errors. The cost of penalties and interest on incorrectly filed tax returns could exceed $5 million. Lost business due to restrictions imposed by the Federal Reserve or reputational damage could cost the Company millions in lost profits.</v>
      </c>
      <c r="O24" s="10"/>
    </row>
    <row r="25" spans="1:15" ht="33.75" customHeight="1" x14ac:dyDescent="0.25">
      <c r="A25" s="7"/>
      <c r="B25" s="7" t="str">
        <f>'Approval and Documentation'!C$4</f>
        <v>Support Functions: IT, Talent Management (HR), and Strategic Operations</v>
      </c>
      <c r="C25" s="7" t="str">
        <f>'Approval and Documentation'!C$6</f>
        <v>Support Functions: IT, Talent Management (HR), and Strategic Operations</v>
      </c>
      <c r="D25" s="8" t="str">
        <f>'MR-41'!$C$1</f>
        <v>Support Functions</v>
      </c>
      <c r="E25" s="11" t="s">
        <v>753</v>
      </c>
      <c r="F25" s="8" t="str">
        <f>'MR-41'!$C$2</f>
        <v>Operational</v>
      </c>
      <c r="G25" s="8" t="str">
        <f>'MR-41'!$C$3</f>
        <v>Non-Compliance with Taxation law and regulation</v>
      </c>
      <c r="H25" s="8" t="str">
        <f>'MR-41'!$C$4</f>
        <v xml:space="preserve">1099 and Indirect Tax Errors </v>
      </c>
      <c r="I25" s="8" t="str">
        <f>'MR-41'!$A$12</f>
        <v>Errors in 1099 or property and sales tax processing may result in financial loss, regulatory violations, reputational exposure, customer remediation, and potential fines / penalties.
Sales and property tax on leased autos is a high volume of low dollar transactions that are passed through to the customer.  These transactions are reviewed in detail on a monthly basis and any necessary modifications are addressed in a timely manner.  It is unlikely that errors in the  area of sales and property tax on leased autos would materially impact the financial statements unless we discontinued passing these through to the customer.  Self assessed use tax and property tax (not leased autos) are typically less than $1MM a year each and unless SCUSA experienced substantial physical growth (new facility) it is unlikely that this exposure would increase substantially in coming years. The Tax Department is responsible for monitoring the 1099 reporting requirements and communicating any changes to Operations and Accounts Payable.  Operations is responsible for identifying the 1099 reportable events for customers.  Accounts Payable is responsible for identifying the 1099 reportable events for vendors and the preparation and filing of  1099s for both customers and vendors. The number of 1099s required to be filed in any year could vary dramatically; however, the penalty for filing of 1099's is capped at $6MM ($3MM for late filing of the taxpayer copy and $3MM for late filing of the IRS copy) per year in years after 2014.</v>
      </c>
      <c r="J25" s="8">
        <f>'MR-41'!$C$5</f>
        <v>0</v>
      </c>
      <c r="K25" s="8" t="str">
        <f>'MR-41'!$A$9</f>
        <v>On a monthly basis, the Tax Department reconciles the lease sales taxes booked by the system against taxes re-calculated and due on a lease level to true up accruals and adjustments (if any) are booked. Supporting documentation is attached and reconciling items are investigated. All reconciliations are reviewed and approved by the Tax Manager, Tax Director and/or VP of Tax who also reviews and approves the resulting adjusting journal entries along with supporting documentation (if applicable).  Lease property tax bills are validated, processed and paid upon receipt from the taxing authority.  Property tax on leased autos is periodically billed to the customers through a non-automated batch process.  Property tax renditions on SCUSA property (not leased autos) are prepared by third party firm specializing in property tax. The population of purchases that may be subject to self assessed use tax is reviewed, use tax is assessed and remitted monthly by the Tax Department.  The Tax Department is responsible for monitoring the 1099 reporting requirements and communicating any changes to Operations and Accounts Payable.  Operations is responsible for identifying the 1099 reportable events for customers.  Accounts Payable is responsible for identifying the 1099 reportable events for vendors and the preparation and filing of  1099s for both customers and vendors.</v>
      </c>
      <c r="L25" s="8" t="str">
        <f>'MR-41'!$C$6</f>
        <v>$1 - $5 M</v>
      </c>
      <c r="M25" s="8" t="str">
        <f>'MR-41'!$C$7</f>
        <v>$5 M - $50 M</v>
      </c>
      <c r="N25" s="8" t="str">
        <f>'MR-41'!$B$10</f>
        <v>For calendar years beginning in 2015 the maximum penalty for erroneous or nonfiled 1099s (without "intentional disregard" of the filing requirements) is $3MM per filer.  This penalty applies to both the copy of the form filed with the IRS and the copy filed with the payee, for a maximum penalty of $6MM per year.  The maximum penalty is applicable at 12,000 Form 1099s.  In practice, the IRS generally does not apply both the penalties under sections 6721 (IRS copy of the form) and 6722 (payee copy of the form), but technically both penalties could apply.  It is assumed that both would apply in the Stressed Financial Impact.  Property tax on SCUSA reportable property (not leased autos) and self assessed use tax are typically both less than $1MM a year each.   Property tax for leased autos, which is passed through to the customer is expected to be $5.5MM for 2015.  Sales tax, which is also passed through to the customer, is expected to be $46MM for 2015.</v>
      </c>
      <c r="O25" s="10"/>
    </row>
    <row r="26" spans="1:15" ht="33.75" customHeight="1" x14ac:dyDescent="0.25">
      <c r="A26" s="7"/>
      <c r="B26" s="7" t="str">
        <f>'Approval and Documentation'!C$4</f>
        <v>Support Functions: IT, Talent Management (HR), and Strategic Operations</v>
      </c>
      <c r="C26" s="7" t="str">
        <f>'Approval and Documentation'!C$6</f>
        <v>Support Functions: IT, Talent Management (HR), and Strategic Operations</v>
      </c>
      <c r="D26" s="8" t="str">
        <f>'MR-42'!$C$1</f>
        <v>Support Functions</v>
      </c>
      <c r="E26" s="11" t="s">
        <v>754</v>
      </c>
      <c r="F26" s="8" t="str">
        <f>'MR-42'!$C$2</f>
        <v>Operational</v>
      </c>
      <c r="G26" s="8" t="str">
        <f>'MR-42'!$C$3</f>
        <v>Non-Compliance with Taxation law and regulation</v>
      </c>
      <c r="H26" s="8" t="str">
        <f>'MR-42'!$C$4</f>
        <v>Tax Errors</v>
      </c>
      <c r="I26" s="8" t="str">
        <f>'MR-42'!$A$12</f>
        <v>Errors in tax filing process may result in financial loss, regulatory violations, reputational exposure, and potential fines / penalties.
The risk that there are errors in income tax  filings that would have a material impact on the financial statements is fairly small.  Most differences between GAAP net income and taxable income are temporary in nature.   Errors related to these temporary items would result in a difference in the year in which something was reported for tax purposes vs. book purposes.  The timing of this reporting could generate penalties and interest for any given year, but throughout time, the overall tax liability would be the same.  Errors in the reporting of permanent items would have an impact on the overall tax liability.  Permanent items, exclusive of the electric vehicle tax credit, are typically less than $10MM a year pre tax ($3.7MM after tax), which would not be material to the financial statements.  Federal and state income tax returns are prepared and signed by a third party accounting firm.  These returns are reviewed by SCUSA prior to being signed by the CFO and filed with the appropriate jurisdiction.</v>
      </c>
      <c r="J26" s="8">
        <f>'MR-42'!$C$5</f>
        <v>0</v>
      </c>
      <c r="K26" s="8" t="str">
        <f>'MR-42'!$A$9</f>
        <v>Federal and State income tax returns are prepared and signed by a third party.  These returns, along with the documentation supporting the calculations within, are reviewed by the Vice President of Tax and/or Director of Tax prior to being signed by the CFO and filed with the appropriate taxing authority.</v>
      </c>
      <c r="L26" s="8" t="str">
        <f>'MR-42'!$C$6</f>
        <v>$1 - $5 M</v>
      </c>
      <c r="M26" s="8" t="str">
        <f>'MR-42'!$C$7</f>
        <v>$5 M - $50 M</v>
      </c>
      <c r="N26" s="8" t="str">
        <f>'MR-42'!$B$10</f>
        <v>From a tax perspective, most potential errors will result in a timing difference.  These timing differences may generate penalties and interest, but throughout time, should not increase overall tax liability.  The only items that would impact overall tax liability are permanent differences.  Permanent differences are typically between $3MM and $10MM a year, pre-tax.  This equates to a tax liability of $1MM to $3.7MM a year, assuming an effective tax rate of 37%. This does not include the permanent benefit from the electric vehicle tax credit, which is estimated to be $35-$40MM in 2015.  Tax related penalties and interest were under $1MM in 2014 and are expected to be $8MM in 2015.  It is assumed that future years will be within this range.  It is estimated that total worst case scenario exposure would range between $37MM and $52MM.</v>
      </c>
      <c r="O26" s="10"/>
    </row>
    <row r="27" spans="1:15" ht="33.75" customHeight="1" x14ac:dyDescent="0.25">
      <c r="A27" s="7"/>
      <c r="B27" s="7" t="str">
        <f>'Approval and Documentation'!C$4</f>
        <v>Support Functions: IT, Talent Management (HR), and Strategic Operations</v>
      </c>
      <c r="C27" s="7" t="str">
        <f>'Approval and Documentation'!C$6</f>
        <v>Support Functions: IT, Talent Management (HR), and Strategic Operations</v>
      </c>
      <c r="D27" s="8" t="str">
        <f>'MR-43'!$C$1</f>
        <v>Support Functions</v>
      </c>
      <c r="E27" s="11" t="s">
        <v>755</v>
      </c>
      <c r="F27" s="8" t="str">
        <f>'MR-43'!$C$2</f>
        <v>Operational</v>
      </c>
      <c r="G27" s="8" t="str">
        <f>'MR-43'!$C$3</f>
        <v>Inadequate Management of Suppliers/Vendors</v>
      </c>
      <c r="H27" s="8" t="str">
        <f>'MR-43'!$C$4</f>
        <v xml:space="preserve">Third Party Invoice Amounts </v>
      </c>
      <c r="I27" s="8" t="str">
        <f>'MR-43'!$A$12</f>
        <v>Risk of loss resulting from Inadequate Management of Suppliers and Vendors is deemed to have substantial controls in place to mitigate this risk.  The controls in place include automated process, reducing amount of manual intervention, human error and fraud.  SUCSA has tiered review and approval process for all invoices, payments, vendor setup, Securitization Distributions and Journal Entries.  Significant errors or issues would also surface during the accounting close and reporting process, including account reconciliation and account analysis.  As such the annual Expected Loss is determined to be $1 - $5M and a Stressed Financial Impact of $5 - $50M would be driven by significant errors remaining undetected for an extended period of time, or thru a fraud event continuing over a longer period of time - see IR-66.</v>
      </c>
      <c r="J27" s="8">
        <f>'MR-43'!$C$5</f>
        <v>0</v>
      </c>
      <c r="K27" s="8" t="str">
        <f>'MR-43'!$A$9</f>
        <v>SCUSA has a robust vendor management process and segregated department responsible for the approval of all vendors.  There are also controls in place around the Accounts Payable systems (Catalyst) including access controls, automatic payments, and approval limits (DOA), along with business and back office approval requirements and documented signoff on all check payments.  Vendor managers perform reconciliation of vendor invoices.
In regards to risk of error in securitization process, resulting in errors in distributions to issuer's noteholders resulting in a financial loss, SCUSA has automated processes and Robust review in the preparation of the servicer certificates.  those certificates are again reviewed by the Accounting team as the entries are prepared, reviewed and recorded in the General Ledger.  This is followed by subsequent review of the financial statements, not only by the accounting team, but by management and the business.  Account Reconciliations, Bank Reconciliations, and Account Analysis are all performed which would detect any significant issues as a result of Spreadsheet errors.</v>
      </c>
      <c r="L27" s="8" t="str">
        <f>'MR-43'!$C$6</f>
        <v>$1 - $5 M</v>
      </c>
      <c r="M27" s="8" t="str">
        <f>'MR-43'!$C$7</f>
        <v>$5 M - $50 M</v>
      </c>
      <c r="N27" s="8" t="str">
        <f>'MR-43'!$B$10</f>
        <v xml:space="preserve">Assessment of controls in place and automation of process.  In regards to Vendor processing and payment, given the controls in place, and the oversight, review and controls  in SCUSA's Accounting and Reporting Processes,  to reach the thresholds noted above, it would require a substantial amount of small dollar occurrences that went undetected over a lengthy period of time.  In regards to Securitization process, it would require a significant error in the spreadsheets going undetected thru the preparation and review process and then again thru the Journal Entry preparation, review and posting process along with the reconciliation process to drive a significant error in the distributions. 
Stressed Impact amount is driven by risk of spreadsheet error in the Distributions to issuer's noteholders.  As an error in this process could result in misstating performance of the SDART program.  Impact would be reputational, cost of correcting and potential penalties.  To reach the stressed level of impact it would likely require these errors to go undetected for a significant period of time.    </v>
      </c>
      <c r="O27" s="10"/>
    </row>
    <row r="28" spans="1:15" ht="33.75" customHeight="1" x14ac:dyDescent="0.25">
      <c r="A28" s="7"/>
      <c r="B28" s="7" t="str">
        <f>'Approval and Documentation'!C$4</f>
        <v>Support Functions: IT, Talent Management (HR), and Strategic Operations</v>
      </c>
      <c r="C28" s="7" t="str">
        <f>'Approval and Documentation'!C$6</f>
        <v>Support Functions: IT, Talent Management (HR), and Strategic Operations</v>
      </c>
      <c r="D28" s="8" t="str">
        <f>'MR-44'!$C$1</f>
        <v>Support Functions</v>
      </c>
      <c r="E28" s="11" t="s">
        <v>756</v>
      </c>
      <c r="F28" s="8" t="str">
        <f>'MR-44'!$C$2</f>
        <v>Operational</v>
      </c>
      <c r="G28" s="8" t="str">
        <f>'MR-44'!$C$3</f>
        <v>Transaction Capture and Input Errors</v>
      </c>
      <c r="H28" s="8" t="str">
        <f>'MR-44'!$C$4</f>
        <v>Errors in Pooled Assets</v>
      </c>
      <c r="I28" s="8" t="str">
        <f>'MR-44'!$A$12</f>
        <v xml:space="preserve">Errors in pool/loan level data submitted to investors may result in financial loss, regulatory violations, reputational exposure, and potential fines / penalties.
All financings require varying levels of reporting and occasionally unique data points.  Consistent reporting errors, even though corrected upon identification, could lead to a loss of confidence by investors resulting in an increase in funding costs or worse yet, a decrease in investor appetite.  For example, certain reports such as Loss and Delinquency tables are compiled on an origination channel basis. Having a full understanding of how these channels fit into our financings is critical to data being accurately prepared.  The automation of the reporting and locking down of prior period numbers are important recent advances that limit the exposure to manual error. The implementation of the Lewtan system, given the checks and balances within the system including data integrity and validation tests, also will mitigate potential reporting errors.      </v>
      </c>
      <c r="J28" s="8" t="str">
        <f>'MR-44'!$C$5</f>
        <v>Consumer Confidence (Down)</v>
      </c>
      <c r="K28" s="8" t="str">
        <f>'MR-44'!$A$9</f>
        <v xml:space="preserve">Financial Analytics has put in place a reporting module that mines the SCUSA database for the relevant pool and transaction information and creates the data spreadsheet, thereby minimizing the risk of human error. Because the data comes from the same system that is used in creating each monthly Servicer Report, the risk of error is greatly minimized.  The Securitization Reporting group also performs a review for data reasonableness, including a check of the summary tab back to certificates prepared by the group.  So as to reduce the amount of data being validated, all prior months' previously validated data will be locked and not recalculated, thereby only requiring the current month to be validated. Furthermore, it is expected that the implementation of the Lewtan system which includes a checks and balances process will provide system validation checks that will minimize potential human error. </v>
      </c>
      <c r="L28" s="8" t="str">
        <f>'MR-44'!$C$6</f>
        <v>$1 - $5 M</v>
      </c>
      <c r="M28" s="8" t="str">
        <f>'MR-44'!$C$7</f>
        <v>$5 M - $50 M</v>
      </c>
      <c r="N28" s="8" t="str">
        <f>'MR-44'!$B$10</f>
        <v xml:space="preserve">SCUSA currently issues approximately $9 billion in public and 144A transactions annually. The view is that up to 5bp in relative investor appetite might be attributable to inaccuracies in the summary of pool performance that we publish monthly. Should a situation exist where we were consistently unable to report correctly, the cost would likely be somewhat more, thereby increasing the risk. It is considered to be highly unlikely that the spread impact could be more than 50bp per annum.  </v>
      </c>
      <c r="O28" s="10"/>
    </row>
    <row r="29" spans="1:15" ht="33.75" customHeight="1" x14ac:dyDescent="0.25">
      <c r="A29" s="7"/>
      <c r="B29" s="7" t="str">
        <f>'Approval and Documentation'!C$4</f>
        <v>Support Functions: IT, Talent Management (HR), and Strategic Operations</v>
      </c>
      <c r="C29" s="7" t="str">
        <f>'Approval and Documentation'!C$6</f>
        <v>Support Functions: IT, Talent Management (HR), and Strategic Operations</v>
      </c>
      <c r="D29" s="8" t="str">
        <f>'MR-46'!$C$1</f>
        <v>Support Functions</v>
      </c>
      <c r="E29" s="11" t="s">
        <v>869</v>
      </c>
      <c r="F29" s="8" t="str">
        <f>'MR-45'!$C$2</f>
        <v>Operational</v>
      </c>
      <c r="G29" s="8" t="str">
        <f>'MR-45'!$C$3</f>
        <v>Failure to Meet Contractual Terms (written or implied)</v>
      </c>
      <c r="H29" s="8" t="str">
        <f>'MR-45'!$C$4</f>
        <v>Buy Backs</v>
      </c>
      <c r="I29" s="8" t="str">
        <f>'MR-45'!$A$12</f>
        <v xml:space="preserve">The risk here is twofold: 1) we are required to buy back loans that do not meet the representations and warranties of the underlying financing identified by either a) SCUSA (aggregate average of ~$35 million per month for all financings, typically assets not originated/acquired under customary practices which could be evidenced by items including early pay defaults and vehicles missing equipment triggered by dealers 'power booking') or b) an investor (none to date) or 2) we do not properly identify the loans that should have been repurchased (to date, in aggregate, less than $1 million of roughly &gt; $30 billion of outstanding securitizations); both could pose financial and reputational risks.  
All financings include specific eligibility criteria on a loan by loan basis such as: originated or acquired in accordance with SCUSA's customary practices, maximum term or interest rate.  If a loan falls outside this criteria, it is possible that SCUSA would be required to repurchase it.  This eligibility is identified and assessed initially and on an ongoing basis.  It is essential that eligibility/repurchase criteria is properly identified at the closing and monitored ongoing.  
If we were to be found in breach of our repurchase obligations, aside from potential legal action and the requirement to repurchase assets, this could lead to a liquidity issue, a crisis of confidence by investors resulting in an increase in funding costs or a decrease in investor appetite. 
Adequate controls are currently in place to mitigate these risks and the implementation of formal policies and procedures are in process of completion.   Given increased regulatory requirements and the implementation of the Lewtan system, we expect the repurchase process will be more robust going forward. </v>
      </c>
      <c r="J29" s="8">
        <f>'MR-45'!$C$5</f>
        <v>0</v>
      </c>
      <c r="K29" s="8" t="str">
        <f>'MR-45'!$A$9</f>
        <v xml:space="preserve">Financial Analytics applies criteria on the SCUSA database that determines initial and continued eligibility of the assets for each financing on a loan by loan basis.  In most cases, this criteria is platform or funding specific and is based on the underlying documentation for each financing which is generally consistent across all platforms.  Should a loan no longer be eligible for a specific platform or financing, it will be identified via a monthly report issued by Financial Analytics to Treasury, Securitization Reporting and Capital Markets.  Securitization Reporting or Capital Markets performs a high level reasonableness assessment of the reasons why the loan(s) were identified and, upon its review, provides its approval to either repurchase the identified loan(s) or leave the loan(s) in the respective financing.  Since the data comes from the same system that is used to 1) identify the loans and the loan characteristics in each platform and 2) create each monthly Servicer Report, we have no reason to believe the loan population is not accurately reflected.  In addition, Capital Markets, Securitization Reporting, Treasury and Financial Analytics as well as Originations and Servicing, are working together to formalize the process for the initial and ongoing identification of the repurchase criteria, including processes that will make the identification of the repurchase requirements more robust initially at closing which will provide a better understanding of the required criteria and their respective data points amongst all departments.  This will also be reinforced via the implementation of the Lewtan system which includes a checks and balances process and compliance with Reg AB II in which we envision the process will have increased input and oversight from various SCUSA departments, including among others, Capital Markets, Securitization Reporting, Treasury, Financial Analytics, Originations, Servicing and Legal. 
Note i) identification for loans potentially subject to repurchase is reviewed at a point in time, therefore there is potential that some loans would/would not meet repurchase criteria if the review was done before or after the date the report for review was generated and ii) repurchase criteria could be subject to interpretation and/or materiality.   </v>
      </c>
      <c r="L29" s="8" t="str">
        <f>'MR-45'!$C$6</f>
        <v>$1 - $5 M</v>
      </c>
      <c r="M29" s="8" t="str">
        <f>'MR-45'!$C$7</f>
        <v>$5 M - $50 M</v>
      </c>
      <c r="N29" s="8" t="str">
        <f>'MR-45'!$B$10</f>
        <v xml:space="preserve">Over the last year the monthly average of repurchases in the ordinary course of business was 12bps (~ $35 million / ~ $30 million of securitizations outstanding) which is within historical levels.
 To date, in aggregate, less than 1bp of loans were not identified for repurchase that should have been ($1 million/ ~30 billion = .000033).
If a liquidity event were to exist, it could be difficult to satisfy this requirement for a few months before stability measures could be implemented.  The financial impact of such a scenario on base and stressed cases is dependent on the interest rate charged to borrow the full amount (ie. annual: $35 million per month * 12 * [8%] = ~$34 million).  </v>
      </c>
      <c r="O29" s="10"/>
    </row>
    <row r="30" spans="1:15" ht="33.75" customHeight="1" x14ac:dyDescent="0.25">
      <c r="A30" s="7"/>
      <c r="B30" s="7" t="str">
        <f>'Approval and Documentation'!C$4</f>
        <v>Support Functions: IT, Talent Management (HR), and Strategic Operations</v>
      </c>
      <c r="C30" s="7" t="str">
        <f>'Approval and Documentation'!C$6</f>
        <v>Support Functions: IT, Talent Management (HR), and Strategic Operations</v>
      </c>
      <c r="D30" s="8" t="str">
        <f>'MR-46'!$C$1</f>
        <v>Support Functions</v>
      </c>
      <c r="E30" s="11" t="s">
        <v>757</v>
      </c>
      <c r="F30" s="8" t="str">
        <f>'MR-46'!$C$2</f>
        <v>Liquidity</v>
      </c>
      <c r="G30" s="8" t="str">
        <f>'MR-46'!$C$3</f>
        <v>Wholesale Liabilities</v>
      </c>
      <c r="H30" s="8" t="str">
        <f>'MR-46'!$C$4</f>
        <v>Loss of material funding source or inability to secure new funding sources</v>
      </c>
      <c r="I30" s="8" t="str">
        <f>'MR-46'!$A$12</f>
        <v xml:space="preserve">In order to engage in SCUSA's core business of originating and servicing loan and lease assets, SCUSA requires access to external sources of funding.  Unlike a bank, as a consumer lending company, SCUSA does not have access to core deposits.  As such, SCUSA's funding sources are primarily obtained through access to the capital markets in the form of asset-backed securities, private amortizing facilities and warehouse lines of credit.  With a limited supply to the types of funding that SCUSA is able to utilize, the potential loss of any material source of funding could result in a negative financial impact for SCUSA in the form of lost capacity to originate new assets or an increase in the cost of funds charged to SCUSA for borrowed funds.  When assessing SCUSA's funding sources, the risk of loss for a material funding source could be experienced in a number of ways including the following:  
- SCUSA is the largest issuer of ABS supported by subprime collateral as well as an issuer of prime collateral ABS.  Approximately 60% of SCUSA's business is funding through the use of securitizations.  If investor's appetite to purchase auto ABS were to dissipate, SCUSA would be need to replace a substantial source of funding.  
- At present, SCUSA is reliant on flow partners to purchase prime assets.  As these partners purchase the assets, SCUSA receives proceeds from the sales and is able to pay down other liabilities to free up funding for future originations.  If SCUSA's flow partners were to no longer want to invest in the Company's originated assets, the assets would remain on SCUSA's balance sheet and funding would not be freed up for future loan originations.  
- Outside of funding received through the securitization markets, SCUSA's other primary source of funding is banks that extend the Company secured and unsecured warehouse lines of credit.  For the secured warehouse lines of credit, SCUSA will pledge newly originated assets in order to draw down on the credit lines extended to the Company.  For unsecured warehouse lines of credit, SCUSA will draw down on the lines, without the need to pledge collateral, in order to receive incremental funding.  While SCUSA is well diversified in its warehouse lenders, it is possible that as the warehouse lines come up for renewal, the lenders may choose not to renew the lines either due to the lender's internal lending limits (e.g., lender can't be overly exposed to any single counterparty) or due to a choice not to continue the relationship with SCUSA.  Loss of either a large warehouse lenders or a variety of smaller lenders would limit SCUSA's ability to fund assets in future periods.  
- While the loss of securitization market, flow partners, or warehouse lines could be driven by internal decisions or circumstances at the various lenders, it is possible that a negative shift in the macro economic environment could also result in the loss of a material source of funding for SCUSA.  Declines in economic conditions could lead to a loss in the market risk appetite for collateral backed investments, especially those backed by subprime collateral.  Additionally stressed environments could lead to situations where creditors reduce the credit that they are willing to extend to clients or no longer have an appetite to purchase loans.  
As discussed above, the loss of a material funding source or the inability to secure new funding sources would result in the loss of future revenues, as SCUSA would be unable to originate new assets, in addition to an increase in interest expense as the Company was forced to "pay up" in the market for any new funding.  SCUSA has implemented a series of controls (discussed above) to help mitigate this risk, which include monitoring concentrations to lenders to ensure that the Company is not over reliant on any one lender as well as the Company's strategy of incurring higher expenses in order to maintain access to committed lines of credit and a large number of lenders.  </v>
      </c>
      <c r="J30" s="8">
        <f>'MR-46'!$C$5</f>
        <v>0</v>
      </c>
      <c r="K30" s="8" t="str">
        <f>'MR-46'!$A$9</f>
        <v xml:space="preserve">Bank concentrations are monitored and maintained within liquidity policy guidelines.  These guidelines also establish target minimum number of external credit providers.  Bond spreads represent a KRI and under constant focus in corporate finance areas of the company.  This key market indicator is published weekly by capital markets and reflected in dashboard reporting.  Funding capacity, including flow partnerships, remains a key component of liquidity policy with minimum thresholds established and KRI’s established to alert the company to trends and pending or potential shortfall.  Facility maturities are also closely monitored to provide timing on potential commitment runoff.  
These limits and thresholds were established subsequent to the prior financial crisis when the company relied heavily on parent funding and had only limited (1 or 2) external credit providers.  The limits and KRI’s have not been tested through an actual economic downturn.
</v>
      </c>
      <c r="L30" s="8" t="str">
        <f>'MR-46'!$C$6</f>
        <v>$5 M - $50 M</v>
      </c>
      <c r="M30" s="8" t="str">
        <f>'MR-46'!$C$7</f>
        <v>$5 M - $50 M</v>
      </c>
      <c r="N30" s="8" t="str">
        <f>'MR-46'!$B$10</f>
        <v>Because of the volumes of production and levels of financing regularly executed by the business, financial impact could be experienced in several forms.  Unexpected use of unsecured financing would raise the marginal cost of borrowing up to 250 bps.  The $5M annualized threshold would be met on $200M of production.  Loss of flow partnerships could reduce competitive pricing creating the need to sell at unanticipated levels to maintain production capacity ($500MM sold at 5% loss - $25MM/mo).  This monthly loss would not annualize due to reductions in production once losses materialize.  Changes in capital markets execution such as contraction of subordinate bond appetite could create the need for extensive additional unsecured capacity and usage in order to securitize production (example would be the AAA only issuance of Q1 2010 and the requirement for the company to finance approximately 30% of the overcollateralization).</v>
      </c>
      <c r="O30" s="10"/>
    </row>
    <row r="31" spans="1:15" ht="33.75" customHeight="1" x14ac:dyDescent="0.25">
      <c r="A31" s="7"/>
      <c r="B31" s="7" t="str">
        <f>'Approval and Documentation'!C$4</f>
        <v>Support Functions: IT, Talent Management (HR), and Strategic Operations</v>
      </c>
      <c r="C31" s="7" t="str">
        <f>'Approval and Documentation'!C$6</f>
        <v>Support Functions: IT, Talent Management (HR), and Strategic Operations</v>
      </c>
      <c r="D31" s="8" t="str">
        <f>'MR-47'!$C$1</f>
        <v>Support Functions</v>
      </c>
      <c r="E31" s="11" t="s">
        <v>758</v>
      </c>
      <c r="F31" s="8" t="str">
        <f>'MR-47'!$C$2</f>
        <v>Compliance</v>
      </c>
      <c r="G31" s="8" t="str">
        <f>'MR-47'!$C$3</f>
        <v>Securities, Insurance and Other Financial Services Laws/Regulations</v>
      </c>
      <c r="H31" s="8" t="str">
        <f>'MR-47'!$C$4</f>
        <v>Insufficient CCAR submission / capital plan / stress test results</v>
      </c>
      <c r="I31" s="8" t="str">
        <f>'MR-47'!$A$12</f>
        <v xml:space="preserve">The risk associated to receiving an objection to the SHUSA CCAR submission is a direct result of SCUSA's ownership structure, whereby, the Company is 70% owned by a Bank Holding Company.  Due to this ownership, SCUSA is required to provide the information necessary for SHUSA to effectively complete the annual CCAR submission.  As such, SCUSA's processes related to forecasting its financial position, including models, systems, data and controls, must meet the regulatory expectations for a CCAR BHC.  In both 2014 and 2015, the holding company has received an objection to their Capital Plan / CCAR submission, as well as a large number of regulatory concerns that require immediate attention.  As such, the current regulatory risk, as it relates to CCAR, is considered to be high for the BHC and any subsidiaries.  Based on the number of regulatory findings included in the FRB's response to last year's submission, the possibility of another objection to the BHC's capital plan remains high.   
Based on current rules / guidance from the Federal Reserve, failure of a Bank Holding Company's CCAR submission does not carry with it any direct fines or penalties.  Regulators are able to restrict or eliminate capital distributions and impose restrictions on growth.  Additionally, institutions that receive objections to their CCAR submissions are perceived as (qualitatively) riskier by market participants.  As such, failure could result in reputational impact and negative market views that can be measured in reduced market valuation caused by declines in the stock price.   This result however will not directly impact the Company's bottom line, although a large enough impairment on SCUSA stock could impact the BHC's investment in the Company.  Additionally, the CCAR objection could result in reputational damage for SCUSA.  This could impact SCUSA's ability to receive funding in the capital markets, if lenders were concerned with the CCAR results.   Impact could include loss of lenders, inability to find new lenders, or an increase in the cost of funds on SCUSA's borrowings.  While a financial impact might be realized, trying to quantify this 2nd order impact becomes difficult.      
Direct impact to earnings for the Company are generally more associated to the issues identified by regulators that require immediate attention and create the need to devote resources (staff and systems) to those items.  In 2014, severe issues with SHUSA's oversight of SCUSA and SCUSA's limited resources devoted to CCAR activities prompted the Company to build out an entire team dedicated to the BHC's CCAR efforts. Approximately 20 resources were either internally or externally sourced to fill this void.  Upon evaluation of the CCAR team in 2015, roles for an additional 3 resources directly associated to CCAR efforts were identified.  More broadly however, resources needed to address continued regulatory concerns across the Company (either directly or indirectly related to CCAR concepts) were identified in Risk Management, Finance and IT, resulting in increased salary expense for these new hires.  Outside of direct hires, additional internal resources are required to contribute to CCAR initiatives, outside of normal business activities, resulting in opportunity costs that are difficult to measure, but will clearly have an impact on losses to profitability.  In addition to staff resources, CCAR objections result in additional expenses in the form of consulting fees and system development / implementation.   
On an annual basis, the stress financial impact should not vary substantially from the base financial impact.  Failing CCAR in any year results in additional costs for staff and systems.  A one-in-ten year stress for failing CCAR may result in additional losses due to extreme deficiencies, complete system overhauls, or massive staff additions.  As such, under stress, the estimated costs for this risk could exceed $5mm, however the impact would likely remain at the lower end of the $5mm - $50mm spectrum.  </v>
      </c>
      <c r="J31" s="8">
        <f>'MR-47'!$C$5</f>
        <v>0</v>
      </c>
      <c r="K31" s="8" t="str">
        <f>'MR-47'!$A$9</f>
        <v xml:space="preserve">Internal controls have been implemented around the key contributing factors in the Company's annual CCAR submission including, for example, model development, forecasting and aggregations, population of reports and regulatory templates, and development of the Capital Plan.  Controls thoroughly cover review and sign-off of the financial information generated in the stress testing process and vetting of the information that is included in the Capital Plan.  Model development work is subject to SHUSA methodologies and submitted for validation to SHUSA's model risk management group.  Edit checks are performed at different stages in the forecasting process to validate numbers.  Information required to generate results as well as the actual results produced for each scenario are subject to review and approval by a series of working groups and Committees.  While SCUSA has made efforts to implement a sound control environment, due to the relative newness of CCAR at SCUSA, many of the controls are manual in nature and testing the effectiveness of the controls has been limited in some situations as the processes used to generate stress test results have continued to evolve.  As such, more work is required in the area of internal controls to more effectively assure quality and accuracy in the Company's CCAR submission. </v>
      </c>
      <c r="L31" s="8" t="str">
        <f>'MR-47'!$C$6</f>
        <v>$1 - $5 M</v>
      </c>
      <c r="M31" s="8" t="str">
        <f>'MR-47'!$C$7</f>
        <v>$5 M - $50 M</v>
      </c>
      <c r="N31" s="8" t="str">
        <f>'MR-47'!$B$10</f>
        <v xml:space="preserve">Any FRB objections to the BHC's CCAR submission financially impact the holding company more than SCUSA, however, as a legal entity operating under the Holding Company, an objection can also have an impact on SCUSA's financials.  
When assessing declines in stock price for some BHC's that have had CCAR issues, stocks dropped on average between 5% and 10% either in anticipation of an objection or after an objection was received (see worksheet "IR-72 market value").  A 10% decline in SCUSA's stock price as of 7/31/2015 results in an ~$866mm decline in SCUSA's market value ($24.18 declines $2.42 per share * 357,783,809 shares outstanding). 
Financial impact created by reputational exposure to a failed CCAR submission is a second order impact that is not easily quantified.  
Financial impact for staff resources includes the following: 
- 2014 - new CCAR team at SCUSA; 20 resources at an average salary of $120,000 for a total cost of $2.4mm per year.  
- 2015 - three additional CCAR team members at an average salary of $120,000 for a total cost of $360K in addition to broader resource / staffing requirements for the entire Company in Risk, Finance and IT costing approximately ~$1mm - $2mm / year.      
Financial impact for systems / IT includes the following: 
- Expense associate to resources captured in estimates above; 
- Historically consultant fees for CCAR have been paid for by SHUSA.  If SCUSA were to assume these costs it could result in ~$1mm - $2mm per year; 
- Current system costs for CCAR related IT initiatives include the Lewtan engagement (~$1mm / year) and Infomatica 
(~$730k / year).  
On any one year, not all expenses would be realized, keeping the estimated impact in the $1mm - $5mm range.  In a stress event, when all the possible expenses were realized in the same year, the estimate could cross into the $5mm - $50mm range, but would remain on the lower end. </v>
      </c>
      <c r="O31" s="10"/>
    </row>
    <row r="32" spans="1:15" ht="33.75" customHeight="1" x14ac:dyDescent="0.25">
      <c r="A32" s="7"/>
      <c r="B32" s="7" t="str">
        <f>'Approval and Documentation'!C$4</f>
        <v>Support Functions: IT, Talent Management (HR), and Strategic Operations</v>
      </c>
      <c r="C32" s="7" t="str">
        <f>'Approval and Documentation'!C$6</f>
        <v>Support Functions: IT, Talent Management (HR), and Strategic Operations</v>
      </c>
      <c r="D32" s="8" t="str">
        <f>'MR-48'!$C$1</f>
        <v>Support Functions</v>
      </c>
      <c r="E32" s="11" t="s">
        <v>759</v>
      </c>
      <c r="F32" s="8" t="str">
        <f>'MR-48'!$C$2</f>
        <v>Operational</v>
      </c>
      <c r="G32" s="8" t="str">
        <f>'MR-48'!$C$3</f>
        <v>Internal Unauthorized Activity acting alone or in collusion with others</v>
      </c>
      <c r="H32" s="8" t="str">
        <f>'MR-48'!$C$4</f>
        <v xml:space="preserve">Internal Fraud </v>
      </c>
      <c r="I32" s="8" t="str">
        <f>'MR-48'!$A$12</f>
        <v>Misappropriation of assets due to risk of Fraud would require the opportunity to commit the Fraud, along with Motivation and rationalization (Fraud Triangle).  The opportunity to commit Fraud within SCUSA is limited by SCUSA's preventative and detective controls.  Up front, SCUSA has processes, including automated systems and review and approval of new vendor approval, invoice approval, setting up new bank accounts and payment approvals, all of which are subject to a tiered dollar Delegation of authority.  Additionally, SCUSA has detective controls including automated processes, account reconciliation, bank reconciliation, journal entry review, account analysis and financial statement review.  Third line defenses include Internal Audit, QC and SOX.  Not to mention external audit.  The Annual Expected Loss and Stressed Financial Impact is based on the likelihood of a material impact, given that SCUSA's business consists of a high volume of low dollar transactions, thus it would require numerous repeated occurrences of fraudulent transactions going undetected.  Given the controls environment, and especially the detective controls in place, including bank reconciliations, account reconciliations, Journal Entry review, account analysis and financial statement review, the dollar threshold that would go undetected over an extended period of time would be low.</v>
      </c>
      <c r="J32" s="8">
        <f>'MR-48'!$C$5</f>
        <v>0</v>
      </c>
      <c r="K32" s="8" t="str">
        <f>'MR-48'!$A$9</f>
        <v>Controls in place to mitigate the risk of fraud thru misappropriation of financial assets include the Approval Process for opening up new bank accounts, Segregation of Duties, Delegation of authority, vendor management and vendor approval process,  Bank Reconciliations, Account reconciliations, Journal entry review and approval, and financial statement review.  Additionally, SCUSA has developed a robust risk training program which includes fraud training.  SCUSA also provides employees with a Fraud Hotline to report any concerns.  SCUSA also has a fraud department which is dedicated to the risk of fraud from external threats.</v>
      </c>
      <c r="L32" s="8" t="str">
        <f>'MR-48'!$C$6</f>
        <v>$1 - $5 M</v>
      </c>
      <c r="M32" s="8" t="str">
        <f>'MR-48'!$C$7</f>
        <v>$5 M - $50 M</v>
      </c>
      <c r="N32" s="8" t="str">
        <f>'MR-48'!$B$10</f>
        <v>Fraud Triangle is based on opportunity, motivation and rationalization.  SUCSA utilizes both preventative controls and detective controls to prevent fraud.   SCUSA processes a high volume of Low Dollar transactions.  In order for an event of fraud to occur that would reach the levels noted above, it would need to be short lived and high volume, as the activity would have to have by-passed the preventative controls,  been overlooked or set aside for follow-up in daily preventative controls, only to then be uncovered at month end when subject to SCUSA's detective controls which including, bank reconciliations, journal entry review, account reconciliation, account analysis and financial statement review.  Note that the level of review and approval throughout the process is tiered based on Dollar Amount, thus increasing the amount of scrutiny and oversight as the dollar amount become more significant.
*Note: starts at $5,000 for managers and requires dual approval at $100,000.  Thus maintaining a very low threshold, thus requiring a high frequency of fraudulent transactions to occur undetected to reach a material amount.</v>
      </c>
      <c r="O32" s="10"/>
    </row>
    <row r="33" spans="1:15" ht="33.75" customHeight="1" x14ac:dyDescent="0.25">
      <c r="A33" s="7"/>
      <c r="B33" s="7" t="str">
        <f>'Approval and Documentation'!C$4</f>
        <v>Support Functions: IT, Talent Management (HR), and Strategic Operations</v>
      </c>
      <c r="C33" s="7" t="str">
        <f>'Approval and Documentation'!C$6</f>
        <v>Support Functions: IT, Talent Management (HR), and Strategic Operations</v>
      </c>
      <c r="D33" s="8" t="str">
        <f>'MR-49'!$C$1</f>
        <v>Support Functions</v>
      </c>
      <c r="E33" s="11" t="s">
        <v>760</v>
      </c>
      <c r="F33" s="8" t="str">
        <f>'MR-49'!$C$2</f>
        <v>Operational</v>
      </c>
      <c r="G33" s="8" t="str">
        <f>'MR-49'!$C$3</f>
        <v>Transaction Capture and Input Errors</v>
      </c>
      <c r="H33" s="8" t="str">
        <f>'MR-49'!$C$4</f>
        <v>Spreadsheet Risk</v>
      </c>
      <c r="I33" s="8" t="str">
        <f>'MR-49'!$A$12</f>
        <v xml:space="preserve">Errors in financial, regulatory, and other reporting, which could result in regulatory violations, reputational exposure, and potential fines / penalties.
Because of the extensive use of spreadsheets for aggregating data and computing financial reporting information, the range of possible error types is broad and could impact the accuracy of reporting to external parties (e.g., servicer certificate reporting, GAAP public financial statement reporting, regulatory reporting to the Federal Reserve, and tax returns) as well as reporting to internal parties for use in making decisions.  The worst impact of an error would be an undetected material misstatement that must be corrected through a restatement, which would likely have a large negative impact on stock price and the Company's reputation. One significant input control SCUSA has in place for many (but not all) key spreadsheets is the use of automated feeds to obtain data, thereby minimizing the risk from data entry or other human error. SCUSA also limits access to the drives where key spreadsheets are maintained, and archives files after a specified period of time.  Finally, all key outputs are subject to thorough manual review for reasonableness of the results compared to expectations.  </v>
      </c>
      <c r="J33" s="8" t="str">
        <f>'MR-49'!$C$5</f>
        <v>Consumer Confidence (Down)</v>
      </c>
      <c r="K33" s="8" t="str">
        <f>'MR-49'!$A$9</f>
        <v>Accounting has in place standard spreadsheet controls over all spreadsheets identified as key to any financial reporting process. These standard controls represent all seven "end user computing" (EUC) categories: change control, version control, access control, input &amp; security control, logic inspection, backups/recovery, and archiving. Additionally, Accounting is implementing more advanced spreadsheet management controls using outside vendor ClusterSeven.  As all spreadsheets are prone to human error, management also conducts a manual review of the key outputs of spreadsheets for reasonableness.</v>
      </c>
      <c r="L33" s="8" t="str">
        <f>'MR-49'!$C$6</f>
        <v>$1 - $5 M</v>
      </c>
      <c r="M33" s="8" t="str">
        <f>'MR-49'!$C$7</f>
        <v>$50 M - $250 M</v>
      </c>
      <c r="N33" s="8" t="str">
        <f>'MR-49'!$B$10</f>
        <v>SCUSA has had one material Risk Event related to spreadsheet risk - the erroneous servicer certificates issued in April and May 2014 on SDART 2013-5 allocating all principal payments to one bond class when they should have been split pro rata. The impacted bondholders were made whole through a $71 million capital infusion from SCUSA. The infusion had no income impact other than the cost of funds of the infusion amount as it amortizes over the remaining life of the deals.</v>
      </c>
      <c r="O33" s="10"/>
    </row>
    <row r="34" spans="1:15" ht="33.75" customHeight="1" x14ac:dyDescent="0.25">
      <c r="A34" s="7"/>
      <c r="B34" s="7" t="str">
        <f>'Approval and Documentation'!C$4</f>
        <v>Support Functions: IT, Talent Management (HR), and Strategic Operations</v>
      </c>
      <c r="C34" s="7" t="str">
        <f>'Approval and Documentation'!C$6</f>
        <v>Support Functions: IT, Talent Management (HR), and Strategic Operations</v>
      </c>
      <c r="D34" s="8" t="str">
        <f>'MR-50'!$C$1</f>
        <v>Support Functions</v>
      </c>
      <c r="E34" s="11" t="s">
        <v>761</v>
      </c>
      <c r="F34" s="8" t="str">
        <f>'MR-50'!$C$2</f>
        <v>Market</v>
      </c>
      <c r="G34" s="8" t="str">
        <f>'MR-50'!$C$3</f>
        <v>Interest Rates</v>
      </c>
      <c r="H34" s="8" t="str">
        <f>'MR-50'!$C$4</f>
        <v>Increased Cost of Funds</v>
      </c>
      <c r="I34" s="8" t="str">
        <f>'MR-50'!$A$12</f>
        <v xml:space="preserve">Increased Cost of Funds
Internal or external factors cause SCUSA cost of funds to increase resulting in reduction of overall profitability.   
SCUSA forecasts for interest rate changes based on market generated forward interest rate curves and parent provided assumptions for budgeting exercises.  In the event of sudden interest rate movements, either caused by idiosyncratic drivers such as default pricing, or macroeconomic events, actual interest expense incurred would exceed projections or budget.  The variance to projections or budget would depend on the extent of the rate shock.   Default pricing in borrowing agreements - the automatic interest rates payable should SCUSA as servicer suffer a servicer termination event - is generally LIBOR plus a default spread of 200 - 250bps.  This compares unfavorably to non-default pricing of LIBOR plus a usual spread of 70  - 80 bps (or CP+; CP rates have trailed 1M LIBOR by up to 10bps over the last 5 years).    Unplanned FED rate hikes would have a similar effect on interest rate expense projections and budget if these rate increases were above and beyond expectations.                                                                        </v>
      </c>
      <c r="J34" s="8" t="str">
        <f>'MR-50'!$C$5</f>
        <v>Interest Rates (Up)</v>
      </c>
      <c r="K34" s="8" t="str">
        <f>'MR-50'!$A$9</f>
        <v>Key Interest rates and portfolio performance are monitored in regular dashboards and monthly reporting.  Movements would be identified well in advance.  These limits and thresholds were established subsequent to the prior financial crisis when the company relied heavily on parent funding and had only limited (1 or 2) external credit providers.  The limits and KRI’s have not been tested through an actual economic downturn.</v>
      </c>
      <c r="L34" s="8" t="str">
        <f>'MR-50'!$C$6</f>
        <v>$5 M - $50 M</v>
      </c>
      <c r="M34" s="8" t="str">
        <f>'MR-50'!$C$7</f>
        <v>$50 M - $250 M</v>
      </c>
      <c r="N34" s="8" t="str">
        <f>'MR-50'!$B$10</f>
        <v>Increased interest expense from default levels (+250bps) would breach thresholds at only $200M of financings</v>
      </c>
      <c r="O34" s="10"/>
    </row>
    <row r="35" spans="1:15" ht="33.75" customHeight="1" x14ac:dyDescent="0.25">
      <c r="A35" s="7"/>
      <c r="B35" s="7" t="str">
        <f>'Approval and Documentation'!C$4</f>
        <v>Support Functions: IT, Talent Management (HR), and Strategic Operations</v>
      </c>
      <c r="C35" s="7" t="str">
        <f>'Approval and Documentation'!C$6</f>
        <v>Support Functions: IT, Talent Management (HR), and Strategic Operations</v>
      </c>
      <c r="D35" s="8" t="str">
        <f>'MR-52'!$C$1</f>
        <v>Support Functions</v>
      </c>
      <c r="E35" s="11" t="s">
        <v>857</v>
      </c>
      <c r="F35" s="8" t="str">
        <f>'MR-51'!$C$2</f>
        <v>Liquidity</v>
      </c>
      <c r="G35" s="8" t="str">
        <f>'MR-51'!$C$3</f>
        <v>General Contingent Liability</v>
      </c>
      <c r="H35" s="8" t="str">
        <f>'MR-51'!$C$4</f>
        <v>Contingent Liabilities</v>
      </c>
      <c r="I35" s="8" t="str">
        <f>'MR-51'!$A$12</f>
        <v xml:space="preserve">As part of SCUSA's business operations, the Company provides funding for loan and lease assets associated to consumer's purchase or lease of vehicles, in addition to funding personal loans for consumers on either an installment or revolving basis.  Based on these business activities, SCUSA has entered into agreements, whereby the Company guarantees funding for certain loan and lease assets.  The guaranteed funding represents a contingent liability for SCUSA, as the Company is obligated to provide its customers the funding required on the loans or leases.  Exposure to contingent liabilities can become problematic for SCUSA in the event that the Company's funding capacity is not sufficient to cover these commitments.  If this were to occur, SCUSA would be forced to either (1) find new funding sources to make up the gap, which will result in a higher cost of funds for the company or (2) elect not to honor the Company's obligations which can result in negative impacts due to contract breaches and/or reputational repercussions  Ultimately, if the need for funding these contingent liabilities cannot be met by SCUSA's current funding capacity, the Company's earnings will be negatively impacted from the lost revenues, potential decline in market share, and reputational damage.  Details on the most material contingent liabilities for the Company are included below:  
- Unplanned origination volume:  SCUSA's Treasury Department diligently manages the Company's funding sources and funding capacity.   Based on the business expectations for future origination volume, Treasury ensures that sufficient capacity exists to fund those obligations.  In the event that new origination volumes were dramatically higher than expected/planned, SCUSA may not have the funding capacity to meet these obligations as the volumes were not included within the Company's planned funding needs.  
- Approved loan applications:  When SCUSA approves a customer's application for a loan, the approval is valid for 30 days.  Based on approved applications and estimates for which applications will ultimately require funding, SCUSA is able to generate funding plans to ensure that SCUSA will have the cash required to honor these agreements.  In general the book to approval rate is around 8%-10% for SCUSA's core portfolio and around 18%-20% for Chrysler vehicles.  As such, there is a large volume of approved applications that are not embedded within SCUSA's funding plans, but that SCUSA is contractually obligated to fund for the 30 day life of the approval.  If SCUSA were to see a dramatic spike in the book to approval rate, SCUSA would be forced to secure the funding needed for the increased volume or suffer reputational, and possible financial, damages if the approved applications were not honored.
- Contractual origination volumes obligations for personal lending partners:  As part of SCUSA's build out of its personal lending platform, the Company has entered into contractual relationships with certain partners, whereby SCUSA has committed to providing funding for an agreed to level of origination volume.  As part of SCUSA's relationship with LendingClub, SCUSA is committed to purchase at least the lesser of $30 million per month or 50% of the company’s near-prime originations through July 2017 (note the commitment can be reduced or canceled with 90 days’ notice).  As part of SCUSA's relationship with BlueStem, SCUSA has committed to purchasing new advances on BlueStem's unsecured, revolving financings along with existing balances on accounts with new advances, for an initial term ending in 2020 and renewing through 2022 at BlueStem's option.  
- Revolving lines of credit:  For SCUSA's personal lending assets with revolving lines of credit (e.g., BlueStem and NPL), each customer account generated under the agreements generally is approved with a credit limit higher than the amount of the initial purchase, with each subsequent purchase automatically approved as long as it does not cause the account to exceed its limit and the customer is in good standing.  These committed lines of credit to SCUSA's revolving customers must be funded by SCUSA as the lines are drawn down and could represent a material contingent funding need if a large volume of customers were to simultaneously draw down on these lines. 
- Chrysler contract:  As part of SCUSA's contract with Chrysler, the agreement includes certain penetration rates (funding obligations) that SCUSA must meet in order to be in compliance with the contract.  However, included within the contract language is the stipulation that SCUSA is not obligated to fund loans (to hit penetration rates) that do not meet minimum return hurdle rates.  Additionally, the higher penetration rates in the contract would require CCAP to board a high number of loans using special rate financing options on prime retail credits.  Those incentives are controlled by Chrysler and are typically higher credit quality with better loan performance.  Those loans are prime for flow arrangements to banks and other 3rd parties given loss characteristics.  As history has shown, as overall credit markets seize up, automotive sales deteriorate and therefore act as a natural hedge against volumes that can’t be funded off balance sheet.  As such, while there is a contingent funding liability for SCUSA implied within the Chrysler contract, that funding obligation is conditional on a variety of factors that lessen any possible exposure or risk that SCUSA would be in breach of the contract if penetration rates are not reached.     </v>
      </c>
      <c r="J35" s="8">
        <f>'MR-51'!$C$5</f>
        <v>0</v>
      </c>
      <c r="K35" s="8" t="str">
        <f>'MR-51'!$A$9</f>
        <v xml:space="preserve">Origination and Approval levels are monitored daily.  Chrysler contract elements list requirements by both parties.  Because these are not being met, the funding liabilities to SCUSA have been mitigated.  Personal Lending (Lending Club) allows contractual reductions with notice.  Personal Lending (BlueStem) contractually allows borrowing credit approval with incremental draws, which can mitigate contingent draw expectations.
These listed controls were established subsequent to the prior financial crisis.  The limits and KRI’s have not been tested through an actual economic downturn.
</v>
      </c>
      <c r="L35" s="8" t="str">
        <f>'MR-51'!$C$6</f>
        <v>$5 M - $50 M</v>
      </c>
      <c r="M35" s="8" t="str">
        <f>'MR-51'!$C$7</f>
        <v>$5 M - $50 M</v>
      </c>
      <c r="N35" s="8" t="str">
        <f>'MR-51'!$B$10</f>
        <v>Unplanned or unexpected funding amounts would create unsecured debt in excess of projections.  This represents our highest cost of funds and the annualized $5M threshold could be breached with as little as $150 million unplanned contingent funding.</v>
      </c>
      <c r="O35" s="10"/>
    </row>
    <row r="36" spans="1:15" ht="33.75" customHeight="1" x14ac:dyDescent="0.25">
      <c r="A36" s="7"/>
      <c r="B36" s="7" t="str">
        <f>'Approval and Documentation'!C$4</f>
        <v>Support Functions: IT, Talent Management (HR), and Strategic Operations</v>
      </c>
      <c r="C36" s="7" t="str">
        <f>'Approval and Documentation'!C$6</f>
        <v>Support Functions: IT, Talent Management (HR), and Strategic Operations</v>
      </c>
      <c r="D36" s="8" t="str">
        <f>'MR-52'!$C$1</f>
        <v>Support Functions</v>
      </c>
      <c r="E36" s="11" t="s">
        <v>762</v>
      </c>
      <c r="F36" s="8" t="str">
        <f>'MR-52'!$C$2</f>
        <v>Liquidity</v>
      </c>
      <c r="G36" s="8" t="str">
        <f>'MR-52'!$C$3</f>
        <v>General Market Liquidity</v>
      </c>
      <c r="H36" s="8" t="str">
        <f>'MR-52'!$C$4</f>
        <v>Acceleration of liquidity requirements</v>
      </c>
      <c r="I36" s="8" t="str">
        <f>'MR-52'!$A$12</f>
        <v>While SCUSA diligently manages the cash/liquidity needs of the Company, situations may arise that create an immediate or accelerated need for additional liquidity.  When the acceleration of liquidity requirements occurs, it can create a strain on SCUSA's liquidity and funding position and put pressure on SCUSA to quickly generate cash to cover these obligations.  This situation can impair SCUSA's ability to fund future origination, as liquidity has been reallocated for other purpose, or reduce profitability when the Company is forced to pay a higher cost to obtain access to the needed liquidity.  In an effort to manage the Company's liquidity position, SCUSA generates daily, weekly, and monthly cash flow forecasts  that provide details on all the cash inflows and outflows over a period of time.  However, unexpected events, caused by either internal or external factors, that are not embedded within these forecasts can push SCUSA's liquidity position out of balance.  Examples of events that may create the immediate or accelerated need for liquidity can include the following:  
- Loss of like kind exchange:  On certain asset sales to third parties, where the assets are moved off of the balance sheet, sold assets may be classified as a like kind exchange.  This classification requires that SCUSA utilize the proceeds from the assets sales only for the purchase of similar assets.  While restricting the use of these proceeds limits what SCUSA can do with the cash, the Company receives favorable tax treatment on the assets and is able to delay  payment cash outflows for taxes until future periods.  SCUSA must fulfill a number of requirement in order to maintain the like kind exchange classification and favorable tax treatment.  In the event that SCUSA is unable to uphold these requirements, SCUSA would incur an  requirement to immediately pay the taxes due on these assets, which would result in the need for a substantial amount of unplanned liquidity in the near-term.  
- Unexpected expenses:  Although there generally isn't a lot of volatility in SCUSA's expenses, there may be times when unexpected expenses arise that impact the Company's short-term liquidity needs.  Examples of such expenses could include regulatory fines or penalties or legal settlements.  The unexpected expenses would have to be sizable to generate any sort of liquidity disruption, but it is possible that an unexpected, sizable expense could create a liquidity problem for the Company. 
- Trigger event causing asset repurchases: In connection with the sale of retail installment contracts through securitizations and other sales, SCUSA has made standard representations and warranties customary to the consumer finance industry.  Violations of these representations and warranties may require SCUSA to repurchase loans previously sold to on- or off-balance sheet trusts or other third parties. The stipulation for asset repurchases is generally driven by collateral that performs worse than expected.  The requirement to repurchase these assets will impact the Company's short-term liquidity, as the assets will require funding that was otherwise unanticipated.  
- Declines in pledged asset values:  In the event that assets pledged to warehouse lines or utilized in securitization transactions decline in value due to negative performance of the collateral, SCUSA may be required to either pledge additional assets to the warehouses to offset the loss, or increase the over collateralization requirements on securitized bonds to ensure that payments to investors are not disrupted.  The immediate requirement for this liquidity would encumber new assets and make these additional assets unavailable for funding needs.  
- Trigger event affecting repayment of liabilities:  Covenants and triggers may exist with the structured bonds for SCUSA's securitization deals.  In the event that covenants are breached or triggers are hit, an early amortization clause may be enacted.  This clause accelerates the payment to bond holders by immediately amortizing down the outstanding balances of the liabilities.  The early amortization would result in substantial liquidity requirements for SCUSA as bond holders would be receiving payback on their investment placing SCUSA last in the payment order waterfall and disrupting planned residual distributions.</v>
      </c>
      <c r="J36" s="8">
        <f>'MR-52'!$C$5</f>
        <v>0</v>
      </c>
      <c r="K36" s="8" t="str">
        <f>'MR-52'!$A$9</f>
        <v xml:space="preserve">Cash forecast of sources and uses is reviewed by management daily to determine anticipated funding requirements and available cash.  The forecast is reviewed by the Treasurer, and presented weekly to the Contingency Liquidity Committee weekly, which enables consideration of upcoming significant cash flow items within the forecast. Liquidity metrics are monitored daily/weekly/monthly by treasury to assess whether the company is approaching or in a liquidity stress event.
</v>
      </c>
      <c r="L36" s="8" t="str">
        <f>'MR-52'!$C$6</f>
        <v>$5 M - $50 M</v>
      </c>
      <c r="M36" s="8" t="str">
        <f>'MR-52'!$C$7</f>
        <v>$5 M - $50 M</v>
      </c>
      <c r="N36" s="8" t="str">
        <f>'MR-52'!$B$10</f>
        <v xml:space="preserve">Increased interest expense from unplanned unsecured usage (+325bps) would breach thresholds at only $150M of new debt.  While LKE funds may provide liquidity in an extreme funding crisis, the use of those funds would create an immediate tax expense from the gain recognition.  Taxes that would have been due from the initial sale of leases were estimated over $175M.  The expected interest expense exceeds the minimum risk threshold.  Regulatory fines or court judgments would have the same effect.
Trigger events in structured finance SPV’s accelerate repayment requirements and delay residual distributions.  Severe performance variance could eliminate residuals altogether.  SCUSA currently receive approximately $200M  residual cash flow monthly that would be replaced unexpectedly, resulting in increased costs.
</v>
      </c>
      <c r="O36" s="10"/>
    </row>
    <row r="37" spans="1:15" ht="33.75" customHeight="1" x14ac:dyDescent="0.25">
      <c r="A37" s="7"/>
      <c r="B37" s="7" t="str">
        <f>'Approval and Documentation'!C$4</f>
        <v>Support Functions: IT, Talent Management (HR), and Strategic Operations</v>
      </c>
      <c r="C37" s="7" t="str">
        <f>'Approval and Documentation'!C$6</f>
        <v>Support Functions: IT, Talent Management (HR), and Strategic Operations</v>
      </c>
      <c r="D37" s="8" t="str">
        <f>'MR-53'!$C$1</f>
        <v>Support Functions</v>
      </c>
      <c r="E37" s="11" t="s">
        <v>763</v>
      </c>
      <c r="F37" s="8" t="str">
        <f>'MR-53'!$C$2</f>
        <v>Liquidity</v>
      </c>
      <c r="G37" s="8" t="str">
        <f>'MR-53'!$C$3</f>
        <v>Diversification</v>
      </c>
      <c r="H37" s="8" t="str">
        <f>'MR-53'!$C$4</f>
        <v>Concentration in funding sources</v>
      </c>
      <c r="I37" s="8" t="str">
        <f>'MR-53'!$A$12</f>
        <v xml:space="preserve">SCUSA's liquidity management practices require that the Company maintain a diversified set of funding sources, such that over reliance on any one source of funding does not exist.  SCUSA has implemented strategies to help ensure diversification of funding, but as a capital markets funded company, the pool of potential funding sources for SCUSA is more limited than those available to a traditional bank.  Being overly concentrated on any single funding source creates some exposure for the Company as it is possible that funding source might not be available in the future, resulting in declines in SCUSA's ability to fund future originations and reduction to overall profitability.  Based on SCUSA's current funding profile, the Company has potential exposure to concentration risk in the following areas:  
- Securitization Markets:  A large portion of the Company's funding is derived from the issuance of asset backed securities within the capital markets.  As demonstrated during the crisis, accessing the capital markets during periods of economic stress can become problematic as the market appetite for bonds backed by collateral experiencing losses dissipates or the deals require a rate of return so high that the economics of the deal no longer work.  Even under normal operating conditions, investor appetite for structured products is not unlimited.     
- Intragroup warehouse lines of credit:  The use of secured warehouse lines of credit do not provide dollar-for-dollar funding for pledged assets.  Assets pledged to these lines are pledged at a predetermined advance rate whereby $100 of pledged assets will receive cash back at a value below the $100.  To make up for this difference, SCUSA must maintain access to unsecured lines of credit that can be drawn down without pledging any collateral.  At present, all of SCUSA's unsecured borrowing capacity is obtained through warehouse lines with the Santander parent, which may result in an over reliance on the Company's parent.  
- Asset sale flow partners:  Part of SCUSA's current strategic direction is to focus on the Company's "serviced for others" platform, where SCUSA originates and sells loans to third parties, but maintains the right to service the assets (for a fee).  The sale of these assets moves them off of SCUSA's balance sheet and frees up funding for future originations.  SCUSA has identified two major flow partners who purchase assets from the Company on a monthly basis.  With only two primary flow partners identified, SCUSA may experience some concentration risk on this funding source if the funding need from off-balance sheet sales continue to grow or one of the flow partners were to no longer have an appetite to purchase the loans.  
SCUSA manages and monitors the Company's funding sources and the utilization / concentration on each.  SCUSA is constantly seeking new opportunities to expand the funding options available to the Company, but must weigh the trade-off between the additional liquidity obtained and the cost of that liquidity. </v>
      </c>
      <c r="J37" s="8">
        <f>'MR-53'!$C$5</f>
        <v>0</v>
      </c>
      <c r="K37" s="8" t="str">
        <f>'MR-53'!$A$9</f>
        <v>SCUSA's liquidity management practices require that the Company maintain a diversified set of funding sources, such that over reliance on any one source of funding does not exist.  SCUSA has implemented strategies to help ensure diversification of funding, but as a capital markets funded company, the pool of potential funding sources for SCUSA is more limited than those available to a traditional bank.  Concentrations are monitored and maintained within liquidity policy guidelines.  These guidelines also establish target minimum number of external credit providers.  Bond spreads represent a KRI and under constant focus in corporate finance areas of the company.  This key market indicator is published weekly by capital markets and reflected in dashboard reporting.  Funding capacity, including flow partnerships, remains a key component of liquidity policy with minimum thresholds established and KRI’s established to alert the company to trends and pending or potential shortfall.  Treasury monitors for potential liquidity stress events through a series of liquidity risk reports, and daily/weekly/monthly monitoring of a suite of KRIs (i.e., Intragroup warehouse funding, OIS spread, TED spread, 2-10yr. Treasury yield spread, Self-Funding Ratio, etc.).   Treasury reports liquidity position to the Contingent Liquidity Committee weekly, and to the ALCO monthly. Reports provided to the ALCO includes macroeconomic trends, market and liquidity results, funding overview and liquidity forecast and Risk Tolerance Statements.</v>
      </c>
      <c r="L37" s="8">
        <f>'MR-53'!$C$6</f>
        <v>0</v>
      </c>
      <c r="M37" s="8">
        <f>'MR-53'!$C$7</f>
        <v>0</v>
      </c>
      <c r="N37" s="8">
        <f>'MR-53'!$B$10</f>
        <v>0</v>
      </c>
      <c r="O37" s="10"/>
    </row>
    <row r="38" spans="1:15" ht="33.75" customHeight="1" x14ac:dyDescent="0.25">
      <c r="A38" s="7"/>
      <c r="B38" s="7"/>
      <c r="C38" s="7"/>
      <c r="D38" s="8"/>
      <c r="E38" s="11"/>
      <c r="F38" s="8"/>
      <c r="G38" s="8"/>
      <c r="H38" s="8"/>
      <c r="I38" s="8"/>
      <c r="J38" s="8"/>
      <c r="K38" s="8"/>
      <c r="L38" s="8"/>
      <c r="M38" s="8"/>
      <c r="N38" s="8"/>
      <c r="O38" s="10"/>
    </row>
    <row r="39" spans="1:15" ht="33.75" customHeight="1" x14ac:dyDescent="0.25">
      <c r="A39" s="7"/>
      <c r="B39" s="7"/>
      <c r="C39" s="7"/>
      <c r="D39" s="8"/>
      <c r="E39" s="11"/>
      <c r="F39" s="8"/>
      <c r="G39" s="8"/>
      <c r="H39" s="8"/>
      <c r="I39" s="8"/>
      <c r="J39" s="8"/>
      <c r="K39" s="8"/>
      <c r="L39" s="8"/>
      <c r="M39" s="8"/>
      <c r="N39" s="8"/>
      <c r="O39" s="10"/>
    </row>
    <row r="40" spans="1:15" ht="33.75" customHeight="1" x14ac:dyDescent="0.25">
      <c r="A40" s="7"/>
      <c r="B40" s="7"/>
      <c r="C40" s="7"/>
      <c r="D40" s="8"/>
      <c r="E40" s="11"/>
      <c r="F40" s="8"/>
      <c r="G40" s="8"/>
      <c r="H40" s="8"/>
      <c r="I40" s="8"/>
      <c r="J40" s="8"/>
      <c r="K40" s="8"/>
      <c r="L40" s="8"/>
      <c r="M40" s="8"/>
      <c r="N40" s="8"/>
      <c r="O40" s="10"/>
    </row>
    <row r="41" spans="1:15" ht="33.75" customHeight="1" x14ac:dyDescent="0.25">
      <c r="A41" s="7"/>
      <c r="B41" s="7"/>
      <c r="C41" s="7"/>
      <c r="D41" s="8"/>
      <c r="E41" s="11"/>
      <c r="F41" s="8"/>
      <c r="G41" s="8"/>
      <c r="H41" s="8"/>
      <c r="I41" s="8"/>
      <c r="J41" s="8"/>
      <c r="K41" s="8"/>
      <c r="L41" s="8"/>
      <c r="M41" s="8"/>
      <c r="N41" s="8"/>
      <c r="O41" s="10"/>
    </row>
    <row r="42" spans="1:15" ht="33.75" customHeight="1" x14ac:dyDescent="0.25">
      <c r="A42" s="7"/>
      <c r="B42" s="7"/>
      <c r="C42" s="7"/>
      <c r="D42" s="8"/>
      <c r="E42" s="11"/>
      <c r="F42" s="8"/>
      <c r="G42" s="8"/>
      <c r="H42" s="8"/>
      <c r="I42" s="8"/>
      <c r="J42" s="8"/>
      <c r="K42" s="8"/>
      <c r="L42" s="8"/>
      <c r="M42" s="8"/>
      <c r="N42" s="8"/>
      <c r="O42" s="10"/>
    </row>
    <row r="43" spans="1:15" ht="33.75" customHeight="1" x14ac:dyDescent="0.25">
      <c r="A43" s="7"/>
      <c r="B43" s="7"/>
      <c r="C43" s="7"/>
      <c r="D43" s="7"/>
      <c r="E43" s="11"/>
      <c r="F43" s="8"/>
      <c r="G43" s="8"/>
      <c r="H43" s="9"/>
      <c r="I43" s="10"/>
      <c r="J43" s="9"/>
      <c r="K43" s="10"/>
      <c r="L43" s="8"/>
      <c r="M43" s="8"/>
      <c r="N43" s="10"/>
      <c r="O43" s="10"/>
    </row>
    <row r="44" spans="1:15" ht="33.75" customHeight="1" x14ac:dyDescent="0.25">
      <c r="A44" s="7"/>
      <c r="B44" s="7"/>
      <c r="C44" s="7"/>
      <c r="D44" s="7"/>
      <c r="E44" s="11"/>
      <c r="F44" s="8"/>
      <c r="G44" s="8"/>
      <c r="H44" s="9"/>
      <c r="I44" s="10"/>
      <c r="J44" s="9"/>
      <c r="K44" s="10"/>
      <c r="L44" s="8"/>
      <c r="M44" s="8"/>
      <c r="N44" s="10"/>
      <c r="O44" s="10"/>
    </row>
    <row r="45" spans="1:15" ht="33.75" customHeight="1" x14ac:dyDescent="0.25">
      <c r="A45" s="7"/>
      <c r="B45" s="7"/>
      <c r="C45" s="7"/>
      <c r="D45" s="7"/>
      <c r="E45" s="11"/>
      <c r="F45" s="8"/>
      <c r="G45" s="8"/>
      <c r="H45" s="9"/>
      <c r="I45" s="10"/>
      <c r="J45" s="9"/>
      <c r="K45" s="10"/>
      <c r="L45" s="8"/>
      <c r="M45" s="8"/>
      <c r="N45" s="10"/>
      <c r="O45" s="10"/>
    </row>
    <row r="46" spans="1:15" ht="33.75" customHeight="1" x14ac:dyDescent="0.25">
      <c r="A46" s="7"/>
      <c r="B46" s="7"/>
      <c r="C46" s="7"/>
      <c r="D46" s="7"/>
      <c r="E46" s="11"/>
      <c r="F46" s="8"/>
      <c r="G46" s="8"/>
      <c r="H46" s="9"/>
      <c r="I46" s="10"/>
      <c r="J46" s="9"/>
      <c r="K46" s="10"/>
      <c r="L46" s="8"/>
      <c r="M46" s="8"/>
      <c r="N46" s="10"/>
      <c r="O46" s="10"/>
    </row>
    <row r="47" spans="1:15" ht="33.75" customHeight="1" x14ac:dyDescent="0.25">
      <c r="A47" s="7"/>
      <c r="B47" s="7"/>
      <c r="C47" s="7"/>
      <c r="D47" s="7"/>
      <c r="E47" s="11"/>
      <c r="F47" s="8"/>
      <c r="G47" s="8"/>
      <c r="H47" s="9"/>
      <c r="I47" s="10"/>
      <c r="J47" s="9"/>
      <c r="K47" s="10"/>
      <c r="L47" s="8"/>
      <c r="M47" s="8"/>
      <c r="N47" s="10"/>
      <c r="O47" s="10"/>
    </row>
    <row r="48" spans="1:15" ht="33.75" customHeight="1" x14ac:dyDescent="0.25">
      <c r="A48" s="7"/>
      <c r="B48" s="7"/>
      <c r="C48" s="7"/>
      <c r="D48" s="7"/>
      <c r="E48" s="11"/>
      <c r="F48" s="8"/>
      <c r="G48" s="8"/>
      <c r="H48" s="9"/>
      <c r="I48" s="10"/>
      <c r="J48" s="9"/>
      <c r="K48" s="10"/>
      <c r="L48" s="8"/>
      <c r="M48" s="8"/>
      <c r="N48" s="10"/>
      <c r="O48" s="10"/>
    </row>
    <row r="49" spans="1:15" ht="33.75" customHeight="1" x14ac:dyDescent="0.25">
      <c r="A49" s="7"/>
      <c r="B49" s="7"/>
      <c r="C49" s="7"/>
      <c r="D49" s="7"/>
      <c r="E49" s="11"/>
      <c r="F49" s="8"/>
      <c r="G49" s="8"/>
      <c r="H49" s="9"/>
      <c r="I49" s="10"/>
      <c r="J49" s="9"/>
      <c r="K49" s="10"/>
      <c r="L49" s="8"/>
      <c r="M49" s="8"/>
      <c r="N49" s="10"/>
      <c r="O49" s="10"/>
    </row>
    <row r="50" spans="1:15" ht="33.75" customHeight="1" x14ac:dyDescent="0.25">
      <c r="A50" s="7"/>
      <c r="B50" s="7"/>
      <c r="C50" s="7"/>
      <c r="D50" s="7"/>
      <c r="E50" s="11"/>
      <c r="F50" s="8"/>
      <c r="G50" s="8"/>
      <c r="H50" s="9"/>
      <c r="I50" s="10"/>
      <c r="J50" s="9"/>
      <c r="K50" s="10"/>
      <c r="L50" s="8"/>
      <c r="M50" s="8"/>
      <c r="N50" s="10"/>
      <c r="O50" s="10"/>
    </row>
    <row r="51" spans="1:15" ht="33.75" customHeight="1" x14ac:dyDescent="0.25">
      <c r="A51" s="7"/>
      <c r="B51" s="7"/>
      <c r="C51" s="7"/>
      <c r="D51" s="7"/>
      <c r="E51" s="11"/>
      <c r="F51" s="8"/>
      <c r="G51" s="8"/>
      <c r="H51" s="9"/>
      <c r="I51" s="10"/>
      <c r="J51" s="9"/>
      <c r="K51" s="10"/>
      <c r="L51" s="8"/>
      <c r="M51" s="8"/>
      <c r="N51" s="10"/>
      <c r="O51" s="10"/>
    </row>
    <row r="52" spans="1:15" ht="33.75" customHeight="1" x14ac:dyDescent="0.25">
      <c r="A52" s="7"/>
      <c r="B52" s="7"/>
      <c r="C52" s="7"/>
      <c r="D52" s="7"/>
      <c r="E52" s="11"/>
      <c r="F52" s="8"/>
      <c r="G52" s="8"/>
      <c r="H52" s="9"/>
      <c r="I52" s="10"/>
      <c r="J52" s="9"/>
      <c r="K52" s="10"/>
      <c r="L52" s="8"/>
      <c r="M52" s="8"/>
      <c r="N52" s="10"/>
      <c r="O52" s="10"/>
    </row>
    <row r="53" spans="1:15" ht="33.75" customHeight="1" x14ac:dyDescent="0.25">
      <c r="A53" s="7"/>
      <c r="B53" s="7"/>
      <c r="C53" s="7"/>
      <c r="D53" s="7"/>
      <c r="E53" s="11"/>
      <c r="F53" s="8"/>
      <c r="G53" s="8"/>
      <c r="H53" s="9"/>
      <c r="I53" s="10"/>
      <c r="J53" s="9"/>
      <c r="K53" s="10"/>
      <c r="L53" s="8"/>
      <c r="M53" s="8"/>
      <c r="N53" s="10"/>
      <c r="O53" s="10"/>
    </row>
    <row r="54" spans="1:15" ht="33.75" customHeight="1" x14ac:dyDescent="0.25">
      <c r="A54" s="7"/>
      <c r="B54" s="7"/>
      <c r="C54" s="7"/>
      <c r="D54" s="7"/>
      <c r="E54" s="11"/>
      <c r="F54" s="8"/>
      <c r="G54" s="8"/>
      <c r="H54" s="9"/>
      <c r="I54" s="10"/>
      <c r="J54" s="9"/>
      <c r="K54" s="10"/>
      <c r="L54" s="8"/>
      <c r="M54" s="8"/>
      <c r="N54" s="10"/>
      <c r="O54" s="10"/>
    </row>
    <row r="55" spans="1:15" ht="33.75" customHeight="1" x14ac:dyDescent="0.25">
      <c r="A55" s="7"/>
      <c r="B55" s="7"/>
      <c r="C55" s="7"/>
      <c r="D55" s="7"/>
      <c r="E55" s="11"/>
      <c r="F55" s="8"/>
      <c r="G55" s="8"/>
      <c r="H55" s="9"/>
      <c r="I55" s="10"/>
      <c r="J55" s="9"/>
      <c r="K55" s="10"/>
      <c r="L55" s="8"/>
      <c r="M55" s="8"/>
      <c r="N55" s="10"/>
      <c r="O55" s="10"/>
    </row>
    <row r="56" spans="1:15" ht="33.75" customHeight="1" x14ac:dyDescent="0.25">
      <c r="A56" s="7"/>
      <c r="B56" s="7"/>
      <c r="C56" s="7"/>
      <c r="D56" s="7"/>
      <c r="E56" s="11"/>
      <c r="F56" s="8"/>
      <c r="G56" s="8"/>
      <c r="H56" s="9"/>
      <c r="I56" s="10"/>
      <c r="J56" s="9"/>
      <c r="K56" s="10"/>
      <c r="L56" s="8"/>
      <c r="M56" s="8"/>
      <c r="N56" s="10"/>
      <c r="O56" s="10"/>
    </row>
    <row r="57" spans="1:15" ht="33.75" customHeight="1" x14ac:dyDescent="0.25">
      <c r="A57" s="7"/>
      <c r="B57" s="7"/>
      <c r="C57" s="7"/>
      <c r="D57" s="7"/>
      <c r="E57" s="11"/>
      <c r="F57" s="8"/>
      <c r="G57" s="8"/>
      <c r="H57" s="9"/>
      <c r="I57" s="10"/>
      <c r="J57" s="9"/>
      <c r="K57" s="10"/>
      <c r="L57" s="8"/>
      <c r="M57" s="8"/>
      <c r="N57" s="10"/>
      <c r="O57" s="10"/>
    </row>
    <row r="58" spans="1:15" ht="33.75" customHeight="1" x14ac:dyDescent="0.25">
      <c r="A58" s="7"/>
      <c r="B58" s="7"/>
      <c r="C58" s="7"/>
      <c r="D58" s="7"/>
      <c r="E58" s="11"/>
      <c r="F58" s="8"/>
      <c r="G58" s="8"/>
      <c r="H58" s="9"/>
      <c r="I58" s="10"/>
      <c r="J58" s="9"/>
      <c r="K58" s="10"/>
      <c r="L58" s="8"/>
      <c r="M58" s="8"/>
      <c r="N58" s="10"/>
      <c r="O58" s="10"/>
    </row>
    <row r="59" spans="1:15" ht="33.75" customHeight="1" x14ac:dyDescent="0.25">
      <c r="A59" s="7"/>
      <c r="B59" s="7"/>
      <c r="C59" s="7"/>
      <c r="D59" s="7"/>
      <c r="E59" s="11"/>
      <c r="F59" s="8"/>
      <c r="G59" s="8"/>
      <c r="H59" s="9"/>
      <c r="I59" s="10"/>
      <c r="J59" s="9"/>
      <c r="K59" s="10"/>
      <c r="L59" s="8"/>
      <c r="M59" s="8"/>
      <c r="N59" s="10"/>
      <c r="O59" s="10"/>
    </row>
    <row r="60" spans="1:15" ht="33.75" customHeight="1" x14ac:dyDescent="0.25">
      <c r="A60" s="7"/>
      <c r="B60" s="7"/>
      <c r="C60" s="7"/>
      <c r="D60" s="7"/>
      <c r="E60" s="11"/>
      <c r="F60" s="8"/>
      <c r="G60" s="8"/>
      <c r="H60" s="9"/>
      <c r="I60" s="10"/>
      <c r="J60" s="9"/>
      <c r="K60" s="10"/>
      <c r="L60" s="8"/>
      <c r="M60" s="8"/>
      <c r="N60" s="10"/>
      <c r="O60" s="10"/>
    </row>
    <row r="61" spans="1:15" ht="33.75" customHeight="1" x14ac:dyDescent="0.25">
      <c r="A61" s="7"/>
      <c r="B61" s="7"/>
      <c r="C61" s="7"/>
      <c r="D61" s="7"/>
      <c r="E61" s="11"/>
      <c r="F61" s="8"/>
      <c r="G61" s="8"/>
      <c r="H61" s="9"/>
      <c r="I61" s="10"/>
      <c r="J61" s="9"/>
      <c r="K61" s="10"/>
      <c r="L61" s="8"/>
      <c r="M61" s="8"/>
      <c r="N61" s="10"/>
      <c r="O61" s="10"/>
    </row>
    <row r="62" spans="1:15" ht="33.75" customHeight="1" x14ac:dyDescent="0.25">
      <c r="A62" s="7"/>
      <c r="B62" s="7"/>
      <c r="C62" s="7"/>
      <c r="D62" s="7"/>
      <c r="E62" s="11"/>
      <c r="F62" s="8"/>
      <c r="G62" s="8"/>
      <c r="H62" s="9"/>
      <c r="I62" s="10"/>
      <c r="J62" s="9"/>
      <c r="K62" s="10"/>
      <c r="L62" s="8"/>
      <c r="M62" s="8"/>
      <c r="N62" s="10"/>
      <c r="O62" s="10"/>
    </row>
    <row r="63" spans="1:15" ht="33.75" customHeight="1" x14ac:dyDescent="0.25">
      <c r="A63" s="7"/>
      <c r="B63" s="7"/>
      <c r="C63" s="7"/>
      <c r="D63" s="7"/>
      <c r="E63" s="11"/>
      <c r="F63" s="8"/>
      <c r="G63" s="8"/>
      <c r="H63" s="9"/>
      <c r="I63" s="10"/>
      <c r="J63" s="9"/>
      <c r="K63" s="10"/>
      <c r="L63" s="8"/>
      <c r="M63" s="8"/>
      <c r="N63" s="10"/>
      <c r="O63" s="10"/>
    </row>
    <row r="64" spans="1:15" ht="33.75" customHeight="1" x14ac:dyDescent="0.25">
      <c r="A64" s="7"/>
      <c r="B64" s="7"/>
      <c r="C64" s="7"/>
      <c r="D64" s="7"/>
      <c r="E64" s="11"/>
      <c r="F64" s="8"/>
      <c r="G64" s="8"/>
      <c r="H64" s="9"/>
      <c r="I64" s="10"/>
      <c r="J64" s="9"/>
      <c r="K64" s="10"/>
      <c r="L64" s="8"/>
      <c r="M64" s="8"/>
      <c r="N64" s="10"/>
      <c r="O64" s="10"/>
    </row>
    <row r="65" spans="1:15" ht="33.75" customHeight="1" x14ac:dyDescent="0.25">
      <c r="A65" s="7"/>
      <c r="B65" s="7"/>
      <c r="C65" s="7"/>
      <c r="D65" s="7"/>
      <c r="E65" s="11"/>
      <c r="F65" s="8"/>
      <c r="G65" s="8"/>
      <c r="H65" s="9"/>
      <c r="I65" s="10"/>
      <c r="J65" s="9"/>
      <c r="K65" s="10"/>
      <c r="L65" s="8"/>
      <c r="M65" s="8"/>
      <c r="N65" s="10"/>
      <c r="O65" s="10"/>
    </row>
    <row r="66" spans="1:15" ht="33.75" customHeight="1" x14ac:dyDescent="0.25">
      <c r="A66" s="7"/>
      <c r="B66" s="7"/>
      <c r="C66" s="7"/>
      <c r="D66" s="7"/>
      <c r="E66" s="11"/>
      <c r="F66" s="8"/>
      <c r="G66" s="8"/>
      <c r="H66" s="9"/>
      <c r="I66" s="10"/>
      <c r="J66" s="9"/>
      <c r="K66" s="10"/>
      <c r="L66" s="8"/>
      <c r="M66" s="8"/>
      <c r="N66" s="10"/>
      <c r="O66" s="10"/>
    </row>
    <row r="67" spans="1:15" ht="33.75" customHeight="1" x14ac:dyDescent="0.25">
      <c r="A67" s="7"/>
      <c r="B67" s="7"/>
      <c r="C67" s="7"/>
      <c r="D67" s="7"/>
      <c r="E67" s="11"/>
      <c r="F67" s="8"/>
      <c r="G67" s="8"/>
      <c r="H67" s="9"/>
      <c r="I67" s="10"/>
      <c r="J67" s="9"/>
      <c r="K67" s="10"/>
      <c r="L67" s="8"/>
      <c r="M67" s="8"/>
      <c r="N67" s="10"/>
      <c r="O67" s="10"/>
    </row>
    <row r="68" spans="1:15" ht="33.75" customHeight="1" x14ac:dyDescent="0.25">
      <c r="A68" s="7"/>
      <c r="B68" s="7"/>
      <c r="C68" s="7"/>
      <c r="D68" s="7"/>
      <c r="E68" s="11"/>
      <c r="F68" s="8"/>
      <c r="G68" s="8"/>
      <c r="H68" s="9"/>
      <c r="I68" s="10"/>
      <c r="J68" s="9"/>
      <c r="K68" s="10"/>
      <c r="L68" s="8"/>
      <c r="M68" s="8"/>
      <c r="N68" s="10"/>
      <c r="O68" s="10"/>
    </row>
    <row r="69" spans="1:15" ht="33.75" customHeight="1" x14ac:dyDescent="0.25">
      <c r="A69" s="7"/>
      <c r="B69" s="7"/>
      <c r="C69" s="7"/>
      <c r="D69" s="7"/>
      <c r="E69" s="11"/>
      <c r="F69" s="8"/>
      <c r="G69" s="8"/>
      <c r="H69" s="9"/>
      <c r="I69" s="10"/>
      <c r="J69" s="9"/>
      <c r="K69" s="10"/>
      <c r="L69" s="8"/>
      <c r="M69" s="8"/>
      <c r="N69" s="10"/>
      <c r="O69" s="10"/>
    </row>
    <row r="70" spans="1:15" ht="33.75" customHeight="1" x14ac:dyDescent="0.25">
      <c r="A70" s="7"/>
      <c r="B70" s="7"/>
      <c r="C70" s="7"/>
      <c r="D70" s="7"/>
      <c r="E70" s="11"/>
      <c r="F70" s="8"/>
      <c r="G70" s="8"/>
      <c r="H70" s="9"/>
      <c r="I70" s="10"/>
      <c r="J70" s="9"/>
      <c r="K70" s="10"/>
      <c r="L70" s="8"/>
      <c r="M70" s="8"/>
      <c r="N70" s="10"/>
      <c r="O70" s="10"/>
    </row>
    <row r="71" spans="1:15" ht="33.75" customHeight="1" x14ac:dyDescent="0.25">
      <c r="A71" s="7"/>
      <c r="B71" s="7"/>
      <c r="C71" s="7"/>
      <c r="D71" s="7"/>
      <c r="E71" s="11"/>
      <c r="F71" s="8"/>
      <c r="G71" s="8"/>
      <c r="H71" s="9"/>
      <c r="I71" s="10"/>
      <c r="J71" s="9"/>
      <c r="K71" s="10"/>
      <c r="L71" s="8"/>
      <c r="M71" s="8"/>
      <c r="N71" s="10"/>
      <c r="O71" s="10"/>
    </row>
    <row r="72" spans="1:15" ht="33.75" customHeight="1" x14ac:dyDescent="0.25">
      <c r="A72" s="7"/>
      <c r="B72" s="7"/>
      <c r="C72" s="7"/>
      <c r="D72" s="7"/>
      <c r="E72" s="11"/>
      <c r="F72" s="8"/>
      <c r="G72" s="8"/>
      <c r="H72" s="9"/>
      <c r="I72" s="10"/>
      <c r="J72" s="9"/>
      <c r="K72" s="10"/>
      <c r="L72" s="8"/>
      <c r="M72" s="8"/>
      <c r="N72" s="10"/>
      <c r="O72" s="10"/>
    </row>
    <row r="73" spans="1:15" ht="33.75" customHeight="1" x14ac:dyDescent="0.25">
      <c r="A73" s="7"/>
      <c r="B73" s="7"/>
      <c r="C73" s="7"/>
      <c r="D73" s="7"/>
      <c r="E73" s="11"/>
      <c r="F73" s="8"/>
      <c r="G73" s="8"/>
      <c r="H73" s="9"/>
      <c r="I73" s="10"/>
      <c r="J73" s="9"/>
      <c r="K73" s="10"/>
      <c r="L73" s="8"/>
      <c r="M73" s="8"/>
      <c r="N73" s="10"/>
      <c r="O73" s="10"/>
    </row>
    <row r="74" spans="1:15" ht="33.75" customHeight="1" x14ac:dyDescent="0.25">
      <c r="A74" s="7"/>
      <c r="B74" s="7"/>
      <c r="C74" s="7"/>
      <c r="D74" s="7"/>
      <c r="E74" s="11"/>
      <c r="F74" s="8"/>
      <c r="G74" s="8"/>
      <c r="H74" s="9"/>
      <c r="I74" s="10"/>
      <c r="J74" s="9"/>
      <c r="K74" s="10"/>
      <c r="L74" s="8"/>
      <c r="M74" s="8"/>
      <c r="N74" s="10"/>
      <c r="O74" s="10"/>
    </row>
    <row r="75" spans="1:15" ht="33.75" customHeight="1" x14ac:dyDescent="0.25">
      <c r="A75" s="7"/>
      <c r="B75" s="7"/>
      <c r="C75" s="7"/>
      <c r="D75" s="7"/>
      <c r="E75" s="11"/>
      <c r="F75" s="8"/>
      <c r="G75" s="8"/>
      <c r="H75" s="9"/>
      <c r="I75" s="10"/>
      <c r="J75" s="9"/>
      <c r="K75" s="10"/>
      <c r="L75" s="8"/>
      <c r="M75" s="8"/>
      <c r="N75" s="10"/>
      <c r="O75" s="10"/>
    </row>
    <row r="76" spans="1:15" ht="33.75" customHeight="1" x14ac:dyDescent="0.25">
      <c r="A76" s="7"/>
      <c r="B76" s="7"/>
      <c r="C76" s="7"/>
      <c r="D76" s="7"/>
      <c r="E76" s="11"/>
      <c r="F76" s="8"/>
      <c r="G76" s="8"/>
      <c r="H76" s="9"/>
      <c r="I76" s="10"/>
      <c r="J76" s="9"/>
      <c r="K76" s="10"/>
      <c r="L76" s="8"/>
      <c r="M76" s="8"/>
      <c r="N76" s="10"/>
      <c r="O76" s="10"/>
    </row>
    <row r="77" spans="1:15" ht="33.75" customHeight="1" x14ac:dyDescent="0.25">
      <c r="A77" s="7"/>
      <c r="B77" s="7"/>
      <c r="C77" s="7"/>
      <c r="D77" s="7"/>
      <c r="E77" s="11"/>
      <c r="F77" s="8"/>
      <c r="G77" s="8"/>
      <c r="H77" s="9"/>
      <c r="I77" s="10"/>
      <c r="J77" s="9"/>
      <c r="K77" s="10"/>
      <c r="L77" s="8"/>
      <c r="M77" s="8"/>
      <c r="N77" s="10"/>
      <c r="O77" s="10"/>
    </row>
    <row r="78" spans="1:15" ht="33.75" customHeight="1" x14ac:dyDescent="0.25">
      <c r="A78" s="7"/>
      <c r="B78" s="7"/>
      <c r="C78" s="7"/>
      <c r="D78" s="7"/>
      <c r="E78" s="11"/>
      <c r="F78" s="8"/>
      <c r="G78" s="8"/>
      <c r="H78" s="9"/>
      <c r="I78" s="10"/>
      <c r="J78" s="9"/>
      <c r="K78" s="10"/>
      <c r="L78" s="8"/>
      <c r="M78" s="8"/>
      <c r="N78" s="10"/>
      <c r="O78" s="10"/>
    </row>
    <row r="79" spans="1:15" ht="33.75" customHeight="1" x14ac:dyDescent="0.25">
      <c r="A79" s="7"/>
      <c r="B79" s="7"/>
      <c r="C79" s="7"/>
      <c r="D79" s="7"/>
      <c r="E79" s="11"/>
      <c r="F79" s="8"/>
      <c r="G79" s="8"/>
      <c r="H79" s="9"/>
      <c r="I79" s="10"/>
      <c r="J79" s="9"/>
      <c r="K79" s="10"/>
      <c r="L79" s="8"/>
      <c r="M79" s="8"/>
      <c r="N79" s="10"/>
      <c r="O79" s="10"/>
    </row>
    <row r="80" spans="1:15" ht="33.75" customHeight="1" x14ac:dyDescent="0.25">
      <c r="A80" s="7"/>
      <c r="B80" s="7"/>
      <c r="C80" s="7"/>
      <c r="D80" s="7"/>
      <c r="E80" s="11"/>
      <c r="F80" s="8"/>
      <c r="G80" s="8"/>
      <c r="H80" s="9"/>
      <c r="I80" s="10"/>
      <c r="J80" s="9"/>
      <c r="K80" s="10"/>
      <c r="L80" s="8"/>
      <c r="M80" s="8"/>
      <c r="N80" s="10"/>
      <c r="O80" s="10"/>
    </row>
    <row r="81" spans="1:15" ht="33.75" customHeight="1" x14ac:dyDescent="0.25">
      <c r="A81" s="7"/>
      <c r="B81" s="7"/>
      <c r="C81" s="7"/>
      <c r="D81" s="7"/>
      <c r="E81" s="11"/>
      <c r="F81" s="8"/>
      <c r="G81" s="8"/>
      <c r="H81" s="9"/>
      <c r="I81" s="10"/>
      <c r="J81" s="9"/>
      <c r="K81" s="10"/>
      <c r="L81" s="8"/>
      <c r="M81" s="8"/>
      <c r="N81" s="10"/>
      <c r="O81" s="10"/>
    </row>
    <row r="82" spans="1:15" ht="33.75" customHeight="1" x14ac:dyDescent="0.25">
      <c r="A82" s="7"/>
      <c r="B82" s="7"/>
      <c r="C82" s="7"/>
      <c r="D82" s="7"/>
      <c r="E82" s="11"/>
      <c r="F82" s="8"/>
      <c r="G82" s="8"/>
      <c r="H82" s="9"/>
      <c r="I82" s="10"/>
      <c r="J82" s="9"/>
      <c r="K82" s="10"/>
      <c r="L82" s="8"/>
      <c r="M82" s="8"/>
      <c r="N82" s="10"/>
      <c r="O82" s="10"/>
    </row>
    <row r="83" spans="1:15" ht="33.75" customHeight="1" x14ac:dyDescent="0.25">
      <c r="A83" s="7"/>
      <c r="B83" s="7"/>
      <c r="C83" s="7"/>
      <c r="D83" s="7"/>
      <c r="E83" s="11"/>
      <c r="F83" s="8"/>
      <c r="G83" s="8"/>
      <c r="H83" s="9"/>
      <c r="I83" s="10"/>
      <c r="J83" s="9"/>
      <c r="K83" s="10"/>
      <c r="L83" s="8"/>
      <c r="M83" s="8"/>
      <c r="N83" s="10"/>
      <c r="O83" s="10"/>
    </row>
    <row r="84" spans="1:15" ht="33.75" customHeight="1" x14ac:dyDescent="0.25">
      <c r="A84" s="7"/>
      <c r="B84" s="7"/>
      <c r="C84" s="7"/>
      <c r="D84" s="7"/>
      <c r="E84" s="11"/>
      <c r="F84" s="8"/>
      <c r="G84" s="8"/>
      <c r="H84" s="9"/>
      <c r="I84" s="10"/>
      <c r="J84" s="9"/>
      <c r="K84" s="10"/>
      <c r="L84" s="8"/>
      <c r="M84" s="8"/>
      <c r="N84" s="10"/>
      <c r="O84" s="10"/>
    </row>
    <row r="85" spans="1:15" ht="33.75" customHeight="1" x14ac:dyDescent="0.25">
      <c r="A85" s="7"/>
      <c r="B85" s="7"/>
      <c r="C85" s="7"/>
      <c r="D85" s="7"/>
      <c r="E85" s="11"/>
      <c r="F85" s="8"/>
      <c r="G85" s="8"/>
      <c r="H85" s="9"/>
      <c r="I85" s="10"/>
      <c r="J85" s="9"/>
      <c r="K85" s="10"/>
      <c r="L85" s="8"/>
      <c r="M85" s="8"/>
      <c r="N85" s="10"/>
      <c r="O85" s="10"/>
    </row>
    <row r="86" spans="1:15" ht="33.75" customHeight="1" x14ac:dyDescent="0.25">
      <c r="A86" s="7"/>
      <c r="B86" s="7"/>
      <c r="C86" s="7"/>
      <c r="D86" s="7"/>
      <c r="E86" s="11"/>
      <c r="F86" s="8"/>
      <c r="G86" s="8"/>
      <c r="H86" s="9"/>
      <c r="I86" s="10"/>
      <c r="J86" s="9"/>
      <c r="K86" s="10"/>
      <c r="L86" s="8"/>
      <c r="M86" s="8"/>
      <c r="N86" s="10"/>
      <c r="O86" s="10"/>
    </row>
    <row r="87" spans="1:15" ht="33.75" customHeight="1" x14ac:dyDescent="0.25">
      <c r="A87" s="7"/>
      <c r="B87" s="7"/>
      <c r="C87" s="7"/>
      <c r="D87" s="7"/>
      <c r="E87" s="11"/>
      <c r="F87" s="8"/>
      <c r="G87" s="8"/>
      <c r="H87" s="9"/>
      <c r="I87" s="10"/>
      <c r="J87" s="9"/>
      <c r="K87" s="10"/>
      <c r="L87" s="8"/>
      <c r="M87" s="8"/>
      <c r="N87" s="10"/>
      <c r="O87" s="10"/>
    </row>
    <row r="88" spans="1:15" ht="33.75" customHeight="1" x14ac:dyDescent="0.25">
      <c r="A88" s="7"/>
      <c r="B88" s="7"/>
      <c r="C88" s="7"/>
      <c r="D88" s="7"/>
      <c r="E88" s="11"/>
      <c r="F88" s="8"/>
      <c r="G88" s="8"/>
      <c r="H88" s="9"/>
      <c r="I88" s="10"/>
      <c r="J88" s="9"/>
      <c r="K88" s="10"/>
      <c r="L88" s="8"/>
      <c r="M88" s="8"/>
      <c r="N88" s="10"/>
      <c r="O88" s="10"/>
    </row>
    <row r="89" spans="1:15" ht="33.75" customHeight="1" x14ac:dyDescent="0.25">
      <c r="A89" s="7"/>
      <c r="B89" s="7"/>
      <c r="C89" s="7"/>
      <c r="D89" s="7"/>
      <c r="E89" s="11"/>
      <c r="F89" s="8"/>
      <c r="G89" s="8"/>
      <c r="H89" s="9"/>
      <c r="I89" s="10"/>
      <c r="J89" s="9"/>
      <c r="K89" s="10"/>
      <c r="L89" s="8"/>
      <c r="M89" s="8"/>
      <c r="N89" s="10"/>
      <c r="O89" s="10"/>
    </row>
    <row r="90" spans="1:15" ht="33.75" customHeight="1" x14ac:dyDescent="0.25">
      <c r="A90" s="7"/>
      <c r="B90" s="7"/>
      <c r="C90" s="7"/>
      <c r="D90" s="7"/>
      <c r="E90" s="11"/>
      <c r="F90" s="8"/>
      <c r="G90" s="8"/>
      <c r="H90" s="9"/>
      <c r="I90" s="10"/>
      <c r="J90" s="9"/>
      <c r="K90" s="10"/>
      <c r="L90" s="8"/>
      <c r="M90" s="8"/>
      <c r="N90" s="10"/>
      <c r="O90" s="10"/>
    </row>
    <row r="91" spans="1:15" ht="33.75" customHeight="1" x14ac:dyDescent="0.25">
      <c r="A91" s="7"/>
      <c r="B91" s="7"/>
      <c r="C91" s="7"/>
      <c r="D91" s="7"/>
      <c r="E91" s="11"/>
      <c r="F91" s="8"/>
      <c r="G91" s="8"/>
      <c r="H91" s="9"/>
      <c r="I91" s="10"/>
      <c r="J91" s="9"/>
      <c r="K91" s="10"/>
      <c r="L91" s="8"/>
      <c r="M91" s="8"/>
      <c r="N91" s="10"/>
      <c r="O91" s="10"/>
    </row>
    <row r="92" spans="1:15" ht="33.75" customHeight="1" x14ac:dyDescent="0.25">
      <c r="A92" s="7"/>
      <c r="B92" s="7"/>
      <c r="C92" s="7"/>
      <c r="D92" s="7"/>
      <c r="E92" s="11"/>
      <c r="F92" s="8"/>
      <c r="G92" s="8"/>
      <c r="H92" s="9"/>
      <c r="I92" s="10"/>
      <c r="J92" s="9"/>
      <c r="K92" s="10"/>
      <c r="L92" s="8"/>
      <c r="M92" s="8"/>
      <c r="N92" s="10"/>
      <c r="O92" s="10"/>
    </row>
    <row r="93" spans="1:15" ht="33.75" customHeight="1" x14ac:dyDescent="0.25">
      <c r="A93" s="7"/>
      <c r="B93" s="7"/>
      <c r="C93" s="7"/>
      <c r="D93" s="7"/>
      <c r="E93" s="11"/>
      <c r="F93" s="8"/>
      <c r="G93" s="8"/>
      <c r="H93" s="9"/>
      <c r="I93" s="10"/>
      <c r="J93" s="9"/>
      <c r="K93" s="10"/>
      <c r="L93" s="8"/>
      <c r="M93" s="8"/>
      <c r="N93" s="10"/>
      <c r="O93" s="10"/>
    </row>
    <row r="94" spans="1:15" ht="33.75" customHeight="1" x14ac:dyDescent="0.25">
      <c r="A94" s="7"/>
      <c r="B94" s="7"/>
      <c r="C94" s="7"/>
      <c r="D94" s="7"/>
      <c r="E94" s="11"/>
      <c r="F94" s="8"/>
      <c r="G94" s="8"/>
      <c r="H94" s="9"/>
      <c r="I94" s="10"/>
      <c r="J94" s="9"/>
      <c r="K94" s="10"/>
      <c r="L94" s="8"/>
      <c r="M94" s="8"/>
      <c r="N94" s="10"/>
      <c r="O94" s="10"/>
    </row>
    <row r="95" spans="1:15" ht="33.75" customHeight="1" x14ac:dyDescent="0.25">
      <c r="A95" s="7"/>
      <c r="B95" s="7"/>
      <c r="C95" s="7"/>
      <c r="D95" s="7"/>
      <c r="E95" s="11"/>
      <c r="F95" s="8"/>
      <c r="G95" s="8"/>
      <c r="H95" s="9"/>
      <c r="I95" s="10"/>
      <c r="J95" s="9"/>
      <c r="K95" s="10"/>
      <c r="L95" s="8"/>
      <c r="M95" s="8"/>
      <c r="N95" s="10"/>
      <c r="O95" s="10"/>
    </row>
    <row r="96" spans="1:15" ht="33.75" customHeight="1" x14ac:dyDescent="0.25">
      <c r="A96" s="7"/>
      <c r="B96" s="7"/>
      <c r="C96" s="7"/>
      <c r="D96" s="7"/>
      <c r="E96" s="11"/>
      <c r="F96" s="8"/>
      <c r="G96" s="8"/>
      <c r="H96" s="9"/>
      <c r="I96" s="10"/>
      <c r="J96" s="9"/>
      <c r="K96" s="10"/>
      <c r="L96" s="8"/>
      <c r="M96" s="8"/>
      <c r="N96" s="10"/>
      <c r="O96" s="10"/>
    </row>
    <row r="97" spans="1:15" ht="33.75" customHeight="1" x14ac:dyDescent="0.25">
      <c r="A97" s="7"/>
      <c r="B97" s="7"/>
      <c r="C97" s="7"/>
      <c r="D97" s="7"/>
      <c r="E97" s="11"/>
      <c r="F97" s="8"/>
      <c r="G97" s="8"/>
      <c r="H97" s="9"/>
      <c r="I97" s="10"/>
      <c r="J97" s="9"/>
      <c r="K97" s="10"/>
      <c r="L97" s="8"/>
      <c r="M97" s="8"/>
      <c r="N97" s="10"/>
      <c r="O97" s="10"/>
    </row>
    <row r="98" spans="1:15" ht="33.75" customHeight="1" x14ac:dyDescent="0.25">
      <c r="A98" s="7"/>
      <c r="B98" s="7"/>
      <c r="C98" s="7"/>
      <c r="D98" s="7"/>
      <c r="E98" s="11"/>
      <c r="F98" s="8"/>
      <c r="G98" s="8"/>
      <c r="H98" s="9"/>
      <c r="I98" s="10"/>
      <c r="J98" s="9"/>
      <c r="K98" s="10"/>
      <c r="L98" s="8"/>
      <c r="M98" s="8"/>
      <c r="N98" s="10"/>
      <c r="O98" s="10"/>
    </row>
    <row r="99" spans="1:15" ht="33.75" customHeight="1" x14ac:dyDescent="0.25">
      <c r="A99" s="7"/>
      <c r="B99" s="7"/>
      <c r="C99" s="7"/>
      <c r="D99" s="7"/>
      <c r="E99" s="11"/>
      <c r="F99" s="8"/>
      <c r="G99" s="8"/>
      <c r="H99" s="9"/>
      <c r="I99" s="10"/>
      <c r="J99" s="9"/>
      <c r="K99" s="10"/>
      <c r="L99" s="8"/>
      <c r="M99" s="8"/>
      <c r="N99" s="10"/>
      <c r="O99" s="10"/>
    </row>
    <row r="100" spans="1:15" ht="33.75" customHeight="1" x14ac:dyDescent="0.25">
      <c r="A100" s="7"/>
      <c r="B100" s="7"/>
      <c r="C100" s="7"/>
      <c r="D100" s="7"/>
      <c r="E100" s="11"/>
      <c r="F100" s="8"/>
      <c r="G100" s="8"/>
      <c r="H100" s="9"/>
      <c r="I100" s="10"/>
      <c r="J100" s="9"/>
      <c r="K100" s="10"/>
      <c r="L100" s="8"/>
      <c r="M100" s="8"/>
      <c r="N100" s="10"/>
      <c r="O100" s="10"/>
    </row>
    <row r="101" spans="1:15" ht="33.75" customHeight="1" x14ac:dyDescent="0.25">
      <c r="A101" s="7"/>
      <c r="B101" s="7"/>
      <c r="C101" s="7"/>
      <c r="D101" s="7"/>
      <c r="E101" s="11"/>
      <c r="F101" s="8"/>
      <c r="G101" s="8"/>
      <c r="H101" s="9"/>
      <c r="I101" s="10"/>
      <c r="J101" s="9"/>
      <c r="K101" s="10"/>
      <c r="L101" s="8"/>
      <c r="M101" s="8"/>
      <c r="N101" s="10"/>
      <c r="O101" s="10"/>
    </row>
    <row r="102" spans="1:15" ht="33.75" customHeight="1" x14ac:dyDescent="0.25">
      <c r="A102" s="7"/>
      <c r="B102" s="7"/>
      <c r="C102" s="7"/>
      <c r="D102" s="7"/>
      <c r="E102" s="11"/>
      <c r="F102" s="8"/>
      <c r="G102" s="8"/>
      <c r="H102" s="9"/>
      <c r="I102" s="10"/>
      <c r="J102" s="9"/>
      <c r="K102" s="10"/>
      <c r="L102" s="8"/>
      <c r="M102" s="8"/>
      <c r="N102" s="10"/>
      <c r="O102" s="10"/>
    </row>
    <row r="103" spans="1:15" ht="33.75" customHeight="1" x14ac:dyDescent="0.25">
      <c r="A103" s="7"/>
      <c r="B103" s="7"/>
      <c r="C103" s="7"/>
      <c r="D103" s="7"/>
      <c r="E103" s="11"/>
      <c r="F103" s="8"/>
      <c r="G103" s="8"/>
      <c r="H103" s="9"/>
      <c r="I103" s="10"/>
      <c r="J103" s="9"/>
      <c r="K103" s="10"/>
      <c r="L103" s="8"/>
      <c r="M103" s="8"/>
      <c r="N103" s="10"/>
      <c r="O103" s="10"/>
    </row>
    <row r="104" spans="1:15" ht="33.75" customHeight="1" x14ac:dyDescent="0.25">
      <c r="A104" s="7"/>
      <c r="B104" s="7"/>
      <c r="C104" s="7"/>
      <c r="D104" s="7"/>
      <c r="E104" s="11"/>
      <c r="F104" s="8"/>
      <c r="G104" s="8"/>
      <c r="H104" s="9"/>
      <c r="I104" s="10"/>
      <c r="J104" s="9"/>
      <c r="K104" s="10"/>
      <c r="L104" s="8"/>
      <c r="M104" s="8"/>
      <c r="N104" s="10"/>
      <c r="O104" s="10"/>
    </row>
    <row r="105" spans="1:15" ht="33.75" customHeight="1" x14ac:dyDescent="0.25">
      <c r="A105" s="7"/>
      <c r="B105" s="7"/>
      <c r="C105" s="7"/>
      <c r="D105" s="7"/>
      <c r="E105" s="11"/>
      <c r="F105" s="8"/>
      <c r="G105" s="8"/>
      <c r="H105" s="9"/>
      <c r="I105" s="10"/>
      <c r="J105" s="9"/>
      <c r="K105" s="10"/>
      <c r="L105" s="8"/>
      <c r="M105" s="8"/>
      <c r="N105" s="10"/>
      <c r="O105" s="10"/>
    </row>
    <row r="106" spans="1:15" ht="33.75" customHeight="1" x14ac:dyDescent="0.25">
      <c r="A106" s="7"/>
      <c r="B106" s="7"/>
      <c r="C106" s="7"/>
      <c r="D106" s="7"/>
      <c r="E106" s="11"/>
      <c r="F106" s="8"/>
      <c r="G106" s="8"/>
      <c r="H106" s="9"/>
      <c r="I106" s="10"/>
      <c r="J106" s="9"/>
      <c r="K106" s="10"/>
      <c r="L106" s="8"/>
      <c r="M106" s="8"/>
      <c r="N106" s="10"/>
      <c r="O106" s="10"/>
    </row>
    <row r="107" spans="1:15" ht="33.75" customHeight="1" x14ac:dyDescent="0.25">
      <c r="A107" s="7"/>
      <c r="B107" s="7"/>
      <c r="C107" s="7"/>
      <c r="D107" s="7"/>
      <c r="E107" s="11"/>
      <c r="F107" s="8"/>
      <c r="G107" s="8"/>
      <c r="H107" s="9"/>
      <c r="I107" s="10"/>
      <c r="J107" s="9"/>
      <c r="K107" s="10"/>
      <c r="L107" s="8"/>
      <c r="M107" s="8"/>
      <c r="N107" s="10"/>
      <c r="O107" s="10"/>
    </row>
    <row r="108" spans="1:15" ht="33.75" customHeight="1" x14ac:dyDescent="0.25">
      <c r="A108" s="7"/>
      <c r="B108" s="7"/>
      <c r="C108" s="7"/>
      <c r="D108" s="7"/>
      <c r="E108" s="11"/>
      <c r="F108" s="8"/>
      <c r="G108" s="8"/>
      <c r="H108" s="9"/>
      <c r="I108" s="10"/>
      <c r="J108" s="9"/>
      <c r="K108" s="10"/>
      <c r="L108" s="8"/>
      <c r="M108" s="8"/>
      <c r="N108" s="10"/>
      <c r="O108" s="10"/>
    </row>
    <row r="109" spans="1:15" ht="33.75" customHeight="1" x14ac:dyDescent="0.25">
      <c r="A109" s="7"/>
      <c r="B109" s="7"/>
      <c r="C109" s="7"/>
      <c r="D109" s="7"/>
      <c r="E109" s="11"/>
      <c r="F109" s="8"/>
      <c r="G109" s="8"/>
      <c r="H109" s="9"/>
      <c r="I109" s="10"/>
      <c r="J109" s="9"/>
      <c r="K109" s="10"/>
      <c r="L109" s="8"/>
      <c r="M109" s="8"/>
      <c r="N109" s="10"/>
      <c r="O109" s="10"/>
    </row>
    <row r="110" spans="1:15" ht="33.75" customHeight="1" x14ac:dyDescent="0.25">
      <c r="A110" s="7"/>
      <c r="B110" s="7"/>
      <c r="C110" s="7"/>
      <c r="D110" s="7"/>
      <c r="E110" s="11"/>
      <c r="F110" s="8"/>
      <c r="G110" s="8"/>
      <c r="H110" s="9"/>
      <c r="I110" s="10"/>
      <c r="J110" s="9"/>
      <c r="K110" s="10"/>
      <c r="L110" s="8"/>
      <c r="M110" s="8"/>
      <c r="N110" s="10"/>
      <c r="O110" s="10"/>
    </row>
    <row r="111" spans="1:15" ht="33.75" customHeight="1" x14ac:dyDescent="0.25">
      <c r="A111" s="7"/>
      <c r="B111" s="7"/>
      <c r="C111" s="7"/>
      <c r="D111" s="7"/>
      <c r="E111" s="11"/>
      <c r="F111" s="8"/>
      <c r="G111" s="8"/>
      <c r="H111" s="9"/>
      <c r="I111" s="10"/>
      <c r="J111" s="9"/>
      <c r="K111" s="10"/>
      <c r="L111" s="8"/>
      <c r="M111" s="8"/>
      <c r="N111" s="10"/>
      <c r="O111" s="10"/>
    </row>
    <row r="112" spans="1:15" ht="33.75" customHeight="1" x14ac:dyDescent="0.25">
      <c r="A112" s="7"/>
      <c r="B112" s="7"/>
      <c r="C112" s="7"/>
      <c r="D112" s="7"/>
      <c r="E112" s="11"/>
      <c r="F112" s="8"/>
      <c r="G112" s="8"/>
      <c r="H112" s="9"/>
      <c r="I112" s="10"/>
      <c r="J112" s="9"/>
      <c r="K112" s="10"/>
      <c r="L112" s="8"/>
      <c r="M112" s="8"/>
      <c r="N112" s="10"/>
      <c r="O112" s="10"/>
    </row>
    <row r="113" spans="1:15" ht="33.75" customHeight="1" x14ac:dyDescent="0.25">
      <c r="A113" s="7"/>
      <c r="B113" s="7"/>
      <c r="C113" s="7"/>
      <c r="D113" s="7"/>
      <c r="E113" s="11"/>
      <c r="F113" s="8"/>
      <c r="G113" s="8"/>
      <c r="H113" s="9"/>
      <c r="I113" s="10"/>
      <c r="J113" s="9"/>
      <c r="K113" s="10"/>
      <c r="L113" s="8"/>
      <c r="M113" s="8"/>
      <c r="N113" s="10"/>
      <c r="O113" s="10"/>
    </row>
    <row r="114" spans="1:15" ht="33.75" customHeight="1" x14ac:dyDescent="0.25">
      <c r="A114" s="7"/>
      <c r="B114" s="7"/>
      <c r="C114" s="7"/>
      <c r="D114" s="7"/>
      <c r="E114" s="11"/>
      <c r="F114" s="8"/>
      <c r="G114" s="8"/>
      <c r="H114" s="9"/>
      <c r="I114" s="10"/>
      <c r="J114" s="9"/>
      <c r="K114" s="10"/>
      <c r="L114" s="8"/>
      <c r="M114" s="8"/>
      <c r="N114" s="10"/>
      <c r="O114" s="10"/>
    </row>
    <row r="115" spans="1:15" ht="33.75" customHeight="1" x14ac:dyDescent="0.25">
      <c r="A115" s="7"/>
      <c r="B115" s="7"/>
      <c r="C115" s="7"/>
      <c r="D115" s="7"/>
      <c r="E115" s="11"/>
      <c r="F115" s="8"/>
      <c r="G115" s="8"/>
      <c r="H115" s="9"/>
      <c r="I115" s="10"/>
      <c r="J115" s="9"/>
      <c r="K115" s="10"/>
      <c r="L115" s="8"/>
      <c r="M115" s="8"/>
      <c r="N115" s="10"/>
      <c r="O115" s="10"/>
    </row>
    <row r="116" spans="1:15" ht="33.75" customHeight="1" x14ac:dyDescent="0.25">
      <c r="A116" s="7"/>
      <c r="B116" s="7"/>
      <c r="C116" s="7"/>
      <c r="D116" s="7"/>
      <c r="E116" s="11"/>
      <c r="F116" s="8"/>
      <c r="G116" s="8"/>
      <c r="H116" s="9"/>
      <c r="I116" s="10"/>
      <c r="J116" s="9"/>
      <c r="K116" s="10"/>
      <c r="L116" s="8"/>
      <c r="M116" s="8"/>
      <c r="N116" s="10"/>
      <c r="O116" s="10"/>
    </row>
    <row r="117" spans="1:15" ht="33.75" customHeight="1" x14ac:dyDescent="0.25">
      <c r="A117" s="7"/>
      <c r="B117" s="7"/>
      <c r="C117" s="7"/>
      <c r="D117" s="7"/>
      <c r="E117" s="11"/>
      <c r="F117" s="8"/>
      <c r="G117" s="8"/>
      <c r="H117" s="9"/>
      <c r="I117" s="10"/>
      <c r="J117" s="9"/>
      <c r="K117" s="10"/>
      <c r="L117" s="8"/>
      <c r="M117" s="8"/>
      <c r="N117" s="10"/>
      <c r="O117" s="10"/>
    </row>
    <row r="118" spans="1:15" ht="33.75" customHeight="1" x14ac:dyDescent="0.25">
      <c r="A118" s="7"/>
      <c r="B118" s="7"/>
      <c r="C118" s="7"/>
      <c r="D118" s="7"/>
      <c r="E118" s="11"/>
      <c r="F118" s="8"/>
      <c r="G118" s="8"/>
      <c r="H118" s="9"/>
      <c r="I118" s="10"/>
      <c r="J118" s="9"/>
      <c r="K118" s="10"/>
      <c r="L118" s="8"/>
      <c r="M118" s="8"/>
      <c r="N118" s="10"/>
      <c r="O118" s="10"/>
    </row>
    <row r="119" spans="1:15" ht="33.75" customHeight="1" x14ac:dyDescent="0.25">
      <c r="A119" s="7"/>
      <c r="B119" s="7"/>
      <c r="C119" s="7"/>
      <c r="D119" s="7"/>
      <c r="E119" s="11"/>
      <c r="F119" s="8"/>
      <c r="G119" s="8"/>
      <c r="H119" s="9"/>
      <c r="I119" s="10"/>
      <c r="J119" s="9"/>
      <c r="K119" s="10"/>
      <c r="L119" s="8"/>
      <c r="M119" s="8"/>
      <c r="N119" s="10"/>
      <c r="O119" s="10"/>
    </row>
    <row r="120" spans="1:15" ht="33.75" customHeight="1" x14ac:dyDescent="0.25">
      <c r="A120" s="7"/>
      <c r="B120" s="7"/>
      <c r="C120" s="7"/>
      <c r="D120" s="7"/>
      <c r="E120" s="11"/>
      <c r="F120" s="8"/>
      <c r="G120" s="8"/>
      <c r="H120" s="9"/>
      <c r="I120" s="10"/>
      <c r="J120" s="9"/>
      <c r="K120" s="10"/>
      <c r="L120" s="8"/>
      <c r="M120" s="8"/>
      <c r="N120" s="10"/>
      <c r="O120" s="10"/>
    </row>
    <row r="121" spans="1:15" ht="33.75" customHeight="1" x14ac:dyDescent="0.25">
      <c r="A121" s="7"/>
      <c r="B121" s="7"/>
      <c r="C121" s="7"/>
      <c r="D121" s="7"/>
      <c r="E121" s="11"/>
      <c r="F121" s="8"/>
      <c r="G121" s="8"/>
      <c r="H121" s="9"/>
      <c r="I121" s="10"/>
      <c r="J121" s="9"/>
      <c r="K121" s="10"/>
      <c r="L121" s="8"/>
      <c r="M121" s="8"/>
      <c r="N121" s="10"/>
      <c r="O121" s="10"/>
    </row>
    <row r="122" spans="1:15" ht="33.75" customHeight="1" x14ac:dyDescent="0.25">
      <c r="A122" s="7"/>
      <c r="B122" s="7"/>
      <c r="C122" s="7"/>
      <c r="D122" s="7"/>
      <c r="E122" s="11"/>
      <c r="F122" s="8"/>
      <c r="G122" s="8"/>
      <c r="H122" s="9"/>
      <c r="I122" s="10"/>
      <c r="J122" s="9"/>
      <c r="K122" s="10"/>
      <c r="L122" s="8"/>
      <c r="M122" s="8"/>
      <c r="N122" s="10"/>
      <c r="O122" s="10"/>
    </row>
    <row r="123" spans="1:15" ht="33.75" customHeight="1" x14ac:dyDescent="0.25">
      <c r="A123" s="7"/>
      <c r="B123" s="7"/>
      <c r="C123" s="7"/>
      <c r="D123" s="7"/>
      <c r="E123" s="11"/>
      <c r="F123" s="8"/>
      <c r="G123" s="8"/>
      <c r="H123" s="9"/>
      <c r="I123" s="10"/>
      <c r="J123" s="9"/>
      <c r="K123" s="10"/>
      <c r="L123" s="8"/>
      <c r="M123" s="8"/>
      <c r="N123" s="10"/>
      <c r="O123" s="10"/>
    </row>
    <row r="124" spans="1:15" ht="33.75" customHeight="1" x14ac:dyDescent="0.25">
      <c r="A124" s="7"/>
      <c r="B124" s="7"/>
      <c r="C124" s="7"/>
      <c r="D124" s="7"/>
      <c r="E124" s="11"/>
      <c r="F124" s="8"/>
      <c r="G124" s="8"/>
      <c r="H124" s="9"/>
      <c r="I124" s="10"/>
      <c r="J124" s="9"/>
      <c r="K124" s="10"/>
      <c r="L124" s="8"/>
      <c r="M124" s="8"/>
      <c r="N124" s="10"/>
      <c r="O124" s="10"/>
    </row>
    <row r="125" spans="1:15" ht="33.75" customHeight="1" x14ac:dyDescent="0.25">
      <c r="A125" s="7"/>
      <c r="B125" s="7"/>
      <c r="C125" s="7"/>
      <c r="D125" s="7"/>
      <c r="E125" s="11"/>
      <c r="F125" s="8"/>
      <c r="G125" s="8"/>
      <c r="H125" s="9"/>
      <c r="I125" s="10"/>
      <c r="J125" s="9"/>
      <c r="K125" s="10"/>
      <c r="L125" s="8"/>
      <c r="M125" s="8"/>
      <c r="N125" s="10"/>
      <c r="O125" s="10"/>
    </row>
    <row r="126" spans="1:15" ht="33.75" customHeight="1" x14ac:dyDescent="0.25">
      <c r="A126" s="7"/>
      <c r="B126" s="7"/>
      <c r="C126" s="7"/>
      <c r="D126" s="7"/>
      <c r="E126" s="11"/>
      <c r="F126" s="8"/>
      <c r="G126" s="8"/>
      <c r="H126" s="9"/>
      <c r="I126" s="10"/>
      <c r="J126" s="9"/>
      <c r="K126" s="10"/>
      <c r="L126" s="8"/>
      <c r="M126" s="8"/>
      <c r="N126" s="10"/>
      <c r="O126" s="10"/>
    </row>
    <row r="127" spans="1:15" ht="33.75" customHeight="1" x14ac:dyDescent="0.25">
      <c r="A127" s="7"/>
      <c r="B127" s="7"/>
      <c r="C127" s="7"/>
      <c r="D127" s="7"/>
      <c r="E127" s="11"/>
      <c r="F127" s="8"/>
      <c r="G127" s="8"/>
      <c r="H127" s="9"/>
      <c r="I127" s="10"/>
      <c r="J127" s="9"/>
      <c r="K127" s="10"/>
      <c r="L127" s="8"/>
      <c r="M127" s="8"/>
      <c r="N127" s="10"/>
      <c r="O127" s="10"/>
    </row>
    <row r="128" spans="1:15" ht="33.75" customHeight="1" x14ac:dyDescent="0.25">
      <c r="A128" s="7"/>
      <c r="B128" s="7"/>
      <c r="C128" s="7"/>
      <c r="D128" s="7"/>
      <c r="E128" s="11"/>
      <c r="F128" s="8"/>
      <c r="G128" s="8"/>
      <c r="H128" s="9"/>
      <c r="I128" s="10"/>
      <c r="J128" s="9"/>
      <c r="K128" s="10"/>
      <c r="L128" s="8"/>
      <c r="M128" s="8"/>
      <c r="N128" s="10"/>
      <c r="O128" s="10"/>
    </row>
    <row r="129" spans="1:15" ht="33.75" customHeight="1" x14ac:dyDescent="0.25">
      <c r="A129" s="7"/>
      <c r="B129" s="7"/>
      <c r="C129" s="7"/>
      <c r="D129" s="7"/>
      <c r="E129" s="11"/>
      <c r="F129" s="8"/>
      <c r="G129" s="8"/>
      <c r="H129" s="9"/>
      <c r="I129" s="10"/>
      <c r="J129" s="9"/>
      <c r="K129" s="10"/>
      <c r="L129" s="8"/>
      <c r="M129" s="8"/>
      <c r="N129" s="10"/>
      <c r="O129" s="10"/>
    </row>
    <row r="130" spans="1:15" ht="33.75" customHeight="1" x14ac:dyDescent="0.25">
      <c r="A130" s="7"/>
      <c r="B130" s="7"/>
      <c r="C130" s="7"/>
      <c r="D130" s="7"/>
      <c r="E130" s="11"/>
      <c r="F130" s="8"/>
      <c r="G130" s="8"/>
      <c r="H130" s="9"/>
      <c r="I130" s="10"/>
      <c r="J130" s="9"/>
      <c r="K130" s="10"/>
      <c r="L130" s="8"/>
      <c r="M130" s="8"/>
      <c r="N130" s="10"/>
      <c r="O130" s="10"/>
    </row>
    <row r="131" spans="1:15" ht="33.75" customHeight="1" x14ac:dyDescent="0.25">
      <c r="A131" s="7"/>
      <c r="B131" s="7"/>
      <c r="C131" s="7"/>
      <c r="D131" s="7"/>
      <c r="E131" s="11"/>
      <c r="F131" s="8"/>
      <c r="G131" s="8"/>
      <c r="H131" s="9"/>
      <c r="I131" s="10"/>
      <c r="J131" s="9"/>
      <c r="K131" s="10"/>
      <c r="L131" s="8"/>
      <c r="M131" s="8"/>
      <c r="N131" s="10"/>
      <c r="O131" s="10"/>
    </row>
    <row r="132" spans="1:15" ht="33.75" customHeight="1" x14ac:dyDescent="0.25">
      <c r="A132" s="7"/>
      <c r="B132" s="7"/>
      <c r="C132" s="7"/>
      <c r="D132" s="7"/>
      <c r="E132" s="11"/>
      <c r="F132" s="8"/>
      <c r="G132" s="8"/>
      <c r="H132" s="9"/>
      <c r="I132" s="10"/>
      <c r="J132" s="9"/>
      <c r="K132" s="10"/>
      <c r="L132" s="8"/>
      <c r="M132" s="8"/>
      <c r="N132" s="10"/>
      <c r="O132" s="10"/>
    </row>
    <row r="133" spans="1:15" ht="33.75" customHeight="1" x14ac:dyDescent="0.25">
      <c r="A133" s="7"/>
      <c r="B133" s="7"/>
      <c r="C133" s="7"/>
      <c r="D133" s="7"/>
      <c r="E133" s="11"/>
      <c r="F133" s="8"/>
      <c r="G133" s="8"/>
      <c r="H133" s="9"/>
      <c r="I133" s="10"/>
      <c r="J133" s="9"/>
      <c r="K133" s="10"/>
      <c r="L133" s="8"/>
      <c r="M133" s="8"/>
      <c r="N133" s="10"/>
      <c r="O133" s="10"/>
    </row>
    <row r="134" spans="1:15" ht="33.75" customHeight="1" x14ac:dyDescent="0.25">
      <c r="A134" s="7"/>
      <c r="B134" s="7"/>
      <c r="C134" s="7"/>
      <c r="D134" s="7"/>
      <c r="E134" s="11"/>
      <c r="F134" s="8"/>
      <c r="G134" s="8"/>
      <c r="H134" s="9"/>
      <c r="I134" s="10"/>
      <c r="J134" s="9"/>
      <c r="K134" s="10"/>
      <c r="L134" s="8"/>
      <c r="M134" s="8"/>
      <c r="N134" s="10"/>
      <c r="O134" s="10"/>
    </row>
    <row r="135" spans="1:15" ht="33.75" customHeight="1" x14ac:dyDescent="0.25">
      <c r="A135" s="7"/>
      <c r="B135" s="7"/>
      <c r="C135" s="7"/>
      <c r="D135" s="7"/>
      <c r="E135" s="11"/>
      <c r="F135" s="8"/>
      <c r="G135" s="8"/>
      <c r="H135" s="9"/>
      <c r="I135" s="10"/>
      <c r="J135" s="9"/>
      <c r="K135" s="10"/>
      <c r="L135" s="8"/>
      <c r="M135" s="8"/>
      <c r="N135" s="10"/>
      <c r="O135" s="10"/>
    </row>
    <row r="136" spans="1:15" ht="33.75" customHeight="1" x14ac:dyDescent="0.25">
      <c r="A136" s="7"/>
      <c r="B136" s="7"/>
      <c r="C136" s="7"/>
      <c r="D136" s="7"/>
      <c r="E136" s="11"/>
      <c r="F136" s="8"/>
      <c r="G136" s="8"/>
      <c r="H136" s="9"/>
      <c r="I136" s="10"/>
      <c r="J136" s="9"/>
      <c r="K136" s="10"/>
      <c r="L136" s="8"/>
      <c r="M136" s="8"/>
      <c r="N136" s="10"/>
      <c r="O136" s="10"/>
    </row>
    <row r="137" spans="1:15" ht="33.75" customHeight="1" x14ac:dyDescent="0.25">
      <c r="A137" s="7"/>
      <c r="B137" s="7"/>
      <c r="C137" s="7"/>
      <c r="D137" s="7"/>
      <c r="E137" s="11"/>
      <c r="F137" s="8"/>
      <c r="G137" s="8"/>
      <c r="H137" s="9"/>
      <c r="I137" s="10"/>
      <c r="J137" s="9"/>
      <c r="K137" s="10"/>
      <c r="L137" s="8"/>
      <c r="M137" s="8"/>
      <c r="N137" s="10"/>
      <c r="O137" s="10"/>
    </row>
    <row r="138" spans="1:15" ht="33.75" customHeight="1" x14ac:dyDescent="0.25">
      <c r="A138" s="7"/>
      <c r="B138" s="7"/>
      <c r="C138" s="7"/>
      <c r="D138" s="7"/>
      <c r="E138" s="11"/>
      <c r="F138" s="8"/>
      <c r="G138" s="8"/>
      <c r="H138" s="9"/>
      <c r="I138" s="10"/>
      <c r="J138" s="9"/>
      <c r="K138" s="10"/>
      <c r="L138" s="8"/>
      <c r="M138" s="8"/>
      <c r="N138" s="10"/>
      <c r="O138" s="10"/>
    </row>
    <row r="139" spans="1:15" ht="33.75" customHeight="1" x14ac:dyDescent="0.25">
      <c r="A139" s="7"/>
      <c r="B139" s="7"/>
      <c r="C139" s="7"/>
      <c r="D139" s="7"/>
      <c r="E139" s="11"/>
      <c r="F139" s="8"/>
      <c r="G139" s="8"/>
      <c r="H139" s="9"/>
      <c r="I139" s="10"/>
      <c r="J139" s="9"/>
      <c r="K139" s="10"/>
      <c r="L139" s="8"/>
      <c r="M139" s="8"/>
      <c r="N139" s="10"/>
      <c r="O139" s="10"/>
    </row>
    <row r="140" spans="1:15" ht="33.75" customHeight="1" x14ac:dyDescent="0.25">
      <c r="A140" s="7"/>
      <c r="B140" s="7"/>
      <c r="C140" s="7"/>
      <c r="D140" s="7"/>
      <c r="E140" s="11"/>
      <c r="F140" s="8"/>
      <c r="G140" s="8"/>
      <c r="H140" s="9"/>
      <c r="I140" s="10"/>
      <c r="J140" s="9"/>
      <c r="K140" s="10"/>
      <c r="L140" s="8"/>
      <c r="M140" s="8"/>
      <c r="N140" s="10"/>
      <c r="O140" s="10"/>
    </row>
    <row r="141" spans="1:15" ht="33.75" customHeight="1" x14ac:dyDescent="0.25">
      <c r="A141" s="7"/>
      <c r="B141" s="7"/>
      <c r="C141" s="7"/>
      <c r="D141" s="7"/>
      <c r="E141" s="11"/>
      <c r="F141" s="8"/>
      <c r="G141" s="8"/>
      <c r="H141" s="9"/>
      <c r="I141" s="10"/>
      <c r="J141" s="9"/>
      <c r="K141" s="10"/>
      <c r="L141" s="8"/>
      <c r="M141" s="8"/>
      <c r="N141" s="10"/>
      <c r="O141" s="10"/>
    </row>
    <row r="142" spans="1:15" ht="33.75" customHeight="1" x14ac:dyDescent="0.25">
      <c r="A142" s="7"/>
      <c r="B142" s="7"/>
      <c r="C142" s="7"/>
      <c r="D142" s="7"/>
      <c r="E142" s="11"/>
      <c r="F142" s="8"/>
      <c r="G142" s="8"/>
      <c r="H142" s="9"/>
      <c r="I142" s="10"/>
      <c r="J142" s="9"/>
      <c r="K142" s="10"/>
      <c r="L142" s="8"/>
      <c r="M142" s="8"/>
      <c r="N142" s="10"/>
      <c r="O142" s="10"/>
    </row>
    <row r="143" spans="1:15" ht="33.75" customHeight="1" x14ac:dyDescent="0.25">
      <c r="A143" s="7"/>
      <c r="B143" s="7"/>
      <c r="C143" s="7"/>
      <c r="D143" s="7"/>
      <c r="E143" s="11"/>
      <c r="F143" s="8"/>
      <c r="G143" s="8"/>
      <c r="H143" s="9"/>
      <c r="I143" s="10"/>
      <c r="J143" s="9"/>
      <c r="K143" s="10"/>
      <c r="L143" s="8"/>
      <c r="M143" s="8"/>
      <c r="N143" s="10"/>
      <c r="O143" s="10"/>
    </row>
    <row r="144" spans="1:15" ht="33.75" customHeight="1" x14ac:dyDescent="0.25">
      <c r="A144" s="7"/>
      <c r="B144" s="7"/>
      <c r="C144" s="7"/>
      <c r="D144" s="7"/>
      <c r="E144" s="11"/>
      <c r="F144" s="8"/>
      <c r="G144" s="8"/>
      <c r="H144" s="9"/>
      <c r="I144" s="10"/>
      <c r="J144" s="9"/>
      <c r="K144" s="10"/>
      <c r="L144" s="8"/>
      <c r="M144" s="8"/>
      <c r="N144" s="10"/>
      <c r="O144" s="10"/>
    </row>
    <row r="145" spans="1:15" ht="33.75" customHeight="1" x14ac:dyDescent="0.25">
      <c r="A145" s="7"/>
      <c r="B145" s="7"/>
      <c r="C145" s="7"/>
      <c r="D145" s="7"/>
      <c r="E145" s="11"/>
      <c r="F145" s="8"/>
      <c r="G145" s="8"/>
      <c r="H145" s="9"/>
      <c r="I145" s="10"/>
      <c r="J145" s="9"/>
      <c r="K145" s="10"/>
      <c r="L145" s="8"/>
      <c r="M145" s="8"/>
      <c r="N145" s="10"/>
      <c r="O145" s="10"/>
    </row>
    <row r="146" spans="1:15" ht="33.75" customHeight="1" x14ac:dyDescent="0.25">
      <c r="A146" s="7"/>
      <c r="B146" s="7"/>
      <c r="C146" s="7"/>
      <c r="D146" s="7"/>
      <c r="E146" s="11"/>
      <c r="F146" s="8"/>
      <c r="G146" s="8"/>
      <c r="H146" s="9"/>
      <c r="I146" s="10"/>
      <c r="J146" s="9"/>
      <c r="K146" s="10"/>
      <c r="L146" s="8"/>
      <c r="M146" s="8"/>
      <c r="N146" s="10"/>
      <c r="O146" s="10"/>
    </row>
    <row r="147" spans="1:15" ht="33.75" customHeight="1" x14ac:dyDescent="0.25">
      <c r="A147" s="7"/>
      <c r="B147" s="7"/>
      <c r="C147" s="7"/>
      <c r="D147" s="7"/>
      <c r="E147" s="11"/>
      <c r="F147" s="8"/>
      <c r="G147" s="8"/>
      <c r="H147" s="9"/>
      <c r="I147" s="10"/>
      <c r="J147" s="9"/>
      <c r="K147" s="10"/>
      <c r="L147" s="8"/>
      <c r="M147" s="8"/>
      <c r="N147" s="10"/>
      <c r="O147" s="10"/>
    </row>
    <row r="148" spans="1:15" ht="33.75" customHeight="1" x14ac:dyDescent="0.25">
      <c r="A148" s="7"/>
      <c r="B148" s="7"/>
      <c r="C148" s="7"/>
      <c r="D148" s="7"/>
      <c r="E148" s="11"/>
      <c r="F148" s="8"/>
      <c r="G148" s="8"/>
      <c r="H148" s="9"/>
      <c r="I148" s="10"/>
      <c r="J148" s="9"/>
      <c r="K148" s="10"/>
      <c r="L148" s="8"/>
      <c r="M148" s="8"/>
      <c r="N148" s="10"/>
      <c r="O148" s="10"/>
    </row>
    <row r="149" spans="1:15" ht="33.75" customHeight="1" x14ac:dyDescent="0.25">
      <c r="A149" s="7"/>
      <c r="B149" s="7"/>
      <c r="C149" s="7"/>
      <c r="D149" s="7"/>
      <c r="E149" s="11"/>
      <c r="F149" s="8"/>
      <c r="G149" s="8"/>
      <c r="H149" s="9"/>
      <c r="I149" s="10"/>
      <c r="J149" s="9"/>
      <c r="K149" s="10"/>
      <c r="L149" s="8"/>
      <c r="M149" s="8"/>
      <c r="N149" s="10"/>
      <c r="O149" s="10"/>
    </row>
    <row r="150" spans="1:15" ht="33.75" customHeight="1" x14ac:dyDescent="0.25">
      <c r="A150" s="7"/>
      <c r="B150" s="7"/>
      <c r="C150" s="7"/>
      <c r="D150" s="7"/>
      <c r="E150" s="11"/>
      <c r="F150" s="8"/>
      <c r="G150" s="8"/>
      <c r="H150" s="9"/>
      <c r="I150" s="10"/>
      <c r="J150" s="9"/>
      <c r="K150" s="10"/>
      <c r="L150" s="8"/>
      <c r="M150" s="8"/>
      <c r="N150" s="10"/>
      <c r="O150" s="10"/>
    </row>
    <row r="151" spans="1:15" ht="33.75" customHeight="1" x14ac:dyDescent="0.25">
      <c r="A151" s="7"/>
      <c r="B151" s="7"/>
      <c r="C151" s="7"/>
      <c r="D151" s="7"/>
      <c r="E151" s="11"/>
      <c r="F151" s="8"/>
      <c r="G151" s="8"/>
      <c r="H151" s="9"/>
      <c r="I151" s="10"/>
      <c r="J151" s="9"/>
      <c r="K151" s="10"/>
      <c r="L151" s="8"/>
      <c r="M151" s="8"/>
      <c r="N151" s="10"/>
      <c r="O151" s="10"/>
    </row>
    <row r="152" spans="1:15" ht="33.75" customHeight="1" x14ac:dyDescent="0.25">
      <c r="A152" s="7"/>
      <c r="B152" s="7"/>
      <c r="C152" s="7"/>
      <c r="D152" s="7"/>
      <c r="E152" s="11"/>
      <c r="F152" s="8"/>
      <c r="G152" s="8"/>
      <c r="H152" s="9"/>
      <c r="I152" s="10"/>
      <c r="J152" s="9"/>
      <c r="K152" s="10"/>
      <c r="L152" s="8"/>
      <c r="M152" s="8"/>
      <c r="N152" s="10"/>
      <c r="O152" s="10"/>
    </row>
    <row r="153" spans="1:15" ht="33.75" customHeight="1" x14ac:dyDescent="0.25">
      <c r="A153" s="7"/>
      <c r="B153" s="7"/>
      <c r="C153" s="7"/>
      <c r="D153" s="7"/>
      <c r="E153" s="11"/>
      <c r="F153" s="8"/>
      <c r="G153" s="8"/>
      <c r="H153" s="9"/>
      <c r="I153" s="10"/>
      <c r="J153" s="9"/>
      <c r="K153" s="10"/>
      <c r="L153" s="8"/>
      <c r="M153" s="8"/>
      <c r="N153" s="10"/>
      <c r="O153" s="10"/>
    </row>
    <row r="154" spans="1:15" ht="33.75" customHeight="1" x14ac:dyDescent="0.25">
      <c r="A154" s="7"/>
      <c r="B154" s="7"/>
      <c r="C154" s="7"/>
      <c r="D154" s="7"/>
      <c r="E154" s="11"/>
      <c r="F154" s="8"/>
      <c r="G154" s="8"/>
      <c r="H154" s="9"/>
      <c r="I154" s="10"/>
      <c r="J154" s="9"/>
      <c r="K154" s="10"/>
      <c r="L154" s="8"/>
      <c r="M154" s="8"/>
      <c r="N154" s="10"/>
      <c r="O154" s="10"/>
    </row>
    <row r="155" spans="1:15" ht="33.75" customHeight="1" x14ac:dyDescent="0.25">
      <c r="A155" s="7"/>
      <c r="B155" s="7"/>
      <c r="C155" s="7"/>
      <c r="D155" s="7"/>
      <c r="E155" s="11"/>
      <c r="F155" s="8"/>
      <c r="G155" s="8"/>
      <c r="H155" s="9"/>
      <c r="I155" s="10"/>
      <c r="J155" s="9"/>
      <c r="K155" s="10"/>
      <c r="L155" s="8"/>
      <c r="M155" s="8"/>
      <c r="N155" s="10"/>
      <c r="O155" s="10"/>
    </row>
    <row r="156" spans="1:15" ht="33.75" customHeight="1" x14ac:dyDescent="0.25">
      <c r="A156" s="7"/>
      <c r="B156" s="7"/>
      <c r="C156" s="7"/>
      <c r="D156" s="7"/>
      <c r="E156" s="11"/>
      <c r="F156" s="8"/>
      <c r="G156" s="8"/>
      <c r="H156" s="9"/>
      <c r="I156" s="10"/>
      <c r="J156" s="9"/>
      <c r="K156" s="10"/>
      <c r="L156" s="8"/>
      <c r="M156" s="8"/>
      <c r="N156" s="10"/>
      <c r="O156" s="10"/>
    </row>
    <row r="157" spans="1:15" ht="33.75" customHeight="1" x14ac:dyDescent="0.25">
      <c r="A157" s="7"/>
      <c r="B157" s="7"/>
      <c r="C157" s="7"/>
      <c r="D157" s="7"/>
      <c r="E157" s="11"/>
      <c r="F157" s="8"/>
      <c r="G157" s="8"/>
      <c r="H157" s="9"/>
      <c r="I157" s="10"/>
      <c r="J157" s="9"/>
      <c r="K157" s="10"/>
      <c r="L157" s="8"/>
      <c r="M157" s="8"/>
      <c r="N157" s="10"/>
      <c r="O157" s="10"/>
    </row>
    <row r="158" spans="1:15" ht="33.75" customHeight="1" x14ac:dyDescent="0.25">
      <c r="A158" s="7"/>
      <c r="B158" s="7"/>
      <c r="C158" s="7"/>
      <c r="D158" s="7"/>
      <c r="E158" s="11"/>
      <c r="F158" s="8"/>
      <c r="G158" s="8"/>
      <c r="H158" s="9"/>
      <c r="I158" s="10"/>
      <c r="J158" s="9"/>
      <c r="K158" s="10"/>
      <c r="L158" s="8"/>
      <c r="M158" s="8"/>
      <c r="N158" s="10"/>
      <c r="O158" s="10"/>
    </row>
    <row r="159" spans="1:15" ht="33.75" customHeight="1" x14ac:dyDescent="0.25">
      <c r="A159" s="7"/>
      <c r="B159" s="7"/>
      <c r="C159" s="7"/>
      <c r="D159" s="7"/>
      <c r="E159" s="11"/>
      <c r="F159" s="8"/>
      <c r="G159" s="8"/>
      <c r="H159" s="9"/>
      <c r="I159" s="10"/>
      <c r="J159" s="9"/>
      <c r="K159" s="10"/>
      <c r="L159" s="8"/>
      <c r="M159" s="8"/>
      <c r="N159" s="10"/>
      <c r="O159" s="10"/>
    </row>
    <row r="160" spans="1:15" ht="33.75" customHeight="1" x14ac:dyDescent="0.25">
      <c r="A160" s="7"/>
      <c r="B160" s="7"/>
      <c r="C160" s="7"/>
      <c r="D160" s="7"/>
      <c r="E160" s="11"/>
      <c r="F160" s="8"/>
      <c r="G160" s="8"/>
      <c r="H160" s="9"/>
      <c r="I160" s="10"/>
      <c r="J160" s="9"/>
      <c r="K160" s="10"/>
      <c r="L160" s="8"/>
      <c r="M160" s="8"/>
      <c r="N160" s="10"/>
      <c r="O160" s="10"/>
    </row>
    <row r="161" spans="1:15" ht="33.75" customHeight="1" x14ac:dyDescent="0.25">
      <c r="A161" s="7"/>
      <c r="B161" s="7"/>
      <c r="C161" s="7"/>
      <c r="D161" s="7"/>
      <c r="E161" s="11"/>
      <c r="F161" s="8"/>
      <c r="G161" s="8"/>
      <c r="H161" s="9"/>
      <c r="I161" s="10"/>
      <c r="J161" s="9"/>
      <c r="K161" s="10"/>
      <c r="L161" s="8"/>
      <c r="M161" s="8"/>
      <c r="N161" s="10"/>
      <c r="O161" s="10"/>
    </row>
    <row r="162" spans="1:15" ht="33.75" customHeight="1" x14ac:dyDescent="0.25">
      <c r="A162" s="7"/>
      <c r="B162" s="7"/>
      <c r="C162" s="7"/>
      <c r="D162" s="7"/>
      <c r="E162" s="11"/>
      <c r="F162" s="8"/>
      <c r="G162" s="8"/>
      <c r="H162" s="9"/>
      <c r="I162" s="10"/>
      <c r="J162" s="9"/>
      <c r="K162" s="10"/>
      <c r="L162" s="8"/>
      <c r="M162" s="8"/>
      <c r="N162" s="10"/>
      <c r="O162" s="10"/>
    </row>
    <row r="163" spans="1:15" ht="33.75" customHeight="1" x14ac:dyDescent="0.25">
      <c r="A163" s="7"/>
      <c r="B163" s="7"/>
      <c r="C163" s="7"/>
      <c r="D163" s="7"/>
      <c r="E163" s="11"/>
      <c r="F163" s="8"/>
      <c r="G163" s="8"/>
      <c r="H163" s="9"/>
      <c r="I163" s="10"/>
      <c r="J163" s="9"/>
      <c r="K163" s="10"/>
      <c r="L163" s="8"/>
      <c r="M163" s="8"/>
      <c r="N163" s="10"/>
      <c r="O163" s="10"/>
    </row>
    <row r="164" spans="1:15" ht="33.75" customHeight="1" x14ac:dyDescent="0.25">
      <c r="A164" s="7"/>
      <c r="B164" s="7"/>
      <c r="C164" s="7"/>
      <c r="D164" s="7"/>
      <c r="E164" s="11"/>
      <c r="F164" s="8"/>
      <c r="G164" s="8"/>
      <c r="H164" s="9"/>
      <c r="I164" s="10"/>
      <c r="J164" s="9"/>
      <c r="K164" s="10"/>
      <c r="L164" s="8"/>
      <c r="M164" s="8"/>
      <c r="N164" s="10"/>
      <c r="O164" s="10"/>
    </row>
    <row r="165" spans="1:15" ht="33.75" customHeight="1" x14ac:dyDescent="0.25">
      <c r="A165" s="7"/>
      <c r="B165" s="7"/>
      <c r="C165" s="7"/>
      <c r="D165" s="7"/>
      <c r="E165" s="11"/>
      <c r="F165" s="8"/>
      <c r="G165" s="8"/>
      <c r="H165" s="9"/>
      <c r="I165" s="10"/>
      <c r="J165" s="9"/>
      <c r="K165" s="10"/>
      <c r="L165" s="8"/>
      <c r="M165" s="8"/>
      <c r="N165" s="10"/>
      <c r="O165" s="10"/>
    </row>
    <row r="166" spans="1:15" ht="33.75" customHeight="1" x14ac:dyDescent="0.25">
      <c r="A166" s="7"/>
      <c r="B166" s="7"/>
      <c r="C166" s="7"/>
      <c r="D166" s="7"/>
      <c r="E166" s="11"/>
      <c r="F166" s="8"/>
      <c r="G166" s="8"/>
      <c r="H166" s="9"/>
      <c r="I166" s="10"/>
      <c r="J166" s="9"/>
      <c r="K166" s="10"/>
      <c r="L166" s="8"/>
      <c r="M166" s="8"/>
      <c r="N166" s="10"/>
      <c r="O166" s="10"/>
    </row>
    <row r="167" spans="1:15" ht="33.75" customHeight="1" x14ac:dyDescent="0.25">
      <c r="A167" s="7"/>
      <c r="B167" s="7"/>
      <c r="C167" s="7"/>
      <c r="D167" s="7"/>
      <c r="E167" s="11"/>
      <c r="F167" s="8"/>
      <c r="G167" s="8"/>
      <c r="H167" s="9"/>
      <c r="I167" s="10"/>
      <c r="J167" s="9"/>
      <c r="K167" s="10"/>
      <c r="L167" s="8"/>
      <c r="M167" s="8"/>
      <c r="N167" s="10"/>
      <c r="O167" s="10"/>
    </row>
    <row r="168" spans="1:15" ht="33.75" customHeight="1" x14ac:dyDescent="0.25">
      <c r="A168" s="7"/>
      <c r="B168" s="7"/>
      <c r="C168" s="7"/>
      <c r="D168" s="7"/>
      <c r="E168" s="11"/>
      <c r="F168" s="8"/>
      <c r="G168" s="8"/>
      <c r="H168" s="9"/>
      <c r="I168" s="10"/>
      <c r="J168" s="9"/>
      <c r="K168" s="10"/>
      <c r="L168" s="8"/>
      <c r="M168" s="8"/>
      <c r="N168" s="10"/>
      <c r="O168" s="10"/>
    </row>
    <row r="169" spans="1:15" ht="33.75" customHeight="1" x14ac:dyDescent="0.25">
      <c r="A169" s="7"/>
      <c r="B169" s="7"/>
      <c r="C169" s="7"/>
      <c r="D169" s="7"/>
      <c r="E169" s="11"/>
      <c r="F169" s="8"/>
      <c r="G169" s="8"/>
      <c r="H169" s="9"/>
      <c r="I169" s="10"/>
      <c r="J169" s="9"/>
      <c r="K169" s="10"/>
      <c r="L169" s="8"/>
      <c r="M169" s="8"/>
      <c r="N169" s="10"/>
      <c r="O169" s="10"/>
    </row>
    <row r="170" spans="1:15" ht="33.75" customHeight="1" x14ac:dyDescent="0.25">
      <c r="A170" s="7"/>
      <c r="B170" s="7"/>
      <c r="C170" s="7"/>
      <c r="D170" s="7"/>
      <c r="E170" s="11"/>
      <c r="F170" s="8"/>
      <c r="G170" s="8"/>
      <c r="H170" s="9"/>
      <c r="I170" s="10"/>
      <c r="J170" s="9"/>
      <c r="K170" s="10"/>
      <c r="L170" s="8"/>
      <c r="M170" s="8"/>
      <c r="N170" s="10"/>
      <c r="O170" s="10"/>
    </row>
    <row r="171" spans="1:15" ht="33.75" customHeight="1" x14ac:dyDescent="0.25">
      <c r="A171" s="7"/>
      <c r="B171" s="7"/>
      <c r="C171" s="7"/>
      <c r="D171" s="7"/>
      <c r="E171" s="11"/>
      <c r="F171" s="8"/>
      <c r="G171" s="8"/>
      <c r="H171" s="9"/>
      <c r="I171" s="10"/>
      <c r="J171" s="9"/>
      <c r="K171" s="10"/>
      <c r="L171" s="8"/>
      <c r="M171" s="8"/>
      <c r="N171" s="10"/>
      <c r="O171" s="10"/>
    </row>
    <row r="172" spans="1:15" ht="33.75" customHeight="1" x14ac:dyDescent="0.25">
      <c r="A172" s="7"/>
      <c r="B172" s="7"/>
      <c r="C172" s="7"/>
      <c r="D172" s="7"/>
      <c r="E172" s="11"/>
      <c r="F172" s="8"/>
      <c r="G172" s="8"/>
      <c r="H172" s="9"/>
      <c r="I172" s="10"/>
      <c r="J172" s="9"/>
      <c r="K172" s="10"/>
      <c r="L172" s="8"/>
      <c r="M172" s="8"/>
      <c r="N172" s="10"/>
      <c r="O172" s="10"/>
    </row>
    <row r="173" spans="1:15" ht="33.75" customHeight="1" x14ac:dyDescent="0.25">
      <c r="A173" s="7"/>
      <c r="B173" s="7"/>
      <c r="C173" s="7"/>
      <c r="D173" s="7"/>
      <c r="E173" s="11"/>
      <c r="F173" s="8"/>
      <c r="G173" s="8"/>
      <c r="H173" s="9"/>
      <c r="I173" s="10"/>
      <c r="J173" s="9"/>
      <c r="K173" s="10"/>
      <c r="L173" s="8"/>
      <c r="M173" s="8"/>
      <c r="N173" s="10"/>
      <c r="O173" s="10"/>
    </row>
    <row r="174" spans="1:15" ht="33.75" customHeight="1" x14ac:dyDescent="0.25">
      <c r="A174" s="7"/>
      <c r="B174" s="7"/>
      <c r="C174" s="7"/>
      <c r="D174" s="7"/>
      <c r="E174" s="11"/>
      <c r="F174" s="8"/>
      <c r="G174" s="8"/>
      <c r="H174" s="9"/>
      <c r="I174" s="10"/>
      <c r="J174" s="9"/>
      <c r="K174" s="10"/>
      <c r="L174" s="8"/>
      <c r="M174" s="8"/>
      <c r="N174" s="10"/>
      <c r="O174" s="10"/>
    </row>
    <row r="175" spans="1:15" ht="33.75" customHeight="1" x14ac:dyDescent="0.25">
      <c r="A175" s="7"/>
      <c r="B175" s="7"/>
      <c r="C175" s="7"/>
      <c r="D175" s="7"/>
      <c r="E175" s="11"/>
      <c r="F175" s="8"/>
      <c r="G175" s="8"/>
      <c r="H175" s="9"/>
      <c r="I175" s="10"/>
      <c r="J175" s="9"/>
      <c r="K175" s="10"/>
      <c r="L175" s="8"/>
      <c r="M175" s="8"/>
      <c r="N175" s="10"/>
      <c r="O175" s="10"/>
    </row>
    <row r="176" spans="1:15" ht="33.75" customHeight="1" x14ac:dyDescent="0.25">
      <c r="A176" s="7"/>
      <c r="B176" s="7"/>
      <c r="C176" s="7"/>
      <c r="D176" s="7"/>
      <c r="E176" s="11"/>
      <c r="F176" s="8"/>
      <c r="G176" s="8"/>
      <c r="H176" s="9"/>
      <c r="I176" s="10"/>
      <c r="J176" s="9"/>
      <c r="K176" s="10"/>
      <c r="L176" s="8"/>
      <c r="M176" s="8"/>
      <c r="N176" s="10"/>
      <c r="O176" s="10"/>
    </row>
    <row r="177" spans="1:15" ht="33.75" customHeight="1" x14ac:dyDescent="0.25">
      <c r="A177" s="7"/>
      <c r="B177" s="7"/>
      <c r="C177" s="7"/>
      <c r="D177" s="7"/>
      <c r="E177" s="11"/>
      <c r="F177" s="8"/>
      <c r="G177" s="8"/>
      <c r="H177" s="9"/>
      <c r="I177" s="10"/>
      <c r="J177" s="9"/>
      <c r="K177" s="10"/>
      <c r="L177" s="8"/>
      <c r="M177" s="8"/>
      <c r="N177" s="10"/>
      <c r="O177" s="10"/>
    </row>
    <row r="178" spans="1:15" ht="33.75" customHeight="1" x14ac:dyDescent="0.25">
      <c r="A178" s="7"/>
      <c r="B178" s="7"/>
      <c r="C178" s="7"/>
      <c r="D178" s="7"/>
      <c r="E178" s="11"/>
      <c r="F178" s="8"/>
      <c r="G178" s="8"/>
      <c r="H178" s="9"/>
      <c r="I178" s="10"/>
      <c r="J178" s="9"/>
      <c r="K178" s="10"/>
      <c r="L178" s="8"/>
      <c r="M178" s="8"/>
      <c r="N178" s="10"/>
      <c r="O178" s="10"/>
    </row>
    <row r="179" spans="1:15" ht="33.75" customHeight="1" x14ac:dyDescent="0.25">
      <c r="A179" s="7"/>
      <c r="B179" s="7"/>
      <c r="C179" s="7"/>
      <c r="D179" s="7"/>
      <c r="E179" s="11"/>
      <c r="F179" s="8"/>
      <c r="G179" s="8"/>
      <c r="H179" s="9"/>
      <c r="I179" s="10"/>
      <c r="J179" s="9"/>
      <c r="K179" s="10"/>
      <c r="L179" s="8"/>
      <c r="M179" s="8"/>
      <c r="N179" s="10"/>
      <c r="O179" s="10"/>
    </row>
    <row r="180" spans="1:15" ht="33.75" customHeight="1" x14ac:dyDescent="0.25">
      <c r="A180" s="7"/>
      <c r="B180" s="7"/>
      <c r="C180" s="7"/>
      <c r="D180" s="7"/>
      <c r="E180" s="11"/>
      <c r="F180" s="8"/>
      <c r="G180" s="8"/>
      <c r="H180" s="9"/>
      <c r="I180" s="10"/>
      <c r="J180" s="9"/>
      <c r="K180" s="10"/>
      <c r="L180" s="8"/>
      <c r="M180" s="8"/>
      <c r="N180" s="10"/>
      <c r="O180" s="10"/>
    </row>
    <row r="181" spans="1:15" ht="33.75" customHeight="1" x14ac:dyDescent="0.25">
      <c r="A181" s="7"/>
      <c r="B181" s="7"/>
      <c r="C181" s="7"/>
      <c r="D181" s="7"/>
      <c r="E181" s="11"/>
      <c r="F181" s="8"/>
      <c r="G181" s="8"/>
      <c r="H181" s="9"/>
      <c r="I181" s="10"/>
      <c r="J181" s="9"/>
      <c r="K181" s="10"/>
      <c r="L181" s="8"/>
      <c r="M181" s="8"/>
      <c r="N181" s="10"/>
      <c r="O181" s="10"/>
    </row>
    <row r="182" spans="1:15" ht="33.75" customHeight="1" x14ac:dyDescent="0.25">
      <c r="A182" s="7"/>
      <c r="B182" s="7"/>
      <c r="C182" s="7"/>
      <c r="D182" s="7"/>
      <c r="E182" s="11"/>
      <c r="F182" s="8"/>
      <c r="G182" s="8"/>
      <c r="H182" s="9"/>
      <c r="I182" s="10"/>
      <c r="J182" s="9"/>
      <c r="K182" s="10"/>
      <c r="L182" s="8"/>
      <c r="M182" s="8"/>
      <c r="N182" s="10"/>
      <c r="O182" s="10"/>
    </row>
    <row r="183" spans="1:15" ht="33.75" customHeight="1" x14ac:dyDescent="0.25">
      <c r="A183" s="7"/>
      <c r="B183" s="7"/>
      <c r="C183" s="7"/>
      <c r="D183" s="7"/>
      <c r="E183" s="11"/>
      <c r="F183" s="8"/>
      <c r="G183" s="8"/>
      <c r="H183" s="9"/>
      <c r="I183" s="10"/>
      <c r="J183" s="9"/>
      <c r="K183" s="10"/>
      <c r="L183" s="8"/>
      <c r="M183" s="8"/>
      <c r="N183" s="10"/>
      <c r="O183" s="10"/>
    </row>
    <row r="184" spans="1:15" ht="33.75" customHeight="1" x14ac:dyDescent="0.25">
      <c r="A184" s="7"/>
      <c r="B184" s="7"/>
      <c r="C184" s="7"/>
      <c r="D184" s="7"/>
      <c r="E184" s="11"/>
      <c r="F184" s="8"/>
      <c r="G184" s="8"/>
      <c r="H184" s="9"/>
      <c r="I184" s="10"/>
      <c r="J184" s="9"/>
      <c r="K184" s="10"/>
      <c r="L184" s="8"/>
      <c r="M184" s="8"/>
      <c r="N184" s="10"/>
      <c r="O184" s="10"/>
    </row>
    <row r="185" spans="1:15" ht="33.75" customHeight="1" x14ac:dyDescent="0.25">
      <c r="A185" s="7"/>
      <c r="B185" s="7"/>
      <c r="C185" s="7"/>
      <c r="D185" s="7"/>
      <c r="E185" s="11"/>
      <c r="F185" s="8"/>
      <c r="G185" s="8"/>
      <c r="H185" s="9"/>
      <c r="I185" s="10"/>
      <c r="J185" s="9"/>
      <c r="K185" s="10"/>
      <c r="L185" s="8"/>
      <c r="M185" s="8"/>
      <c r="N185" s="10"/>
      <c r="O185" s="10"/>
    </row>
    <row r="186" spans="1:15" ht="33.75" customHeight="1" x14ac:dyDescent="0.25">
      <c r="A186" s="7"/>
      <c r="B186" s="7"/>
      <c r="C186" s="7"/>
      <c r="D186" s="7"/>
      <c r="E186" s="11"/>
      <c r="F186" s="8"/>
      <c r="G186" s="8"/>
      <c r="H186" s="9"/>
      <c r="I186" s="10"/>
      <c r="J186" s="9"/>
      <c r="K186" s="10"/>
      <c r="L186" s="8"/>
      <c r="M186" s="8"/>
      <c r="N186" s="10"/>
      <c r="O186" s="10"/>
    </row>
    <row r="187" spans="1:15" ht="33.75" customHeight="1" x14ac:dyDescent="0.25">
      <c r="A187" s="7"/>
      <c r="B187" s="7"/>
      <c r="C187" s="7"/>
      <c r="D187" s="7"/>
      <c r="E187" s="11"/>
      <c r="F187" s="8"/>
      <c r="G187" s="8"/>
      <c r="H187" s="9"/>
      <c r="I187" s="10"/>
      <c r="J187" s="9"/>
      <c r="K187" s="10"/>
      <c r="L187" s="8"/>
      <c r="M187" s="8"/>
      <c r="N187" s="10"/>
      <c r="O187" s="10"/>
    </row>
    <row r="188" spans="1:15" ht="33.75" customHeight="1" x14ac:dyDescent="0.25">
      <c r="A188" s="7"/>
      <c r="B188" s="7"/>
      <c r="C188" s="7"/>
      <c r="D188" s="7"/>
      <c r="E188" s="11"/>
      <c r="F188" s="8"/>
      <c r="G188" s="8"/>
      <c r="H188" s="9"/>
      <c r="I188" s="10"/>
      <c r="J188" s="9"/>
      <c r="K188" s="10"/>
      <c r="L188" s="8"/>
      <c r="M188" s="8"/>
      <c r="N188" s="10"/>
      <c r="O188" s="10"/>
    </row>
    <row r="189" spans="1:15" ht="33.75" customHeight="1" x14ac:dyDescent="0.25">
      <c r="A189" s="7"/>
      <c r="B189" s="7"/>
      <c r="C189" s="7"/>
      <c r="D189" s="7"/>
      <c r="E189" s="11"/>
      <c r="F189" s="8"/>
      <c r="G189" s="8"/>
      <c r="H189" s="9"/>
      <c r="I189" s="10"/>
      <c r="J189" s="9"/>
      <c r="K189" s="10"/>
      <c r="L189" s="8"/>
      <c r="M189" s="8"/>
      <c r="N189" s="10"/>
      <c r="O189" s="10"/>
    </row>
    <row r="190" spans="1:15" ht="33.75" customHeight="1" x14ac:dyDescent="0.25">
      <c r="A190" s="7"/>
      <c r="B190" s="7"/>
      <c r="C190" s="7"/>
      <c r="D190" s="7"/>
      <c r="E190" s="11"/>
      <c r="F190" s="8"/>
      <c r="G190" s="8"/>
      <c r="H190" s="9"/>
      <c r="I190" s="10"/>
      <c r="J190" s="9"/>
      <c r="K190" s="10"/>
      <c r="L190" s="8"/>
      <c r="M190" s="8"/>
      <c r="N190" s="10"/>
      <c r="O190" s="10"/>
    </row>
    <row r="191" spans="1:15" ht="33.75" customHeight="1" x14ac:dyDescent="0.25">
      <c r="A191" s="7"/>
      <c r="B191" s="7"/>
      <c r="C191" s="7"/>
      <c r="D191" s="7"/>
      <c r="E191" s="11"/>
      <c r="F191" s="8"/>
      <c r="G191" s="8"/>
      <c r="H191" s="9"/>
      <c r="I191" s="10"/>
      <c r="J191" s="9"/>
      <c r="K191" s="10"/>
      <c r="L191" s="8"/>
      <c r="M191" s="8"/>
      <c r="N191" s="10"/>
      <c r="O191" s="10"/>
    </row>
    <row r="192" spans="1:15" ht="33.75" customHeight="1" x14ac:dyDescent="0.25">
      <c r="A192" s="7"/>
      <c r="B192" s="7"/>
      <c r="C192" s="7"/>
      <c r="D192" s="7"/>
      <c r="E192" s="11"/>
      <c r="F192" s="8"/>
      <c r="G192" s="8"/>
      <c r="H192" s="9"/>
      <c r="I192" s="10"/>
      <c r="J192" s="9"/>
      <c r="K192" s="10"/>
      <c r="L192" s="8"/>
      <c r="M192" s="8"/>
      <c r="N192" s="10"/>
      <c r="O192" s="10"/>
    </row>
    <row r="193" spans="1:15" ht="33.75" customHeight="1" x14ac:dyDescent="0.25">
      <c r="A193" s="7"/>
      <c r="B193" s="7"/>
      <c r="C193" s="7"/>
      <c r="D193" s="7"/>
      <c r="E193" s="11"/>
      <c r="F193" s="8"/>
      <c r="G193" s="8"/>
      <c r="H193" s="9"/>
      <c r="I193" s="10"/>
      <c r="J193" s="9"/>
      <c r="K193" s="10"/>
      <c r="L193" s="8"/>
      <c r="M193" s="8"/>
      <c r="N193" s="10"/>
      <c r="O193" s="10"/>
    </row>
    <row r="194" spans="1:15" ht="33.75" customHeight="1" x14ac:dyDescent="0.25">
      <c r="A194" s="7"/>
      <c r="B194" s="7"/>
      <c r="C194" s="7"/>
      <c r="D194" s="7"/>
      <c r="E194" s="11"/>
      <c r="F194" s="8"/>
      <c r="G194" s="8"/>
      <c r="H194" s="9"/>
      <c r="I194" s="10"/>
      <c r="J194" s="9"/>
      <c r="K194" s="10"/>
      <c r="L194" s="8"/>
      <c r="M194" s="8"/>
      <c r="N194" s="10"/>
      <c r="O194" s="10"/>
    </row>
    <row r="195" spans="1:15" ht="33.75" customHeight="1" x14ac:dyDescent="0.25">
      <c r="A195" s="7"/>
      <c r="B195" s="7"/>
      <c r="C195" s="7"/>
      <c r="D195" s="7"/>
      <c r="E195" s="11"/>
      <c r="F195" s="8"/>
      <c r="G195" s="8"/>
      <c r="H195" s="9"/>
      <c r="I195" s="10"/>
      <c r="J195" s="9"/>
      <c r="K195" s="10"/>
      <c r="L195" s="8"/>
      <c r="M195" s="8"/>
      <c r="N195" s="10"/>
      <c r="O195" s="10"/>
    </row>
    <row r="196" spans="1:15" ht="33.75" customHeight="1" x14ac:dyDescent="0.25">
      <c r="A196" s="7"/>
      <c r="B196" s="7"/>
      <c r="C196" s="7"/>
      <c r="D196" s="7"/>
      <c r="E196" s="11"/>
      <c r="F196" s="8"/>
      <c r="G196" s="8"/>
      <c r="H196" s="9"/>
      <c r="I196" s="10"/>
      <c r="J196" s="9"/>
      <c r="K196" s="10"/>
      <c r="L196" s="8"/>
      <c r="M196" s="8"/>
      <c r="N196" s="10"/>
      <c r="O196" s="10"/>
    </row>
    <row r="197" spans="1:15" ht="33.75" customHeight="1" x14ac:dyDescent="0.25">
      <c r="A197" s="7"/>
      <c r="B197" s="7"/>
      <c r="C197" s="7"/>
      <c r="D197" s="7"/>
      <c r="E197" s="11"/>
      <c r="F197" s="8"/>
      <c r="G197" s="8"/>
      <c r="H197" s="9"/>
      <c r="I197" s="10"/>
      <c r="J197" s="9"/>
      <c r="K197" s="10"/>
      <c r="L197" s="8"/>
      <c r="M197" s="8"/>
      <c r="N197" s="10"/>
      <c r="O197" s="10"/>
    </row>
    <row r="198" spans="1:15" ht="33.75" customHeight="1" x14ac:dyDescent="0.25">
      <c r="A198" s="7"/>
      <c r="B198" s="7"/>
      <c r="C198" s="7"/>
      <c r="D198" s="7"/>
      <c r="E198" s="11"/>
      <c r="F198" s="8"/>
      <c r="G198" s="8"/>
      <c r="H198" s="9"/>
      <c r="I198" s="10"/>
      <c r="J198" s="9"/>
      <c r="K198" s="10"/>
      <c r="L198" s="8"/>
      <c r="M198" s="8"/>
      <c r="N198" s="10"/>
      <c r="O198" s="10"/>
    </row>
    <row r="199" spans="1:15" ht="33.75" customHeight="1" x14ac:dyDescent="0.25">
      <c r="A199" s="7"/>
      <c r="B199" s="7"/>
      <c r="C199" s="7"/>
      <c r="D199" s="7"/>
      <c r="E199" s="11"/>
      <c r="F199" s="8"/>
      <c r="G199" s="8"/>
      <c r="H199" s="9"/>
      <c r="I199" s="10"/>
      <c r="J199" s="9"/>
      <c r="K199" s="10"/>
      <c r="L199" s="8"/>
      <c r="M199" s="8"/>
      <c r="N199" s="10"/>
      <c r="O199" s="10"/>
    </row>
    <row r="200" spans="1:15" ht="33.75" customHeight="1" x14ac:dyDescent="0.25">
      <c r="A200" s="7"/>
      <c r="B200" s="7"/>
      <c r="C200" s="7"/>
      <c r="D200" s="7"/>
      <c r="E200" s="11"/>
      <c r="F200" s="8"/>
      <c r="G200" s="8"/>
      <c r="H200" s="9"/>
      <c r="I200" s="10"/>
      <c r="J200" s="9"/>
      <c r="K200" s="10"/>
      <c r="L200" s="8"/>
      <c r="M200" s="8"/>
      <c r="N200" s="10"/>
      <c r="O200" s="10"/>
    </row>
    <row r="201" spans="1:15" ht="33.75" customHeight="1" x14ac:dyDescent="0.25">
      <c r="A201" s="7"/>
      <c r="B201" s="7"/>
      <c r="C201" s="7"/>
      <c r="D201" s="7"/>
      <c r="E201" s="11"/>
      <c r="F201" s="8"/>
      <c r="G201" s="8"/>
      <c r="H201" s="9"/>
      <c r="I201" s="10"/>
      <c r="J201" s="9"/>
      <c r="K201" s="10"/>
      <c r="L201" s="8"/>
      <c r="M201" s="8"/>
      <c r="N201" s="10"/>
      <c r="O201" s="10"/>
    </row>
    <row r="202" spans="1:15" ht="33.75" customHeight="1" x14ac:dyDescent="0.25">
      <c r="A202" s="7"/>
      <c r="B202" s="7"/>
      <c r="C202" s="7"/>
      <c r="D202" s="7"/>
      <c r="E202" s="11"/>
      <c r="F202" s="8"/>
      <c r="G202" s="8"/>
      <c r="H202" s="9"/>
      <c r="I202" s="10"/>
      <c r="J202" s="9"/>
      <c r="K202" s="10"/>
      <c r="L202" s="8"/>
      <c r="M202" s="8"/>
      <c r="N202" s="10"/>
      <c r="O202" s="10"/>
    </row>
    <row r="203" spans="1:15" ht="33.75" customHeight="1" x14ac:dyDescent="0.25">
      <c r="A203" s="7"/>
      <c r="B203" s="7"/>
      <c r="C203" s="7"/>
      <c r="D203" s="7"/>
      <c r="E203" s="11"/>
      <c r="F203" s="8"/>
      <c r="G203" s="8"/>
      <c r="H203" s="9"/>
      <c r="I203" s="10"/>
      <c r="J203" s="9"/>
      <c r="K203" s="10"/>
      <c r="L203" s="8"/>
      <c r="M203" s="8"/>
      <c r="N203" s="10"/>
      <c r="O203" s="10"/>
    </row>
    <row r="204" spans="1:15" ht="33.75" customHeight="1" x14ac:dyDescent="0.25">
      <c r="A204" s="7"/>
      <c r="B204" s="7"/>
      <c r="C204" s="7"/>
      <c r="D204" s="7"/>
      <c r="E204" s="11"/>
      <c r="F204" s="8"/>
      <c r="G204" s="8"/>
      <c r="H204" s="9"/>
      <c r="I204" s="10"/>
      <c r="J204" s="9"/>
      <c r="K204" s="10"/>
      <c r="L204" s="8"/>
      <c r="M204" s="8"/>
      <c r="N204" s="10"/>
      <c r="O204" s="10"/>
    </row>
    <row r="205" spans="1:15" ht="33.75" customHeight="1" x14ac:dyDescent="0.25">
      <c r="A205" s="7"/>
      <c r="B205" s="7"/>
      <c r="C205" s="7"/>
      <c r="D205" s="7"/>
      <c r="E205" s="11"/>
      <c r="F205" s="8"/>
      <c r="G205" s="8"/>
      <c r="H205" s="9"/>
      <c r="I205" s="10"/>
      <c r="J205" s="9"/>
      <c r="K205" s="10"/>
      <c r="L205" s="8"/>
      <c r="M205" s="8"/>
      <c r="N205" s="10"/>
      <c r="O205" s="10"/>
    </row>
    <row r="206" spans="1:15" ht="33.75" customHeight="1" x14ac:dyDescent="0.25">
      <c r="A206" s="7"/>
      <c r="B206" s="7"/>
      <c r="C206" s="7"/>
      <c r="D206" s="7"/>
      <c r="E206" s="11"/>
      <c r="F206" s="8"/>
      <c r="G206" s="8"/>
      <c r="H206" s="9"/>
      <c r="I206" s="10"/>
      <c r="J206" s="9"/>
      <c r="K206" s="10"/>
      <c r="L206" s="8"/>
      <c r="M206" s="8"/>
      <c r="N206" s="10"/>
      <c r="O206" s="10"/>
    </row>
    <row r="207" spans="1:15" ht="33.75" customHeight="1" x14ac:dyDescent="0.25">
      <c r="A207" s="7"/>
      <c r="B207" s="7"/>
      <c r="C207" s="7"/>
      <c r="D207" s="7"/>
      <c r="E207" s="11"/>
      <c r="F207" s="8"/>
      <c r="G207" s="8"/>
      <c r="H207" s="9"/>
      <c r="I207" s="10"/>
      <c r="J207" s="9"/>
      <c r="K207" s="10"/>
      <c r="L207" s="8"/>
      <c r="M207" s="8"/>
      <c r="N207" s="10"/>
      <c r="O207" s="10"/>
    </row>
    <row r="208" spans="1:15" ht="33.75" customHeight="1" x14ac:dyDescent="0.25">
      <c r="A208" s="7"/>
      <c r="B208" s="7"/>
      <c r="C208" s="7"/>
      <c r="D208" s="7"/>
      <c r="E208" s="11"/>
      <c r="F208" s="8"/>
      <c r="G208" s="8"/>
      <c r="H208" s="9"/>
      <c r="I208" s="10"/>
      <c r="J208" s="9"/>
      <c r="K208" s="10"/>
      <c r="L208" s="8"/>
      <c r="M208" s="8"/>
      <c r="N208" s="10"/>
      <c r="O208" s="10"/>
    </row>
    <row r="209" spans="1:15" ht="33.75" customHeight="1" x14ac:dyDescent="0.25">
      <c r="A209" s="7"/>
      <c r="B209" s="7"/>
      <c r="C209" s="7"/>
      <c r="D209" s="7"/>
      <c r="E209" s="11"/>
      <c r="F209" s="8"/>
      <c r="G209" s="8"/>
      <c r="H209" s="9"/>
      <c r="I209" s="10"/>
      <c r="J209" s="9"/>
      <c r="K209" s="10"/>
      <c r="L209" s="8"/>
      <c r="M209" s="8"/>
      <c r="N209" s="10"/>
      <c r="O209" s="10"/>
    </row>
    <row r="210" spans="1:15" ht="33.75" customHeight="1" x14ac:dyDescent="0.25">
      <c r="A210" s="7"/>
      <c r="B210" s="7"/>
      <c r="C210" s="7"/>
      <c r="D210" s="7"/>
      <c r="E210" s="11"/>
      <c r="F210" s="8"/>
      <c r="G210" s="8"/>
      <c r="H210" s="9"/>
      <c r="I210" s="10"/>
      <c r="J210" s="9"/>
      <c r="K210" s="10"/>
      <c r="L210" s="8"/>
      <c r="M210" s="8"/>
      <c r="N210" s="10"/>
      <c r="O210" s="10"/>
    </row>
    <row r="211" spans="1:15" ht="33.75" customHeight="1" x14ac:dyDescent="0.25">
      <c r="A211" s="7"/>
      <c r="B211" s="7"/>
      <c r="C211" s="7"/>
      <c r="D211" s="7"/>
      <c r="E211" s="11"/>
      <c r="F211" s="8"/>
      <c r="G211" s="8"/>
      <c r="H211" s="9"/>
      <c r="I211" s="10"/>
      <c r="J211" s="9"/>
      <c r="K211" s="10"/>
      <c r="L211" s="8"/>
      <c r="M211" s="8"/>
      <c r="N211" s="10"/>
      <c r="O211" s="10"/>
    </row>
    <row r="212" spans="1:15" ht="33.75" customHeight="1" x14ac:dyDescent="0.25">
      <c r="A212" s="7"/>
      <c r="B212" s="7"/>
      <c r="C212" s="7"/>
      <c r="D212" s="7"/>
      <c r="E212" s="11"/>
      <c r="F212" s="8"/>
      <c r="G212" s="8"/>
      <c r="H212" s="9"/>
      <c r="I212" s="10"/>
      <c r="J212" s="9"/>
      <c r="K212" s="10"/>
      <c r="L212" s="8"/>
      <c r="M212" s="8"/>
      <c r="N212" s="10"/>
      <c r="O212" s="10"/>
    </row>
    <row r="213" spans="1:15" ht="33.75" customHeight="1" x14ac:dyDescent="0.25">
      <c r="A213" s="7"/>
      <c r="B213" s="7"/>
      <c r="C213" s="7"/>
      <c r="D213" s="7"/>
      <c r="E213" s="11"/>
      <c r="F213" s="8"/>
      <c r="G213" s="8"/>
      <c r="H213" s="9"/>
      <c r="I213" s="10"/>
      <c r="J213" s="9"/>
      <c r="K213" s="10"/>
      <c r="L213" s="8"/>
      <c r="M213" s="8"/>
      <c r="N213" s="10"/>
      <c r="O213" s="10"/>
    </row>
    <row r="214" spans="1:15" ht="33.75" customHeight="1" x14ac:dyDescent="0.25">
      <c r="A214" s="7"/>
      <c r="B214" s="7"/>
      <c r="C214" s="7"/>
      <c r="D214" s="7"/>
      <c r="E214" s="11"/>
      <c r="F214" s="8"/>
      <c r="G214" s="8"/>
      <c r="H214" s="9"/>
      <c r="I214" s="10"/>
      <c r="J214" s="9"/>
      <c r="K214" s="10"/>
      <c r="L214" s="8"/>
      <c r="M214" s="8"/>
      <c r="N214" s="10"/>
      <c r="O214" s="10"/>
    </row>
    <row r="215" spans="1:15" ht="33.75" customHeight="1" x14ac:dyDescent="0.25">
      <c r="A215" s="7"/>
      <c r="B215" s="7"/>
      <c r="C215" s="7"/>
      <c r="D215" s="7"/>
      <c r="E215" s="11"/>
      <c r="F215" s="8"/>
      <c r="G215" s="8"/>
      <c r="H215" s="9"/>
      <c r="I215" s="10"/>
      <c r="J215" s="9"/>
      <c r="K215" s="10"/>
      <c r="L215" s="8"/>
      <c r="M215" s="8"/>
      <c r="N215" s="10"/>
      <c r="O215" s="10"/>
    </row>
    <row r="216" spans="1:15" ht="33.75" customHeight="1" x14ac:dyDescent="0.25">
      <c r="A216" s="7"/>
      <c r="B216" s="7"/>
      <c r="C216" s="7"/>
      <c r="D216" s="7"/>
      <c r="E216" s="11"/>
      <c r="F216" s="8"/>
      <c r="G216" s="8"/>
      <c r="H216" s="9"/>
      <c r="I216" s="10"/>
      <c r="J216" s="9"/>
      <c r="K216" s="10"/>
      <c r="L216" s="8"/>
      <c r="M216" s="8"/>
      <c r="N216" s="10"/>
      <c r="O216" s="10"/>
    </row>
    <row r="217" spans="1:15" ht="33.75" customHeight="1" x14ac:dyDescent="0.25">
      <c r="A217" s="7"/>
      <c r="B217" s="7"/>
      <c r="C217" s="7"/>
      <c r="D217" s="7"/>
      <c r="E217" s="11"/>
      <c r="F217" s="8"/>
      <c r="G217" s="8"/>
      <c r="H217" s="9"/>
      <c r="I217" s="10"/>
      <c r="J217" s="9"/>
      <c r="K217" s="10"/>
      <c r="L217" s="8"/>
      <c r="M217" s="8"/>
      <c r="N217" s="10"/>
      <c r="O217" s="10"/>
    </row>
    <row r="218" spans="1:15" ht="33.75" customHeight="1" x14ac:dyDescent="0.25">
      <c r="A218" s="7"/>
      <c r="B218" s="7"/>
      <c r="C218" s="7"/>
      <c r="D218" s="7"/>
      <c r="E218" s="11"/>
      <c r="F218" s="8"/>
      <c r="G218" s="8"/>
      <c r="H218" s="9"/>
      <c r="I218" s="10"/>
      <c r="J218" s="9"/>
      <c r="K218" s="10"/>
      <c r="L218" s="8"/>
      <c r="M218" s="8"/>
      <c r="N218" s="10"/>
      <c r="O218" s="10"/>
    </row>
    <row r="219" spans="1:15" ht="33.75" customHeight="1" x14ac:dyDescent="0.25">
      <c r="A219" s="7"/>
      <c r="B219" s="7"/>
      <c r="C219" s="7"/>
      <c r="D219" s="7"/>
      <c r="E219" s="11"/>
      <c r="F219" s="8"/>
      <c r="G219" s="8"/>
      <c r="H219" s="9"/>
      <c r="I219" s="10"/>
      <c r="J219" s="9"/>
      <c r="K219" s="10"/>
      <c r="L219" s="8"/>
      <c r="M219" s="8"/>
      <c r="N219" s="10"/>
      <c r="O219" s="10"/>
    </row>
    <row r="220" spans="1:15" ht="33.75" customHeight="1" x14ac:dyDescent="0.25">
      <c r="A220" s="7"/>
      <c r="B220" s="7"/>
      <c r="C220" s="7"/>
      <c r="D220" s="7"/>
      <c r="E220" s="11"/>
      <c r="F220" s="8"/>
      <c r="G220" s="8"/>
      <c r="H220" s="9"/>
      <c r="I220" s="10"/>
      <c r="J220" s="9"/>
      <c r="K220" s="10"/>
      <c r="L220" s="8"/>
      <c r="M220" s="8"/>
      <c r="N220" s="10"/>
      <c r="O220" s="10"/>
    </row>
    <row r="221" spans="1:15" ht="33.75" customHeight="1" x14ac:dyDescent="0.25">
      <c r="A221" s="7"/>
      <c r="B221" s="7"/>
      <c r="C221" s="7"/>
      <c r="D221" s="7"/>
      <c r="E221" s="11"/>
      <c r="F221" s="8"/>
      <c r="G221" s="8"/>
      <c r="H221" s="9"/>
      <c r="I221" s="10"/>
      <c r="J221" s="9"/>
      <c r="K221" s="10"/>
      <c r="L221" s="8"/>
      <c r="M221" s="8"/>
      <c r="N221" s="10"/>
      <c r="O221" s="10"/>
    </row>
    <row r="222" spans="1:15" ht="33.75" customHeight="1" x14ac:dyDescent="0.25">
      <c r="A222" s="7"/>
      <c r="B222" s="7"/>
      <c r="C222" s="7"/>
      <c r="D222" s="7"/>
      <c r="E222" s="11"/>
      <c r="F222" s="8"/>
      <c r="G222" s="8"/>
      <c r="H222" s="9"/>
      <c r="I222" s="10"/>
      <c r="J222" s="9"/>
      <c r="K222" s="10"/>
      <c r="L222" s="8"/>
      <c r="M222" s="8"/>
      <c r="N222" s="10"/>
      <c r="O222" s="10"/>
    </row>
    <row r="223" spans="1:15" ht="33.75" customHeight="1" x14ac:dyDescent="0.25">
      <c r="A223" s="7"/>
      <c r="B223" s="7"/>
      <c r="C223" s="7"/>
      <c r="D223" s="7"/>
      <c r="E223" s="11"/>
      <c r="F223" s="8"/>
      <c r="G223" s="8"/>
      <c r="H223" s="9"/>
      <c r="I223" s="10"/>
      <c r="J223" s="9"/>
      <c r="K223" s="10"/>
      <c r="L223" s="8"/>
      <c r="M223" s="8"/>
      <c r="N223" s="10"/>
      <c r="O223" s="10"/>
    </row>
    <row r="224" spans="1:15" ht="33.75" customHeight="1" x14ac:dyDescent="0.25">
      <c r="A224" s="7"/>
      <c r="B224" s="7"/>
      <c r="C224" s="7"/>
      <c r="D224" s="7"/>
      <c r="E224" s="11"/>
      <c r="F224" s="8"/>
      <c r="G224" s="8"/>
      <c r="H224" s="9"/>
      <c r="I224" s="10"/>
      <c r="J224" s="9"/>
      <c r="K224" s="10"/>
      <c r="L224" s="8"/>
      <c r="M224" s="8"/>
      <c r="N224" s="10"/>
      <c r="O224" s="10"/>
    </row>
    <row r="225" spans="1:15" ht="33.75" customHeight="1" x14ac:dyDescent="0.25">
      <c r="A225" s="7"/>
      <c r="B225" s="7"/>
      <c r="C225" s="7"/>
      <c r="D225" s="7"/>
      <c r="E225" s="11"/>
      <c r="F225" s="8"/>
      <c r="G225" s="8"/>
      <c r="H225" s="9"/>
      <c r="I225" s="10"/>
      <c r="J225" s="9"/>
      <c r="K225" s="10"/>
      <c r="L225" s="8"/>
      <c r="M225" s="8"/>
      <c r="N225" s="10"/>
      <c r="O225" s="10"/>
    </row>
    <row r="226" spans="1:15" ht="33.75" customHeight="1" x14ac:dyDescent="0.25">
      <c r="A226" s="7"/>
      <c r="B226" s="7"/>
      <c r="C226" s="7"/>
      <c r="D226" s="7"/>
      <c r="E226" s="11"/>
      <c r="F226" s="8"/>
      <c r="G226" s="8"/>
      <c r="H226" s="9"/>
      <c r="I226" s="10"/>
      <c r="J226" s="9"/>
      <c r="K226" s="10"/>
      <c r="L226" s="8"/>
      <c r="M226" s="8"/>
      <c r="N226" s="10"/>
      <c r="O226" s="10"/>
    </row>
    <row r="227" spans="1:15" ht="33.75" customHeight="1" x14ac:dyDescent="0.25">
      <c r="A227" s="7"/>
      <c r="B227" s="7"/>
      <c r="C227" s="7"/>
      <c r="D227" s="7"/>
      <c r="E227" s="11"/>
      <c r="F227" s="8"/>
      <c r="G227" s="8"/>
      <c r="H227" s="9"/>
      <c r="I227" s="10"/>
      <c r="J227" s="9"/>
      <c r="K227" s="10"/>
      <c r="L227" s="8"/>
      <c r="M227" s="8"/>
      <c r="N227" s="10"/>
      <c r="O227" s="10"/>
    </row>
    <row r="228" spans="1:15" ht="33.75" customHeight="1" x14ac:dyDescent="0.25">
      <c r="A228" s="7"/>
      <c r="B228" s="7"/>
      <c r="C228" s="7"/>
      <c r="D228" s="7"/>
      <c r="E228" s="11"/>
      <c r="F228" s="8"/>
      <c r="G228" s="8"/>
      <c r="H228" s="9"/>
      <c r="I228" s="10"/>
      <c r="J228" s="9"/>
      <c r="K228" s="10"/>
      <c r="L228" s="8"/>
      <c r="M228" s="8"/>
      <c r="N228" s="10"/>
      <c r="O228" s="10"/>
    </row>
    <row r="229" spans="1:15" ht="33.75" customHeight="1" x14ac:dyDescent="0.25">
      <c r="A229" s="7"/>
      <c r="B229" s="7"/>
      <c r="C229" s="7"/>
      <c r="D229" s="7"/>
      <c r="E229" s="11"/>
      <c r="F229" s="8"/>
      <c r="G229" s="8"/>
      <c r="H229" s="9"/>
      <c r="I229" s="10"/>
      <c r="J229" s="9"/>
      <c r="K229" s="10"/>
      <c r="L229" s="8"/>
      <c r="M229" s="8"/>
      <c r="N229" s="10"/>
      <c r="O229" s="10"/>
    </row>
    <row r="230" spans="1:15" ht="33.75" customHeight="1" x14ac:dyDescent="0.25">
      <c r="A230" s="7"/>
      <c r="B230" s="7"/>
      <c r="C230" s="7"/>
      <c r="D230" s="7"/>
      <c r="E230" s="11"/>
      <c r="F230" s="8"/>
      <c r="G230" s="8"/>
      <c r="H230" s="9"/>
      <c r="I230" s="10"/>
      <c r="J230" s="9"/>
      <c r="K230" s="10"/>
      <c r="L230" s="8"/>
      <c r="M230" s="8"/>
      <c r="N230" s="10"/>
      <c r="O230" s="10"/>
    </row>
    <row r="231" spans="1:15" ht="33.75" customHeight="1" x14ac:dyDescent="0.25">
      <c r="A231" s="7"/>
      <c r="B231" s="7"/>
      <c r="C231" s="7"/>
      <c r="D231" s="7"/>
      <c r="E231" s="11"/>
      <c r="F231" s="8"/>
      <c r="G231" s="8"/>
      <c r="H231" s="9"/>
      <c r="I231" s="10"/>
      <c r="J231" s="9"/>
      <c r="K231" s="10"/>
      <c r="L231" s="8"/>
      <c r="M231" s="8"/>
      <c r="N231" s="10"/>
      <c r="O231" s="10"/>
    </row>
    <row r="232" spans="1:15" ht="33.75" customHeight="1" x14ac:dyDescent="0.25">
      <c r="A232" s="7"/>
      <c r="B232" s="7"/>
      <c r="C232" s="7"/>
      <c r="D232" s="7"/>
      <c r="E232" s="11"/>
      <c r="F232" s="8"/>
      <c r="G232" s="8"/>
      <c r="H232" s="9"/>
      <c r="I232" s="10"/>
      <c r="J232" s="9"/>
      <c r="K232" s="10"/>
      <c r="L232" s="8"/>
      <c r="M232" s="8"/>
      <c r="N232" s="10"/>
      <c r="O232" s="10"/>
    </row>
    <row r="233" spans="1:15" ht="33.75" customHeight="1" x14ac:dyDescent="0.25">
      <c r="A233" s="7"/>
      <c r="B233" s="7"/>
      <c r="C233" s="7"/>
      <c r="D233" s="7"/>
      <c r="E233" s="11"/>
      <c r="F233" s="8"/>
      <c r="G233" s="8"/>
      <c r="H233" s="9"/>
      <c r="I233" s="10"/>
      <c r="J233" s="9"/>
      <c r="K233" s="10"/>
      <c r="L233" s="8"/>
      <c r="M233" s="8"/>
      <c r="N233" s="10"/>
      <c r="O233" s="10"/>
    </row>
    <row r="234" spans="1:15" ht="33.75" customHeight="1" x14ac:dyDescent="0.25">
      <c r="A234" s="7"/>
      <c r="B234" s="7"/>
      <c r="C234" s="7"/>
      <c r="D234" s="7"/>
      <c r="E234" s="11"/>
      <c r="F234" s="8"/>
      <c r="G234" s="8"/>
      <c r="H234" s="9"/>
      <c r="I234" s="10"/>
      <c r="J234" s="9"/>
      <c r="K234" s="10"/>
      <c r="L234" s="8"/>
      <c r="M234" s="8"/>
      <c r="N234" s="10"/>
      <c r="O234" s="10"/>
    </row>
    <row r="235" spans="1:15" ht="33.75" customHeight="1" x14ac:dyDescent="0.25">
      <c r="A235" s="7"/>
      <c r="B235" s="7"/>
      <c r="C235" s="7"/>
      <c r="D235" s="7"/>
      <c r="E235" s="11"/>
      <c r="F235" s="8"/>
      <c r="G235" s="8"/>
      <c r="H235" s="9"/>
      <c r="I235" s="10"/>
      <c r="J235" s="9"/>
      <c r="K235" s="10"/>
      <c r="L235" s="8"/>
      <c r="M235" s="8"/>
      <c r="N235" s="10"/>
      <c r="O235" s="10"/>
    </row>
    <row r="236" spans="1:15" ht="33.75" customHeight="1" x14ac:dyDescent="0.25">
      <c r="A236" s="7"/>
      <c r="B236" s="7"/>
      <c r="C236" s="7"/>
      <c r="D236" s="7"/>
      <c r="E236" s="11"/>
      <c r="F236" s="8"/>
      <c r="G236" s="8"/>
      <c r="H236" s="9"/>
      <c r="I236" s="10"/>
      <c r="J236" s="9"/>
      <c r="K236" s="10"/>
      <c r="L236" s="8"/>
      <c r="M236" s="8"/>
      <c r="N236" s="10"/>
      <c r="O236" s="10"/>
    </row>
    <row r="237" spans="1:15" ht="33.75" customHeight="1" x14ac:dyDescent="0.25">
      <c r="A237" s="7"/>
      <c r="B237" s="7"/>
      <c r="C237" s="7"/>
      <c r="D237" s="7"/>
      <c r="E237" s="11"/>
      <c r="F237" s="8"/>
      <c r="G237" s="8"/>
      <c r="H237" s="9"/>
      <c r="I237" s="10"/>
      <c r="J237" s="9"/>
      <c r="K237" s="10"/>
      <c r="L237" s="8"/>
      <c r="M237" s="8"/>
      <c r="N237" s="10"/>
      <c r="O237" s="10"/>
    </row>
    <row r="238" spans="1:15" ht="33.75" customHeight="1" x14ac:dyDescent="0.25">
      <c r="A238" s="7"/>
      <c r="B238" s="7"/>
      <c r="C238" s="7"/>
      <c r="D238" s="7"/>
      <c r="E238" s="11"/>
      <c r="F238" s="8"/>
      <c r="G238" s="8"/>
      <c r="H238" s="9"/>
      <c r="I238" s="10"/>
      <c r="J238" s="9"/>
      <c r="K238" s="10"/>
      <c r="L238" s="8"/>
      <c r="M238" s="8"/>
      <c r="N238" s="10"/>
      <c r="O238" s="10"/>
    </row>
    <row r="239" spans="1:15" ht="33.75" customHeight="1" x14ac:dyDescent="0.25">
      <c r="A239" s="7"/>
      <c r="B239" s="7"/>
      <c r="C239" s="7"/>
      <c r="D239" s="7"/>
      <c r="E239" s="11"/>
      <c r="F239" s="8"/>
      <c r="G239" s="8"/>
      <c r="H239" s="9"/>
      <c r="I239" s="10"/>
      <c r="J239" s="9"/>
      <c r="K239" s="10"/>
      <c r="L239" s="8"/>
      <c r="M239" s="8"/>
      <c r="N239" s="10"/>
      <c r="O239" s="10"/>
    </row>
    <row r="240" spans="1:15" ht="33.75" customHeight="1" x14ac:dyDescent="0.25">
      <c r="A240" s="7"/>
      <c r="B240" s="7"/>
      <c r="C240" s="7"/>
      <c r="D240" s="7"/>
      <c r="E240" s="11"/>
      <c r="F240" s="8"/>
      <c r="G240" s="8"/>
      <c r="H240" s="9"/>
      <c r="I240" s="10"/>
      <c r="J240" s="9"/>
      <c r="K240" s="10"/>
      <c r="L240" s="8"/>
      <c r="M240" s="8"/>
      <c r="N240" s="10"/>
      <c r="O240" s="10"/>
    </row>
    <row r="241" spans="1:15" ht="33.75" customHeight="1" x14ac:dyDescent="0.25">
      <c r="A241" s="7"/>
      <c r="B241" s="7"/>
      <c r="C241" s="7"/>
      <c r="D241" s="7"/>
      <c r="E241" s="11"/>
      <c r="F241" s="8"/>
      <c r="G241" s="8"/>
      <c r="H241" s="9"/>
      <c r="I241" s="10"/>
      <c r="J241" s="9"/>
      <c r="K241" s="10"/>
      <c r="L241" s="8"/>
      <c r="M241" s="8"/>
      <c r="N241" s="10"/>
      <c r="O241" s="10"/>
    </row>
    <row r="242" spans="1:15" ht="33.75" customHeight="1" x14ac:dyDescent="0.25">
      <c r="A242" s="7"/>
      <c r="B242" s="7"/>
      <c r="C242" s="7"/>
      <c r="D242" s="7"/>
      <c r="E242" s="11"/>
      <c r="F242" s="8"/>
      <c r="G242" s="8"/>
      <c r="H242" s="9"/>
      <c r="I242" s="10"/>
      <c r="J242" s="9"/>
      <c r="K242" s="10"/>
      <c r="L242" s="8"/>
      <c r="M242" s="8"/>
      <c r="N242" s="10"/>
      <c r="O242" s="10"/>
    </row>
    <row r="243" spans="1:15" ht="33.75" customHeight="1" x14ac:dyDescent="0.25">
      <c r="A243" s="7"/>
      <c r="B243" s="7"/>
      <c r="C243" s="7"/>
      <c r="D243" s="7"/>
      <c r="E243" s="11"/>
      <c r="F243" s="8"/>
      <c r="G243" s="8"/>
      <c r="H243" s="9"/>
      <c r="I243" s="10"/>
      <c r="J243" s="9"/>
      <c r="K243" s="10"/>
      <c r="L243" s="8"/>
      <c r="M243" s="8"/>
      <c r="N243" s="10"/>
      <c r="O243" s="10"/>
    </row>
    <row r="244" spans="1:15" ht="33.75" customHeight="1" x14ac:dyDescent="0.25">
      <c r="A244" s="7"/>
      <c r="B244" s="7"/>
      <c r="C244" s="7"/>
      <c r="D244" s="7"/>
      <c r="E244" s="11"/>
      <c r="F244" s="8"/>
      <c r="G244" s="8"/>
      <c r="H244" s="9"/>
      <c r="I244" s="10"/>
      <c r="J244" s="9"/>
      <c r="K244" s="10"/>
      <c r="L244" s="8"/>
      <c r="M244" s="8"/>
      <c r="N244" s="10"/>
      <c r="O244" s="10"/>
    </row>
    <row r="245" spans="1:15" ht="33.75" customHeight="1" x14ac:dyDescent="0.25">
      <c r="A245" s="7"/>
      <c r="B245" s="7"/>
      <c r="C245" s="7"/>
      <c r="D245" s="7"/>
      <c r="E245" s="11"/>
      <c r="F245" s="8"/>
      <c r="G245" s="8"/>
      <c r="H245" s="9"/>
      <c r="I245" s="10"/>
      <c r="J245" s="9"/>
      <c r="K245" s="10"/>
      <c r="L245" s="8"/>
      <c r="M245" s="8"/>
      <c r="N245" s="10"/>
      <c r="O245" s="10"/>
    </row>
    <row r="246" spans="1:15" ht="33.75" customHeight="1" x14ac:dyDescent="0.25">
      <c r="A246" s="7"/>
      <c r="B246" s="7"/>
      <c r="C246" s="7"/>
      <c r="D246" s="7"/>
      <c r="E246" s="11"/>
      <c r="F246" s="8"/>
      <c r="G246" s="8"/>
      <c r="H246" s="9"/>
      <c r="I246" s="10"/>
      <c r="J246" s="9"/>
      <c r="K246" s="10"/>
      <c r="L246" s="8"/>
      <c r="M246" s="8"/>
      <c r="N246" s="10"/>
      <c r="O246" s="10"/>
    </row>
    <row r="247" spans="1:15" ht="33.75" customHeight="1" x14ac:dyDescent="0.25">
      <c r="A247" s="7"/>
      <c r="B247" s="7"/>
      <c r="C247" s="7"/>
      <c r="D247" s="7"/>
      <c r="E247" s="11"/>
      <c r="F247" s="8"/>
      <c r="G247" s="8"/>
      <c r="H247" s="9"/>
      <c r="I247" s="10"/>
      <c r="J247" s="9"/>
      <c r="K247" s="10"/>
      <c r="L247" s="8"/>
      <c r="M247" s="8"/>
      <c r="N247" s="10"/>
      <c r="O247" s="10"/>
    </row>
    <row r="248" spans="1:15" ht="33.75" customHeight="1" x14ac:dyDescent="0.25">
      <c r="A248" s="7"/>
      <c r="B248" s="7"/>
      <c r="C248" s="7"/>
      <c r="D248" s="7"/>
      <c r="E248" s="11"/>
      <c r="F248" s="8"/>
      <c r="G248" s="8"/>
      <c r="H248" s="9"/>
      <c r="I248" s="10"/>
      <c r="J248" s="9"/>
      <c r="K248" s="10"/>
      <c r="L248" s="8"/>
      <c r="M248" s="8"/>
      <c r="N248" s="10"/>
      <c r="O248" s="10"/>
    </row>
    <row r="249" spans="1:15" ht="33.75" customHeight="1" x14ac:dyDescent="0.25">
      <c r="A249" s="7"/>
      <c r="B249" s="7"/>
      <c r="C249" s="7"/>
      <c r="D249" s="7"/>
      <c r="E249" s="11"/>
      <c r="F249" s="8"/>
      <c r="G249" s="8"/>
      <c r="H249" s="9"/>
      <c r="I249" s="10"/>
      <c r="J249" s="9"/>
      <c r="K249" s="10"/>
      <c r="L249" s="8"/>
      <c r="M249" s="8"/>
      <c r="N249" s="10"/>
      <c r="O249" s="10"/>
    </row>
    <row r="250" spans="1:15" ht="33.75" customHeight="1" x14ac:dyDescent="0.25">
      <c r="A250" s="7"/>
      <c r="B250" s="7"/>
      <c r="C250" s="7"/>
      <c r="D250" s="7"/>
      <c r="E250" s="11"/>
      <c r="F250" s="8"/>
      <c r="G250" s="8"/>
      <c r="H250" s="9"/>
      <c r="I250" s="10"/>
      <c r="J250" s="9"/>
      <c r="K250" s="10"/>
      <c r="L250" s="8"/>
      <c r="M250" s="8"/>
      <c r="N250" s="10"/>
      <c r="O250" s="10"/>
    </row>
    <row r="251" spans="1:15" ht="33.75" customHeight="1" x14ac:dyDescent="0.25">
      <c r="A251" s="7"/>
      <c r="B251" s="7"/>
      <c r="C251" s="7"/>
      <c r="D251" s="7"/>
      <c r="E251" s="11"/>
      <c r="F251" s="8"/>
      <c r="G251" s="8"/>
      <c r="H251" s="9"/>
      <c r="I251" s="10"/>
      <c r="J251" s="9"/>
      <c r="K251" s="10"/>
      <c r="L251" s="8"/>
      <c r="M251" s="8"/>
      <c r="N251" s="10"/>
      <c r="O251" s="10"/>
    </row>
    <row r="252" spans="1:15" ht="33.75" customHeight="1" x14ac:dyDescent="0.25">
      <c r="A252" s="7"/>
      <c r="B252" s="7"/>
      <c r="C252" s="7"/>
      <c r="D252" s="7"/>
      <c r="E252" s="11"/>
      <c r="F252" s="8"/>
      <c r="G252" s="8"/>
      <c r="H252" s="9"/>
      <c r="I252" s="10"/>
      <c r="J252" s="9"/>
      <c r="K252" s="10"/>
      <c r="L252" s="8"/>
      <c r="M252" s="8"/>
      <c r="N252" s="10"/>
      <c r="O252" s="10"/>
    </row>
    <row r="253" spans="1:15" ht="33.75" customHeight="1" x14ac:dyDescent="0.25">
      <c r="A253" s="7"/>
      <c r="B253" s="7"/>
      <c r="C253" s="7"/>
      <c r="D253" s="7"/>
      <c r="E253" s="11"/>
      <c r="F253" s="8"/>
      <c r="G253" s="8"/>
      <c r="H253" s="9"/>
      <c r="I253" s="10"/>
      <c r="J253" s="9"/>
      <c r="K253" s="10"/>
      <c r="L253" s="8"/>
      <c r="M253" s="8"/>
      <c r="N253" s="10"/>
      <c r="O253" s="10"/>
    </row>
    <row r="254" spans="1:15" ht="33.75" customHeight="1" x14ac:dyDescent="0.25">
      <c r="A254" s="7"/>
      <c r="B254" s="7"/>
      <c r="C254" s="7"/>
      <c r="D254" s="7"/>
      <c r="E254" s="11"/>
      <c r="F254" s="8"/>
      <c r="G254" s="8"/>
      <c r="H254" s="9"/>
      <c r="I254" s="10"/>
      <c r="J254" s="9"/>
      <c r="K254" s="10"/>
      <c r="L254" s="8"/>
      <c r="M254" s="8"/>
      <c r="N254" s="10"/>
      <c r="O254" s="10"/>
    </row>
    <row r="255" spans="1:15" ht="33.75" customHeight="1" x14ac:dyDescent="0.25">
      <c r="A255" s="7"/>
      <c r="B255" s="7"/>
      <c r="C255" s="7"/>
      <c r="D255" s="7"/>
      <c r="E255" s="11"/>
      <c r="F255" s="8"/>
      <c r="G255" s="8"/>
      <c r="H255" s="9"/>
      <c r="I255" s="10"/>
      <c r="J255" s="9"/>
      <c r="K255" s="10"/>
      <c r="L255" s="8"/>
      <c r="M255" s="8"/>
      <c r="N255" s="10"/>
      <c r="O255" s="10"/>
    </row>
    <row r="256" spans="1:15" ht="33.75" customHeight="1" x14ac:dyDescent="0.25">
      <c r="A256" s="7"/>
      <c r="B256" s="7"/>
      <c r="C256" s="7"/>
      <c r="D256" s="7"/>
      <c r="E256" s="11">
        <v>254</v>
      </c>
      <c r="F256" s="8"/>
      <c r="G256" s="8"/>
      <c r="H256" s="9"/>
      <c r="I256" s="10"/>
      <c r="J256" s="9"/>
      <c r="K256" s="10"/>
      <c r="L256" s="8"/>
      <c r="M256" s="8"/>
      <c r="N256" s="10"/>
      <c r="O256" s="10"/>
    </row>
    <row r="257" spans="1:15" ht="33.75" customHeight="1" x14ac:dyDescent="0.25">
      <c r="A257" s="7"/>
      <c r="B257" s="7"/>
      <c r="C257" s="7"/>
      <c r="D257" s="7"/>
      <c r="E257" s="11">
        <v>255</v>
      </c>
      <c r="F257" s="8"/>
      <c r="G257" s="8"/>
      <c r="H257" s="9"/>
      <c r="I257" s="10"/>
      <c r="J257" s="9"/>
      <c r="K257" s="10"/>
      <c r="L257" s="8"/>
      <c r="M257" s="8"/>
      <c r="N257" s="10"/>
      <c r="O257" s="10"/>
    </row>
    <row r="258" spans="1:15" ht="33.75" customHeight="1" x14ac:dyDescent="0.25">
      <c r="A258" s="7"/>
      <c r="B258" s="7"/>
      <c r="C258" s="7"/>
      <c r="D258" s="7"/>
      <c r="E258" s="11">
        <v>256</v>
      </c>
      <c r="F258" s="8"/>
      <c r="G258" s="8"/>
      <c r="H258" s="9"/>
      <c r="I258" s="10"/>
      <c r="J258" s="9"/>
      <c r="K258" s="10"/>
      <c r="L258" s="8"/>
      <c r="M258" s="8"/>
      <c r="N258" s="10"/>
      <c r="O258" s="10"/>
    </row>
    <row r="259" spans="1:15" ht="33.75" customHeight="1" x14ac:dyDescent="0.25">
      <c r="A259" s="7"/>
      <c r="B259" s="7"/>
      <c r="C259" s="7"/>
      <c r="D259" s="7"/>
      <c r="E259" s="11">
        <v>257</v>
      </c>
      <c r="F259" s="8"/>
      <c r="G259" s="8"/>
      <c r="H259" s="9"/>
      <c r="I259" s="10"/>
      <c r="J259" s="9"/>
      <c r="K259" s="10"/>
      <c r="L259" s="8"/>
      <c r="M259" s="8"/>
      <c r="N259" s="10"/>
      <c r="O259" s="10"/>
    </row>
    <row r="260" spans="1:15" ht="33.75" customHeight="1" x14ac:dyDescent="0.25">
      <c r="A260" s="7"/>
      <c r="B260" s="7"/>
      <c r="C260" s="7"/>
      <c r="D260" s="7"/>
      <c r="E260" s="11">
        <v>258</v>
      </c>
      <c r="F260" s="8"/>
      <c r="G260" s="8"/>
      <c r="H260" s="9"/>
      <c r="I260" s="10"/>
      <c r="J260" s="9"/>
      <c r="K260" s="10"/>
      <c r="L260" s="8"/>
      <c r="M260" s="8"/>
      <c r="N260" s="10"/>
      <c r="O260" s="10"/>
    </row>
    <row r="261" spans="1:15" ht="33.75" customHeight="1" x14ac:dyDescent="0.25">
      <c r="A261" s="7"/>
      <c r="B261" s="7"/>
      <c r="C261" s="7"/>
      <c r="D261" s="7"/>
      <c r="E261" s="11">
        <v>259</v>
      </c>
      <c r="F261" s="8"/>
      <c r="G261" s="8"/>
      <c r="H261" s="9"/>
      <c r="I261" s="10"/>
      <c r="J261" s="9"/>
      <c r="K261" s="10"/>
      <c r="L261" s="8"/>
      <c r="M261" s="8"/>
      <c r="N261" s="10"/>
      <c r="O261" s="10"/>
    </row>
    <row r="262" spans="1:15" ht="33.75" customHeight="1" x14ac:dyDescent="0.25">
      <c r="A262" s="7"/>
      <c r="B262" s="7"/>
      <c r="C262" s="7"/>
      <c r="D262" s="7"/>
      <c r="E262" s="11">
        <v>260</v>
      </c>
      <c r="F262" s="8"/>
      <c r="G262" s="8"/>
      <c r="H262" s="9"/>
      <c r="I262" s="10"/>
      <c r="J262" s="9"/>
      <c r="K262" s="10"/>
      <c r="L262" s="8"/>
      <c r="M262" s="8"/>
      <c r="N262" s="10"/>
      <c r="O262" s="10"/>
    </row>
    <row r="263" spans="1:15" ht="33.75" customHeight="1" x14ac:dyDescent="0.25">
      <c r="A263" s="7"/>
      <c r="B263" s="7"/>
      <c r="C263" s="7"/>
      <c r="D263" s="7"/>
      <c r="E263" s="11">
        <v>261</v>
      </c>
      <c r="F263" s="8"/>
      <c r="G263" s="8"/>
      <c r="H263" s="9"/>
      <c r="I263" s="10"/>
      <c r="J263" s="9"/>
      <c r="K263" s="10"/>
      <c r="L263" s="8"/>
      <c r="M263" s="8"/>
      <c r="N263" s="10"/>
      <c r="O263" s="10"/>
    </row>
    <row r="264" spans="1:15" ht="33.75" customHeight="1" x14ac:dyDescent="0.25">
      <c r="A264" s="7"/>
      <c r="B264" s="7"/>
      <c r="C264" s="7"/>
      <c r="D264" s="7"/>
      <c r="E264" s="11">
        <v>262</v>
      </c>
      <c r="F264" s="8"/>
      <c r="G264" s="8"/>
      <c r="H264" s="9"/>
      <c r="I264" s="10"/>
      <c r="J264" s="9"/>
      <c r="K264" s="10"/>
      <c r="L264" s="8"/>
      <c r="M264" s="8"/>
      <c r="N264" s="10"/>
      <c r="O264" s="10"/>
    </row>
    <row r="265" spans="1:15" ht="33.75" customHeight="1" x14ac:dyDescent="0.25">
      <c r="A265" s="7"/>
      <c r="B265" s="7"/>
      <c r="C265" s="7"/>
      <c r="D265" s="7"/>
      <c r="E265" s="11">
        <v>263</v>
      </c>
      <c r="F265" s="8"/>
      <c r="G265" s="8"/>
      <c r="H265" s="9"/>
      <c r="I265" s="10"/>
      <c r="J265" s="9"/>
      <c r="K265" s="10"/>
      <c r="L265" s="8"/>
      <c r="M265" s="8"/>
      <c r="N265" s="10"/>
      <c r="O265" s="10"/>
    </row>
    <row r="266" spans="1:15" ht="33.75" customHeight="1" x14ac:dyDescent="0.25">
      <c r="A266" s="7"/>
      <c r="B266" s="7"/>
      <c r="C266" s="7"/>
      <c r="D266" s="7"/>
      <c r="E266" s="11">
        <v>264</v>
      </c>
      <c r="F266" s="8"/>
      <c r="G266" s="8"/>
      <c r="H266" s="9"/>
      <c r="I266" s="10"/>
      <c r="J266" s="9"/>
      <c r="K266" s="10"/>
      <c r="L266" s="8"/>
      <c r="M266" s="8"/>
      <c r="N266" s="10"/>
      <c r="O266" s="10"/>
    </row>
    <row r="267" spans="1:15" ht="33.75" customHeight="1" x14ac:dyDescent="0.25">
      <c r="A267" s="7"/>
      <c r="B267" s="7"/>
      <c r="C267" s="7"/>
      <c r="D267" s="7"/>
      <c r="E267" s="11">
        <v>265</v>
      </c>
      <c r="F267" s="8"/>
      <c r="G267" s="8"/>
      <c r="H267" s="9"/>
      <c r="I267" s="10"/>
      <c r="J267" s="9"/>
      <c r="K267" s="10"/>
      <c r="L267" s="8"/>
      <c r="M267" s="8"/>
      <c r="N267" s="10"/>
      <c r="O267" s="10"/>
    </row>
    <row r="268" spans="1:15" ht="33.75" customHeight="1" x14ac:dyDescent="0.25">
      <c r="A268" s="7"/>
      <c r="B268" s="7"/>
      <c r="C268" s="7"/>
      <c r="D268" s="7"/>
      <c r="E268" s="11">
        <v>266</v>
      </c>
      <c r="F268" s="8"/>
      <c r="G268" s="8"/>
      <c r="H268" s="9"/>
      <c r="I268" s="10"/>
      <c r="J268" s="9"/>
      <c r="K268" s="10"/>
      <c r="L268" s="8"/>
      <c r="M268" s="8"/>
      <c r="N268" s="10"/>
      <c r="O268" s="10"/>
    </row>
    <row r="269" spans="1:15" ht="33.75" customHeight="1" x14ac:dyDescent="0.25">
      <c r="A269" s="7"/>
      <c r="B269" s="7"/>
      <c r="C269" s="7"/>
      <c r="D269" s="7"/>
      <c r="E269" s="11">
        <v>267</v>
      </c>
      <c r="F269" s="8"/>
      <c r="G269" s="8"/>
      <c r="H269" s="9"/>
      <c r="I269" s="10"/>
      <c r="J269" s="9"/>
      <c r="K269" s="10"/>
      <c r="L269" s="8"/>
      <c r="M269" s="8"/>
      <c r="N269" s="10"/>
      <c r="O269" s="10"/>
    </row>
    <row r="270" spans="1:15" ht="33.75" customHeight="1" x14ac:dyDescent="0.25">
      <c r="A270" s="7"/>
      <c r="B270" s="7"/>
      <c r="C270" s="7"/>
      <c r="D270" s="7"/>
      <c r="E270" s="11">
        <v>268</v>
      </c>
      <c r="F270" s="8"/>
      <c r="G270" s="8"/>
      <c r="H270" s="9"/>
      <c r="I270" s="10"/>
      <c r="J270" s="9"/>
      <c r="K270" s="10"/>
      <c r="L270" s="8"/>
      <c r="M270" s="8"/>
      <c r="N270" s="10"/>
      <c r="O270" s="10"/>
    </row>
    <row r="271" spans="1:15" ht="33.75" customHeight="1" x14ac:dyDescent="0.25">
      <c r="A271" s="7"/>
      <c r="B271" s="7"/>
      <c r="C271" s="7"/>
      <c r="D271" s="7"/>
      <c r="E271" s="11">
        <v>269</v>
      </c>
      <c r="F271" s="8"/>
      <c r="G271" s="8"/>
      <c r="H271" s="9"/>
      <c r="I271" s="10"/>
      <c r="J271" s="9"/>
      <c r="K271" s="10"/>
      <c r="L271" s="8"/>
      <c r="M271" s="8"/>
      <c r="N271" s="10"/>
      <c r="O271" s="10"/>
    </row>
    <row r="272" spans="1:15" ht="33.75" customHeight="1" x14ac:dyDescent="0.25">
      <c r="A272" s="7"/>
      <c r="B272" s="7"/>
      <c r="C272" s="7"/>
      <c r="D272" s="7"/>
      <c r="E272" s="11">
        <v>270</v>
      </c>
      <c r="F272" s="8"/>
      <c r="G272" s="8"/>
      <c r="H272" s="9"/>
      <c r="I272" s="10"/>
      <c r="J272" s="9"/>
      <c r="K272" s="10"/>
      <c r="L272" s="8"/>
      <c r="M272" s="8"/>
      <c r="N272" s="10"/>
      <c r="O272" s="10"/>
    </row>
    <row r="273" spans="1:15" ht="33.75" customHeight="1" x14ac:dyDescent="0.25">
      <c r="A273" s="7"/>
      <c r="B273" s="7"/>
      <c r="C273" s="7"/>
      <c r="D273" s="7"/>
      <c r="E273" s="11">
        <v>271</v>
      </c>
      <c r="F273" s="8"/>
      <c r="G273" s="8"/>
      <c r="H273" s="9"/>
      <c r="I273" s="10"/>
      <c r="J273" s="9"/>
      <c r="K273" s="10"/>
      <c r="L273" s="8"/>
      <c r="M273" s="8"/>
      <c r="N273" s="10"/>
      <c r="O273" s="10"/>
    </row>
    <row r="274" spans="1:15" ht="33.75" customHeight="1" x14ac:dyDescent="0.25">
      <c r="A274" s="7"/>
      <c r="B274" s="7"/>
      <c r="C274" s="7"/>
      <c r="D274" s="7"/>
      <c r="E274" s="11">
        <v>272</v>
      </c>
      <c r="F274" s="8"/>
      <c r="G274" s="8"/>
      <c r="H274" s="9"/>
      <c r="I274" s="10"/>
      <c r="J274" s="9"/>
      <c r="K274" s="10"/>
      <c r="L274" s="8"/>
      <c r="M274" s="8"/>
      <c r="N274" s="10"/>
      <c r="O274" s="10"/>
    </row>
    <row r="275" spans="1:15" ht="33.75" customHeight="1" x14ac:dyDescent="0.25">
      <c r="A275" s="7"/>
      <c r="B275" s="7"/>
      <c r="C275" s="7"/>
      <c r="D275" s="7"/>
      <c r="E275" s="11">
        <v>273</v>
      </c>
      <c r="F275" s="8"/>
      <c r="G275" s="8"/>
      <c r="H275" s="9"/>
      <c r="I275" s="10"/>
      <c r="J275" s="9"/>
      <c r="K275" s="10"/>
      <c r="L275" s="8"/>
      <c r="M275" s="8"/>
      <c r="N275" s="10"/>
      <c r="O275" s="10"/>
    </row>
    <row r="276" spans="1:15" ht="33.75" customHeight="1" x14ac:dyDescent="0.25">
      <c r="A276" s="7"/>
      <c r="B276" s="7"/>
      <c r="C276" s="7"/>
      <c r="D276" s="7"/>
      <c r="E276" s="11">
        <v>274</v>
      </c>
      <c r="F276" s="8"/>
      <c r="G276" s="8"/>
      <c r="H276" s="9"/>
      <c r="I276" s="10"/>
      <c r="J276" s="9"/>
      <c r="K276" s="10"/>
      <c r="L276" s="8"/>
      <c r="M276" s="8"/>
      <c r="N276" s="10"/>
      <c r="O276" s="10"/>
    </row>
    <row r="277" spans="1:15" ht="33.75" customHeight="1" x14ac:dyDescent="0.25">
      <c r="A277" s="7"/>
      <c r="B277" s="7"/>
      <c r="C277" s="7"/>
      <c r="D277" s="7"/>
      <c r="E277" s="11">
        <v>275</v>
      </c>
      <c r="F277" s="8"/>
      <c r="G277" s="8"/>
      <c r="H277" s="9"/>
      <c r="I277" s="10"/>
      <c r="J277" s="9"/>
      <c r="K277" s="10"/>
      <c r="L277" s="8"/>
      <c r="M277" s="8"/>
      <c r="N277" s="10"/>
      <c r="O277" s="10"/>
    </row>
    <row r="278" spans="1:15" ht="33.75" customHeight="1" x14ac:dyDescent="0.25">
      <c r="A278" s="7"/>
      <c r="B278" s="7"/>
      <c r="C278" s="7"/>
      <c r="D278" s="7"/>
      <c r="E278" s="11">
        <v>276</v>
      </c>
      <c r="F278" s="8"/>
      <c r="G278" s="8"/>
      <c r="H278" s="9"/>
      <c r="I278" s="10"/>
      <c r="J278" s="9"/>
      <c r="K278" s="10"/>
      <c r="L278" s="8"/>
      <c r="M278" s="8"/>
      <c r="N278" s="10"/>
      <c r="O278" s="10"/>
    </row>
    <row r="279" spans="1:15" ht="33.75" customHeight="1" x14ac:dyDescent="0.25">
      <c r="A279" s="7"/>
      <c r="B279" s="7"/>
      <c r="C279" s="7"/>
      <c r="D279" s="7"/>
      <c r="E279" s="11">
        <v>277</v>
      </c>
      <c r="F279" s="8"/>
      <c r="G279" s="8"/>
      <c r="H279" s="9"/>
      <c r="I279" s="10"/>
      <c r="J279" s="9"/>
      <c r="K279" s="10"/>
      <c r="L279" s="8"/>
      <c r="M279" s="8"/>
      <c r="N279" s="10"/>
      <c r="O279" s="10"/>
    </row>
    <row r="280" spans="1:15" ht="33.75" customHeight="1" x14ac:dyDescent="0.25">
      <c r="A280" s="7"/>
      <c r="B280" s="7"/>
      <c r="C280" s="7"/>
      <c r="D280" s="7"/>
      <c r="E280" s="11">
        <v>278</v>
      </c>
      <c r="F280" s="8"/>
      <c r="G280" s="8"/>
      <c r="H280" s="9"/>
      <c r="I280" s="10"/>
      <c r="J280" s="9"/>
      <c r="K280" s="10"/>
      <c r="L280" s="8"/>
      <c r="M280" s="8"/>
      <c r="N280" s="10"/>
      <c r="O280" s="10"/>
    </row>
    <row r="281" spans="1:15" ht="33.75" customHeight="1" x14ac:dyDescent="0.25">
      <c r="A281" s="7"/>
      <c r="B281" s="7"/>
      <c r="C281" s="7"/>
      <c r="D281" s="7"/>
      <c r="E281" s="11">
        <v>279</v>
      </c>
      <c r="F281" s="8"/>
      <c r="G281" s="8"/>
      <c r="H281" s="9"/>
      <c r="I281" s="10"/>
      <c r="J281" s="9"/>
      <c r="K281" s="10"/>
      <c r="L281" s="8"/>
      <c r="M281" s="8"/>
      <c r="N281" s="10"/>
      <c r="O281" s="10"/>
    </row>
    <row r="282" spans="1:15" ht="33.75" customHeight="1" x14ac:dyDescent="0.25">
      <c r="A282" s="7"/>
      <c r="B282" s="7"/>
      <c r="C282" s="7"/>
      <c r="D282" s="7"/>
      <c r="E282" s="11">
        <v>280</v>
      </c>
      <c r="F282" s="8"/>
      <c r="G282" s="8"/>
      <c r="H282" s="9"/>
      <c r="I282" s="10"/>
      <c r="J282" s="9"/>
      <c r="K282" s="10"/>
      <c r="L282" s="8"/>
      <c r="M282" s="8"/>
      <c r="N282" s="10"/>
      <c r="O282" s="10"/>
    </row>
    <row r="283" spans="1:15" ht="33.75" customHeight="1" x14ac:dyDescent="0.25">
      <c r="A283" s="7"/>
      <c r="B283" s="7"/>
      <c r="C283" s="7"/>
      <c r="D283" s="7"/>
      <c r="E283" s="11">
        <v>281</v>
      </c>
      <c r="F283" s="8"/>
      <c r="G283" s="8"/>
      <c r="H283" s="9"/>
      <c r="I283" s="10"/>
      <c r="J283" s="9"/>
      <c r="K283" s="10"/>
      <c r="L283" s="8"/>
      <c r="M283" s="8"/>
      <c r="N283" s="10"/>
      <c r="O283" s="10"/>
    </row>
    <row r="284" spans="1:15" ht="33.75" customHeight="1" x14ac:dyDescent="0.25">
      <c r="A284" s="7"/>
      <c r="B284" s="7"/>
      <c r="C284" s="7"/>
      <c r="D284" s="7"/>
      <c r="E284" s="11">
        <v>282</v>
      </c>
      <c r="F284" s="8"/>
      <c r="G284" s="8"/>
      <c r="H284" s="9"/>
      <c r="I284" s="10"/>
      <c r="J284" s="9"/>
      <c r="K284" s="10"/>
      <c r="L284" s="8"/>
      <c r="M284" s="8"/>
      <c r="N284" s="10"/>
      <c r="O284" s="10"/>
    </row>
    <row r="285" spans="1:15" ht="33.75" customHeight="1" x14ac:dyDescent="0.25">
      <c r="A285" s="7"/>
      <c r="B285" s="7"/>
      <c r="C285" s="7"/>
      <c r="D285" s="7"/>
      <c r="E285" s="11">
        <v>283</v>
      </c>
      <c r="F285" s="8"/>
      <c r="G285" s="8"/>
      <c r="H285" s="9"/>
      <c r="I285" s="10"/>
      <c r="J285" s="9"/>
      <c r="K285" s="10"/>
      <c r="L285" s="8"/>
      <c r="M285" s="8"/>
      <c r="N285" s="10"/>
      <c r="O285" s="10"/>
    </row>
    <row r="286" spans="1:15" ht="33.75" customHeight="1" x14ac:dyDescent="0.25">
      <c r="A286" s="7"/>
      <c r="B286" s="7"/>
      <c r="C286" s="7"/>
      <c r="D286" s="7"/>
      <c r="E286" s="11">
        <v>284</v>
      </c>
      <c r="F286" s="8"/>
      <c r="G286" s="8"/>
      <c r="H286" s="9"/>
      <c r="I286" s="10"/>
      <c r="J286" s="9"/>
      <c r="K286" s="10"/>
      <c r="L286" s="8"/>
      <c r="M286" s="8"/>
      <c r="N286" s="10"/>
      <c r="O286" s="10"/>
    </row>
    <row r="287" spans="1:15" ht="33.75" customHeight="1" x14ac:dyDescent="0.25">
      <c r="A287" s="7"/>
      <c r="B287" s="7"/>
      <c r="C287" s="7"/>
      <c r="D287" s="7"/>
      <c r="E287" s="11">
        <v>285</v>
      </c>
      <c r="F287" s="8"/>
      <c r="G287" s="8"/>
      <c r="H287" s="9"/>
      <c r="I287" s="10"/>
      <c r="J287" s="9"/>
      <c r="K287" s="10"/>
      <c r="L287" s="8"/>
      <c r="M287" s="8"/>
      <c r="N287" s="10"/>
      <c r="O287" s="10"/>
    </row>
    <row r="288" spans="1:15" ht="33.75" customHeight="1" x14ac:dyDescent="0.25">
      <c r="A288" s="7"/>
      <c r="B288" s="7"/>
      <c r="C288" s="7"/>
      <c r="D288" s="7"/>
      <c r="E288" s="11">
        <v>286</v>
      </c>
      <c r="F288" s="8"/>
      <c r="G288" s="8"/>
      <c r="H288" s="9"/>
      <c r="I288" s="10"/>
      <c r="J288" s="9"/>
      <c r="K288" s="10"/>
      <c r="L288" s="8"/>
      <c r="M288" s="8"/>
      <c r="N288" s="10"/>
      <c r="O288" s="10"/>
    </row>
    <row r="289" spans="1:15" ht="33.75" customHeight="1" x14ac:dyDescent="0.25">
      <c r="A289" s="7"/>
      <c r="B289" s="7"/>
      <c r="C289" s="7"/>
      <c r="D289" s="7"/>
      <c r="E289" s="11">
        <v>287</v>
      </c>
      <c r="F289" s="8"/>
      <c r="G289" s="8"/>
      <c r="H289" s="9"/>
      <c r="I289" s="10"/>
      <c r="J289" s="9"/>
      <c r="K289" s="10"/>
      <c r="L289" s="8"/>
      <c r="M289" s="8"/>
      <c r="N289" s="10"/>
      <c r="O289" s="10"/>
    </row>
    <row r="290" spans="1:15" ht="33.75" customHeight="1" x14ac:dyDescent="0.25">
      <c r="A290" s="7"/>
      <c r="B290" s="7"/>
      <c r="C290" s="7"/>
      <c r="D290" s="7"/>
      <c r="E290" s="11">
        <v>288</v>
      </c>
      <c r="F290" s="8"/>
      <c r="G290" s="8"/>
      <c r="H290" s="9"/>
      <c r="I290" s="10"/>
      <c r="J290" s="9"/>
      <c r="K290" s="10"/>
      <c r="L290" s="8"/>
      <c r="M290" s="8"/>
      <c r="N290" s="10"/>
      <c r="O290" s="10"/>
    </row>
    <row r="291" spans="1:15" ht="33.75" customHeight="1" x14ac:dyDescent="0.25">
      <c r="A291" s="7"/>
      <c r="B291" s="7"/>
      <c r="C291" s="7"/>
      <c r="D291" s="7"/>
      <c r="E291" s="11">
        <v>289</v>
      </c>
      <c r="F291" s="8"/>
      <c r="G291" s="8"/>
      <c r="H291" s="9"/>
      <c r="I291" s="10"/>
      <c r="J291" s="9"/>
      <c r="K291" s="10"/>
      <c r="L291" s="8"/>
      <c r="M291" s="8"/>
      <c r="N291" s="10"/>
      <c r="O291" s="10"/>
    </row>
    <row r="292" spans="1:15" ht="33.75" customHeight="1" x14ac:dyDescent="0.25">
      <c r="A292" s="7"/>
      <c r="B292" s="7"/>
      <c r="C292" s="7"/>
      <c r="D292" s="7"/>
      <c r="E292" s="11">
        <v>290</v>
      </c>
      <c r="F292" s="8"/>
      <c r="G292" s="8"/>
      <c r="H292" s="9"/>
      <c r="I292" s="10"/>
      <c r="J292" s="9"/>
      <c r="K292" s="10"/>
      <c r="L292" s="8"/>
      <c r="M292" s="8"/>
      <c r="N292" s="10"/>
      <c r="O292" s="10"/>
    </row>
    <row r="293" spans="1:15" ht="33.75" customHeight="1" x14ac:dyDescent="0.25">
      <c r="A293" s="7"/>
      <c r="B293" s="7"/>
      <c r="C293" s="7"/>
      <c r="D293" s="7"/>
      <c r="E293" s="11">
        <v>291</v>
      </c>
      <c r="F293" s="8"/>
      <c r="G293" s="8"/>
      <c r="H293" s="9"/>
      <c r="I293" s="10"/>
      <c r="J293" s="9"/>
      <c r="K293" s="10"/>
      <c r="L293" s="8"/>
      <c r="M293" s="8"/>
      <c r="N293" s="10"/>
      <c r="O293" s="10"/>
    </row>
    <row r="294" spans="1:15" ht="33.75" customHeight="1" x14ac:dyDescent="0.25">
      <c r="A294" s="7"/>
      <c r="B294" s="7"/>
      <c r="C294" s="7"/>
      <c r="D294" s="7"/>
      <c r="E294" s="11">
        <v>292</v>
      </c>
      <c r="F294" s="8"/>
      <c r="G294" s="8"/>
      <c r="H294" s="9"/>
      <c r="I294" s="10"/>
      <c r="J294" s="9"/>
      <c r="K294" s="10"/>
      <c r="L294" s="8"/>
      <c r="M294" s="8"/>
      <c r="N294" s="10"/>
      <c r="O294" s="10"/>
    </row>
    <row r="295" spans="1:15" ht="33.75" customHeight="1" x14ac:dyDescent="0.25">
      <c r="A295" s="7"/>
      <c r="B295" s="7"/>
      <c r="C295" s="7"/>
      <c r="D295" s="7"/>
      <c r="E295" s="11">
        <v>293</v>
      </c>
      <c r="F295" s="8"/>
      <c r="G295" s="8"/>
      <c r="H295" s="9"/>
      <c r="I295" s="10"/>
      <c r="J295" s="9"/>
      <c r="K295" s="10"/>
      <c r="L295" s="8"/>
      <c r="M295" s="8"/>
      <c r="N295" s="10"/>
      <c r="O295" s="10"/>
    </row>
    <row r="296" spans="1:15" ht="33.75" customHeight="1" x14ac:dyDescent="0.25">
      <c r="A296" s="7"/>
      <c r="B296" s="7"/>
      <c r="C296" s="7"/>
      <c r="D296" s="7"/>
      <c r="E296" s="11">
        <v>294</v>
      </c>
      <c r="F296" s="8"/>
      <c r="G296" s="8"/>
      <c r="H296" s="9"/>
      <c r="I296" s="10"/>
      <c r="J296" s="9"/>
      <c r="K296" s="10"/>
      <c r="L296" s="8"/>
      <c r="M296" s="8"/>
      <c r="N296" s="10"/>
      <c r="O296" s="10"/>
    </row>
    <row r="297" spans="1:15" ht="33.75" customHeight="1" x14ac:dyDescent="0.25">
      <c r="A297" s="7"/>
      <c r="B297" s="7"/>
      <c r="C297" s="7"/>
      <c r="D297" s="7"/>
      <c r="E297" s="11">
        <v>295</v>
      </c>
      <c r="F297" s="8"/>
      <c r="G297" s="8"/>
      <c r="H297" s="9"/>
      <c r="I297" s="10"/>
      <c r="J297" s="9"/>
      <c r="K297" s="10"/>
      <c r="L297" s="8"/>
      <c r="M297" s="8"/>
      <c r="N297" s="10"/>
      <c r="O297" s="10"/>
    </row>
    <row r="298" spans="1:15" ht="33.75" customHeight="1" x14ac:dyDescent="0.25">
      <c r="A298" s="7"/>
      <c r="B298" s="7"/>
      <c r="C298" s="7"/>
      <c r="D298" s="7"/>
      <c r="E298" s="11">
        <v>296</v>
      </c>
      <c r="F298" s="8"/>
      <c r="G298" s="8"/>
      <c r="H298" s="9"/>
      <c r="I298" s="10"/>
      <c r="J298" s="9"/>
      <c r="K298" s="10"/>
      <c r="L298" s="8"/>
      <c r="M298" s="8"/>
      <c r="N298" s="10"/>
      <c r="O298" s="10"/>
    </row>
    <row r="299" spans="1:15" ht="33.75" customHeight="1" x14ac:dyDescent="0.25">
      <c r="A299" s="7"/>
      <c r="B299" s="7"/>
      <c r="C299" s="7"/>
      <c r="D299" s="7"/>
      <c r="E299" s="11">
        <v>297</v>
      </c>
      <c r="F299" s="8"/>
      <c r="G299" s="8"/>
      <c r="H299" s="9"/>
      <c r="I299" s="10"/>
      <c r="J299" s="9"/>
      <c r="K299" s="10"/>
      <c r="L299" s="8"/>
      <c r="M299" s="8"/>
      <c r="N299" s="10"/>
      <c r="O299" s="10"/>
    </row>
    <row r="300" spans="1:15" ht="33.75" customHeight="1" x14ac:dyDescent="0.25">
      <c r="A300" s="7"/>
      <c r="B300" s="7"/>
      <c r="C300" s="7"/>
      <c r="D300" s="7"/>
      <c r="E300" s="11">
        <v>298</v>
      </c>
      <c r="F300" s="8"/>
      <c r="G300" s="8"/>
      <c r="H300" s="9"/>
      <c r="I300" s="10"/>
      <c r="J300" s="9"/>
      <c r="K300" s="10"/>
      <c r="L300" s="8"/>
      <c r="M300" s="8"/>
      <c r="N300" s="10"/>
      <c r="O300" s="10"/>
    </row>
    <row r="301" spans="1:15" ht="33.75" customHeight="1" x14ac:dyDescent="0.25">
      <c r="A301" s="7"/>
      <c r="B301" s="7"/>
      <c r="C301" s="7"/>
      <c r="D301" s="7"/>
      <c r="E301" s="11">
        <v>299</v>
      </c>
      <c r="F301" s="8"/>
      <c r="G301" s="8"/>
      <c r="H301" s="9"/>
      <c r="I301" s="10"/>
      <c r="J301" s="9"/>
      <c r="K301" s="10"/>
      <c r="L301" s="8"/>
      <c r="M301" s="8"/>
      <c r="N301" s="10"/>
      <c r="O301" s="10"/>
    </row>
    <row r="302" spans="1:15" ht="33.75" customHeight="1" x14ac:dyDescent="0.25">
      <c r="A302" s="7"/>
      <c r="B302" s="7"/>
      <c r="C302" s="7"/>
      <c r="D302" s="7"/>
      <c r="E302" s="11">
        <v>300</v>
      </c>
      <c r="F302" s="8"/>
      <c r="G302" s="8"/>
      <c r="H302" s="9"/>
      <c r="I302" s="10"/>
      <c r="J302" s="9"/>
      <c r="K302" s="10"/>
      <c r="L302" s="8"/>
      <c r="M302" s="8"/>
      <c r="N302" s="10"/>
      <c r="O302" s="10"/>
    </row>
    <row r="303" spans="1:15" ht="33.75" customHeight="1" x14ac:dyDescent="0.25">
      <c r="A303" s="7"/>
      <c r="B303" s="7"/>
      <c r="C303" s="7"/>
      <c r="D303" s="7"/>
      <c r="E303" s="11">
        <v>301</v>
      </c>
      <c r="F303" s="8"/>
      <c r="G303" s="8"/>
      <c r="H303" s="9"/>
      <c r="I303" s="10"/>
      <c r="J303" s="9"/>
      <c r="K303" s="10"/>
      <c r="L303" s="8"/>
      <c r="M303" s="8"/>
      <c r="N303" s="10"/>
      <c r="O303" s="10"/>
    </row>
    <row r="304" spans="1:15" ht="33.75" customHeight="1" x14ac:dyDescent="0.25">
      <c r="A304" s="7"/>
      <c r="B304" s="7"/>
      <c r="C304" s="7"/>
      <c r="D304" s="7"/>
      <c r="E304" s="11">
        <v>302</v>
      </c>
      <c r="F304" s="8"/>
      <c r="G304" s="8"/>
      <c r="H304" s="9"/>
      <c r="I304" s="10"/>
      <c r="J304" s="9"/>
      <c r="K304" s="10"/>
      <c r="L304" s="8"/>
      <c r="M304" s="8"/>
      <c r="N304" s="10"/>
      <c r="O304" s="10"/>
    </row>
    <row r="305" spans="1:15" ht="33.75" customHeight="1" x14ac:dyDescent="0.25">
      <c r="A305" s="7"/>
      <c r="B305" s="7"/>
      <c r="C305" s="7"/>
      <c r="D305" s="7"/>
      <c r="E305" s="11">
        <v>303</v>
      </c>
      <c r="F305" s="8"/>
      <c r="G305" s="8"/>
      <c r="H305" s="9"/>
      <c r="I305" s="10"/>
      <c r="J305" s="9"/>
      <c r="K305" s="10"/>
      <c r="L305" s="8"/>
      <c r="M305" s="8"/>
      <c r="N305" s="10"/>
      <c r="O305" s="10"/>
    </row>
    <row r="306" spans="1:15" ht="33.75" customHeight="1" x14ac:dyDescent="0.25">
      <c r="A306" s="7"/>
      <c r="B306" s="7"/>
      <c r="C306" s="7"/>
      <c r="D306" s="7"/>
      <c r="E306" s="11">
        <v>304</v>
      </c>
      <c r="F306" s="8"/>
      <c r="G306" s="8"/>
      <c r="H306" s="9"/>
      <c r="I306" s="10"/>
      <c r="J306" s="9"/>
      <c r="K306" s="10"/>
      <c r="L306" s="8"/>
      <c r="M306" s="8"/>
      <c r="N306" s="10"/>
      <c r="O306" s="10"/>
    </row>
    <row r="307" spans="1:15" ht="33.75" customHeight="1" x14ac:dyDescent="0.25">
      <c r="A307" s="7"/>
      <c r="B307" s="7"/>
      <c r="C307" s="7"/>
      <c r="D307" s="7"/>
      <c r="E307" s="11">
        <v>305</v>
      </c>
      <c r="F307" s="8"/>
      <c r="G307" s="8"/>
      <c r="H307" s="9"/>
      <c r="I307" s="10"/>
      <c r="J307" s="9"/>
      <c r="K307" s="10"/>
      <c r="L307" s="8"/>
      <c r="M307" s="8"/>
      <c r="N307" s="10"/>
      <c r="O307" s="10"/>
    </row>
    <row r="308" spans="1:15" ht="33.75" customHeight="1" x14ac:dyDescent="0.25">
      <c r="A308" s="7"/>
      <c r="B308" s="7"/>
      <c r="C308" s="7"/>
      <c r="D308" s="7"/>
      <c r="E308" s="11">
        <v>306</v>
      </c>
      <c r="F308" s="8"/>
      <c r="G308" s="8"/>
      <c r="H308" s="9"/>
      <c r="I308" s="10"/>
      <c r="J308" s="9"/>
      <c r="K308" s="10"/>
      <c r="L308" s="8"/>
      <c r="M308" s="8"/>
      <c r="N308" s="10"/>
      <c r="O308" s="10"/>
    </row>
    <row r="309" spans="1:15" ht="33.75" customHeight="1" x14ac:dyDescent="0.25">
      <c r="A309" s="7"/>
      <c r="B309" s="7"/>
      <c r="C309" s="7"/>
      <c r="D309" s="7"/>
      <c r="E309" s="11">
        <v>307</v>
      </c>
      <c r="F309" s="8"/>
      <c r="G309" s="8"/>
      <c r="H309" s="9"/>
      <c r="I309" s="10"/>
      <c r="J309" s="9"/>
      <c r="K309" s="10"/>
      <c r="L309" s="8"/>
      <c r="M309" s="8"/>
      <c r="N309" s="10"/>
      <c r="O309" s="10"/>
    </row>
    <row r="310" spans="1:15" ht="33.75" customHeight="1" x14ac:dyDescent="0.25">
      <c r="A310" s="7"/>
      <c r="B310" s="7"/>
      <c r="C310" s="7"/>
      <c r="D310" s="7"/>
      <c r="E310" s="11">
        <v>308</v>
      </c>
      <c r="F310" s="8"/>
      <c r="G310" s="8"/>
      <c r="H310" s="9"/>
      <c r="I310" s="10"/>
      <c r="J310" s="9"/>
      <c r="K310" s="10"/>
      <c r="L310" s="8"/>
      <c r="M310" s="8"/>
      <c r="N310" s="10"/>
      <c r="O310" s="10"/>
    </row>
    <row r="311" spans="1:15" ht="33.75" customHeight="1" x14ac:dyDescent="0.25">
      <c r="A311" s="7"/>
      <c r="B311" s="7"/>
      <c r="C311" s="7"/>
      <c r="D311" s="7"/>
      <c r="E311" s="11">
        <v>309</v>
      </c>
      <c r="F311" s="8"/>
      <c r="G311" s="8"/>
      <c r="H311" s="9"/>
      <c r="I311" s="10"/>
      <c r="J311" s="9"/>
      <c r="K311" s="10"/>
      <c r="L311" s="8"/>
      <c r="M311" s="8"/>
      <c r="N311" s="10"/>
      <c r="O311" s="10"/>
    </row>
    <row r="312" spans="1:15" ht="33.75" customHeight="1" x14ac:dyDescent="0.25">
      <c r="A312" s="7"/>
      <c r="B312" s="7"/>
      <c r="C312" s="7"/>
      <c r="D312" s="7"/>
      <c r="E312" s="11">
        <v>310</v>
      </c>
      <c r="F312" s="8"/>
      <c r="G312" s="8"/>
      <c r="H312" s="9"/>
      <c r="I312" s="10"/>
      <c r="J312" s="9"/>
      <c r="K312" s="10"/>
      <c r="L312" s="8"/>
      <c r="M312" s="8"/>
      <c r="N312" s="10"/>
      <c r="O312" s="10"/>
    </row>
    <row r="313" spans="1:15" ht="33.75" customHeight="1" x14ac:dyDescent="0.25">
      <c r="A313" s="7"/>
      <c r="B313" s="7"/>
      <c r="C313" s="7"/>
      <c r="D313" s="7"/>
      <c r="E313" s="11">
        <v>311</v>
      </c>
      <c r="F313" s="8"/>
      <c r="G313" s="8"/>
      <c r="H313" s="9"/>
      <c r="I313" s="10"/>
      <c r="J313" s="9"/>
      <c r="K313" s="10"/>
      <c r="L313" s="8"/>
      <c r="M313" s="8"/>
      <c r="N313" s="10"/>
      <c r="O313" s="10"/>
    </row>
    <row r="314" spans="1:15" ht="33.75" customHeight="1" x14ac:dyDescent="0.25">
      <c r="A314" s="7"/>
      <c r="B314" s="7"/>
      <c r="C314" s="7"/>
      <c r="D314" s="7"/>
      <c r="E314" s="11">
        <v>312</v>
      </c>
      <c r="F314" s="8"/>
      <c r="G314" s="8"/>
      <c r="H314" s="9"/>
      <c r="I314" s="10"/>
      <c r="J314" s="9"/>
      <c r="K314" s="10"/>
      <c r="L314" s="8"/>
      <c r="M314" s="8"/>
      <c r="N314" s="10"/>
      <c r="O314" s="10"/>
    </row>
    <row r="315" spans="1:15" ht="33.75" customHeight="1" x14ac:dyDescent="0.25">
      <c r="A315" s="7"/>
      <c r="B315" s="7"/>
      <c r="C315" s="7"/>
      <c r="D315" s="7"/>
      <c r="E315" s="11">
        <v>313</v>
      </c>
      <c r="F315" s="8"/>
      <c r="G315" s="8"/>
      <c r="H315" s="9"/>
      <c r="I315" s="10"/>
      <c r="J315" s="9"/>
      <c r="K315" s="10"/>
      <c r="L315" s="8"/>
      <c r="M315" s="8"/>
      <c r="N315" s="10"/>
      <c r="O315" s="10"/>
    </row>
    <row r="316" spans="1:15" ht="33.75" customHeight="1" x14ac:dyDescent="0.25">
      <c r="A316" s="7"/>
      <c r="B316" s="7"/>
      <c r="C316" s="7"/>
      <c r="D316" s="7"/>
      <c r="E316" s="11">
        <v>314</v>
      </c>
      <c r="F316" s="8"/>
      <c r="G316" s="8"/>
      <c r="H316" s="9"/>
      <c r="I316" s="10"/>
      <c r="J316" s="9"/>
      <c r="K316" s="10"/>
      <c r="L316" s="8"/>
      <c r="M316" s="8"/>
      <c r="N316" s="10"/>
      <c r="O316" s="10"/>
    </row>
    <row r="317" spans="1:15" ht="33.75" customHeight="1" x14ac:dyDescent="0.25">
      <c r="A317" s="7"/>
      <c r="B317" s="7"/>
      <c r="C317" s="7"/>
      <c r="D317" s="7"/>
      <c r="E317" s="11">
        <v>315</v>
      </c>
      <c r="F317" s="8"/>
      <c r="G317" s="8"/>
      <c r="H317" s="9"/>
      <c r="I317" s="10"/>
      <c r="J317" s="9"/>
      <c r="K317" s="10"/>
      <c r="L317" s="8"/>
      <c r="M317" s="8"/>
      <c r="N317" s="10"/>
      <c r="O317" s="10"/>
    </row>
    <row r="318" spans="1:15" ht="33.75" customHeight="1" x14ac:dyDescent="0.25">
      <c r="A318" s="7"/>
      <c r="B318" s="7"/>
      <c r="C318" s="7"/>
      <c r="D318" s="7"/>
      <c r="E318" s="11">
        <v>316</v>
      </c>
      <c r="F318" s="8"/>
      <c r="G318" s="8"/>
      <c r="H318" s="9"/>
      <c r="I318" s="10"/>
      <c r="J318" s="9"/>
      <c r="K318" s="10"/>
      <c r="L318" s="8"/>
      <c r="M318" s="8"/>
      <c r="N318" s="10"/>
      <c r="O318" s="10"/>
    </row>
    <row r="319" spans="1:15" ht="33.75" customHeight="1" x14ac:dyDescent="0.25">
      <c r="A319" s="7"/>
      <c r="B319" s="7"/>
      <c r="C319" s="7"/>
      <c r="D319" s="7"/>
      <c r="E319" s="11">
        <v>317</v>
      </c>
      <c r="F319" s="8"/>
      <c r="G319" s="8"/>
      <c r="H319" s="9"/>
      <c r="I319" s="10"/>
      <c r="J319" s="9"/>
      <c r="K319" s="10"/>
      <c r="L319" s="8"/>
      <c r="M319" s="8"/>
      <c r="N319" s="10"/>
      <c r="O319" s="10"/>
    </row>
    <row r="320" spans="1:15" ht="33.75" customHeight="1" x14ac:dyDescent="0.25">
      <c r="A320" s="7"/>
      <c r="B320" s="7"/>
      <c r="C320" s="7"/>
      <c r="D320" s="7"/>
      <c r="E320" s="11">
        <v>318</v>
      </c>
      <c r="F320" s="8"/>
      <c r="G320" s="8"/>
      <c r="H320" s="9"/>
      <c r="I320" s="10"/>
      <c r="J320" s="9"/>
      <c r="K320" s="10"/>
      <c r="L320" s="8"/>
      <c r="M320" s="8"/>
      <c r="N320" s="10"/>
      <c r="O320" s="10"/>
    </row>
    <row r="321" spans="1:15" ht="33.75" customHeight="1" x14ac:dyDescent="0.25">
      <c r="A321" s="7"/>
      <c r="B321" s="7"/>
      <c r="C321" s="7"/>
      <c r="D321" s="7"/>
      <c r="E321" s="11">
        <v>319</v>
      </c>
      <c r="F321" s="8"/>
      <c r="G321" s="8"/>
      <c r="H321" s="9"/>
      <c r="I321" s="10"/>
      <c r="J321" s="9"/>
      <c r="K321" s="10"/>
      <c r="L321" s="8"/>
      <c r="M321" s="8"/>
      <c r="N321" s="10"/>
      <c r="O321" s="10"/>
    </row>
    <row r="322" spans="1:15" ht="33.75" customHeight="1" x14ac:dyDescent="0.25">
      <c r="A322" s="7"/>
      <c r="B322" s="7"/>
      <c r="C322" s="7"/>
      <c r="D322" s="7"/>
      <c r="E322" s="11">
        <v>320</v>
      </c>
      <c r="F322" s="8"/>
      <c r="G322" s="8"/>
      <c r="H322" s="9"/>
      <c r="I322" s="10"/>
      <c r="J322" s="9"/>
      <c r="K322" s="10"/>
      <c r="L322" s="8"/>
      <c r="M322" s="8"/>
      <c r="N322" s="10"/>
      <c r="O322" s="10"/>
    </row>
    <row r="323" spans="1:15" ht="33.75" customHeight="1" x14ac:dyDescent="0.25">
      <c r="A323" s="7"/>
      <c r="B323" s="7"/>
      <c r="C323" s="7"/>
      <c r="D323" s="7"/>
      <c r="E323" s="11">
        <v>321</v>
      </c>
      <c r="F323" s="8"/>
      <c r="G323" s="8"/>
      <c r="H323" s="9"/>
      <c r="I323" s="10"/>
      <c r="J323" s="9"/>
      <c r="K323" s="10"/>
      <c r="L323" s="8"/>
      <c r="M323" s="8"/>
      <c r="N323" s="10"/>
      <c r="O323" s="10"/>
    </row>
    <row r="324" spans="1:15" ht="33.75" customHeight="1" x14ac:dyDescent="0.25">
      <c r="A324" s="7"/>
      <c r="B324" s="7"/>
      <c r="C324" s="7"/>
      <c r="D324" s="7"/>
      <c r="E324" s="11">
        <v>322</v>
      </c>
      <c r="F324" s="8"/>
      <c r="G324" s="8"/>
      <c r="H324" s="9"/>
      <c r="I324" s="10"/>
      <c r="J324" s="9"/>
      <c r="K324" s="10"/>
      <c r="L324" s="8"/>
      <c r="M324" s="8"/>
      <c r="N324" s="10"/>
      <c r="O324" s="10"/>
    </row>
    <row r="325" spans="1:15" ht="33.75" customHeight="1" x14ac:dyDescent="0.25">
      <c r="A325" s="7"/>
      <c r="B325" s="7"/>
      <c r="C325" s="7"/>
      <c r="D325" s="7"/>
      <c r="E325" s="11">
        <v>323</v>
      </c>
      <c r="F325" s="8"/>
      <c r="G325" s="8"/>
      <c r="H325" s="9"/>
      <c r="I325" s="10"/>
      <c r="J325" s="9"/>
      <c r="K325" s="10"/>
      <c r="L325" s="8"/>
      <c r="M325" s="8"/>
      <c r="N325" s="10"/>
      <c r="O325" s="10"/>
    </row>
    <row r="326" spans="1:15" ht="33.75" customHeight="1" x14ac:dyDescent="0.25">
      <c r="A326" s="7"/>
      <c r="B326" s="7"/>
      <c r="C326" s="7"/>
      <c r="D326" s="7"/>
      <c r="E326" s="11">
        <v>324</v>
      </c>
      <c r="F326" s="8"/>
      <c r="G326" s="8"/>
      <c r="H326" s="9"/>
      <c r="I326" s="10"/>
      <c r="J326" s="9"/>
      <c r="K326" s="10"/>
      <c r="L326" s="8"/>
      <c r="M326" s="8"/>
      <c r="N326" s="10"/>
      <c r="O326" s="10"/>
    </row>
    <row r="327" spans="1:15" ht="33.75" customHeight="1" x14ac:dyDescent="0.25">
      <c r="A327" s="7"/>
      <c r="B327" s="7"/>
      <c r="C327" s="7"/>
      <c r="D327" s="7"/>
      <c r="E327" s="11">
        <v>325</v>
      </c>
      <c r="F327" s="8"/>
      <c r="G327" s="8"/>
      <c r="H327" s="9"/>
      <c r="I327" s="10"/>
      <c r="J327" s="9"/>
      <c r="K327" s="10"/>
      <c r="L327" s="8"/>
      <c r="M327" s="8"/>
      <c r="N327" s="10"/>
      <c r="O327" s="10"/>
    </row>
    <row r="328" spans="1:15" ht="33.75" customHeight="1" x14ac:dyDescent="0.25">
      <c r="A328" s="7"/>
      <c r="B328" s="7"/>
      <c r="C328" s="7"/>
      <c r="D328" s="7"/>
      <c r="E328" s="11">
        <v>326</v>
      </c>
      <c r="F328" s="8"/>
      <c r="G328" s="8"/>
      <c r="H328" s="9"/>
      <c r="I328" s="10"/>
      <c r="J328" s="9"/>
      <c r="K328" s="10"/>
      <c r="L328" s="8"/>
      <c r="M328" s="8"/>
      <c r="N328" s="10"/>
      <c r="O328" s="10"/>
    </row>
    <row r="329" spans="1:15" ht="33.75" customHeight="1" x14ac:dyDescent="0.25">
      <c r="A329" s="7"/>
      <c r="B329" s="7"/>
      <c r="C329" s="7"/>
      <c r="D329" s="7"/>
      <c r="E329" s="11">
        <v>327</v>
      </c>
      <c r="F329" s="8"/>
      <c r="G329" s="8"/>
      <c r="H329" s="9"/>
      <c r="I329" s="10"/>
      <c r="J329" s="9"/>
      <c r="K329" s="10"/>
      <c r="L329" s="8"/>
      <c r="M329" s="8"/>
      <c r="N329" s="10"/>
      <c r="O329" s="10"/>
    </row>
    <row r="330" spans="1:15" ht="33.75" customHeight="1" x14ac:dyDescent="0.25">
      <c r="A330" s="7"/>
      <c r="B330" s="7"/>
      <c r="C330" s="7"/>
      <c r="D330" s="7"/>
      <c r="E330" s="11">
        <v>328</v>
      </c>
      <c r="F330" s="8"/>
      <c r="G330" s="8"/>
      <c r="H330" s="9"/>
      <c r="I330" s="10"/>
      <c r="J330" s="9"/>
      <c r="K330" s="10"/>
      <c r="L330" s="8"/>
      <c r="M330" s="8"/>
      <c r="N330" s="10"/>
      <c r="O330" s="10"/>
    </row>
    <row r="331" spans="1:15" ht="33.75" customHeight="1" x14ac:dyDescent="0.25">
      <c r="A331" s="7"/>
      <c r="B331" s="7"/>
      <c r="C331" s="7"/>
      <c r="D331" s="7"/>
      <c r="E331" s="11">
        <v>329</v>
      </c>
      <c r="F331" s="8"/>
      <c r="G331" s="8"/>
      <c r="H331" s="9"/>
      <c r="I331" s="10"/>
      <c r="J331" s="9"/>
      <c r="K331" s="10"/>
      <c r="L331" s="8"/>
      <c r="M331" s="8"/>
      <c r="N331" s="10"/>
      <c r="O331" s="10"/>
    </row>
    <row r="332" spans="1:15" ht="33.75" customHeight="1" x14ac:dyDescent="0.25">
      <c r="A332" s="7"/>
      <c r="B332" s="7"/>
      <c r="C332" s="7"/>
      <c r="D332" s="7"/>
      <c r="E332" s="11">
        <v>330</v>
      </c>
      <c r="F332" s="8"/>
      <c r="G332" s="8"/>
      <c r="H332" s="9"/>
      <c r="I332" s="10"/>
      <c r="J332" s="9"/>
      <c r="K332" s="10"/>
      <c r="L332" s="8"/>
      <c r="M332" s="8"/>
      <c r="N332" s="10"/>
      <c r="O332" s="10"/>
    </row>
    <row r="333" spans="1:15" ht="33.75" customHeight="1" x14ac:dyDescent="0.25">
      <c r="A333" s="7"/>
      <c r="B333" s="7"/>
      <c r="C333" s="7"/>
      <c r="D333" s="7"/>
      <c r="E333" s="11">
        <v>331</v>
      </c>
      <c r="F333" s="8"/>
      <c r="G333" s="8"/>
      <c r="H333" s="9"/>
      <c r="I333" s="10"/>
      <c r="J333" s="9"/>
      <c r="K333" s="10"/>
      <c r="L333" s="8"/>
      <c r="M333" s="8"/>
      <c r="N333" s="10"/>
      <c r="O333" s="10"/>
    </row>
    <row r="334" spans="1:15" ht="33.75" customHeight="1" x14ac:dyDescent="0.25">
      <c r="A334" s="7"/>
      <c r="B334" s="7"/>
      <c r="C334" s="7"/>
      <c r="D334" s="7"/>
      <c r="E334" s="11">
        <v>332</v>
      </c>
      <c r="F334" s="8"/>
      <c r="G334" s="8"/>
      <c r="H334" s="9"/>
      <c r="I334" s="10"/>
      <c r="J334" s="9"/>
      <c r="K334" s="10"/>
      <c r="L334" s="8"/>
      <c r="M334" s="8"/>
      <c r="N334" s="10"/>
      <c r="O334" s="10"/>
    </row>
    <row r="335" spans="1:15" ht="33.75" customHeight="1" x14ac:dyDescent="0.25">
      <c r="A335" s="7"/>
      <c r="B335" s="7"/>
      <c r="C335" s="7"/>
      <c r="D335" s="7"/>
      <c r="E335" s="11">
        <v>333</v>
      </c>
      <c r="F335" s="8"/>
      <c r="G335" s="8"/>
      <c r="H335" s="9"/>
      <c r="I335" s="10"/>
      <c r="J335" s="9"/>
      <c r="K335" s="10"/>
      <c r="L335" s="8"/>
      <c r="M335" s="8"/>
      <c r="N335" s="10"/>
      <c r="O335" s="10"/>
    </row>
    <row r="336" spans="1:15" ht="33.75" customHeight="1" x14ac:dyDescent="0.25">
      <c r="A336" s="7"/>
      <c r="B336" s="7"/>
      <c r="C336" s="7"/>
      <c r="D336" s="7"/>
      <c r="E336" s="11">
        <v>334</v>
      </c>
      <c r="F336" s="8"/>
      <c r="G336" s="8"/>
      <c r="H336" s="9"/>
      <c r="I336" s="10"/>
      <c r="J336" s="9"/>
      <c r="K336" s="10"/>
      <c r="L336" s="8"/>
      <c r="M336" s="8"/>
      <c r="N336" s="10"/>
      <c r="O336" s="10"/>
    </row>
    <row r="337" spans="1:15" ht="33.75" customHeight="1" x14ac:dyDescent="0.25">
      <c r="A337" s="7"/>
      <c r="B337" s="7"/>
      <c r="C337" s="7"/>
      <c r="D337" s="7"/>
      <c r="E337" s="11">
        <v>335</v>
      </c>
      <c r="F337" s="8"/>
      <c r="G337" s="8"/>
      <c r="H337" s="9"/>
      <c r="I337" s="10"/>
      <c r="J337" s="9"/>
      <c r="K337" s="10"/>
      <c r="L337" s="8"/>
      <c r="M337" s="8"/>
      <c r="N337" s="10"/>
      <c r="O337" s="10"/>
    </row>
    <row r="338" spans="1:15" ht="33.75" customHeight="1" x14ac:dyDescent="0.25">
      <c r="A338" s="7"/>
      <c r="B338" s="7"/>
      <c r="C338" s="7"/>
      <c r="D338" s="7"/>
      <c r="E338" s="11">
        <v>336</v>
      </c>
      <c r="F338" s="8"/>
      <c r="G338" s="8"/>
      <c r="H338" s="9"/>
      <c r="I338" s="10"/>
      <c r="J338" s="9"/>
      <c r="K338" s="10"/>
      <c r="L338" s="8"/>
      <c r="M338" s="8"/>
      <c r="N338" s="10"/>
      <c r="O338" s="10"/>
    </row>
    <row r="339" spans="1:15" ht="33.75" customHeight="1" x14ac:dyDescent="0.25">
      <c r="A339" s="7"/>
      <c r="B339" s="7"/>
      <c r="C339" s="7"/>
      <c r="D339" s="7"/>
      <c r="E339" s="11">
        <v>337</v>
      </c>
      <c r="F339" s="8"/>
      <c r="G339" s="8"/>
      <c r="H339" s="9"/>
      <c r="I339" s="10"/>
      <c r="J339" s="9"/>
      <c r="K339" s="10"/>
      <c r="L339" s="8"/>
      <c r="M339" s="8"/>
      <c r="N339" s="10"/>
      <c r="O339" s="10"/>
    </row>
    <row r="340" spans="1:15" ht="33.75" customHeight="1" x14ac:dyDescent="0.25">
      <c r="A340" s="7"/>
      <c r="B340" s="7"/>
      <c r="C340" s="7"/>
      <c r="D340" s="7"/>
      <c r="E340" s="11">
        <v>338</v>
      </c>
      <c r="F340" s="8"/>
      <c r="G340" s="8"/>
      <c r="H340" s="9"/>
      <c r="I340" s="10"/>
      <c r="J340" s="9"/>
      <c r="K340" s="10"/>
      <c r="L340" s="8"/>
      <c r="M340" s="8"/>
      <c r="N340" s="10"/>
      <c r="O340" s="10"/>
    </row>
    <row r="341" spans="1:15" ht="33.75" customHeight="1" x14ac:dyDescent="0.25">
      <c r="A341" s="7"/>
      <c r="B341" s="7"/>
      <c r="C341" s="7"/>
      <c r="D341" s="7"/>
      <c r="E341" s="11">
        <v>339</v>
      </c>
      <c r="F341" s="8"/>
      <c r="G341" s="8"/>
      <c r="H341" s="9"/>
      <c r="I341" s="10"/>
      <c r="J341" s="9"/>
      <c r="K341" s="10"/>
      <c r="L341" s="8"/>
      <c r="M341" s="8"/>
      <c r="N341" s="10"/>
      <c r="O341" s="10"/>
    </row>
    <row r="342" spans="1:15" ht="33.75" customHeight="1" x14ac:dyDescent="0.25">
      <c r="A342" s="7"/>
      <c r="B342" s="7"/>
      <c r="C342" s="7"/>
      <c r="D342" s="7"/>
      <c r="E342" s="11">
        <v>340</v>
      </c>
      <c r="F342" s="8"/>
      <c r="G342" s="8"/>
      <c r="H342" s="9"/>
      <c r="I342" s="10"/>
      <c r="J342" s="9"/>
      <c r="K342" s="10"/>
      <c r="L342" s="8"/>
      <c r="M342" s="8"/>
      <c r="N342" s="10"/>
      <c r="O342" s="10"/>
    </row>
    <row r="343" spans="1:15" ht="33.75" customHeight="1" x14ac:dyDescent="0.25">
      <c r="A343" s="7"/>
      <c r="B343" s="7"/>
      <c r="C343" s="7"/>
      <c r="D343" s="7"/>
      <c r="E343" s="11">
        <v>341</v>
      </c>
      <c r="F343" s="8"/>
      <c r="G343" s="8"/>
      <c r="H343" s="9"/>
      <c r="I343" s="10"/>
      <c r="J343" s="9"/>
      <c r="K343" s="10"/>
      <c r="L343" s="8"/>
      <c r="M343" s="8"/>
      <c r="N343" s="10"/>
      <c r="O343" s="10"/>
    </row>
    <row r="344" spans="1:15" ht="33.75" customHeight="1" x14ac:dyDescent="0.25">
      <c r="A344" s="7"/>
      <c r="B344" s="7"/>
      <c r="C344" s="7"/>
      <c r="D344" s="7"/>
      <c r="E344" s="11">
        <v>342</v>
      </c>
      <c r="F344" s="8"/>
      <c r="G344" s="8"/>
      <c r="H344" s="9"/>
      <c r="I344" s="10"/>
      <c r="J344" s="9"/>
      <c r="K344" s="10"/>
      <c r="L344" s="8"/>
      <c r="M344" s="8"/>
      <c r="N344" s="10"/>
      <c r="O344" s="10"/>
    </row>
    <row r="345" spans="1:15" ht="33.75" customHeight="1" x14ac:dyDescent="0.25">
      <c r="A345" s="7"/>
      <c r="B345" s="7"/>
      <c r="C345" s="7"/>
      <c r="D345" s="7"/>
      <c r="E345" s="11">
        <v>343</v>
      </c>
      <c r="F345" s="8"/>
      <c r="G345" s="8"/>
      <c r="H345" s="9"/>
      <c r="I345" s="10"/>
      <c r="J345" s="9"/>
      <c r="K345" s="10"/>
      <c r="L345" s="8"/>
      <c r="M345" s="8"/>
      <c r="N345" s="10"/>
      <c r="O345" s="10"/>
    </row>
    <row r="346" spans="1:15" ht="33.75" customHeight="1" x14ac:dyDescent="0.25">
      <c r="A346" s="7"/>
      <c r="B346" s="7"/>
      <c r="C346" s="7"/>
      <c r="D346" s="7"/>
      <c r="E346" s="11">
        <v>344</v>
      </c>
      <c r="F346" s="8"/>
      <c r="G346" s="8"/>
      <c r="H346" s="9"/>
      <c r="I346" s="10"/>
      <c r="J346" s="9"/>
      <c r="K346" s="10"/>
      <c r="L346" s="8"/>
      <c r="M346" s="8"/>
      <c r="N346" s="10"/>
      <c r="O346" s="10"/>
    </row>
    <row r="347" spans="1:15" ht="33.75" customHeight="1" x14ac:dyDescent="0.25">
      <c r="A347" s="7"/>
      <c r="B347" s="7"/>
      <c r="C347" s="7"/>
      <c r="D347" s="7"/>
      <c r="E347" s="11">
        <v>345</v>
      </c>
      <c r="F347" s="8"/>
      <c r="G347" s="8"/>
      <c r="H347" s="9"/>
      <c r="I347" s="10"/>
      <c r="J347" s="9"/>
      <c r="K347" s="10"/>
      <c r="L347" s="8"/>
      <c r="M347" s="8"/>
      <c r="N347" s="10"/>
      <c r="O347" s="10"/>
    </row>
    <row r="348" spans="1:15" ht="33.75" customHeight="1" x14ac:dyDescent="0.25">
      <c r="A348" s="7"/>
      <c r="B348" s="7"/>
      <c r="C348" s="7"/>
      <c r="D348" s="7"/>
      <c r="E348" s="11">
        <v>346</v>
      </c>
      <c r="F348" s="8"/>
      <c r="G348" s="8"/>
      <c r="H348" s="9"/>
      <c r="I348" s="10"/>
      <c r="J348" s="9"/>
      <c r="K348" s="10"/>
      <c r="L348" s="8"/>
      <c r="M348" s="8"/>
      <c r="N348" s="10"/>
      <c r="O348" s="10"/>
    </row>
    <row r="349" spans="1:15" ht="33.75" customHeight="1" x14ac:dyDescent="0.25">
      <c r="A349" s="7"/>
      <c r="B349" s="7"/>
      <c r="C349" s="7"/>
      <c r="D349" s="7"/>
      <c r="E349" s="11">
        <v>347</v>
      </c>
      <c r="F349" s="8"/>
      <c r="G349" s="8"/>
      <c r="H349" s="9"/>
      <c r="I349" s="10"/>
      <c r="J349" s="9"/>
      <c r="K349" s="10"/>
      <c r="L349" s="8"/>
      <c r="M349" s="8"/>
      <c r="N349" s="10"/>
      <c r="O349" s="10"/>
    </row>
    <row r="350" spans="1:15" ht="33.75" customHeight="1" x14ac:dyDescent="0.25">
      <c r="A350" s="7"/>
      <c r="B350" s="7"/>
      <c r="C350" s="7"/>
      <c r="D350" s="7"/>
      <c r="E350" s="11">
        <v>348</v>
      </c>
      <c r="F350" s="8"/>
      <c r="G350" s="8"/>
      <c r="H350" s="9"/>
      <c r="I350" s="10"/>
      <c r="J350" s="9"/>
      <c r="K350" s="10"/>
      <c r="L350" s="8"/>
      <c r="M350" s="8"/>
      <c r="N350" s="10"/>
      <c r="O350" s="10"/>
    </row>
    <row r="351" spans="1:15" ht="33.75" customHeight="1" x14ac:dyDescent="0.25">
      <c r="A351" s="7"/>
      <c r="B351" s="7"/>
      <c r="C351" s="7"/>
      <c r="D351" s="7"/>
      <c r="E351" s="11">
        <v>349</v>
      </c>
      <c r="F351" s="8"/>
      <c r="G351" s="8"/>
      <c r="H351" s="9"/>
      <c r="I351" s="10"/>
      <c r="J351" s="9"/>
      <c r="K351" s="10"/>
      <c r="L351" s="8"/>
      <c r="M351" s="8"/>
      <c r="N351" s="10"/>
      <c r="O351" s="10"/>
    </row>
    <row r="352" spans="1:15" ht="33.75" customHeight="1" x14ac:dyDescent="0.25">
      <c r="A352" s="7"/>
      <c r="B352" s="7"/>
      <c r="C352" s="7"/>
      <c r="D352" s="7"/>
      <c r="E352" s="11">
        <v>350</v>
      </c>
      <c r="F352" s="8"/>
      <c r="G352" s="8"/>
      <c r="H352" s="9"/>
      <c r="I352" s="10"/>
      <c r="J352" s="9"/>
      <c r="K352" s="10"/>
      <c r="L352" s="8"/>
      <c r="M352" s="8"/>
      <c r="N352" s="10"/>
      <c r="O352" s="10"/>
    </row>
    <row r="353" spans="1:15" ht="33.75" customHeight="1" x14ac:dyDescent="0.25">
      <c r="A353" s="7"/>
      <c r="B353" s="7"/>
      <c r="C353" s="7"/>
      <c r="D353" s="7"/>
      <c r="E353" s="11">
        <v>351</v>
      </c>
      <c r="F353" s="8"/>
      <c r="G353" s="8"/>
      <c r="H353" s="9"/>
      <c r="I353" s="10"/>
      <c r="J353" s="9"/>
      <c r="K353" s="10"/>
      <c r="L353" s="8"/>
      <c r="M353" s="8"/>
      <c r="N353" s="10"/>
      <c r="O353" s="10"/>
    </row>
    <row r="354" spans="1:15" ht="33.75" customHeight="1" x14ac:dyDescent="0.25">
      <c r="A354" s="7"/>
      <c r="B354" s="7"/>
      <c r="C354" s="7"/>
      <c r="D354" s="7"/>
      <c r="E354" s="11">
        <v>352</v>
      </c>
      <c r="F354" s="8"/>
      <c r="G354" s="8"/>
      <c r="H354" s="9"/>
      <c r="I354" s="10"/>
      <c r="J354" s="9"/>
      <c r="K354" s="10"/>
      <c r="L354" s="8"/>
      <c r="M354" s="8"/>
      <c r="N354" s="10"/>
      <c r="O354" s="10"/>
    </row>
    <row r="355" spans="1:15" ht="33.75" customHeight="1" x14ac:dyDescent="0.25">
      <c r="A355" s="7"/>
      <c r="B355" s="7"/>
      <c r="C355" s="7"/>
      <c r="D355" s="7"/>
      <c r="E355" s="11">
        <v>353</v>
      </c>
      <c r="F355" s="8"/>
      <c r="G355" s="8"/>
      <c r="H355" s="9"/>
      <c r="I355" s="10"/>
      <c r="J355" s="9"/>
      <c r="K355" s="10"/>
      <c r="L355" s="8"/>
      <c r="M355" s="8"/>
      <c r="N355" s="10"/>
      <c r="O355" s="10"/>
    </row>
    <row r="356" spans="1:15" ht="33.75" customHeight="1" x14ac:dyDescent="0.25">
      <c r="A356" s="7"/>
      <c r="B356" s="7"/>
      <c r="C356" s="7"/>
      <c r="D356" s="7"/>
      <c r="E356" s="11">
        <v>354</v>
      </c>
      <c r="F356" s="8"/>
      <c r="G356" s="8"/>
      <c r="H356" s="9"/>
      <c r="I356" s="10"/>
      <c r="J356" s="9"/>
      <c r="K356" s="10"/>
      <c r="L356" s="8"/>
      <c r="M356" s="8"/>
      <c r="N356" s="10"/>
      <c r="O356" s="10"/>
    </row>
    <row r="357" spans="1:15" ht="33.75" customHeight="1" x14ac:dyDescent="0.25">
      <c r="A357" s="7"/>
      <c r="B357" s="7"/>
      <c r="C357" s="7"/>
      <c r="D357" s="7"/>
      <c r="E357" s="11">
        <v>355</v>
      </c>
      <c r="F357" s="8"/>
      <c r="G357" s="8"/>
      <c r="H357" s="9"/>
      <c r="I357" s="10"/>
      <c r="J357" s="9"/>
      <c r="K357" s="10"/>
      <c r="L357" s="8"/>
      <c r="M357" s="8"/>
      <c r="N357" s="10"/>
      <c r="O357" s="10"/>
    </row>
    <row r="358" spans="1:15" ht="33.75" customHeight="1" x14ac:dyDescent="0.25">
      <c r="A358" s="7"/>
      <c r="B358" s="7"/>
      <c r="C358" s="7"/>
      <c r="D358" s="7"/>
      <c r="E358" s="11">
        <v>356</v>
      </c>
      <c r="F358" s="8"/>
      <c r="G358" s="8"/>
      <c r="H358" s="9"/>
      <c r="I358" s="10"/>
      <c r="J358" s="9"/>
      <c r="K358" s="10"/>
      <c r="L358" s="8"/>
      <c r="M358" s="8"/>
      <c r="N358" s="10"/>
      <c r="O358" s="10"/>
    </row>
    <row r="359" spans="1:15" ht="33.75" customHeight="1" x14ac:dyDescent="0.25">
      <c r="A359" s="7"/>
      <c r="B359" s="7"/>
      <c r="C359" s="7"/>
      <c r="D359" s="7"/>
      <c r="E359" s="11">
        <v>357</v>
      </c>
      <c r="F359" s="8"/>
      <c r="G359" s="8"/>
      <c r="H359" s="9"/>
      <c r="I359" s="10"/>
      <c r="J359" s="9"/>
      <c r="K359" s="10"/>
      <c r="L359" s="8"/>
      <c r="M359" s="8"/>
      <c r="N359" s="10"/>
      <c r="O359" s="10"/>
    </row>
    <row r="360" spans="1:15" ht="33.75" customHeight="1" x14ac:dyDescent="0.25">
      <c r="A360" s="7"/>
      <c r="B360" s="7"/>
      <c r="C360" s="7"/>
      <c r="D360" s="7"/>
      <c r="E360" s="11">
        <v>358</v>
      </c>
      <c r="F360" s="8"/>
      <c r="G360" s="8"/>
      <c r="H360" s="9"/>
      <c r="I360" s="10"/>
      <c r="J360" s="9"/>
      <c r="K360" s="10"/>
      <c r="L360" s="8"/>
      <c r="M360" s="8"/>
      <c r="N360" s="10"/>
      <c r="O360" s="10"/>
    </row>
    <row r="361" spans="1:15" ht="33.75" customHeight="1" x14ac:dyDescent="0.25">
      <c r="A361" s="7"/>
      <c r="B361" s="7"/>
      <c r="C361" s="7"/>
      <c r="D361" s="7"/>
      <c r="E361" s="11">
        <v>359</v>
      </c>
      <c r="F361" s="8"/>
      <c r="G361" s="8"/>
      <c r="H361" s="9"/>
      <c r="I361" s="10"/>
      <c r="J361" s="9"/>
      <c r="K361" s="10"/>
      <c r="L361" s="8"/>
      <c r="M361" s="8"/>
      <c r="N361" s="10"/>
      <c r="O361" s="10"/>
    </row>
    <row r="362" spans="1:15" ht="33.75" customHeight="1" x14ac:dyDescent="0.25">
      <c r="A362" s="7"/>
      <c r="B362" s="7"/>
      <c r="C362" s="7"/>
      <c r="D362" s="7"/>
      <c r="E362" s="11">
        <v>360</v>
      </c>
      <c r="F362" s="8"/>
      <c r="G362" s="8"/>
      <c r="H362" s="9"/>
      <c r="I362" s="10"/>
      <c r="J362" s="9"/>
      <c r="K362" s="10"/>
      <c r="L362" s="8"/>
      <c r="M362" s="8"/>
      <c r="N362" s="10"/>
      <c r="O362" s="10"/>
    </row>
    <row r="363" spans="1:15" ht="33.75" customHeight="1" x14ac:dyDescent="0.25">
      <c r="A363" s="7"/>
      <c r="B363" s="7"/>
      <c r="C363" s="7"/>
      <c r="D363" s="7"/>
      <c r="E363" s="11">
        <v>361</v>
      </c>
      <c r="F363" s="8"/>
      <c r="G363" s="8"/>
      <c r="H363" s="9"/>
      <c r="I363" s="10"/>
      <c r="J363" s="9"/>
      <c r="K363" s="10"/>
      <c r="L363" s="8"/>
      <c r="M363" s="8"/>
      <c r="N363" s="10"/>
      <c r="O363" s="10"/>
    </row>
    <row r="364" spans="1:15" ht="33.75" customHeight="1" x14ac:dyDescent="0.25">
      <c r="A364" s="7"/>
      <c r="B364" s="7"/>
      <c r="C364" s="7"/>
      <c r="D364" s="7"/>
      <c r="E364" s="11">
        <v>362</v>
      </c>
      <c r="F364" s="8"/>
      <c r="G364" s="8"/>
      <c r="H364" s="9"/>
      <c r="I364" s="10"/>
      <c r="J364" s="9"/>
      <c r="K364" s="10"/>
      <c r="L364" s="8"/>
      <c r="M364" s="8"/>
      <c r="N364" s="10"/>
      <c r="O364" s="10"/>
    </row>
    <row r="365" spans="1:15" ht="33.75" customHeight="1" x14ac:dyDescent="0.25">
      <c r="A365" s="7"/>
      <c r="B365" s="7"/>
      <c r="C365" s="7"/>
      <c r="D365" s="7"/>
      <c r="E365" s="11">
        <v>363</v>
      </c>
      <c r="F365" s="8"/>
      <c r="G365" s="8"/>
      <c r="H365" s="9"/>
      <c r="I365" s="10"/>
      <c r="J365" s="9"/>
      <c r="K365" s="10"/>
      <c r="L365" s="8"/>
      <c r="M365" s="8"/>
      <c r="N365" s="10"/>
      <c r="O365" s="10"/>
    </row>
    <row r="366" spans="1:15" ht="33.75" customHeight="1" x14ac:dyDescent="0.25">
      <c r="A366" s="7"/>
      <c r="B366" s="7"/>
      <c r="C366" s="7"/>
      <c r="D366" s="7"/>
      <c r="E366" s="11">
        <v>364</v>
      </c>
      <c r="F366" s="8"/>
      <c r="G366" s="8"/>
      <c r="H366" s="9"/>
      <c r="I366" s="10"/>
      <c r="J366" s="9"/>
      <c r="K366" s="10"/>
      <c r="L366" s="8"/>
      <c r="M366" s="8"/>
      <c r="N366" s="10"/>
      <c r="O366" s="10"/>
    </row>
    <row r="367" spans="1:15" ht="33.75" customHeight="1" x14ac:dyDescent="0.25">
      <c r="A367" s="7"/>
      <c r="B367" s="7"/>
      <c r="C367" s="7"/>
      <c r="D367" s="7"/>
      <c r="E367" s="11">
        <v>365</v>
      </c>
      <c r="F367" s="8"/>
      <c r="G367" s="8"/>
      <c r="H367" s="9"/>
      <c r="I367" s="10"/>
      <c r="J367" s="9"/>
      <c r="K367" s="10"/>
      <c r="L367" s="8"/>
      <c r="M367" s="8"/>
      <c r="N367" s="10"/>
      <c r="O367" s="10"/>
    </row>
    <row r="368" spans="1:15" ht="33.75" customHeight="1" x14ac:dyDescent="0.25">
      <c r="A368" s="7"/>
      <c r="B368" s="7"/>
      <c r="C368" s="7"/>
      <c r="D368" s="7"/>
      <c r="E368" s="11">
        <v>366</v>
      </c>
      <c r="F368" s="8"/>
      <c r="G368" s="8"/>
      <c r="H368" s="9"/>
      <c r="I368" s="10"/>
      <c r="J368" s="9"/>
      <c r="K368" s="10"/>
      <c r="L368" s="8"/>
      <c r="M368" s="8"/>
      <c r="N368" s="10"/>
      <c r="O368" s="10"/>
    </row>
    <row r="369" spans="1:15" ht="33.75" customHeight="1" x14ac:dyDescent="0.25">
      <c r="A369" s="7"/>
      <c r="B369" s="7"/>
      <c r="C369" s="7"/>
      <c r="D369" s="7"/>
      <c r="E369" s="11">
        <v>367</v>
      </c>
      <c r="F369" s="8"/>
      <c r="G369" s="8"/>
      <c r="H369" s="9"/>
      <c r="I369" s="10"/>
      <c r="J369" s="9"/>
      <c r="K369" s="10"/>
      <c r="L369" s="8"/>
      <c r="M369" s="8"/>
      <c r="N369" s="10"/>
      <c r="O369" s="10"/>
    </row>
    <row r="370" spans="1:15" ht="33.75" customHeight="1" x14ac:dyDescent="0.25">
      <c r="A370" s="7"/>
      <c r="B370" s="7"/>
      <c r="C370" s="7"/>
      <c r="D370" s="7"/>
      <c r="E370" s="11">
        <v>368</v>
      </c>
      <c r="F370" s="8"/>
      <c r="G370" s="8"/>
      <c r="H370" s="9"/>
      <c r="I370" s="10"/>
      <c r="J370" s="9"/>
      <c r="K370" s="10"/>
      <c r="L370" s="8"/>
      <c r="M370" s="8"/>
      <c r="N370" s="10"/>
      <c r="O370" s="10"/>
    </row>
    <row r="371" spans="1:15" ht="33.75" customHeight="1" x14ac:dyDescent="0.25">
      <c r="A371" s="7"/>
      <c r="B371" s="7"/>
      <c r="C371" s="7"/>
      <c r="D371" s="7"/>
      <c r="E371" s="11">
        <v>369</v>
      </c>
      <c r="F371" s="8"/>
      <c r="G371" s="8"/>
      <c r="H371" s="9"/>
      <c r="I371" s="10"/>
      <c r="J371" s="9"/>
      <c r="K371" s="10"/>
      <c r="L371" s="8"/>
      <c r="M371" s="8"/>
      <c r="N371" s="10"/>
      <c r="O371" s="10"/>
    </row>
    <row r="372" spans="1:15" ht="33.75" customHeight="1" x14ac:dyDescent="0.25">
      <c r="A372" s="7"/>
      <c r="B372" s="7"/>
      <c r="C372" s="7"/>
      <c r="D372" s="7"/>
      <c r="E372" s="11">
        <v>370</v>
      </c>
      <c r="F372" s="8"/>
      <c r="G372" s="8"/>
      <c r="H372" s="9"/>
      <c r="I372" s="10"/>
      <c r="J372" s="9"/>
      <c r="K372" s="10"/>
      <c r="L372" s="8"/>
      <c r="M372" s="8"/>
      <c r="N372" s="10"/>
      <c r="O372" s="10"/>
    </row>
    <row r="373" spans="1:15" ht="33.75" customHeight="1" x14ac:dyDescent="0.25">
      <c r="A373" s="7"/>
      <c r="B373" s="7"/>
      <c r="C373" s="7"/>
      <c r="D373" s="7"/>
      <c r="E373" s="11">
        <v>371</v>
      </c>
      <c r="F373" s="8"/>
      <c r="G373" s="8"/>
      <c r="H373" s="9"/>
      <c r="I373" s="10"/>
      <c r="J373" s="9"/>
      <c r="K373" s="10"/>
      <c r="L373" s="8"/>
      <c r="M373" s="8"/>
      <c r="N373" s="10"/>
      <c r="O373" s="10"/>
    </row>
    <row r="374" spans="1:15" ht="33.75" customHeight="1" x14ac:dyDescent="0.25">
      <c r="A374" s="7"/>
      <c r="B374" s="7"/>
      <c r="C374" s="7"/>
      <c r="D374" s="7"/>
      <c r="E374" s="11">
        <v>372</v>
      </c>
      <c r="F374" s="8"/>
      <c r="G374" s="8"/>
      <c r="H374" s="9"/>
      <c r="I374" s="10"/>
      <c r="J374" s="9"/>
      <c r="K374" s="10"/>
      <c r="L374" s="8"/>
      <c r="M374" s="8"/>
      <c r="N374" s="10"/>
      <c r="O374" s="10"/>
    </row>
    <row r="375" spans="1:15" ht="33.75" customHeight="1" x14ac:dyDescent="0.25">
      <c r="A375" s="7"/>
      <c r="B375" s="7"/>
      <c r="C375" s="7"/>
      <c r="D375" s="7"/>
      <c r="E375" s="11">
        <v>373</v>
      </c>
      <c r="F375" s="8"/>
      <c r="G375" s="8"/>
      <c r="H375" s="9"/>
      <c r="I375" s="10"/>
      <c r="J375" s="9"/>
      <c r="K375" s="10"/>
      <c r="L375" s="8"/>
      <c r="M375" s="8"/>
      <c r="N375" s="10"/>
      <c r="O375" s="10"/>
    </row>
    <row r="376" spans="1:15" ht="33.75" customHeight="1" x14ac:dyDescent="0.25">
      <c r="A376" s="7"/>
      <c r="B376" s="7"/>
      <c r="C376" s="7"/>
      <c r="D376" s="7"/>
      <c r="E376" s="11">
        <v>374</v>
      </c>
      <c r="F376" s="8"/>
      <c r="G376" s="8"/>
      <c r="H376" s="9"/>
      <c r="I376" s="10"/>
      <c r="J376" s="9"/>
      <c r="K376" s="10"/>
      <c r="L376" s="8"/>
      <c r="M376" s="8"/>
      <c r="N376" s="10"/>
      <c r="O376" s="10"/>
    </row>
    <row r="377" spans="1:15" ht="33.75" customHeight="1" x14ac:dyDescent="0.25">
      <c r="A377" s="7"/>
      <c r="B377" s="7"/>
      <c r="C377" s="7"/>
      <c r="D377" s="7"/>
      <c r="E377" s="11">
        <v>375</v>
      </c>
      <c r="F377" s="8"/>
      <c r="G377" s="8"/>
      <c r="H377" s="9"/>
      <c r="I377" s="10"/>
      <c r="J377" s="9"/>
      <c r="K377" s="10"/>
      <c r="L377" s="8"/>
      <c r="M377" s="8"/>
      <c r="N377" s="10"/>
      <c r="O377" s="10"/>
    </row>
    <row r="378" spans="1:15" ht="33.75" customHeight="1" x14ac:dyDescent="0.25">
      <c r="A378" s="7"/>
      <c r="B378" s="7"/>
      <c r="C378" s="7"/>
      <c r="D378" s="7"/>
      <c r="E378" s="11">
        <v>376</v>
      </c>
      <c r="F378" s="8"/>
      <c r="G378" s="8"/>
      <c r="H378" s="9"/>
      <c r="I378" s="10"/>
      <c r="J378" s="9"/>
      <c r="K378" s="10"/>
      <c r="L378" s="8"/>
      <c r="M378" s="8"/>
      <c r="N378" s="10"/>
      <c r="O378" s="10"/>
    </row>
    <row r="379" spans="1:15" ht="33.75" customHeight="1" x14ac:dyDescent="0.25">
      <c r="A379" s="7"/>
      <c r="B379" s="7"/>
      <c r="C379" s="7"/>
      <c r="D379" s="7"/>
      <c r="E379" s="11">
        <v>377</v>
      </c>
      <c r="F379" s="8"/>
      <c r="G379" s="8"/>
      <c r="H379" s="9"/>
      <c r="I379" s="10"/>
      <c r="J379" s="9"/>
      <c r="K379" s="10"/>
      <c r="L379" s="8"/>
      <c r="M379" s="8"/>
      <c r="N379" s="10"/>
      <c r="O379" s="10"/>
    </row>
    <row r="380" spans="1:15" ht="33.75" customHeight="1" x14ac:dyDescent="0.25">
      <c r="A380" s="7"/>
      <c r="B380" s="7"/>
      <c r="C380" s="7"/>
      <c r="D380" s="7"/>
      <c r="E380" s="11">
        <v>378</v>
      </c>
      <c r="F380" s="8"/>
      <c r="G380" s="8"/>
      <c r="H380" s="9"/>
      <c r="I380" s="10"/>
      <c r="J380" s="9"/>
      <c r="K380" s="10"/>
      <c r="L380" s="8"/>
      <c r="M380" s="8"/>
      <c r="N380" s="10"/>
      <c r="O380" s="10"/>
    </row>
    <row r="381" spans="1:15" ht="33.75" customHeight="1" x14ac:dyDescent="0.25">
      <c r="A381" s="7"/>
      <c r="B381" s="7"/>
      <c r="C381" s="7"/>
      <c r="D381" s="7"/>
      <c r="E381" s="11">
        <v>379</v>
      </c>
      <c r="F381" s="8"/>
      <c r="G381" s="8"/>
      <c r="H381" s="9"/>
      <c r="I381" s="10"/>
      <c r="J381" s="9"/>
      <c r="K381" s="10"/>
      <c r="L381" s="8"/>
      <c r="M381" s="8"/>
      <c r="N381" s="10"/>
      <c r="O381" s="10"/>
    </row>
    <row r="382" spans="1:15" ht="33.75" customHeight="1" x14ac:dyDescent="0.25">
      <c r="A382" s="7"/>
      <c r="B382" s="7"/>
      <c r="C382" s="7"/>
      <c r="D382" s="7"/>
      <c r="E382" s="11">
        <v>380</v>
      </c>
      <c r="F382" s="8"/>
      <c r="G382" s="8"/>
      <c r="H382" s="9"/>
      <c r="I382" s="10"/>
      <c r="J382" s="9"/>
      <c r="K382" s="10"/>
      <c r="L382" s="8"/>
      <c r="M382" s="8"/>
      <c r="N382" s="10"/>
      <c r="O382" s="10"/>
    </row>
    <row r="383" spans="1:15" ht="33.75" customHeight="1" x14ac:dyDescent="0.25">
      <c r="A383" s="7"/>
      <c r="B383" s="7"/>
      <c r="C383" s="7"/>
      <c r="D383" s="7"/>
      <c r="E383" s="11">
        <v>381</v>
      </c>
      <c r="F383" s="8"/>
      <c r="G383" s="8"/>
      <c r="H383" s="9"/>
      <c r="I383" s="10"/>
      <c r="J383" s="9"/>
      <c r="K383" s="10"/>
      <c r="L383" s="8"/>
      <c r="M383" s="8"/>
      <c r="N383" s="10"/>
      <c r="O383" s="10"/>
    </row>
    <row r="384" spans="1:15" ht="33.75" customHeight="1" x14ac:dyDescent="0.25">
      <c r="A384" s="7"/>
      <c r="B384" s="7"/>
      <c r="C384" s="7"/>
      <c r="D384" s="7"/>
      <c r="E384" s="11">
        <v>382</v>
      </c>
      <c r="F384" s="8"/>
      <c r="G384" s="8"/>
      <c r="H384" s="9"/>
      <c r="I384" s="10"/>
      <c r="J384" s="9"/>
      <c r="K384" s="10"/>
      <c r="L384" s="8"/>
      <c r="M384" s="8"/>
      <c r="N384" s="10"/>
      <c r="O384" s="10"/>
    </row>
    <row r="385" spans="1:15" ht="33.75" customHeight="1" x14ac:dyDescent="0.25">
      <c r="A385" s="7"/>
      <c r="B385" s="7"/>
      <c r="C385" s="7"/>
      <c r="D385" s="7"/>
      <c r="E385" s="11">
        <v>383</v>
      </c>
      <c r="F385" s="8"/>
      <c r="G385" s="8"/>
      <c r="H385" s="9"/>
      <c r="I385" s="10"/>
      <c r="J385" s="9"/>
      <c r="K385" s="10"/>
      <c r="L385" s="8"/>
      <c r="M385" s="8"/>
      <c r="N385" s="10"/>
      <c r="O385" s="10"/>
    </row>
    <row r="386" spans="1:15" ht="33.75" customHeight="1" x14ac:dyDescent="0.25">
      <c r="A386" s="7"/>
      <c r="B386" s="7"/>
      <c r="C386" s="7"/>
      <c r="D386" s="7"/>
      <c r="E386" s="11">
        <v>384</v>
      </c>
      <c r="F386" s="8"/>
      <c r="G386" s="8"/>
      <c r="H386" s="9"/>
      <c r="I386" s="10"/>
      <c r="J386" s="9"/>
      <c r="K386" s="10"/>
      <c r="L386" s="8"/>
      <c r="M386" s="8"/>
      <c r="N386" s="10"/>
      <c r="O386" s="10"/>
    </row>
    <row r="387" spans="1:15" ht="33.75" customHeight="1" x14ac:dyDescent="0.25">
      <c r="A387" s="7"/>
      <c r="B387" s="7"/>
      <c r="C387" s="7"/>
      <c r="D387" s="7"/>
      <c r="E387" s="11">
        <v>385</v>
      </c>
      <c r="F387" s="8"/>
      <c r="G387" s="8"/>
      <c r="H387" s="9"/>
      <c r="I387" s="10"/>
      <c r="J387" s="9"/>
      <c r="K387" s="10"/>
      <c r="L387" s="8"/>
      <c r="M387" s="8"/>
      <c r="N387" s="10"/>
      <c r="O387" s="10"/>
    </row>
    <row r="388" spans="1:15" ht="33.75" customHeight="1" x14ac:dyDescent="0.25">
      <c r="A388" s="7"/>
      <c r="B388" s="7"/>
      <c r="C388" s="7"/>
      <c r="D388" s="7"/>
      <c r="E388" s="11">
        <v>386</v>
      </c>
      <c r="F388" s="8"/>
      <c r="G388" s="8"/>
      <c r="H388" s="9"/>
      <c r="I388" s="10"/>
      <c r="J388" s="9"/>
      <c r="K388" s="10"/>
      <c r="L388" s="8"/>
      <c r="M388" s="8"/>
      <c r="N388" s="10"/>
      <c r="O388" s="10"/>
    </row>
    <row r="389" spans="1:15" ht="33.75" customHeight="1" x14ac:dyDescent="0.25">
      <c r="A389" s="7"/>
      <c r="B389" s="7"/>
      <c r="C389" s="7"/>
      <c r="D389" s="7"/>
      <c r="E389" s="11">
        <v>387</v>
      </c>
      <c r="F389" s="8"/>
      <c r="G389" s="8"/>
      <c r="H389" s="9"/>
      <c r="I389" s="10"/>
      <c r="J389" s="9"/>
      <c r="K389" s="10"/>
      <c r="L389" s="8"/>
      <c r="M389" s="8"/>
      <c r="N389" s="10"/>
      <c r="O389" s="10"/>
    </row>
    <row r="390" spans="1:15" ht="33.75" customHeight="1" x14ac:dyDescent="0.25">
      <c r="A390" s="7"/>
      <c r="B390" s="7"/>
      <c r="C390" s="7"/>
      <c r="D390" s="7"/>
      <c r="E390" s="11">
        <v>388</v>
      </c>
      <c r="F390" s="8"/>
      <c r="G390" s="8"/>
      <c r="H390" s="9"/>
      <c r="I390" s="10"/>
      <c r="J390" s="9"/>
      <c r="K390" s="10"/>
      <c r="L390" s="8"/>
      <c r="M390" s="8"/>
      <c r="N390" s="10"/>
      <c r="O390" s="10"/>
    </row>
    <row r="391" spans="1:15" ht="33.75" customHeight="1" x14ac:dyDescent="0.25">
      <c r="A391" s="7"/>
      <c r="B391" s="7"/>
      <c r="C391" s="7"/>
      <c r="D391" s="7"/>
      <c r="E391" s="11">
        <v>389</v>
      </c>
      <c r="F391" s="8"/>
      <c r="G391" s="8"/>
      <c r="H391" s="9"/>
      <c r="I391" s="10"/>
      <c r="J391" s="9"/>
      <c r="K391" s="10"/>
      <c r="L391" s="8"/>
      <c r="M391" s="8"/>
      <c r="N391" s="10"/>
      <c r="O391" s="10"/>
    </row>
    <row r="392" spans="1:15" ht="33.75" customHeight="1" x14ac:dyDescent="0.25">
      <c r="A392" s="7"/>
      <c r="B392" s="7"/>
      <c r="C392" s="7"/>
      <c r="D392" s="7"/>
      <c r="E392" s="11">
        <v>390</v>
      </c>
      <c r="F392" s="8"/>
      <c r="G392" s="8"/>
      <c r="H392" s="9"/>
      <c r="I392" s="10"/>
      <c r="J392" s="9"/>
      <c r="K392" s="10"/>
      <c r="L392" s="8"/>
      <c r="M392" s="8"/>
      <c r="N392" s="10"/>
      <c r="O392" s="10"/>
    </row>
    <row r="393" spans="1:15" ht="33.75" customHeight="1" x14ac:dyDescent="0.25">
      <c r="A393" s="7"/>
      <c r="B393" s="7"/>
      <c r="C393" s="7"/>
      <c r="D393" s="7"/>
      <c r="E393" s="11">
        <v>391</v>
      </c>
      <c r="F393" s="8"/>
      <c r="G393" s="8"/>
      <c r="H393" s="9"/>
      <c r="I393" s="10"/>
      <c r="J393" s="9"/>
      <c r="K393" s="10"/>
      <c r="L393" s="8"/>
      <c r="M393" s="8"/>
      <c r="N393" s="10"/>
      <c r="O393" s="10"/>
    </row>
    <row r="394" spans="1:15" ht="33.75" customHeight="1" x14ac:dyDescent="0.25">
      <c r="A394" s="7"/>
      <c r="B394" s="7"/>
      <c r="C394" s="7"/>
      <c r="D394" s="7"/>
      <c r="E394" s="11">
        <v>392</v>
      </c>
      <c r="F394" s="8"/>
      <c r="G394" s="8"/>
      <c r="H394" s="9"/>
      <c r="I394" s="10"/>
      <c r="J394" s="9"/>
      <c r="K394" s="10"/>
      <c r="L394" s="8"/>
      <c r="M394" s="8"/>
      <c r="N394" s="10"/>
      <c r="O394" s="10"/>
    </row>
    <row r="395" spans="1:15" ht="33.75" customHeight="1" x14ac:dyDescent="0.25">
      <c r="A395" s="7"/>
      <c r="B395" s="7"/>
      <c r="C395" s="7"/>
      <c r="D395" s="7"/>
      <c r="E395" s="11">
        <v>393</v>
      </c>
      <c r="F395" s="8"/>
      <c r="G395" s="8"/>
      <c r="H395" s="9"/>
      <c r="I395" s="10"/>
      <c r="J395" s="9"/>
      <c r="K395" s="10"/>
      <c r="L395" s="8"/>
      <c r="M395" s="8"/>
      <c r="N395" s="10"/>
      <c r="O395" s="10"/>
    </row>
    <row r="396" spans="1:15" ht="33.75" customHeight="1" x14ac:dyDescent="0.25">
      <c r="A396" s="7"/>
      <c r="B396" s="7"/>
      <c r="C396" s="7"/>
      <c r="D396" s="7"/>
      <c r="E396" s="11">
        <v>394</v>
      </c>
      <c r="F396" s="8"/>
      <c r="G396" s="8"/>
      <c r="H396" s="9"/>
      <c r="I396" s="10"/>
      <c r="J396" s="9"/>
      <c r="K396" s="10"/>
      <c r="L396" s="8"/>
      <c r="M396" s="8"/>
      <c r="N396" s="10"/>
      <c r="O396" s="10"/>
    </row>
    <row r="397" spans="1:15" ht="33.75" customHeight="1" x14ac:dyDescent="0.25">
      <c r="A397" s="7"/>
      <c r="B397" s="7"/>
      <c r="C397" s="7"/>
      <c r="D397" s="7"/>
      <c r="E397" s="11">
        <v>395</v>
      </c>
      <c r="F397" s="8"/>
      <c r="G397" s="8"/>
      <c r="H397" s="9"/>
      <c r="I397" s="10"/>
      <c r="J397" s="9"/>
      <c r="K397" s="10"/>
      <c r="L397" s="8"/>
      <c r="M397" s="8"/>
      <c r="N397" s="10"/>
      <c r="O397" s="10"/>
    </row>
    <row r="398" spans="1:15" ht="33.75" customHeight="1" x14ac:dyDescent="0.25">
      <c r="A398" s="7"/>
      <c r="B398" s="7"/>
      <c r="C398" s="7"/>
      <c r="D398" s="7"/>
      <c r="E398" s="11">
        <v>396</v>
      </c>
      <c r="F398" s="8"/>
      <c r="G398" s="8"/>
      <c r="H398" s="9"/>
      <c r="I398" s="10"/>
      <c r="J398" s="9"/>
      <c r="K398" s="10"/>
      <c r="L398" s="8"/>
      <c r="M398" s="8"/>
      <c r="N398" s="10"/>
      <c r="O398" s="10"/>
    </row>
    <row r="399" spans="1:15" ht="33.75" customHeight="1" x14ac:dyDescent="0.25">
      <c r="A399" s="7"/>
      <c r="B399" s="7"/>
      <c r="C399" s="7"/>
      <c r="D399" s="7"/>
      <c r="E399" s="11">
        <v>397</v>
      </c>
      <c r="F399" s="8"/>
      <c r="G399" s="8"/>
      <c r="H399" s="9"/>
      <c r="I399" s="10"/>
      <c r="J399" s="9"/>
      <c r="K399" s="10"/>
      <c r="L399" s="8"/>
      <c r="M399" s="8"/>
      <c r="N399" s="10"/>
      <c r="O399" s="10"/>
    </row>
    <row r="400" spans="1:15" ht="33.75" customHeight="1" x14ac:dyDescent="0.25">
      <c r="A400" s="7"/>
      <c r="B400" s="7"/>
      <c r="C400" s="7"/>
      <c r="D400" s="7"/>
      <c r="E400" s="11">
        <v>398</v>
      </c>
      <c r="F400" s="8"/>
      <c r="G400" s="8"/>
      <c r="H400" s="9"/>
      <c r="I400" s="10"/>
      <c r="J400" s="9"/>
      <c r="K400" s="10"/>
      <c r="L400" s="8"/>
      <c r="M400" s="8"/>
      <c r="N400" s="10"/>
      <c r="O400" s="10"/>
    </row>
    <row r="401" spans="1:15" ht="33.75" customHeight="1" x14ac:dyDescent="0.25">
      <c r="A401" s="7"/>
      <c r="B401" s="7"/>
      <c r="C401" s="7"/>
      <c r="D401" s="7"/>
      <c r="E401" s="11">
        <v>399</v>
      </c>
      <c r="F401" s="8"/>
      <c r="G401" s="8"/>
      <c r="H401" s="9"/>
      <c r="I401" s="10"/>
      <c r="J401" s="9"/>
      <c r="K401" s="10"/>
      <c r="L401" s="8"/>
      <c r="M401" s="8"/>
      <c r="N401" s="10"/>
      <c r="O401" s="10"/>
    </row>
    <row r="402" spans="1:15" ht="33.75" customHeight="1" x14ac:dyDescent="0.25">
      <c r="A402" s="7"/>
      <c r="B402" s="7"/>
      <c r="C402" s="7"/>
      <c r="D402" s="7"/>
      <c r="E402" s="11">
        <v>400</v>
      </c>
      <c r="F402" s="8"/>
      <c r="G402" s="8"/>
      <c r="H402" s="9"/>
      <c r="I402" s="10"/>
      <c r="J402" s="9"/>
      <c r="K402" s="10"/>
      <c r="L402" s="8"/>
      <c r="M402" s="8"/>
      <c r="N402" s="10"/>
      <c r="O402" s="10"/>
    </row>
    <row r="403" spans="1:15" ht="33.75" customHeight="1" x14ac:dyDescent="0.25">
      <c r="A403" s="7"/>
      <c r="B403" s="7"/>
      <c r="C403" s="7"/>
      <c r="D403" s="7"/>
      <c r="E403" s="11">
        <v>401</v>
      </c>
      <c r="F403" s="8"/>
      <c r="G403" s="8"/>
      <c r="H403" s="9"/>
      <c r="I403" s="10"/>
      <c r="J403" s="9"/>
      <c r="K403" s="10"/>
      <c r="L403" s="8"/>
      <c r="M403" s="8"/>
      <c r="N403" s="10"/>
      <c r="O403" s="10"/>
    </row>
    <row r="404" spans="1:15" ht="33.75" customHeight="1" x14ac:dyDescent="0.25">
      <c r="A404" s="7"/>
      <c r="B404" s="7"/>
      <c r="C404" s="7"/>
      <c r="D404" s="7"/>
      <c r="E404" s="11">
        <v>402</v>
      </c>
      <c r="F404" s="8"/>
      <c r="G404" s="8"/>
      <c r="H404" s="9"/>
      <c r="I404" s="10"/>
      <c r="J404" s="9"/>
      <c r="K404" s="10"/>
      <c r="L404" s="8"/>
      <c r="M404" s="8"/>
      <c r="N404" s="10"/>
      <c r="O404" s="10"/>
    </row>
    <row r="405" spans="1:15" ht="33.75" customHeight="1" x14ac:dyDescent="0.25">
      <c r="A405" s="7"/>
      <c r="B405" s="7"/>
      <c r="C405" s="7"/>
      <c r="D405" s="7"/>
      <c r="E405" s="11">
        <v>403</v>
      </c>
      <c r="F405" s="8"/>
      <c r="G405" s="8"/>
      <c r="H405" s="9"/>
      <c r="I405" s="10"/>
      <c r="J405" s="9"/>
      <c r="K405" s="10"/>
      <c r="L405" s="8"/>
      <c r="M405" s="8"/>
      <c r="N405" s="10"/>
      <c r="O405" s="10"/>
    </row>
    <row r="406" spans="1:15" ht="33.75" customHeight="1" x14ac:dyDescent="0.25">
      <c r="A406" s="7"/>
      <c r="B406" s="7"/>
      <c r="C406" s="7"/>
      <c r="D406" s="7"/>
      <c r="E406" s="11">
        <v>404</v>
      </c>
      <c r="F406" s="8"/>
      <c r="G406" s="8"/>
      <c r="H406" s="9"/>
      <c r="I406" s="10"/>
      <c r="J406" s="9"/>
      <c r="K406" s="10"/>
      <c r="L406" s="8"/>
      <c r="M406" s="8"/>
      <c r="N406" s="10"/>
      <c r="O406" s="10"/>
    </row>
    <row r="407" spans="1:15" ht="33.75" customHeight="1" x14ac:dyDescent="0.25">
      <c r="A407" s="7"/>
      <c r="B407" s="7"/>
      <c r="C407" s="7"/>
      <c r="D407" s="7"/>
      <c r="E407" s="11">
        <v>405</v>
      </c>
      <c r="F407" s="8"/>
      <c r="G407" s="8"/>
      <c r="H407" s="9"/>
      <c r="I407" s="10"/>
      <c r="J407" s="9"/>
      <c r="K407" s="10"/>
      <c r="L407" s="8"/>
      <c r="M407" s="8"/>
      <c r="N407" s="10"/>
      <c r="O407" s="10"/>
    </row>
    <row r="408" spans="1:15" ht="33.75" customHeight="1" x14ac:dyDescent="0.25">
      <c r="A408" s="7"/>
      <c r="B408" s="7"/>
      <c r="C408" s="7"/>
      <c r="D408" s="7"/>
      <c r="E408" s="11">
        <v>406</v>
      </c>
      <c r="F408" s="8"/>
      <c r="G408" s="8"/>
      <c r="H408" s="9"/>
      <c r="I408" s="10"/>
      <c r="J408" s="9"/>
      <c r="K408" s="10"/>
      <c r="L408" s="8"/>
      <c r="M408" s="8"/>
      <c r="N408" s="10"/>
      <c r="O408" s="10"/>
    </row>
    <row r="409" spans="1:15" ht="33.75" customHeight="1" x14ac:dyDescent="0.25">
      <c r="A409" s="7"/>
      <c r="B409" s="7"/>
      <c r="C409" s="7"/>
      <c r="D409" s="7"/>
      <c r="E409" s="11">
        <v>407</v>
      </c>
      <c r="F409" s="8"/>
      <c r="G409" s="8"/>
      <c r="H409" s="9"/>
      <c r="I409" s="10"/>
      <c r="J409" s="9"/>
      <c r="K409" s="10"/>
      <c r="L409" s="8"/>
      <c r="M409" s="8"/>
      <c r="N409" s="10"/>
      <c r="O409" s="10"/>
    </row>
    <row r="410" spans="1:15" ht="33.75" customHeight="1" x14ac:dyDescent="0.25">
      <c r="A410" s="7"/>
      <c r="B410" s="7"/>
      <c r="C410" s="7"/>
      <c r="D410" s="7"/>
      <c r="E410" s="11">
        <v>408</v>
      </c>
      <c r="F410" s="8"/>
      <c r="G410" s="8"/>
      <c r="H410" s="9"/>
      <c r="I410" s="10"/>
      <c r="J410" s="9"/>
      <c r="K410" s="10"/>
      <c r="L410" s="8"/>
      <c r="M410" s="8"/>
      <c r="N410" s="10"/>
      <c r="O410" s="10"/>
    </row>
    <row r="411" spans="1:15" ht="33.75" customHeight="1" x14ac:dyDescent="0.25">
      <c r="A411" s="7"/>
      <c r="B411" s="7"/>
      <c r="C411" s="7"/>
      <c r="D411" s="7"/>
      <c r="E411" s="11">
        <v>409</v>
      </c>
      <c r="F411" s="8"/>
      <c r="G411" s="8"/>
      <c r="H411" s="9"/>
      <c r="I411" s="10"/>
      <c r="J411" s="9"/>
      <c r="K411" s="10"/>
      <c r="L411" s="8"/>
      <c r="M411" s="8"/>
      <c r="N411" s="10"/>
      <c r="O411" s="10"/>
    </row>
    <row r="412" spans="1:15" ht="33.75" customHeight="1" x14ac:dyDescent="0.25">
      <c r="A412" s="7"/>
      <c r="B412" s="7"/>
      <c r="C412" s="7"/>
      <c r="D412" s="7"/>
      <c r="E412" s="11">
        <v>410</v>
      </c>
      <c r="F412" s="8"/>
      <c r="G412" s="8"/>
      <c r="H412" s="9"/>
      <c r="I412" s="10"/>
      <c r="J412" s="9"/>
      <c r="K412" s="10"/>
      <c r="L412" s="8"/>
      <c r="M412" s="8"/>
      <c r="N412" s="10"/>
      <c r="O412" s="10"/>
    </row>
    <row r="413" spans="1:15" ht="33.75" customHeight="1" x14ac:dyDescent="0.25">
      <c r="A413" s="7"/>
      <c r="B413" s="7"/>
      <c r="C413" s="7"/>
      <c r="D413" s="7"/>
      <c r="E413" s="11">
        <v>411</v>
      </c>
      <c r="F413" s="8"/>
      <c r="G413" s="8"/>
      <c r="H413" s="9"/>
      <c r="I413" s="10"/>
      <c r="J413" s="9"/>
      <c r="K413" s="10"/>
      <c r="L413" s="8"/>
      <c r="M413" s="8"/>
      <c r="N413" s="10"/>
      <c r="O413" s="10"/>
    </row>
    <row r="414" spans="1:15" ht="33.75" customHeight="1" x14ac:dyDescent="0.25">
      <c r="A414" s="7"/>
      <c r="B414" s="7"/>
      <c r="C414" s="7"/>
      <c r="D414" s="7"/>
      <c r="E414" s="11">
        <v>412</v>
      </c>
      <c r="F414" s="8"/>
      <c r="G414" s="8"/>
      <c r="H414" s="9"/>
      <c r="I414" s="10"/>
      <c r="J414" s="9"/>
      <c r="K414" s="10"/>
      <c r="L414" s="8"/>
      <c r="M414" s="8"/>
      <c r="N414" s="10"/>
      <c r="O414" s="10"/>
    </row>
    <row r="415" spans="1:15" ht="33.75" customHeight="1" x14ac:dyDescent="0.25">
      <c r="A415" s="7"/>
      <c r="B415" s="7"/>
      <c r="C415" s="7"/>
      <c r="D415" s="7"/>
      <c r="E415" s="11">
        <v>413</v>
      </c>
      <c r="F415" s="8"/>
      <c r="G415" s="8"/>
      <c r="H415" s="9"/>
      <c r="I415" s="10"/>
      <c r="J415" s="9"/>
      <c r="K415" s="10"/>
      <c r="L415" s="8"/>
      <c r="M415" s="8"/>
      <c r="N415" s="10"/>
      <c r="O415" s="10"/>
    </row>
    <row r="416" spans="1:15" ht="33.75" customHeight="1" x14ac:dyDescent="0.25">
      <c r="A416" s="7"/>
      <c r="B416" s="7"/>
      <c r="C416" s="7"/>
      <c r="D416" s="7"/>
      <c r="E416" s="11">
        <v>414</v>
      </c>
      <c r="F416" s="8"/>
      <c r="G416" s="8"/>
      <c r="H416" s="9"/>
      <c r="I416" s="10"/>
      <c r="J416" s="9"/>
      <c r="K416" s="10"/>
      <c r="L416" s="8"/>
      <c r="M416" s="8"/>
      <c r="N416" s="10"/>
      <c r="O416" s="10"/>
    </row>
    <row r="417" spans="1:15" ht="33.75" customHeight="1" x14ac:dyDescent="0.25">
      <c r="A417" s="7"/>
      <c r="B417" s="7"/>
      <c r="C417" s="7"/>
      <c r="D417" s="7"/>
      <c r="E417" s="11">
        <v>415</v>
      </c>
      <c r="F417" s="8"/>
      <c r="G417" s="8"/>
      <c r="H417" s="9"/>
      <c r="I417" s="10"/>
      <c r="J417" s="9"/>
      <c r="K417" s="10"/>
      <c r="L417" s="8"/>
      <c r="M417" s="8"/>
      <c r="N417" s="10"/>
      <c r="O417" s="10"/>
    </row>
    <row r="418" spans="1:15" ht="33.75" customHeight="1" x14ac:dyDescent="0.25">
      <c r="A418" s="7"/>
      <c r="B418" s="7"/>
      <c r="C418" s="7"/>
      <c r="D418" s="7"/>
      <c r="E418" s="11">
        <v>416</v>
      </c>
      <c r="F418" s="8"/>
      <c r="G418" s="8"/>
      <c r="H418" s="9"/>
      <c r="I418" s="10"/>
      <c r="J418" s="9"/>
      <c r="K418" s="10"/>
      <c r="L418" s="8"/>
      <c r="M418" s="8"/>
      <c r="N418" s="10"/>
      <c r="O418" s="10"/>
    </row>
    <row r="419" spans="1:15" ht="33.75" customHeight="1" x14ac:dyDescent="0.25">
      <c r="A419" s="7"/>
      <c r="B419" s="7"/>
      <c r="C419" s="7"/>
      <c r="D419" s="7"/>
      <c r="E419" s="11">
        <v>417</v>
      </c>
      <c r="F419" s="8"/>
      <c r="G419" s="8"/>
      <c r="H419" s="9"/>
      <c r="I419" s="10"/>
      <c r="J419" s="9"/>
      <c r="K419" s="10"/>
      <c r="L419" s="8"/>
      <c r="M419" s="8"/>
      <c r="N419" s="10"/>
      <c r="O419" s="10"/>
    </row>
    <row r="420" spans="1:15" ht="33.75" customHeight="1" x14ac:dyDescent="0.25">
      <c r="A420" s="7"/>
      <c r="B420" s="7"/>
      <c r="C420" s="7"/>
      <c r="D420" s="7"/>
      <c r="E420" s="11">
        <v>418</v>
      </c>
      <c r="F420" s="8"/>
      <c r="G420" s="8"/>
      <c r="H420" s="9"/>
      <c r="I420" s="10"/>
      <c r="J420" s="9"/>
      <c r="K420" s="10"/>
      <c r="L420" s="8"/>
      <c r="M420" s="8"/>
      <c r="N420" s="10"/>
      <c r="O420" s="10"/>
    </row>
    <row r="421" spans="1:15" ht="33.75" customHeight="1" x14ac:dyDescent="0.25">
      <c r="A421" s="7"/>
      <c r="B421" s="7"/>
      <c r="C421" s="7"/>
      <c r="D421" s="7"/>
      <c r="E421" s="11">
        <v>419</v>
      </c>
      <c r="F421" s="8"/>
      <c r="G421" s="8"/>
      <c r="H421" s="9"/>
      <c r="I421" s="10"/>
      <c r="J421" s="9"/>
      <c r="K421" s="10"/>
      <c r="L421" s="8"/>
      <c r="M421" s="8"/>
      <c r="N421" s="10"/>
      <c r="O421" s="10"/>
    </row>
    <row r="422" spans="1:15" ht="33.75" customHeight="1" x14ac:dyDescent="0.25">
      <c r="A422" s="7"/>
      <c r="B422" s="7"/>
      <c r="C422" s="7"/>
      <c r="D422" s="7"/>
      <c r="E422" s="11">
        <v>420</v>
      </c>
      <c r="F422" s="8"/>
      <c r="G422" s="8"/>
      <c r="H422" s="9"/>
      <c r="I422" s="10"/>
      <c r="J422" s="9"/>
      <c r="K422" s="10"/>
      <c r="L422" s="8"/>
      <c r="M422" s="8"/>
      <c r="N422" s="10"/>
      <c r="O422" s="10"/>
    </row>
    <row r="423" spans="1:15" ht="33.75" customHeight="1" x14ac:dyDescent="0.25">
      <c r="A423" s="7"/>
      <c r="B423" s="7"/>
      <c r="C423" s="7"/>
      <c r="D423" s="7"/>
      <c r="E423" s="11">
        <v>421</v>
      </c>
      <c r="F423" s="8"/>
      <c r="G423" s="8"/>
      <c r="H423" s="9"/>
      <c r="I423" s="10"/>
      <c r="J423" s="9"/>
      <c r="K423" s="10"/>
      <c r="L423" s="8"/>
      <c r="M423" s="8"/>
      <c r="N423" s="10"/>
      <c r="O423" s="10"/>
    </row>
    <row r="424" spans="1:15" ht="33.75" customHeight="1" x14ac:dyDescent="0.25">
      <c r="A424" s="7"/>
      <c r="B424" s="7"/>
      <c r="C424" s="7"/>
      <c r="D424" s="7"/>
      <c r="E424" s="11">
        <v>422</v>
      </c>
      <c r="F424" s="8"/>
      <c r="G424" s="8"/>
      <c r="H424" s="9"/>
      <c r="I424" s="10"/>
      <c r="J424" s="9"/>
      <c r="K424" s="10"/>
      <c r="L424" s="8"/>
      <c r="M424" s="8"/>
      <c r="N424" s="10"/>
      <c r="O424" s="10"/>
    </row>
    <row r="425" spans="1:15" ht="33.75" customHeight="1" x14ac:dyDescent="0.25">
      <c r="A425" s="7"/>
      <c r="B425" s="7"/>
      <c r="C425" s="7"/>
      <c r="D425" s="7"/>
      <c r="E425" s="11">
        <v>423</v>
      </c>
      <c r="F425" s="8"/>
      <c r="G425" s="8"/>
      <c r="H425" s="9"/>
      <c r="I425" s="10"/>
      <c r="J425" s="9"/>
      <c r="K425" s="10"/>
      <c r="L425" s="8"/>
      <c r="M425" s="8"/>
      <c r="N425" s="10"/>
      <c r="O425" s="10"/>
    </row>
    <row r="426" spans="1:15" ht="33.75" customHeight="1" x14ac:dyDescent="0.25">
      <c r="A426" s="7"/>
      <c r="B426" s="7"/>
      <c r="C426" s="7"/>
      <c r="D426" s="7"/>
      <c r="E426" s="11">
        <v>424</v>
      </c>
      <c r="F426" s="8"/>
      <c r="G426" s="8"/>
      <c r="H426" s="9"/>
      <c r="I426" s="10"/>
      <c r="J426" s="9"/>
      <c r="K426" s="10"/>
      <c r="L426" s="8"/>
      <c r="M426" s="8"/>
      <c r="N426" s="10"/>
      <c r="O426" s="10"/>
    </row>
    <row r="427" spans="1:15" ht="33.75" customHeight="1" x14ac:dyDescent="0.25">
      <c r="A427" s="7"/>
      <c r="B427" s="7"/>
      <c r="C427" s="7"/>
      <c r="D427" s="7"/>
      <c r="E427" s="11">
        <v>425</v>
      </c>
      <c r="F427" s="8"/>
      <c r="G427" s="8"/>
      <c r="H427" s="9"/>
      <c r="I427" s="10"/>
      <c r="J427" s="9"/>
      <c r="K427" s="10"/>
      <c r="L427" s="8"/>
      <c r="M427" s="8"/>
      <c r="N427" s="10"/>
      <c r="O427" s="10"/>
    </row>
    <row r="428" spans="1:15" ht="33.75" customHeight="1" x14ac:dyDescent="0.25">
      <c r="A428" s="7"/>
      <c r="B428" s="7"/>
      <c r="C428" s="7"/>
      <c r="D428" s="7"/>
      <c r="E428" s="11">
        <v>426</v>
      </c>
      <c r="F428" s="8"/>
      <c r="G428" s="8"/>
      <c r="H428" s="9"/>
      <c r="I428" s="10"/>
      <c r="J428" s="9"/>
      <c r="K428" s="10"/>
      <c r="L428" s="8"/>
      <c r="M428" s="8"/>
      <c r="N428" s="10"/>
      <c r="O428" s="10"/>
    </row>
    <row r="429" spans="1:15" ht="33.75" customHeight="1" x14ac:dyDescent="0.25">
      <c r="A429" s="7"/>
      <c r="B429" s="7"/>
      <c r="C429" s="7"/>
      <c r="D429" s="7"/>
      <c r="E429" s="11">
        <v>427</v>
      </c>
      <c r="F429" s="8"/>
      <c r="G429" s="8"/>
      <c r="H429" s="9"/>
      <c r="I429" s="10"/>
      <c r="J429" s="9"/>
      <c r="K429" s="10"/>
      <c r="L429" s="8"/>
      <c r="M429" s="8"/>
      <c r="N429" s="10"/>
      <c r="O429" s="10"/>
    </row>
    <row r="430" spans="1:15" ht="33.75" customHeight="1" x14ac:dyDescent="0.25">
      <c r="A430" s="7"/>
      <c r="B430" s="7"/>
      <c r="C430" s="7"/>
      <c r="D430" s="7"/>
      <c r="E430" s="11">
        <v>428</v>
      </c>
      <c r="F430" s="8"/>
      <c r="G430" s="8"/>
      <c r="H430" s="9"/>
      <c r="I430" s="10"/>
      <c r="J430" s="9"/>
      <c r="K430" s="10"/>
      <c r="L430" s="8"/>
      <c r="M430" s="8"/>
      <c r="N430" s="10"/>
      <c r="O430" s="10"/>
    </row>
    <row r="431" spans="1:15" ht="33.75" customHeight="1" x14ac:dyDescent="0.25">
      <c r="A431" s="7"/>
      <c r="B431" s="7"/>
      <c r="C431" s="7"/>
      <c r="D431" s="7"/>
      <c r="E431" s="11">
        <v>429</v>
      </c>
      <c r="F431" s="8"/>
      <c r="G431" s="8"/>
      <c r="H431" s="9"/>
      <c r="I431" s="10"/>
      <c r="J431" s="9"/>
      <c r="K431" s="10"/>
      <c r="L431" s="8"/>
      <c r="M431" s="8"/>
      <c r="N431" s="10"/>
      <c r="O431" s="10"/>
    </row>
    <row r="432" spans="1:15" ht="33.75" customHeight="1" x14ac:dyDescent="0.25">
      <c r="A432" s="7"/>
      <c r="B432" s="7"/>
      <c r="C432" s="7"/>
      <c r="D432" s="7"/>
      <c r="E432" s="11">
        <v>430</v>
      </c>
      <c r="F432" s="8"/>
      <c r="G432" s="8"/>
      <c r="H432" s="9"/>
      <c r="I432" s="10"/>
      <c r="J432" s="9"/>
      <c r="K432" s="10"/>
      <c r="L432" s="8"/>
      <c r="M432" s="8"/>
      <c r="N432" s="10"/>
      <c r="O432" s="10"/>
    </row>
    <row r="433" spans="1:15" ht="33.75" customHeight="1" x14ac:dyDescent="0.25">
      <c r="A433" s="7"/>
      <c r="B433" s="7"/>
      <c r="C433" s="7"/>
      <c r="D433" s="7"/>
      <c r="E433" s="11">
        <v>431</v>
      </c>
      <c r="F433" s="8"/>
      <c r="G433" s="8"/>
      <c r="H433" s="9"/>
      <c r="I433" s="10"/>
      <c r="J433" s="9"/>
      <c r="K433" s="10"/>
      <c r="L433" s="8"/>
      <c r="M433" s="8"/>
      <c r="N433" s="10"/>
      <c r="O433" s="10"/>
    </row>
    <row r="434" spans="1:15" ht="33.75" customHeight="1" x14ac:dyDescent="0.25">
      <c r="A434" s="7"/>
      <c r="B434" s="7"/>
      <c r="C434" s="7"/>
      <c r="D434" s="7"/>
      <c r="E434" s="11">
        <v>432</v>
      </c>
      <c r="F434" s="8"/>
      <c r="G434" s="8"/>
      <c r="H434" s="9"/>
      <c r="I434" s="10"/>
      <c r="J434" s="9"/>
      <c r="K434" s="10"/>
      <c r="L434" s="8"/>
      <c r="M434" s="8"/>
      <c r="N434" s="10"/>
      <c r="O434" s="10"/>
    </row>
    <row r="435" spans="1:15" ht="33.75" customHeight="1" x14ac:dyDescent="0.25">
      <c r="A435" s="7"/>
      <c r="B435" s="7"/>
      <c r="C435" s="7"/>
      <c r="D435" s="7"/>
      <c r="E435" s="11">
        <v>433</v>
      </c>
      <c r="F435" s="8"/>
      <c r="G435" s="8"/>
      <c r="H435" s="9"/>
      <c r="I435" s="10"/>
      <c r="J435" s="9"/>
      <c r="K435" s="10"/>
      <c r="L435" s="8"/>
      <c r="M435" s="8"/>
      <c r="N435" s="10"/>
      <c r="O435" s="10"/>
    </row>
    <row r="436" spans="1:15" ht="33.75" customHeight="1" x14ac:dyDescent="0.25">
      <c r="A436" s="7"/>
      <c r="B436" s="7"/>
      <c r="C436" s="7"/>
      <c r="D436" s="7"/>
      <c r="E436" s="11">
        <v>434</v>
      </c>
      <c r="F436" s="8"/>
      <c r="G436" s="8"/>
      <c r="H436" s="9"/>
      <c r="I436" s="10"/>
      <c r="J436" s="9"/>
      <c r="K436" s="10"/>
      <c r="L436" s="8"/>
      <c r="M436" s="8"/>
      <c r="N436" s="10"/>
      <c r="O436" s="10"/>
    </row>
    <row r="437" spans="1:15" ht="33.75" customHeight="1" x14ac:dyDescent="0.25">
      <c r="A437" s="7"/>
      <c r="B437" s="7"/>
      <c r="C437" s="7"/>
      <c r="D437" s="7"/>
      <c r="E437" s="11">
        <v>435</v>
      </c>
      <c r="F437" s="8"/>
      <c r="G437" s="8"/>
      <c r="H437" s="9"/>
      <c r="I437" s="10"/>
      <c r="J437" s="9"/>
      <c r="K437" s="10"/>
      <c r="L437" s="8"/>
      <c r="M437" s="8"/>
      <c r="N437" s="10"/>
      <c r="O437" s="10"/>
    </row>
    <row r="438" spans="1:15" ht="33.75" customHeight="1" x14ac:dyDescent="0.25">
      <c r="A438" s="7"/>
      <c r="B438" s="7"/>
      <c r="C438" s="7"/>
      <c r="D438" s="7"/>
      <c r="E438" s="11">
        <v>436</v>
      </c>
      <c r="F438" s="8"/>
      <c r="G438" s="8"/>
      <c r="H438" s="9"/>
      <c r="I438" s="10"/>
      <c r="J438" s="9"/>
      <c r="K438" s="10"/>
      <c r="L438" s="8"/>
      <c r="M438" s="8"/>
      <c r="N438" s="10"/>
      <c r="O438" s="10"/>
    </row>
    <row r="439" spans="1:15" ht="33.75" customHeight="1" x14ac:dyDescent="0.25">
      <c r="A439" s="7"/>
      <c r="B439" s="7"/>
      <c r="C439" s="7"/>
      <c r="D439" s="7"/>
      <c r="E439" s="11">
        <v>437</v>
      </c>
      <c r="F439" s="8"/>
      <c r="G439" s="8"/>
      <c r="H439" s="9"/>
      <c r="I439" s="10"/>
      <c r="J439" s="9"/>
      <c r="K439" s="10"/>
      <c r="L439" s="8"/>
      <c r="M439" s="8"/>
      <c r="N439" s="10"/>
      <c r="O439" s="10"/>
    </row>
    <row r="440" spans="1:15" ht="33.75" customHeight="1" x14ac:dyDescent="0.25">
      <c r="A440" s="7"/>
      <c r="B440" s="7"/>
      <c r="C440" s="7"/>
      <c r="D440" s="7"/>
      <c r="E440" s="11">
        <v>438</v>
      </c>
      <c r="F440" s="8"/>
      <c r="G440" s="8"/>
      <c r="H440" s="9"/>
      <c r="I440" s="10"/>
      <c r="J440" s="9"/>
      <c r="K440" s="10"/>
      <c r="L440" s="8"/>
      <c r="M440" s="8"/>
      <c r="N440" s="10"/>
      <c r="O440" s="10"/>
    </row>
    <row r="441" spans="1:15" ht="33.75" customHeight="1" x14ac:dyDescent="0.25">
      <c r="A441" s="7"/>
      <c r="B441" s="7"/>
      <c r="C441" s="7"/>
      <c r="D441" s="7"/>
      <c r="E441" s="11">
        <v>439</v>
      </c>
      <c r="F441" s="8"/>
      <c r="G441" s="8"/>
      <c r="H441" s="9"/>
      <c r="I441" s="10"/>
      <c r="J441" s="9"/>
      <c r="K441" s="10"/>
      <c r="L441" s="8"/>
      <c r="M441" s="8"/>
      <c r="N441" s="10"/>
      <c r="O441" s="10"/>
    </row>
    <row r="442" spans="1:15" ht="33.75" customHeight="1" x14ac:dyDescent="0.25">
      <c r="A442" s="7"/>
      <c r="B442" s="7"/>
      <c r="C442" s="7"/>
      <c r="D442" s="7"/>
      <c r="E442" s="11">
        <v>440</v>
      </c>
      <c r="F442" s="8"/>
      <c r="G442" s="8"/>
      <c r="H442" s="9"/>
      <c r="I442" s="10"/>
      <c r="J442" s="9"/>
      <c r="K442" s="10"/>
      <c r="L442" s="8"/>
      <c r="M442" s="8"/>
      <c r="N442" s="10"/>
      <c r="O442" s="10"/>
    </row>
    <row r="443" spans="1:15" ht="33.75" customHeight="1" x14ac:dyDescent="0.25">
      <c r="A443" s="7"/>
      <c r="B443" s="7"/>
      <c r="C443" s="7"/>
      <c r="D443" s="7"/>
      <c r="E443" s="11">
        <v>441</v>
      </c>
      <c r="F443" s="8"/>
      <c r="G443" s="8"/>
      <c r="H443" s="9"/>
      <c r="I443" s="10"/>
      <c r="J443" s="9"/>
      <c r="K443" s="10"/>
      <c r="L443" s="8"/>
      <c r="M443" s="8"/>
      <c r="N443" s="10"/>
      <c r="O443" s="10"/>
    </row>
    <row r="444" spans="1:15" ht="33.75" customHeight="1" x14ac:dyDescent="0.25">
      <c r="A444" s="7"/>
      <c r="B444" s="7"/>
      <c r="C444" s="7"/>
      <c r="D444" s="7"/>
      <c r="E444" s="11">
        <v>442</v>
      </c>
      <c r="F444" s="8"/>
      <c r="G444" s="8"/>
      <c r="H444" s="9"/>
      <c r="I444" s="10"/>
      <c r="J444" s="9"/>
      <c r="K444" s="10"/>
      <c r="L444" s="8"/>
      <c r="M444" s="8"/>
      <c r="N444" s="10"/>
      <c r="O444" s="10"/>
    </row>
    <row r="445" spans="1:15" ht="33.75" customHeight="1" x14ac:dyDescent="0.25">
      <c r="A445" s="7"/>
      <c r="B445" s="7"/>
      <c r="C445" s="7"/>
      <c r="D445" s="7"/>
      <c r="E445" s="11">
        <v>443</v>
      </c>
      <c r="F445" s="8"/>
      <c r="G445" s="8"/>
      <c r="H445" s="9"/>
      <c r="I445" s="10"/>
      <c r="J445" s="9"/>
      <c r="K445" s="10"/>
      <c r="L445" s="8"/>
      <c r="M445" s="8"/>
      <c r="N445" s="10"/>
      <c r="O445" s="10"/>
    </row>
    <row r="446" spans="1:15" ht="33.75" customHeight="1" x14ac:dyDescent="0.25">
      <c r="A446" s="7"/>
      <c r="B446" s="7"/>
      <c r="C446" s="7"/>
      <c r="D446" s="7"/>
      <c r="E446" s="11">
        <v>444</v>
      </c>
      <c r="F446" s="8"/>
      <c r="G446" s="8"/>
      <c r="H446" s="9"/>
      <c r="I446" s="10"/>
      <c r="J446" s="9"/>
      <c r="K446" s="10"/>
      <c r="L446" s="8"/>
      <c r="M446" s="8"/>
      <c r="N446" s="10"/>
      <c r="O446" s="10"/>
    </row>
    <row r="447" spans="1:15" ht="33.75" customHeight="1" x14ac:dyDescent="0.25">
      <c r="A447" s="7"/>
      <c r="B447" s="7"/>
      <c r="C447" s="7"/>
      <c r="D447" s="7"/>
      <c r="E447" s="11">
        <v>445</v>
      </c>
      <c r="F447" s="8"/>
      <c r="G447" s="8"/>
      <c r="H447" s="9"/>
      <c r="I447" s="10"/>
      <c r="J447" s="9"/>
      <c r="K447" s="10"/>
      <c r="L447" s="8"/>
      <c r="M447" s="8"/>
      <c r="N447" s="10"/>
      <c r="O447" s="10"/>
    </row>
    <row r="448" spans="1:15" ht="33.75" customHeight="1" x14ac:dyDescent="0.25">
      <c r="A448" s="7"/>
      <c r="B448" s="7"/>
      <c r="C448" s="7"/>
      <c r="D448" s="7"/>
      <c r="E448" s="11">
        <v>446</v>
      </c>
      <c r="F448" s="8"/>
      <c r="G448" s="8"/>
      <c r="H448" s="9"/>
      <c r="I448" s="10"/>
      <c r="J448" s="9"/>
      <c r="K448" s="10"/>
      <c r="L448" s="8"/>
      <c r="M448" s="8"/>
      <c r="N448" s="10"/>
      <c r="O448" s="10"/>
    </row>
    <row r="449" spans="1:15" ht="33.75" customHeight="1" x14ac:dyDescent="0.25">
      <c r="A449" s="7"/>
      <c r="B449" s="7"/>
      <c r="C449" s="7"/>
      <c r="D449" s="7"/>
      <c r="E449" s="11">
        <v>447</v>
      </c>
      <c r="F449" s="8"/>
      <c r="G449" s="8"/>
      <c r="H449" s="9"/>
      <c r="I449" s="10"/>
      <c r="J449" s="9"/>
      <c r="K449" s="10"/>
      <c r="L449" s="8"/>
      <c r="M449" s="8"/>
      <c r="N449" s="10"/>
      <c r="O449" s="10"/>
    </row>
    <row r="450" spans="1:15" ht="33.75" customHeight="1" x14ac:dyDescent="0.25">
      <c r="A450" s="7"/>
      <c r="B450" s="7"/>
      <c r="C450" s="7"/>
      <c r="D450" s="7"/>
      <c r="E450" s="11">
        <v>448</v>
      </c>
      <c r="F450" s="8"/>
      <c r="G450" s="8"/>
      <c r="H450" s="9"/>
      <c r="I450" s="10"/>
      <c r="J450" s="9"/>
      <c r="K450" s="10"/>
      <c r="L450" s="8"/>
      <c r="M450" s="8"/>
      <c r="N450" s="10"/>
      <c r="O450" s="10"/>
    </row>
    <row r="451" spans="1:15" ht="33.75" customHeight="1" x14ac:dyDescent="0.25">
      <c r="A451" s="7"/>
      <c r="B451" s="7"/>
      <c r="C451" s="7"/>
      <c r="D451" s="7"/>
      <c r="E451" s="11">
        <v>449</v>
      </c>
      <c r="F451" s="8"/>
      <c r="G451" s="8"/>
      <c r="H451" s="9"/>
      <c r="I451" s="10"/>
      <c r="J451" s="9"/>
      <c r="K451" s="10"/>
      <c r="L451" s="8"/>
      <c r="M451" s="8"/>
      <c r="N451" s="10"/>
      <c r="O451" s="10"/>
    </row>
    <row r="452" spans="1:15" ht="33.75" customHeight="1" x14ac:dyDescent="0.25">
      <c r="A452" s="7"/>
      <c r="B452" s="7"/>
      <c r="C452" s="7"/>
      <c r="D452" s="7"/>
      <c r="E452" s="11">
        <v>450</v>
      </c>
      <c r="F452" s="8"/>
      <c r="G452" s="8"/>
      <c r="H452" s="9"/>
      <c r="I452" s="10"/>
      <c r="J452" s="9"/>
      <c r="K452" s="10"/>
      <c r="L452" s="8"/>
      <c r="M452" s="8"/>
      <c r="N452" s="10"/>
      <c r="O452" s="10"/>
    </row>
    <row r="453" spans="1:15" ht="33.75" customHeight="1" x14ac:dyDescent="0.25">
      <c r="A453" s="7"/>
      <c r="B453" s="7"/>
      <c r="C453" s="7"/>
      <c r="D453" s="7"/>
      <c r="E453" s="11">
        <v>451</v>
      </c>
      <c r="F453" s="8"/>
      <c r="G453" s="8"/>
      <c r="H453" s="9"/>
      <c r="I453" s="10"/>
      <c r="J453" s="9"/>
      <c r="K453" s="10"/>
      <c r="L453" s="8"/>
      <c r="M453" s="8"/>
      <c r="N453" s="10"/>
      <c r="O453" s="10"/>
    </row>
    <row r="454" spans="1:15" ht="33.75" customHeight="1" x14ac:dyDescent="0.25">
      <c r="A454" s="7"/>
      <c r="B454" s="7"/>
      <c r="C454" s="7"/>
      <c r="D454" s="7"/>
      <c r="E454" s="11">
        <v>452</v>
      </c>
      <c r="F454" s="8"/>
      <c r="G454" s="8"/>
      <c r="H454" s="9"/>
      <c r="I454" s="10"/>
      <c r="J454" s="9"/>
      <c r="K454" s="10"/>
      <c r="L454" s="8"/>
      <c r="M454" s="8"/>
      <c r="N454" s="10"/>
      <c r="O454" s="10"/>
    </row>
    <row r="455" spans="1:15" ht="33.75" customHeight="1" x14ac:dyDescent="0.25">
      <c r="A455" s="7"/>
      <c r="B455" s="7"/>
      <c r="C455" s="7"/>
      <c r="D455" s="7"/>
      <c r="E455" s="11">
        <v>453</v>
      </c>
      <c r="F455" s="8"/>
      <c r="G455" s="8"/>
      <c r="H455" s="9"/>
      <c r="I455" s="10"/>
      <c r="J455" s="9"/>
      <c r="K455" s="10"/>
      <c r="L455" s="8"/>
      <c r="M455" s="8"/>
      <c r="N455" s="10"/>
      <c r="O455" s="10"/>
    </row>
    <row r="456" spans="1:15" ht="33.75" customHeight="1" x14ac:dyDescent="0.25">
      <c r="A456" s="7"/>
      <c r="B456" s="7"/>
      <c r="C456" s="7"/>
      <c r="D456" s="7"/>
      <c r="E456" s="11">
        <v>454</v>
      </c>
      <c r="F456" s="8"/>
      <c r="G456" s="8"/>
      <c r="H456" s="9"/>
      <c r="I456" s="10"/>
      <c r="J456" s="9"/>
      <c r="K456" s="10"/>
      <c r="L456" s="8"/>
      <c r="M456" s="8"/>
      <c r="N456" s="10"/>
      <c r="O456" s="10"/>
    </row>
    <row r="457" spans="1:15" ht="33.75" customHeight="1" x14ac:dyDescent="0.25">
      <c r="A457" s="7"/>
      <c r="B457" s="7"/>
      <c r="C457" s="7"/>
      <c r="D457" s="7"/>
      <c r="E457" s="11">
        <v>455</v>
      </c>
      <c r="F457" s="8"/>
      <c r="G457" s="8"/>
      <c r="H457" s="9"/>
      <c r="I457" s="10"/>
      <c r="J457" s="9"/>
      <c r="K457" s="10"/>
      <c r="L457" s="8"/>
      <c r="M457" s="8"/>
      <c r="N457" s="10"/>
      <c r="O457" s="10"/>
    </row>
    <row r="458" spans="1:15" ht="33.75" customHeight="1" x14ac:dyDescent="0.25">
      <c r="A458" s="7"/>
      <c r="B458" s="7"/>
      <c r="C458" s="7"/>
      <c r="D458" s="7"/>
      <c r="E458" s="11">
        <v>456</v>
      </c>
      <c r="F458" s="8"/>
      <c r="G458" s="8"/>
      <c r="H458" s="9"/>
      <c r="I458" s="10"/>
      <c r="J458" s="9"/>
      <c r="K458" s="10"/>
      <c r="L458" s="8"/>
      <c r="M458" s="8"/>
      <c r="N458" s="10"/>
      <c r="O458" s="10"/>
    </row>
    <row r="459" spans="1:15" ht="33.75" customHeight="1" x14ac:dyDescent="0.25">
      <c r="A459" s="7"/>
      <c r="B459" s="7"/>
      <c r="C459" s="7"/>
      <c r="D459" s="7"/>
      <c r="E459" s="11">
        <v>457</v>
      </c>
      <c r="F459" s="8"/>
      <c r="G459" s="8"/>
      <c r="H459" s="9"/>
      <c r="I459" s="10"/>
      <c r="J459" s="9"/>
      <c r="K459" s="10"/>
      <c r="L459" s="8"/>
      <c r="M459" s="8"/>
      <c r="N459" s="10"/>
      <c r="O459" s="10"/>
    </row>
    <row r="460" spans="1:15" ht="33.75" customHeight="1" x14ac:dyDescent="0.25">
      <c r="A460" s="7"/>
      <c r="B460" s="7"/>
      <c r="C460" s="7"/>
      <c r="D460" s="7"/>
      <c r="E460" s="11">
        <v>458</v>
      </c>
      <c r="F460" s="8"/>
      <c r="G460" s="8"/>
      <c r="H460" s="9"/>
      <c r="I460" s="10"/>
      <c r="J460" s="9"/>
      <c r="K460" s="10"/>
      <c r="L460" s="8"/>
      <c r="M460" s="8"/>
      <c r="N460" s="10"/>
      <c r="O460" s="10"/>
    </row>
    <row r="461" spans="1:15" ht="33.75" customHeight="1" x14ac:dyDescent="0.25">
      <c r="A461" s="7"/>
      <c r="B461" s="7"/>
      <c r="C461" s="7"/>
      <c r="D461" s="7"/>
      <c r="E461" s="11">
        <v>459</v>
      </c>
      <c r="F461" s="8"/>
      <c r="G461" s="8"/>
      <c r="H461" s="9"/>
      <c r="I461" s="10"/>
      <c r="J461" s="9"/>
      <c r="K461" s="10"/>
      <c r="L461" s="8"/>
      <c r="M461" s="8"/>
      <c r="N461" s="10"/>
      <c r="O461" s="10"/>
    </row>
    <row r="462" spans="1:15" ht="33.75" customHeight="1" x14ac:dyDescent="0.25">
      <c r="A462" s="7"/>
      <c r="B462" s="7"/>
      <c r="C462" s="7"/>
      <c r="D462" s="7"/>
      <c r="E462" s="11">
        <v>460</v>
      </c>
      <c r="F462" s="8"/>
      <c r="G462" s="8"/>
      <c r="H462" s="9"/>
      <c r="I462" s="10"/>
      <c r="J462" s="9"/>
      <c r="K462" s="10"/>
      <c r="L462" s="8"/>
      <c r="M462" s="8"/>
      <c r="N462" s="10"/>
      <c r="O462" s="10"/>
    </row>
    <row r="463" spans="1:15" ht="33.75" customHeight="1" x14ac:dyDescent="0.25">
      <c r="A463" s="7"/>
      <c r="B463" s="7"/>
      <c r="C463" s="7"/>
      <c r="D463" s="7"/>
      <c r="E463" s="11">
        <v>461</v>
      </c>
      <c r="F463" s="8"/>
      <c r="G463" s="8"/>
      <c r="H463" s="9"/>
      <c r="I463" s="10"/>
      <c r="J463" s="9"/>
      <c r="K463" s="10"/>
      <c r="L463" s="8"/>
      <c r="M463" s="8"/>
      <c r="N463" s="10"/>
      <c r="O463" s="10"/>
    </row>
    <row r="464" spans="1:15" ht="33.75" customHeight="1" x14ac:dyDescent="0.25">
      <c r="A464" s="7"/>
      <c r="B464" s="7"/>
      <c r="C464" s="7"/>
      <c r="D464" s="7"/>
      <c r="E464" s="11">
        <v>462</v>
      </c>
      <c r="F464" s="8"/>
      <c r="G464" s="8"/>
      <c r="H464" s="9"/>
      <c r="I464" s="10"/>
      <c r="J464" s="9"/>
      <c r="K464" s="10"/>
      <c r="L464" s="8"/>
      <c r="M464" s="8"/>
      <c r="N464" s="10"/>
      <c r="O464" s="10"/>
    </row>
    <row r="465" spans="1:15" ht="33.75" customHeight="1" x14ac:dyDescent="0.25">
      <c r="A465" s="7"/>
      <c r="B465" s="7"/>
      <c r="C465" s="7"/>
      <c r="D465" s="7"/>
      <c r="E465" s="11">
        <v>463</v>
      </c>
      <c r="F465" s="8"/>
      <c r="G465" s="8"/>
      <c r="H465" s="9"/>
      <c r="I465" s="10"/>
      <c r="J465" s="9"/>
      <c r="K465" s="10"/>
      <c r="L465" s="8"/>
      <c r="M465" s="8"/>
      <c r="N465" s="10"/>
      <c r="O465" s="10"/>
    </row>
    <row r="466" spans="1:15" ht="33.75" customHeight="1" x14ac:dyDescent="0.25">
      <c r="A466" s="7"/>
      <c r="B466" s="7"/>
      <c r="C466" s="7"/>
      <c r="D466" s="7"/>
      <c r="E466" s="11">
        <v>464</v>
      </c>
      <c r="F466" s="8"/>
      <c r="G466" s="8"/>
      <c r="H466" s="9"/>
      <c r="I466" s="10"/>
      <c r="J466" s="9"/>
      <c r="K466" s="10"/>
      <c r="L466" s="8"/>
      <c r="M466" s="8"/>
      <c r="N466" s="10"/>
      <c r="O466" s="10"/>
    </row>
    <row r="467" spans="1:15" ht="33.75" customHeight="1" x14ac:dyDescent="0.25">
      <c r="A467" s="7"/>
      <c r="B467" s="7"/>
      <c r="C467" s="7"/>
      <c r="D467" s="7"/>
      <c r="E467" s="11">
        <v>465</v>
      </c>
      <c r="F467" s="8"/>
      <c r="G467" s="8"/>
      <c r="H467" s="9"/>
      <c r="I467" s="10"/>
      <c r="J467" s="9"/>
      <c r="K467" s="10"/>
      <c r="L467" s="8"/>
      <c r="M467" s="8"/>
      <c r="N467" s="10"/>
      <c r="O467" s="10"/>
    </row>
    <row r="468" spans="1:15" ht="33.75" customHeight="1" x14ac:dyDescent="0.25">
      <c r="A468" s="7"/>
      <c r="B468" s="7"/>
      <c r="C468" s="7"/>
      <c r="D468" s="7"/>
      <c r="E468" s="11">
        <v>466</v>
      </c>
      <c r="F468" s="8"/>
      <c r="G468" s="8"/>
      <c r="H468" s="9"/>
      <c r="I468" s="10"/>
      <c r="J468" s="9"/>
      <c r="K468" s="10"/>
      <c r="L468" s="8"/>
      <c r="M468" s="8"/>
      <c r="N468" s="10"/>
      <c r="O468" s="10"/>
    </row>
    <row r="469" spans="1:15" ht="33.75" customHeight="1" x14ac:dyDescent="0.25">
      <c r="A469" s="7"/>
      <c r="B469" s="7"/>
      <c r="C469" s="7"/>
      <c r="D469" s="7"/>
      <c r="E469" s="11">
        <v>467</v>
      </c>
      <c r="F469" s="8"/>
      <c r="G469" s="8"/>
      <c r="H469" s="9"/>
      <c r="I469" s="10"/>
      <c r="J469" s="9"/>
      <c r="K469" s="10"/>
      <c r="L469" s="8"/>
      <c r="M469" s="8"/>
      <c r="N469" s="10"/>
      <c r="O469" s="10"/>
    </row>
    <row r="470" spans="1:15" ht="33.75" customHeight="1" x14ac:dyDescent="0.25">
      <c r="A470" s="7"/>
      <c r="B470" s="7"/>
      <c r="C470" s="7"/>
      <c r="D470" s="7"/>
      <c r="E470" s="11">
        <v>468</v>
      </c>
      <c r="F470" s="8"/>
      <c r="G470" s="8"/>
      <c r="H470" s="9"/>
      <c r="I470" s="10"/>
      <c r="J470" s="9"/>
      <c r="K470" s="10"/>
      <c r="L470" s="8"/>
      <c r="M470" s="8"/>
      <c r="N470" s="10"/>
      <c r="O470" s="10"/>
    </row>
    <row r="471" spans="1:15" ht="33.75" customHeight="1" x14ac:dyDescent="0.25">
      <c r="A471" s="7"/>
      <c r="B471" s="7"/>
      <c r="C471" s="7"/>
      <c r="D471" s="7"/>
      <c r="E471" s="11">
        <v>469</v>
      </c>
      <c r="F471" s="8"/>
      <c r="G471" s="8"/>
      <c r="H471" s="9"/>
      <c r="I471" s="10"/>
      <c r="J471" s="9"/>
      <c r="K471" s="10"/>
      <c r="L471" s="8"/>
      <c r="M471" s="8"/>
      <c r="N471" s="10"/>
      <c r="O471" s="10"/>
    </row>
    <row r="472" spans="1:15" ht="33.75" customHeight="1" x14ac:dyDescent="0.25">
      <c r="A472" s="7"/>
      <c r="B472" s="7"/>
      <c r="C472" s="7"/>
      <c r="D472" s="7"/>
      <c r="E472" s="11">
        <v>470</v>
      </c>
      <c r="F472" s="8"/>
      <c r="G472" s="8"/>
      <c r="H472" s="9"/>
      <c r="I472" s="10"/>
      <c r="J472" s="9"/>
      <c r="K472" s="10"/>
      <c r="L472" s="8"/>
      <c r="M472" s="8"/>
      <c r="N472" s="10"/>
      <c r="O472" s="10"/>
    </row>
    <row r="473" spans="1:15" ht="33.75" customHeight="1" x14ac:dyDescent="0.25">
      <c r="A473" s="7"/>
      <c r="B473" s="7"/>
      <c r="C473" s="7"/>
      <c r="D473" s="7"/>
      <c r="E473" s="11">
        <v>471</v>
      </c>
      <c r="F473" s="8"/>
      <c r="G473" s="8"/>
      <c r="H473" s="9"/>
      <c r="I473" s="10"/>
      <c r="J473" s="9"/>
      <c r="K473" s="10"/>
      <c r="L473" s="8"/>
      <c r="M473" s="8"/>
      <c r="N473" s="10"/>
      <c r="O473" s="10"/>
    </row>
    <row r="474" spans="1:15" ht="33.75" customHeight="1" x14ac:dyDescent="0.25">
      <c r="A474" s="7"/>
      <c r="B474" s="7"/>
      <c r="C474" s="7"/>
      <c r="D474" s="7"/>
      <c r="E474" s="11">
        <v>472</v>
      </c>
      <c r="F474" s="8"/>
      <c r="G474" s="8"/>
      <c r="H474" s="9"/>
      <c r="I474" s="10"/>
      <c r="J474" s="9"/>
      <c r="K474" s="10"/>
      <c r="L474" s="8"/>
      <c r="M474" s="8"/>
      <c r="N474" s="10"/>
      <c r="O474" s="10"/>
    </row>
    <row r="475" spans="1:15" ht="33.75" customHeight="1" x14ac:dyDescent="0.25">
      <c r="A475" s="7"/>
      <c r="B475" s="7"/>
      <c r="C475" s="7"/>
      <c r="D475" s="7"/>
      <c r="E475" s="11">
        <v>473</v>
      </c>
      <c r="F475" s="8"/>
      <c r="G475" s="8"/>
      <c r="H475" s="9"/>
      <c r="I475" s="10"/>
      <c r="J475" s="9"/>
      <c r="K475" s="10"/>
      <c r="L475" s="8"/>
      <c r="M475" s="8"/>
      <c r="N475" s="10"/>
      <c r="O475" s="10"/>
    </row>
    <row r="476" spans="1:15" ht="33.75" customHeight="1" x14ac:dyDescent="0.25">
      <c r="A476" s="7"/>
      <c r="B476" s="7"/>
      <c r="C476" s="7"/>
      <c r="D476" s="7"/>
      <c r="E476" s="11">
        <v>474</v>
      </c>
      <c r="F476" s="8"/>
      <c r="G476" s="8"/>
      <c r="H476" s="9"/>
      <c r="I476" s="10"/>
      <c r="J476" s="9"/>
      <c r="K476" s="10"/>
      <c r="L476" s="8"/>
      <c r="M476" s="8"/>
      <c r="N476" s="10"/>
      <c r="O476" s="10"/>
    </row>
    <row r="477" spans="1:15" ht="33.75" customHeight="1" x14ac:dyDescent="0.25">
      <c r="A477" s="7"/>
      <c r="B477" s="7"/>
      <c r="C477" s="7"/>
      <c r="D477" s="7"/>
      <c r="E477" s="11">
        <v>475</v>
      </c>
      <c r="F477" s="8"/>
      <c r="G477" s="8"/>
      <c r="H477" s="9"/>
      <c r="I477" s="10"/>
      <c r="J477" s="9"/>
      <c r="K477" s="10"/>
      <c r="L477" s="8"/>
      <c r="M477" s="8"/>
      <c r="N477" s="10"/>
      <c r="O477" s="10"/>
    </row>
    <row r="478" spans="1:15" ht="33.75" customHeight="1" x14ac:dyDescent="0.25">
      <c r="A478" s="7"/>
      <c r="B478" s="7"/>
      <c r="C478" s="7"/>
      <c r="D478" s="7"/>
      <c r="E478" s="11">
        <v>476</v>
      </c>
      <c r="F478" s="8"/>
      <c r="G478" s="8"/>
      <c r="H478" s="9"/>
      <c r="I478" s="10"/>
      <c r="J478" s="9"/>
      <c r="K478" s="10"/>
      <c r="L478" s="8"/>
      <c r="M478" s="8"/>
      <c r="N478" s="10"/>
      <c r="O478" s="10"/>
    </row>
    <row r="479" spans="1:15" ht="33.75" customHeight="1" x14ac:dyDescent="0.25">
      <c r="A479" s="7"/>
      <c r="B479" s="7"/>
      <c r="C479" s="7"/>
      <c r="D479" s="7"/>
      <c r="E479" s="11">
        <v>477</v>
      </c>
      <c r="F479" s="8"/>
      <c r="G479" s="8"/>
      <c r="H479" s="9"/>
      <c r="I479" s="10"/>
      <c r="J479" s="9"/>
      <c r="K479" s="10"/>
      <c r="L479" s="8"/>
      <c r="M479" s="8"/>
      <c r="N479" s="10"/>
      <c r="O479" s="10"/>
    </row>
    <row r="480" spans="1:15" ht="33.75" customHeight="1" x14ac:dyDescent="0.25">
      <c r="A480" s="7"/>
      <c r="B480" s="7"/>
      <c r="C480" s="7"/>
      <c r="D480" s="7"/>
      <c r="E480" s="11">
        <v>478</v>
      </c>
      <c r="F480" s="8"/>
      <c r="G480" s="8"/>
      <c r="H480" s="9"/>
      <c r="I480" s="10"/>
      <c r="J480" s="9"/>
      <c r="K480" s="10"/>
      <c r="L480" s="8"/>
      <c r="M480" s="8"/>
      <c r="N480" s="10"/>
      <c r="O480" s="10"/>
    </row>
    <row r="481" spans="1:15" ht="33.75" customHeight="1" x14ac:dyDescent="0.25">
      <c r="A481" s="7"/>
      <c r="B481" s="7"/>
      <c r="C481" s="7"/>
      <c r="D481" s="7"/>
      <c r="E481" s="11">
        <v>479</v>
      </c>
      <c r="F481" s="8"/>
      <c r="G481" s="8"/>
      <c r="H481" s="9"/>
      <c r="I481" s="10"/>
      <c r="J481" s="9"/>
      <c r="K481" s="10"/>
      <c r="L481" s="8"/>
      <c r="M481" s="8"/>
      <c r="N481" s="10"/>
      <c r="O481" s="10"/>
    </row>
    <row r="482" spans="1:15" ht="33.75" customHeight="1" x14ac:dyDescent="0.25">
      <c r="A482" s="7"/>
      <c r="B482" s="7"/>
      <c r="C482" s="7"/>
      <c r="D482" s="7"/>
      <c r="E482" s="11">
        <v>480</v>
      </c>
      <c r="F482" s="8"/>
      <c r="G482" s="8"/>
      <c r="H482" s="9"/>
      <c r="I482" s="10"/>
      <c r="J482" s="9"/>
      <c r="K482" s="10"/>
      <c r="L482" s="8"/>
      <c r="M482" s="8"/>
      <c r="N482" s="10"/>
      <c r="O482" s="10"/>
    </row>
    <row r="483" spans="1:15" ht="33.75" customHeight="1" x14ac:dyDescent="0.25">
      <c r="A483" s="7"/>
      <c r="B483" s="7"/>
      <c r="C483" s="7"/>
      <c r="D483" s="7"/>
      <c r="E483" s="11">
        <v>481</v>
      </c>
      <c r="F483" s="8"/>
      <c r="G483" s="8"/>
      <c r="H483" s="9"/>
      <c r="I483" s="10"/>
      <c r="J483" s="9"/>
      <c r="K483" s="10"/>
      <c r="L483" s="8"/>
      <c r="M483" s="8"/>
      <c r="N483" s="10"/>
      <c r="O483" s="10"/>
    </row>
    <row r="484" spans="1:15" ht="33.75" customHeight="1" x14ac:dyDescent="0.25">
      <c r="A484" s="7"/>
      <c r="B484" s="7"/>
      <c r="C484" s="7"/>
      <c r="D484" s="7"/>
      <c r="E484" s="11">
        <v>482</v>
      </c>
      <c r="F484" s="8"/>
      <c r="G484" s="8"/>
      <c r="H484" s="9"/>
      <c r="I484" s="10"/>
      <c r="J484" s="9"/>
      <c r="K484" s="10"/>
      <c r="L484" s="8"/>
      <c r="M484" s="8"/>
      <c r="N484" s="10"/>
      <c r="O484" s="10"/>
    </row>
    <row r="485" spans="1:15" ht="33.75" customHeight="1" x14ac:dyDescent="0.25">
      <c r="A485" s="7"/>
      <c r="B485" s="7"/>
      <c r="C485" s="7"/>
      <c r="D485" s="7"/>
      <c r="E485" s="11">
        <v>483</v>
      </c>
      <c r="F485" s="8"/>
      <c r="G485" s="8"/>
      <c r="H485" s="9"/>
      <c r="I485" s="10"/>
      <c r="J485" s="9"/>
      <c r="K485" s="10"/>
      <c r="L485" s="8"/>
      <c r="M485" s="8"/>
      <c r="N485" s="10"/>
      <c r="O485" s="10"/>
    </row>
    <row r="486" spans="1:15" ht="33.75" customHeight="1" x14ac:dyDescent="0.25">
      <c r="A486" s="7"/>
      <c r="B486" s="7"/>
      <c r="C486" s="7"/>
      <c r="D486" s="7"/>
      <c r="E486" s="11">
        <v>484</v>
      </c>
      <c r="F486" s="8"/>
      <c r="G486" s="8"/>
      <c r="H486" s="9"/>
      <c r="I486" s="10"/>
      <c r="J486" s="9"/>
      <c r="K486" s="10"/>
      <c r="L486" s="8"/>
      <c r="M486" s="8"/>
      <c r="N486" s="10"/>
      <c r="O486" s="10"/>
    </row>
    <row r="487" spans="1:15" ht="33.75" customHeight="1" x14ac:dyDescent="0.25">
      <c r="A487" s="7"/>
      <c r="B487" s="7"/>
      <c r="C487" s="7"/>
      <c r="D487" s="7"/>
      <c r="E487" s="11">
        <v>485</v>
      </c>
      <c r="F487" s="8"/>
      <c r="G487" s="8"/>
      <c r="H487" s="9"/>
      <c r="I487" s="10"/>
      <c r="J487" s="9"/>
      <c r="K487" s="10"/>
      <c r="L487" s="8"/>
      <c r="M487" s="8"/>
      <c r="N487" s="10"/>
      <c r="O487" s="10"/>
    </row>
    <row r="488" spans="1:15" ht="33.75" customHeight="1" x14ac:dyDescent="0.25">
      <c r="A488" s="7"/>
      <c r="B488" s="7"/>
      <c r="C488" s="7"/>
      <c r="D488" s="7"/>
      <c r="E488" s="11">
        <v>486</v>
      </c>
      <c r="F488" s="8"/>
      <c r="G488" s="8"/>
      <c r="H488" s="9"/>
      <c r="I488" s="10"/>
      <c r="J488" s="9"/>
      <c r="K488" s="10"/>
      <c r="L488" s="8"/>
      <c r="M488" s="8"/>
      <c r="N488" s="10"/>
      <c r="O488" s="10"/>
    </row>
    <row r="489" spans="1:15" ht="33.75" customHeight="1" x14ac:dyDescent="0.25">
      <c r="A489" s="7"/>
      <c r="B489" s="7"/>
      <c r="C489" s="7"/>
      <c r="D489" s="7"/>
      <c r="E489" s="11">
        <v>487</v>
      </c>
      <c r="F489" s="8"/>
      <c r="G489" s="8"/>
      <c r="H489" s="9"/>
      <c r="I489" s="10"/>
      <c r="J489" s="9"/>
      <c r="K489" s="10"/>
      <c r="L489" s="8"/>
      <c r="M489" s="8"/>
      <c r="N489" s="10"/>
      <c r="O489" s="10"/>
    </row>
    <row r="490" spans="1:15" ht="33.75" customHeight="1" x14ac:dyDescent="0.25">
      <c r="A490" s="7"/>
      <c r="B490" s="7"/>
      <c r="C490" s="7"/>
      <c r="D490" s="7"/>
      <c r="E490" s="11">
        <v>488</v>
      </c>
      <c r="F490" s="8"/>
      <c r="G490" s="8"/>
      <c r="H490" s="9"/>
      <c r="I490" s="10"/>
      <c r="J490" s="9"/>
      <c r="K490" s="10"/>
      <c r="L490" s="8"/>
      <c r="M490" s="8"/>
      <c r="N490" s="10"/>
      <c r="O490" s="10"/>
    </row>
    <row r="491" spans="1:15" ht="33.75" customHeight="1" x14ac:dyDescent="0.25">
      <c r="A491" s="7"/>
      <c r="B491" s="7"/>
      <c r="C491" s="7"/>
      <c r="D491" s="7"/>
      <c r="E491" s="11">
        <v>489</v>
      </c>
      <c r="F491" s="8"/>
      <c r="G491" s="8"/>
      <c r="H491" s="9"/>
      <c r="I491" s="10"/>
      <c r="J491" s="9"/>
      <c r="K491" s="10"/>
      <c r="L491" s="8"/>
      <c r="M491" s="8"/>
      <c r="N491" s="10"/>
      <c r="O491" s="10"/>
    </row>
    <row r="492" spans="1:15" ht="33.75" customHeight="1" x14ac:dyDescent="0.25">
      <c r="A492" s="7"/>
      <c r="B492" s="7"/>
      <c r="C492" s="7"/>
      <c r="D492" s="7"/>
      <c r="E492" s="11">
        <v>490</v>
      </c>
      <c r="F492" s="8"/>
      <c r="G492" s="8"/>
      <c r="H492" s="9"/>
      <c r="I492" s="10"/>
      <c r="J492" s="9"/>
      <c r="K492" s="10"/>
      <c r="L492" s="8"/>
      <c r="M492" s="8"/>
      <c r="N492" s="10"/>
      <c r="O492" s="10"/>
    </row>
    <row r="493" spans="1:15" ht="33.75" customHeight="1" x14ac:dyDescent="0.25">
      <c r="A493" s="7"/>
      <c r="B493" s="7"/>
      <c r="C493" s="7"/>
      <c r="D493" s="7"/>
      <c r="E493" s="11">
        <v>491</v>
      </c>
      <c r="F493" s="8"/>
      <c r="G493" s="8"/>
      <c r="H493" s="9"/>
      <c r="I493" s="10"/>
      <c r="J493" s="9"/>
      <c r="K493" s="10"/>
      <c r="L493" s="8"/>
      <c r="M493" s="8"/>
      <c r="N493" s="10"/>
      <c r="O493" s="10"/>
    </row>
    <row r="494" spans="1:15" ht="33.75" customHeight="1" x14ac:dyDescent="0.25">
      <c r="A494" s="7"/>
      <c r="B494" s="7"/>
      <c r="C494" s="7"/>
      <c r="D494" s="7"/>
      <c r="E494" s="11">
        <v>492</v>
      </c>
      <c r="F494" s="8"/>
      <c r="G494" s="8"/>
      <c r="H494" s="9"/>
      <c r="I494" s="10"/>
      <c r="J494" s="9"/>
      <c r="K494" s="10"/>
      <c r="L494" s="8"/>
      <c r="M494" s="8"/>
      <c r="N494" s="10"/>
      <c r="O494" s="10"/>
    </row>
    <row r="495" spans="1:15" ht="33.75" customHeight="1" x14ac:dyDescent="0.25">
      <c r="A495" s="7"/>
      <c r="B495" s="7"/>
      <c r="C495" s="7"/>
      <c r="D495" s="7"/>
      <c r="E495" s="11">
        <v>493</v>
      </c>
      <c r="F495" s="8"/>
      <c r="G495" s="8"/>
      <c r="H495" s="9"/>
      <c r="I495" s="10"/>
      <c r="J495" s="9"/>
      <c r="K495" s="10"/>
      <c r="L495" s="8"/>
      <c r="M495" s="8"/>
      <c r="N495" s="10"/>
      <c r="O495" s="10"/>
    </row>
    <row r="496" spans="1:15" ht="33.75" customHeight="1" x14ac:dyDescent="0.25">
      <c r="A496" s="7"/>
      <c r="B496" s="7"/>
      <c r="C496" s="7"/>
      <c r="D496" s="7"/>
      <c r="E496" s="11">
        <v>494</v>
      </c>
      <c r="F496" s="8"/>
      <c r="G496" s="8"/>
      <c r="H496" s="9"/>
      <c r="I496" s="10"/>
      <c r="J496" s="9"/>
      <c r="K496" s="10"/>
      <c r="L496" s="8"/>
      <c r="M496" s="8"/>
      <c r="N496" s="10"/>
      <c r="O496" s="10"/>
    </row>
    <row r="497" spans="1:15" ht="33.75" customHeight="1" x14ac:dyDescent="0.25">
      <c r="A497" s="7"/>
      <c r="B497" s="7"/>
      <c r="C497" s="7"/>
      <c r="D497" s="7"/>
      <c r="E497" s="11">
        <v>495</v>
      </c>
      <c r="F497" s="8"/>
      <c r="G497" s="8"/>
      <c r="H497" s="9"/>
      <c r="I497" s="10"/>
      <c r="J497" s="9"/>
      <c r="K497" s="10"/>
      <c r="L497" s="8"/>
      <c r="M497" s="8"/>
      <c r="N497" s="10"/>
      <c r="O497" s="10"/>
    </row>
    <row r="498" spans="1:15" ht="33.75" customHeight="1" x14ac:dyDescent="0.25">
      <c r="A498" s="7"/>
      <c r="B498" s="7"/>
      <c r="C498" s="7"/>
      <c r="D498" s="7"/>
      <c r="E498" s="11">
        <v>496</v>
      </c>
      <c r="F498" s="8"/>
      <c r="G498" s="8"/>
      <c r="H498" s="9"/>
      <c r="I498" s="10"/>
      <c r="J498" s="9"/>
      <c r="K498" s="10"/>
      <c r="L498" s="8"/>
      <c r="M498" s="8"/>
      <c r="N498" s="10"/>
      <c r="O498" s="10"/>
    </row>
    <row r="499" spans="1:15" ht="33.75" customHeight="1" x14ac:dyDescent="0.25">
      <c r="A499" s="7"/>
      <c r="B499" s="7"/>
      <c r="C499" s="7"/>
      <c r="D499" s="7"/>
      <c r="E499" s="11">
        <v>497</v>
      </c>
      <c r="F499" s="8"/>
      <c r="G499" s="8"/>
      <c r="H499" s="9"/>
      <c r="I499" s="10"/>
      <c r="J499" s="9"/>
      <c r="K499" s="10"/>
      <c r="L499" s="8"/>
      <c r="M499" s="8"/>
      <c r="N499" s="10"/>
      <c r="O499" s="10"/>
    </row>
    <row r="500" spans="1:15" ht="33.75" customHeight="1" x14ac:dyDescent="0.25">
      <c r="A500" s="7"/>
      <c r="B500" s="7"/>
      <c r="C500" s="7"/>
      <c r="D500" s="7"/>
      <c r="E500" s="11">
        <v>498</v>
      </c>
      <c r="F500" s="8"/>
      <c r="G500" s="8"/>
      <c r="H500" s="9"/>
      <c r="I500" s="10"/>
      <c r="J500" s="9"/>
      <c r="K500" s="10"/>
      <c r="L500" s="8"/>
      <c r="M500" s="8"/>
      <c r="N500" s="10"/>
      <c r="O500" s="10"/>
    </row>
    <row r="501" spans="1:15" ht="33.75" customHeight="1" x14ac:dyDescent="0.25">
      <c r="A501" s="7"/>
      <c r="B501" s="7"/>
      <c r="C501" s="7"/>
      <c r="D501" s="7"/>
      <c r="E501" s="11">
        <v>499</v>
      </c>
      <c r="F501" s="8"/>
      <c r="G501" s="8"/>
      <c r="H501" s="9"/>
      <c r="I501" s="10"/>
      <c r="J501" s="9"/>
      <c r="K501" s="10"/>
      <c r="L501" s="8"/>
      <c r="M501" s="8"/>
      <c r="N501" s="10"/>
      <c r="O501" s="10"/>
    </row>
    <row r="502" spans="1:15" ht="33.75" customHeight="1" x14ac:dyDescent="0.25">
      <c r="A502" s="7"/>
      <c r="B502" s="7"/>
      <c r="C502" s="7"/>
      <c r="D502" s="7"/>
      <c r="E502" s="11">
        <v>500</v>
      </c>
      <c r="F502" s="8"/>
      <c r="G502" s="8"/>
      <c r="H502" s="9"/>
      <c r="I502" s="10"/>
      <c r="J502" s="9"/>
      <c r="K502" s="10"/>
      <c r="L502" s="8"/>
      <c r="M502" s="8"/>
      <c r="N502" s="10"/>
      <c r="O502" s="10"/>
    </row>
    <row r="503" spans="1:15" ht="33.75" customHeight="1" x14ac:dyDescent="0.25">
      <c r="A503" s="7"/>
      <c r="B503" s="7"/>
      <c r="C503" s="7"/>
      <c r="D503" s="7"/>
      <c r="E503" s="11">
        <v>501</v>
      </c>
      <c r="F503" s="8"/>
      <c r="G503" s="8"/>
      <c r="H503" s="9"/>
      <c r="I503" s="10"/>
      <c r="J503" s="9"/>
      <c r="K503" s="10"/>
      <c r="L503" s="8"/>
      <c r="M503" s="8"/>
      <c r="N503" s="10"/>
      <c r="O503" s="10"/>
    </row>
    <row r="504" spans="1:15" ht="33.75" customHeight="1" x14ac:dyDescent="0.25">
      <c r="A504" s="7"/>
      <c r="B504" s="7"/>
      <c r="C504" s="7"/>
      <c r="D504" s="7"/>
      <c r="E504" s="11">
        <v>502</v>
      </c>
      <c r="F504" s="8"/>
      <c r="G504" s="8"/>
      <c r="H504" s="9"/>
      <c r="I504" s="10"/>
      <c r="J504" s="9"/>
      <c r="K504" s="10"/>
      <c r="L504" s="8"/>
      <c r="M504" s="8"/>
      <c r="N504" s="10"/>
      <c r="O504" s="10"/>
    </row>
    <row r="505" spans="1:15" ht="33.75" customHeight="1" x14ac:dyDescent="0.25">
      <c r="A505" s="7"/>
      <c r="B505" s="7"/>
      <c r="C505" s="7"/>
      <c r="D505" s="7"/>
      <c r="E505" s="11">
        <v>503</v>
      </c>
      <c r="F505" s="8"/>
      <c r="G505" s="8"/>
      <c r="H505" s="9"/>
      <c r="I505" s="10"/>
      <c r="J505" s="9"/>
      <c r="K505" s="10"/>
      <c r="L505" s="8"/>
      <c r="M505" s="8"/>
      <c r="N505" s="10"/>
      <c r="O505" s="10"/>
    </row>
    <row r="506" spans="1:15" ht="33.75" customHeight="1" x14ac:dyDescent="0.25">
      <c r="A506" s="7"/>
      <c r="B506" s="7"/>
      <c r="C506" s="7"/>
      <c r="D506" s="7"/>
      <c r="E506" s="11">
        <v>504</v>
      </c>
      <c r="F506" s="8"/>
      <c r="G506" s="8"/>
      <c r="H506" s="9"/>
      <c r="I506" s="10"/>
      <c r="J506" s="9"/>
      <c r="K506" s="10"/>
      <c r="L506" s="8"/>
      <c r="M506" s="8"/>
      <c r="N506" s="10"/>
      <c r="O506" s="10"/>
    </row>
    <row r="507" spans="1:15" ht="33.75" customHeight="1" x14ac:dyDescent="0.25">
      <c r="A507" s="7"/>
      <c r="B507" s="7"/>
      <c r="C507" s="7"/>
      <c r="D507" s="7"/>
      <c r="E507" s="11">
        <v>505</v>
      </c>
      <c r="F507" s="8"/>
      <c r="G507" s="8"/>
      <c r="H507" s="9"/>
      <c r="I507" s="10"/>
      <c r="J507" s="9"/>
      <c r="K507" s="10"/>
      <c r="L507" s="8"/>
      <c r="M507" s="8"/>
      <c r="N507" s="10"/>
      <c r="O507" s="10"/>
    </row>
    <row r="508" spans="1:15" ht="33.75" customHeight="1" x14ac:dyDescent="0.25">
      <c r="A508" s="7"/>
      <c r="B508" s="7"/>
      <c r="C508" s="7"/>
      <c r="D508" s="7"/>
      <c r="E508" s="11">
        <v>506</v>
      </c>
      <c r="F508" s="8"/>
      <c r="G508" s="8"/>
      <c r="H508" s="9"/>
      <c r="I508" s="10"/>
      <c r="J508" s="9"/>
      <c r="K508" s="10"/>
      <c r="L508" s="8"/>
      <c r="M508" s="8"/>
      <c r="N508" s="10"/>
      <c r="O508" s="10"/>
    </row>
    <row r="509" spans="1:15" ht="33.75" customHeight="1" x14ac:dyDescent="0.25">
      <c r="A509" s="7"/>
      <c r="B509" s="7"/>
      <c r="C509" s="7"/>
      <c r="D509" s="7"/>
      <c r="E509" s="11">
        <v>507</v>
      </c>
      <c r="F509" s="8"/>
      <c r="G509" s="8"/>
      <c r="H509" s="9"/>
      <c r="I509" s="10"/>
      <c r="J509" s="9"/>
      <c r="K509" s="10"/>
      <c r="L509" s="8"/>
      <c r="M509" s="8"/>
      <c r="N509" s="10"/>
      <c r="O509" s="10"/>
    </row>
    <row r="510" spans="1:15" ht="33.75" customHeight="1" x14ac:dyDescent="0.25">
      <c r="A510" s="7"/>
      <c r="B510" s="7"/>
      <c r="C510" s="7"/>
      <c r="D510" s="7"/>
      <c r="E510" s="11">
        <v>508</v>
      </c>
      <c r="F510" s="8"/>
      <c r="G510" s="8"/>
      <c r="H510" s="9"/>
      <c r="I510" s="10"/>
      <c r="J510" s="9"/>
      <c r="K510" s="10"/>
      <c r="L510" s="8"/>
      <c r="M510" s="8"/>
      <c r="N510" s="10"/>
      <c r="O510" s="10"/>
    </row>
    <row r="511" spans="1:15" ht="33.75" customHeight="1" x14ac:dyDescent="0.25">
      <c r="A511" s="7"/>
      <c r="B511" s="7"/>
      <c r="C511" s="7"/>
      <c r="D511" s="7"/>
      <c r="E511" s="11">
        <v>509</v>
      </c>
      <c r="F511" s="8"/>
      <c r="G511" s="8"/>
      <c r="H511" s="9"/>
      <c r="I511" s="10"/>
      <c r="J511" s="9"/>
      <c r="K511" s="10"/>
      <c r="L511" s="8"/>
      <c r="M511" s="8"/>
      <c r="N511" s="10"/>
      <c r="O511" s="10"/>
    </row>
    <row r="512" spans="1:15" ht="33.75" customHeight="1" x14ac:dyDescent="0.25">
      <c r="A512" s="7"/>
      <c r="B512" s="7"/>
      <c r="C512" s="7"/>
      <c r="D512" s="7"/>
      <c r="E512" s="11">
        <v>510</v>
      </c>
      <c r="F512" s="8"/>
      <c r="G512" s="8"/>
      <c r="H512" s="9"/>
      <c r="I512" s="10"/>
      <c r="J512" s="9"/>
      <c r="K512" s="10"/>
      <c r="L512" s="8"/>
      <c r="M512" s="8"/>
      <c r="N512" s="10"/>
      <c r="O512" s="10"/>
    </row>
    <row r="513" spans="1:15" ht="33.75" customHeight="1" x14ac:dyDescent="0.25">
      <c r="A513" s="7"/>
      <c r="B513" s="7"/>
      <c r="C513" s="7"/>
      <c r="D513" s="7"/>
      <c r="E513" s="11">
        <v>511</v>
      </c>
      <c r="F513" s="8"/>
      <c r="G513" s="8"/>
      <c r="H513" s="9"/>
      <c r="I513" s="10"/>
      <c r="J513" s="9"/>
      <c r="K513" s="10"/>
      <c r="L513" s="8"/>
      <c r="M513" s="8"/>
      <c r="N513" s="10"/>
      <c r="O513" s="10"/>
    </row>
    <row r="514" spans="1:15" ht="33.75" customHeight="1" x14ac:dyDescent="0.25">
      <c r="A514" s="7"/>
      <c r="B514" s="7"/>
      <c r="C514" s="7"/>
      <c r="D514" s="7"/>
      <c r="E514" s="11">
        <v>512</v>
      </c>
      <c r="F514" s="8"/>
      <c r="G514" s="8"/>
      <c r="H514" s="9"/>
      <c r="I514" s="10"/>
      <c r="J514" s="9"/>
      <c r="K514" s="10"/>
      <c r="L514" s="8"/>
      <c r="M514" s="8"/>
      <c r="N514" s="10"/>
      <c r="O514" s="10"/>
    </row>
    <row r="515" spans="1:15" ht="33.75" customHeight="1" x14ac:dyDescent="0.25">
      <c r="A515" s="7"/>
      <c r="B515" s="7"/>
      <c r="C515" s="7"/>
      <c r="D515" s="7"/>
      <c r="E515" s="11">
        <v>513</v>
      </c>
      <c r="F515" s="8"/>
      <c r="G515" s="8"/>
      <c r="H515" s="9"/>
      <c r="I515" s="10"/>
      <c r="J515" s="9"/>
      <c r="K515" s="10"/>
      <c r="L515" s="8"/>
      <c r="M515" s="8"/>
      <c r="N515" s="10"/>
      <c r="O515" s="10"/>
    </row>
    <row r="516" spans="1:15" ht="33.75" customHeight="1" x14ac:dyDescent="0.25">
      <c r="A516" s="7"/>
      <c r="B516" s="7"/>
      <c r="C516" s="7"/>
      <c r="D516" s="7"/>
      <c r="E516" s="11">
        <v>514</v>
      </c>
      <c r="F516" s="8"/>
      <c r="G516" s="8"/>
      <c r="H516" s="9"/>
      <c r="I516" s="10"/>
      <c r="J516" s="9"/>
      <c r="K516" s="10"/>
      <c r="L516" s="8"/>
      <c r="M516" s="8"/>
      <c r="N516" s="10"/>
      <c r="O516" s="10"/>
    </row>
    <row r="517" spans="1:15" ht="33.75" customHeight="1" x14ac:dyDescent="0.25">
      <c r="A517" s="7"/>
      <c r="B517" s="7"/>
      <c r="C517" s="7"/>
      <c r="D517" s="7"/>
      <c r="E517" s="11">
        <v>515</v>
      </c>
      <c r="F517" s="8"/>
      <c r="G517" s="8"/>
      <c r="H517" s="9"/>
      <c r="I517" s="10"/>
      <c r="J517" s="9"/>
      <c r="K517" s="10"/>
      <c r="L517" s="8"/>
      <c r="M517" s="8"/>
      <c r="N517" s="10"/>
      <c r="O517" s="10"/>
    </row>
    <row r="518" spans="1:15" ht="33.75" customHeight="1" x14ac:dyDescent="0.25">
      <c r="A518" s="7"/>
      <c r="B518" s="7"/>
      <c r="C518" s="7"/>
      <c r="D518" s="7"/>
      <c r="E518" s="11">
        <v>516</v>
      </c>
      <c r="F518" s="8"/>
      <c r="G518" s="8"/>
      <c r="H518" s="9"/>
      <c r="I518" s="10"/>
      <c r="J518" s="9"/>
      <c r="K518" s="10"/>
      <c r="L518" s="8"/>
      <c r="M518" s="8"/>
      <c r="N518" s="10"/>
      <c r="O518" s="10"/>
    </row>
    <row r="519" spans="1:15" ht="33.75" customHeight="1" x14ac:dyDescent="0.25">
      <c r="A519" s="7"/>
      <c r="B519" s="7"/>
      <c r="C519" s="7"/>
      <c r="D519" s="7"/>
      <c r="E519" s="11">
        <v>517</v>
      </c>
      <c r="F519" s="8"/>
      <c r="G519" s="8"/>
      <c r="H519" s="9"/>
      <c r="I519" s="10"/>
      <c r="J519" s="9"/>
      <c r="K519" s="10"/>
      <c r="L519" s="8"/>
      <c r="M519" s="8"/>
      <c r="N519" s="10"/>
      <c r="O519" s="10"/>
    </row>
    <row r="520" spans="1:15" ht="33.75" customHeight="1" x14ac:dyDescent="0.25">
      <c r="A520" s="7"/>
      <c r="B520" s="7"/>
      <c r="C520" s="7"/>
      <c r="D520" s="7"/>
      <c r="E520" s="11">
        <v>518</v>
      </c>
      <c r="F520" s="8"/>
      <c r="G520" s="8"/>
      <c r="H520" s="9"/>
      <c r="I520" s="10"/>
      <c r="J520" s="9"/>
      <c r="K520" s="10"/>
      <c r="L520" s="8"/>
      <c r="M520" s="8"/>
      <c r="N520" s="10"/>
      <c r="O520" s="10"/>
    </row>
    <row r="521" spans="1:15" ht="33.75" customHeight="1" x14ac:dyDescent="0.25">
      <c r="A521" s="7"/>
      <c r="B521" s="7"/>
      <c r="C521" s="7"/>
      <c r="D521" s="7"/>
      <c r="E521" s="11">
        <v>519</v>
      </c>
      <c r="F521" s="8"/>
      <c r="G521" s="8"/>
      <c r="H521" s="9"/>
      <c r="I521" s="10"/>
      <c r="J521" s="9"/>
      <c r="K521" s="10"/>
      <c r="L521" s="8"/>
      <c r="M521" s="8"/>
      <c r="N521" s="10"/>
      <c r="O521" s="10"/>
    </row>
    <row r="522" spans="1:15" ht="33.75" customHeight="1" x14ac:dyDescent="0.25">
      <c r="A522" s="7"/>
      <c r="B522" s="7"/>
      <c r="C522" s="7"/>
      <c r="D522" s="7"/>
      <c r="E522" s="11">
        <v>520</v>
      </c>
      <c r="F522" s="8"/>
      <c r="G522" s="8"/>
      <c r="H522" s="9"/>
      <c r="I522" s="10"/>
      <c r="J522" s="9"/>
      <c r="K522" s="10"/>
      <c r="L522" s="8"/>
      <c r="M522" s="8"/>
      <c r="N522" s="10"/>
      <c r="O522" s="10"/>
    </row>
    <row r="523" spans="1:15" ht="33.75" customHeight="1" x14ac:dyDescent="0.25">
      <c r="A523" s="7"/>
      <c r="B523" s="7"/>
      <c r="C523" s="7"/>
      <c r="D523" s="7"/>
      <c r="E523" s="11">
        <v>521</v>
      </c>
      <c r="F523" s="8"/>
      <c r="G523" s="8"/>
      <c r="H523" s="9"/>
      <c r="I523" s="10"/>
      <c r="J523" s="9"/>
      <c r="K523" s="10"/>
      <c r="L523" s="8"/>
      <c r="M523" s="8"/>
      <c r="N523" s="10"/>
      <c r="O523" s="10"/>
    </row>
    <row r="524" spans="1:15" ht="33.75" customHeight="1" x14ac:dyDescent="0.25">
      <c r="A524" s="7"/>
      <c r="B524" s="7"/>
      <c r="C524" s="7"/>
      <c r="D524" s="7"/>
      <c r="E524" s="11">
        <v>522</v>
      </c>
      <c r="F524" s="8"/>
      <c r="G524" s="8"/>
      <c r="H524" s="9"/>
      <c r="I524" s="10"/>
      <c r="J524" s="9"/>
      <c r="K524" s="10"/>
      <c r="L524" s="8"/>
      <c r="M524" s="8"/>
      <c r="N524" s="10"/>
      <c r="O524" s="10"/>
    </row>
    <row r="525" spans="1:15" ht="33.75" customHeight="1" x14ac:dyDescent="0.25">
      <c r="A525" s="7"/>
      <c r="B525" s="7"/>
      <c r="C525" s="7"/>
      <c r="D525" s="7"/>
      <c r="E525" s="11">
        <v>523</v>
      </c>
      <c r="F525" s="8"/>
      <c r="G525" s="8"/>
      <c r="H525" s="9"/>
      <c r="I525" s="10"/>
      <c r="J525" s="9"/>
      <c r="K525" s="10"/>
      <c r="L525" s="8"/>
      <c r="M525" s="8"/>
      <c r="N525" s="10"/>
      <c r="O525" s="10"/>
    </row>
    <row r="526" spans="1:15" ht="33.75" customHeight="1" x14ac:dyDescent="0.25">
      <c r="A526" s="7"/>
      <c r="B526" s="7"/>
      <c r="C526" s="7"/>
      <c r="D526" s="7"/>
      <c r="E526" s="11">
        <v>524</v>
      </c>
      <c r="F526" s="8"/>
      <c r="G526" s="8"/>
      <c r="H526" s="9"/>
      <c r="I526" s="10"/>
      <c r="J526" s="9"/>
      <c r="K526" s="10"/>
      <c r="L526" s="8"/>
      <c r="M526" s="8"/>
      <c r="N526" s="10"/>
      <c r="O526" s="10"/>
    </row>
    <row r="527" spans="1:15" ht="33.75" customHeight="1" x14ac:dyDescent="0.25">
      <c r="A527" s="7"/>
      <c r="B527" s="7"/>
      <c r="C527" s="7"/>
      <c r="D527" s="7"/>
      <c r="E527" s="11">
        <v>525</v>
      </c>
      <c r="F527" s="8"/>
      <c r="G527" s="8"/>
      <c r="H527" s="9"/>
      <c r="I527" s="10"/>
      <c r="J527" s="9"/>
      <c r="K527" s="10"/>
      <c r="L527" s="8"/>
      <c r="M527" s="8"/>
      <c r="N527" s="10"/>
      <c r="O527" s="10"/>
    </row>
    <row r="528" spans="1:15" ht="33.75" customHeight="1" x14ac:dyDescent="0.25">
      <c r="A528" s="7"/>
      <c r="B528" s="7"/>
      <c r="C528" s="7"/>
      <c r="D528" s="7"/>
      <c r="E528" s="11">
        <v>526</v>
      </c>
      <c r="F528" s="8"/>
      <c r="G528" s="8"/>
      <c r="H528" s="9"/>
      <c r="I528" s="10"/>
      <c r="J528" s="9"/>
      <c r="K528" s="10"/>
      <c r="L528" s="8"/>
      <c r="M528" s="8"/>
      <c r="N528" s="10"/>
      <c r="O528" s="10"/>
    </row>
    <row r="529" spans="1:15" ht="33.75" customHeight="1" x14ac:dyDescent="0.25">
      <c r="A529" s="7"/>
      <c r="B529" s="7"/>
      <c r="C529" s="7"/>
      <c r="D529" s="7"/>
      <c r="E529" s="11">
        <v>527</v>
      </c>
      <c r="F529" s="8"/>
      <c r="G529" s="8"/>
      <c r="H529" s="9"/>
      <c r="I529" s="10"/>
      <c r="J529" s="9"/>
      <c r="K529" s="10"/>
      <c r="L529" s="8"/>
      <c r="M529" s="8"/>
      <c r="N529" s="10"/>
      <c r="O529" s="10"/>
    </row>
    <row r="530" spans="1:15" ht="33.75" customHeight="1" x14ac:dyDescent="0.25">
      <c r="A530" s="7"/>
      <c r="B530" s="7"/>
      <c r="C530" s="7"/>
      <c r="D530" s="7"/>
      <c r="E530" s="11">
        <v>528</v>
      </c>
      <c r="F530" s="8"/>
      <c r="G530" s="8"/>
      <c r="H530" s="9"/>
      <c r="I530" s="10"/>
      <c r="J530" s="9"/>
      <c r="K530" s="10"/>
      <c r="L530" s="8"/>
      <c r="M530" s="8"/>
      <c r="N530" s="10"/>
      <c r="O530" s="10"/>
    </row>
    <row r="531" spans="1:15" ht="33.75" customHeight="1" x14ac:dyDescent="0.25">
      <c r="A531" s="7"/>
      <c r="B531" s="7"/>
      <c r="C531" s="7"/>
      <c r="D531" s="7"/>
      <c r="E531" s="11">
        <v>529</v>
      </c>
      <c r="F531" s="8"/>
      <c r="G531" s="8"/>
      <c r="H531" s="9"/>
      <c r="I531" s="10"/>
      <c r="J531" s="9"/>
      <c r="K531" s="10"/>
      <c r="L531" s="8"/>
      <c r="M531" s="8"/>
      <c r="N531" s="10"/>
      <c r="O531" s="10"/>
    </row>
    <row r="532" spans="1:15" ht="33.75" customHeight="1" x14ac:dyDescent="0.25">
      <c r="A532" s="7"/>
      <c r="B532" s="7"/>
      <c r="C532" s="7"/>
      <c r="D532" s="7"/>
      <c r="E532" s="11">
        <v>530</v>
      </c>
      <c r="F532" s="8"/>
      <c r="G532" s="8"/>
      <c r="H532" s="9"/>
      <c r="I532" s="10"/>
      <c r="J532" s="9"/>
      <c r="K532" s="10"/>
      <c r="L532" s="8"/>
      <c r="M532" s="8"/>
      <c r="N532" s="10"/>
      <c r="O532" s="10"/>
    </row>
    <row r="533" spans="1:15" ht="33.75" customHeight="1" x14ac:dyDescent="0.25">
      <c r="A533" s="7"/>
      <c r="B533" s="7"/>
      <c r="C533" s="7"/>
      <c r="D533" s="7"/>
      <c r="E533" s="11">
        <v>531</v>
      </c>
      <c r="F533" s="8"/>
      <c r="G533" s="8"/>
      <c r="H533" s="9"/>
      <c r="I533" s="10"/>
      <c r="J533" s="9"/>
      <c r="K533" s="10"/>
      <c r="L533" s="8"/>
      <c r="M533" s="8"/>
      <c r="N533" s="10"/>
      <c r="O533" s="10"/>
    </row>
    <row r="534" spans="1:15" ht="33.75" customHeight="1" x14ac:dyDescent="0.25">
      <c r="A534" s="7"/>
      <c r="B534" s="7"/>
      <c r="C534" s="7"/>
      <c r="D534" s="7"/>
      <c r="E534" s="11">
        <v>532</v>
      </c>
      <c r="F534" s="8"/>
      <c r="G534" s="8"/>
      <c r="H534" s="9"/>
      <c r="I534" s="10"/>
      <c r="J534" s="9"/>
      <c r="K534" s="10"/>
      <c r="L534" s="8"/>
      <c r="M534" s="8"/>
      <c r="N534" s="10"/>
      <c r="O534" s="10"/>
    </row>
    <row r="535" spans="1:15" ht="33.75" customHeight="1" x14ac:dyDescent="0.25">
      <c r="A535" s="7"/>
      <c r="B535" s="7"/>
      <c r="C535" s="7"/>
      <c r="D535" s="7"/>
      <c r="E535" s="11">
        <v>533</v>
      </c>
      <c r="F535" s="8"/>
      <c r="G535" s="8"/>
      <c r="H535" s="9"/>
      <c r="I535" s="10"/>
      <c r="J535" s="9"/>
      <c r="K535" s="10"/>
      <c r="L535" s="8"/>
      <c r="M535" s="8"/>
      <c r="N535" s="10"/>
      <c r="O535" s="10"/>
    </row>
    <row r="536" spans="1:15" ht="33.75" customHeight="1" x14ac:dyDescent="0.25">
      <c r="A536" s="7"/>
      <c r="B536" s="7"/>
      <c r="C536" s="7"/>
      <c r="D536" s="7"/>
      <c r="E536" s="11">
        <v>534</v>
      </c>
      <c r="F536" s="8"/>
      <c r="G536" s="8"/>
      <c r="H536" s="9"/>
      <c r="I536" s="10"/>
      <c r="J536" s="9"/>
      <c r="K536" s="10"/>
      <c r="L536" s="8"/>
      <c r="M536" s="8"/>
      <c r="N536" s="10"/>
      <c r="O536" s="10"/>
    </row>
    <row r="537" spans="1:15" ht="33.75" customHeight="1" x14ac:dyDescent="0.25">
      <c r="A537" s="7"/>
      <c r="B537" s="7"/>
      <c r="C537" s="7"/>
      <c r="D537" s="7"/>
      <c r="E537" s="11">
        <v>535</v>
      </c>
      <c r="F537" s="8"/>
      <c r="G537" s="8"/>
      <c r="H537" s="9"/>
      <c r="I537" s="10"/>
      <c r="J537" s="9"/>
      <c r="K537" s="10"/>
      <c r="L537" s="8"/>
      <c r="M537" s="8"/>
      <c r="N537" s="10"/>
      <c r="O537" s="10"/>
    </row>
    <row r="538" spans="1:15" ht="33.75" customHeight="1" x14ac:dyDescent="0.25">
      <c r="A538" s="7"/>
      <c r="B538" s="7"/>
      <c r="C538" s="7"/>
      <c r="D538" s="7"/>
      <c r="E538" s="11">
        <v>536</v>
      </c>
      <c r="F538" s="8"/>
      <c r="G538" s="8"/>
      <c r="H538" s="9"/>
      <c r="I538" s="10"/>
      <c r="J538" s="9"/>
      <c r="K538" s="10"/>
      <c r="L538" s="8"/>
      <c r="M538" s="8"/>
      <c r="N538" s="10"/>
      <c r="O538" s="10"/>
    </row>
    <row r="539" spans="1:15" ht="33.75" customHeight="1" x14ac:dyDescent="0.25">
      <c r="A539" s="7"/>
      <c r="B539" s="7"/>
      <c r="C539" s="7"/>
      <c r="D539" s="7"/>
      <c r="E539" s="11">
        <v>537</v>
      </c>
      <c r="F539" s="8"/>
      <c r="G539" s="8"/>
      <c r="H539" s="9"/>
      <c r="I539" s="10"/>
      <c r="J539" s="9"/>
      <c r="K539" s="10"/>
      <c r="L539" s="8"/>
      <c r="M539" s="8"/>
      <c r="N539" s="10"/>
      <c r="O539" s="10"/>
    </row>
    <row r="540" spans="1:15" ht="33.75" customHeight="1" x14ac:dyDescent="0.25">
      <c r="A540" s="7"/>
      <c r="B540" s="7"/>
      <c r="C540" s="7"/>
      <c r="D540" s="7"/>
      <c r="E540" s="11">
        <v>538</v>
      </c>
      <c r="F540" s="8"/>
      <c r="G540" s="8"/>
      <c r="H540" s="9"/>
      <c r="I540" s="10"/>
      <c r="J540" s="9"/>
      <c r="K540" s="10"/>
      <c r="L540" s="8"/>
      <c r="M540" s="8"/>
      <c r="N540" s="10"/>
      <c r="O540" s="10"/>
    </row>
    <row r="541" spans="1:15" ht="33.75" customHeight="1" x14ac:dyDescent="0.25">
      <c r="A541" s="7"/>
      <c r="B541" s="7"/>
      <c r="C541" s="7"/>
      <c r="D541" s="7"/>
      <c r="E541" s="11">
        <v>539</v>
      </c>
      <c r="F541" s="8"/>
      <c r="G541" s="8"/>
      <c r="H541" s="9"/>
      <c r="I541" s="10"/>
      <c r="J541" s="9"/>
      <c r="K541" s="10"/>
      <c r="L541" s="8"/>
      <c r="M541" s="8"/>
      <c r="N541" s="10"/>
      <c r="O541" s="10"/>
    </row>
    <row r="542" spans="1:15" ht="33.75" customHeight="1" x14ac:dyDescent="0.25">
      <c r="A542" s="7"/>
      <c r="B542" s="7"/>
      <c r="C542" s="7"/>
      <c r="D542" s="7"/>
      <c r="E542" s="11">
        <v>540</v>
      </c>
      <c r="F542" s="8"/>
      <c r="G542" s="8"/>
      <c r="H542" s="9"/>
      <c r="I542" s="10"/>
      <c r="J542" s="9"/>
      <c r="K542" s="10"/>
      <c r="L542" s="8"/>
      <c r="M542" s="8"/>
      <c r="N542" s="10"/>
      <c r="O542" s="10"/>
    </row>
    <row r="543" spans="1:15" ht="33.75" customHeight="1" x14ac:dyDescent="0.25">
      <c r="A543" s="7"/>
      <c r="B543" s="7"/>
      <c r="C543" s="7"/>
      <c r="D543" s="7"/>
      <c r="E543" s="11">
        <v>541</v>
      </c>
      <c r="F543" s="8"/>
      <c r="G543" s="8"/>
      <c r="H543" s="9"/>
      <c r="I543" s="10"/>
      <c r="J543" s="9"/>
      <c r="K543" s="10"/>
      <c r="L543" s="8"/>
      <c r="M543" s="8"/>
      <c r="N543" s="10"/>
      <c r="O543" s="10"/>
    </row>
    <row r="544" spans="1:15" ht="33.75" customHeight="1" x14ac:dyDescent="0.25">
      <c r="A544" s="7"/>
      <c r="B544" s="7"/>
      <c r="C544" s="7"/>
      <c r="D544" s="7"/>
      <c r="E544" s="11">
        <v>542</v>
      </c>
      <c r="F544" s="8"/>
      <c r="G544" s="8"/>
      <c r="H544" s="9"/>
      <c r="I544" s="10"/>
      <c r="J544" s="9"/>
      <c r="K544" s="10"/>
      <c r="L544" s="8"/>
      <c r="M544" s="8"/>
      <c r="N544" s="10"/>
      <c r="O544" s="10"/>
    </row>
    <row r="545" spans="1:15" ht="33.75" customHeight="1" x14ac:dyDescent="0.25">
      <c r="A545" s="7"/>
      <c r="B545" s="7"/>
      <c r="C545" s="7"/>
      <c r="D545" s="7"/>
      <c r="E545" s="11">
        <v>543</v>
      </c>
      <c r="F545" s="8"/>
      <c r="G545" s="8"/>
      <c r="H545" s="9"/>
      <c r="I545" s="10"/>
      <c r="J545" s="9"/>
      <c r="K545" s="10"/>
      <c r="L545" s="8"/>
      <c r="M545" s="8"/>
      <c r="N545" s="10"/>
      <c r="O545" s="10"/>
    </row>
    <row r="546" spans="1:15" ht="33.75" customHeight="1" x14ac:dyDescent="0.25">
      <c r="A546" s="7"/>
      <c r="B546" s="7"/>
      <c r="C546" s="7"/>
      <c r="D546" s="7"/>
      <c r="E546" s="11">
        <v>544</v>
      </c>
      <c r="F546" s="8"/>
      <c r="G546" s="8"/>
      <c r="H546" s="9"/>
      <c r="I546" s="10"/>
      <c r="J546" s="9"/>
      <c r="K546" s="10"/>
      <c r="L546" s="8"/>
      <c r="M546" s="8"/>
      <c r="N546" s="10"/>
      <c r="O546" s="10"/>
    </row>
    <row r="547" spans="1:15" ht="33.75" customHeight="1" x14ac:dyDescent="0.25">
      <c r="A547" s="7"/>
      <c r="B547" s="7"/>
      <c r="C547" s="7"/>
      <c r="D547" s="7"/>
      <c r="E547" s="11">
        <v>545</v>
      </c>
      <c r="F547" s="8"/>
      <c r="G547" s="8"/>
      <c r="H547" s="9"/>
      <c r="I547" s="10"/>
      <c r="J547" s="9"/>
      <c r="K547" s="10"/>
      <c r="L547" s="8"/>
      <c r="M547" s="8"/>
      <c r="N547" s="10"/>
      <c r="O547" s="10"/>
    </row>
    <row r="548" spans="1:15" ht="33.75" customHeight="1" x14ac:dyDescent="0.25">
      <c r="A548" s="7"/>
      <c r="B548" s="7"/>
      <c r="C548" s="7"/>
      <c r="D548" s="7"/>
      <c r="E548" s="11">
        <v>546</v>
      </c>
      <c r="F548" s="8"/>
      <c r="G548" s="8"/>
      <c r="H548" s="9"/>
      <c r="I548" s="10"/>
      <c r="J548" s="9"/>
      <c r="K548" s="10"/>
      <c r="L548" s="8"/>
      <c r="M548" s="8"/>
      <c r="N548" s="10"/>
      <c r="O548" s="10"/>
    </row>
    <row r="549" spans="1:15" ht="33.75" customHeight="1" x14ac:dyDescent="0.25">
      <c r="A549" s="7"/>
      <c r="B549" s="7"/>
      <c r="C549" s="7"/>
      <c r="D549" s="7"/>
      <c r="E549" s="11">
        <v>547</v>
      </c>
      <c r="F549" s="8"/>
      <c r="G549" s="8"/>
      <c r="H549" s="9"/>
      <c r="I549" s="10"/>
      <c r="J549" s="9"/>
      <c r="K549" s="10"/>
      <c r="L549" s="8"/>
      <c r="M549" s="8"/>
      <c r="N549" s="10"/>
      <c r="O549" s="10"/>
    </row>
    <row r="550" spans="1:15" ht="33.75" customHeight="1" x14ac:dyDescent="0.25">
      <c r="A550" s="7"/>
      <c r="B550" s="7"/>
      <c r="C550" s="7"/>
      <c r="D550" s="7"/>
      <c r="E550" s="11">
        <v>548</v>
      </c>
      <c r="F550" s="8"/>
      <c r="G550" s="8"/>
      <c r="H550" s="9"/>
      <c r="I550" s="10"/>
      <c r="J550" s="9"/>
      <c r="K550" s="10"/>
      <c r="L550" s="8"/>
      <c r="M550" s="8"/>
      <c r="N550" s="10"/>
      <c r="O550" s="10"/>
    </row>
    <row r="551" spans="1:15" ht="33.75" customHeight="1" x14ac:dyDescent="0.25">
      <c r="A551" s="7"/>
      <c r="B551" s="7"/>
      <c r="C551" s="7"/>
      <c r="D551" s="7"/>
      <c r="E551" s="11">
        <v>549</v>
      </c>
      <c r="F551" s="8"/>
      <c r="G551" s="8"/>
      <c r="H551" s="9"/>
      <c r="I551" s="10"/>
      <c r="J551" s="9"/>
      <c r="K551" s="10"/>
      <c r="L551" s="8"/>
      <c r="M551" s="8"/>
      <c r="N551" s="10"/>
      <c r="O551" s="10"/>
    </row>
    <row r="552" spans="1:15" ht="33.75" customHeight="1" x14ac:dyDescent="0.25">
      <c r="A552" s="7"/>
      <c r="B552" s="7"/>
      <c r="C552" s="7"/>
      <c r="D552" s="7"/>
      <c r="E552" s="11">
        <v>550</v>
      </c>
      <c r="F552" s="8"/>
      <c r="G552" s="8"/>
      <c r="H552" s="9"/>
      <c r="I552" s="10"/>
      <c r="J552" s="9"/>
      <c r="K552" s="10"/>
      <c r="L552" s="8"/>
      <c r="M552" s="8"/>
      <c r="N552" s="10"/>
      <c r="O552" s="10"/>
    </row>
    <row r="553" spans="1:15" ht="33.75" customHeight="1" x14ac:dyDescent="0.25">
      <c r="A553" s="7"/>
      <c r="B553" s="7"/>
      <c r="C553" s="7"/>
      <c r="D553" s="7"/>
      <c r="E553" s="11">
        <v>551</v>
      </c>
      <c r="F553" s="8"/>
      <c r="G553" s="8"/>
      <c r="H553" s="9"/>
      <c r="I553" s="10"/>
      <c r="J553" s="9"/>
      <c r="K553" s="10"/>
      <c r="L553" s="8"/>
      <c r="M553" s="8"/>
      <c r="N553" s="10"/>
      <c r="O553" s="10"/>
    </row>
    <row r="554" spans="1:15" ht="33.75" customHeight="1" x14ac:dyDescent="0.25">
      <c r="A554" s="7"/>
      <c r="B554" s="7"/>
      <c r="C554" s="7"/>
      <c r="D554" s="7"/>
      <c r="E554" s="11">
        <v>552</v>
      </c>
      <c r="F554" s="8"/>
      <c r="G554" s="8"/>
      <c r="H554" s="9"/>
      <c r="I554" s="10"/>
      <c r="J554" s="9"/>
      <c r="K554" s="10"/>
      <c r="L554" s="8"/>
      <c r="M554" s="8"/>
      <c r="N554" s="10"/>
      <c r="O554" s="10"/>
    </row>
    <row r="555" spans="1:15" ht="33.75" customHeight="1" x14ac:dyDescent="0.25">
      <c r="A555" s="7"/>
      <c r="B555" s="7"/>
      <c r="C555" s="7"/>
      <c r="D555" s="7"/>
      <c r="E555" s="11">
        <v>553</v>
      </c>
      <c r="F555" s="8"/>
      <c r="G555" s="8"/>
      <c r="H555" s="9"/>
      <c r="I555" s="10"/>
      <c r="J555" s="9"/>
      <c r="K555" s="10"/>
      <c r="L555" s="8"/>
      <c r="M555" s="8"/>
      <c r="N555" s="10"/>
      <c r="O555" s="10"/>
    </row>
    <row r="556" spans="1:15" ht="33.75" customHeight="1" x14ac:dyDescent="0.25">
      <c r="A556" s="7"/>
      <c r="B556" s="7"/>
      <c r="C556" s="7"/>
      <c r="D556" s="7"/>
      <c r="E556" s="11">
        <v>554</v>
      </c>
      <c r="F556" s="8"/>
      <c r="G556" s="8"/>
      <c r="H556" s="9"/>
      <c r="I556" s="10"/>
      <c r="J556" s="9"/>
      <c r="K556" s="10"/>
      <c r="L556" s="8"/>
      <c r="M556" s="8"/>
      <c r="N556" s="10"/>
      <c r="O556" s="10"/>
    </row>
    <row r="557" spans="1:15" ht="33.75" customHeight="1" x14ac:dyDescent="0.25">
      <c r="A557" s="7"/>
      <c r="B557" s="7"/>
      <c r="C557" s="7"/>
      <c r="D557" s="7"/>
      <c r="E557" s="11">
        <v>555</v>
      </c>
      <c r="F557" s="8"/>
      <c r="G557" s="8"/>
      <c r="H557" s="9"/>
      <c r="I557" s="10"/>
      <c r="J557" s="9"/>
      <c r="K557" s="10"/>
      <c r="L557" s="8"/>
      <c r="M557" s="8"/>
      <c r="N557" s="10"/>
      <c r="O557" s="10"/>
    </row>
    <row r="558" spans="1:15" ht="33.75" customHeight="1" x14ac:dyDescent="0.25">
      <c r="A558" s="7"/>
      <c r="B558" s="7"/>
      <c r="C558" s="7"/>
      <c r="D558" s="7"/>
      <c r="E558" s="11">
        <v>556</v>
      </c>
      <c r="F558" s="8"/>
      <c r="G558" s="8"/>
      <c r="H558" s="9"/>
      <c r="I558" s="10"/>
      <c r="J558" s="9"/>
      <c r="K558" s="10"/>
      <c r="L558" s="8"/>
      <c r="M558" s="8"/>
      <c r="N558" s="10"/>
      <c r="O558" s="10"/>
    </row>
    <row r="559" spans="1:15" ht="33.75" customHeight="1" x14ac:dyDescent="0.25">
      <c r="A559" s="7"/>
      <c r="B559" s="7"/>
      <c r="C559" s="7"/>
      <c r="D559" s="7"/>
      <c r="E559" s="11">
        <v>557</v>
      </c>
      <c r="F559" s="8"/>
      <c r="G559" s="8"/>
      <c r="H559" s="9"/>
      <c r="I559" s="10"/>
      <c r="J559" s="9"/>
      <c r="K559" s="10"/>
      <c r="L559" s="8"/>
      <c r="M559" s="8"/>
      <c r="N559" s="10"/>
      <c r="O559" s="10"/>
    </row>
    <row r="560" spans="1:15" ht="33.75" customHeight="1" x14ac:dyDescent="0.25">
      <c r="A560" s="7"/>
      <c r="B560" s="7"/>
      <c r="C560" s="7"/>
      <c r="D560" s="7"/>
      <c r="E560" s="11">
        <v>558</v>
      </c>
      <c r="F560" s="8"/>
      <c r="G560" s="8"/>
      <c r="H560" s="9"/>
      <c r="I560" s="10"/>
      <c r="J560" s="9"/>
      <c r="K560" s="10"/>
      <c r="L560" s="8"/>
      <c r="M560" s="8"/>
      <c r="N560" s="10"/>
      <c r="O560" s="10"/>
    </row>
    <row r="561" spans="1:15" ht="33.75" customHeight="1" x14ac:dyDescent="0.25">
      <c r="A561" s="7"/>
      <c r="B561" s="7"/>
      <c r="C561" s="7"/>
      <c r="D561" s="7"/>
      <c r="E561" s="11">
        <v>559</v>
      </c>
      <c r="F561" s="8"/>
      <c r="G561" s="8"/>
      <c r="H561" s="9"/>
      <c r="I561" s="10"/>
      <c r="J561" s="9"/>
      <c r="K561" s="10"/>
      <c r="L561" s="8"/>
      <c r="M561" s="8"/>
      <c r="N561" s="10"/>
      <c r="O561" s="10"/>
    </row>
    <row r="562" spans="1:15" ht="33.75" customHeight="1" x14ac:dyDescent="0.25">
      <c r="A562" s="7"/>
      <c r="B562" s="7"/>
      <c r="C562" s="7"/>
      <c r="D562" s="7"/>
      <c r="E562" s="11">
        <v>560</v>
      </c>
      <c r="F562" s="8"/>
      <c r="G562" s="8"/>
      <c r="H562" s="9"/>
      <c r="I562" s="10"/>
      <c r="J562" s="9"/>
      <c r="K562" s="10"/>
      <c r="L562" s="8"/>
      <c r="M562" s="8"/>
      <c r="N562" s="10"/>
      <c r="O562" s="10"/>
    </row>
    <row r="563" spans="1:15" ht="33.75" customHeight="1" x14ac:dyDescent="0.25">
      <c r="A563" s="7"/>
      <c r="B563" s="7"/>
      <c r="C563" s="7"/>
      <c r="D563" s="7"/>
      <c r="E563" s="11">
        <v>561</v>
      </c>
      <c r="F563" s="8"/>
      <c r="G563" s="8"/>
      <c r="H563" s="9"/>
      <c r="I563" s="10"/>
      <c r="J563" s="9"/>
      <c r="K563" s="10"/>
      <c r="L563" s="8"/>
      <c r="M563" s="8"/>
      <c r="N563" s="10"/>
      <c r="O563" s="10"/>
    </row>
    <row r="564" spans="1:15" ht="33.75" customHeight="1" x14ac:dyDescent="0.25">
      <c r="A564" s="7"/>
      <c r="B564" s="7"/>
      <c r="C564" s="7"/>
      <c r="D564" s="7"/>
      <c r="E564" s="11">
        <v>562</v>
      </c>
      <c r="F564" s="8"/>
      <c r="G564" s="8"/>
      <c r="H564" s="9"/>
      <c r="I564" s="10"/>
      <c r="J564" s="9"/>
      <c r="K564" s="10"/>
      <c r="L564" s="8"/>
      <c r="M564" s="8"/>
      <c r="N564" s="10"/>
      <c r="O564" s="10"/>
    </row>
    <row r="565" spans="1:15" ht="33.75" customHeight="1" x14ac:dyDescent="0.25">
      <c r="A565" s="7"/>
      <c r="B565" s="7"/>
      <c r="C565" s="7"/>
      <c r="D565" s="7"/>
      <c r="E565" s="11">
        <v>563</v>
      </c>
      <c r="F565" s="8"/>
      <c r="G565" s="8"/>
      <c r="H565" s="9"/>
      <c r="I565" s="10"/>
      <c r="J565" s="9"/>
      <c r="K565" s="10"/>
      <c r="L565" s="8"/>
      <c r="M565" s="8"/>
      <c r="N565" s="10"/>
      <c r="O565" s="10"/>
    </row>
    <row r="566" spans="1:15" ht="33.75" customHeight="1" x14ac:dyDescent="0.25">
      <c r="A566" s="7"/>
      <c r="B566" s="7"/>
      <c r="C566" s="7"/>
      <c r="D566" s="7"/>
      <c r="E566" s="11">
        <v>564</v>
      </c>
      <c r="F566" s="8"/>
      <c r="G566" s="8"/>
      <c r="H566" s="9"/>
      <c r="I566" s="10"/>
      <c r="J566" s="9"/>
      <c r="K566" s="10"/>
      <c r="L566" s="8"/>
      <c r="M566" s="8"/>
      <c r="N566" s="10"/>
      <c r="O566" s="10"/>
    </row>
    <row r="567" spans="1:15" ht="33.75" customHeight="1" x14ac:dyDescent="0.25">
      <c r="A567" s="7"/>
      <c r="B567" s="7"/>
      <c r="C567" s="7"/>
      <c r="D567" s="7"/>
      <c r="E567" s="11">
        <v>565</v>
      </c>
      <c r="F567" s="8"/>
      <c r="G567" s="8"/>
      <c r="H567" s="9"/>
      <c r="I567" s="10"/>
      <c r="J567" s="9"/>
      <c r="K567" s="10"/>
      <c r="L567" s="8"/>
      <c r="M567" s="8"/>
      <c r="N567" s="10"/>
      <c r="O567" s="10"/>
    </row>
    <row r="568" spans="1:15" ht="33.75" customHeight="1" x14ac:dyDescent="0.25">
      <c r="A568" s="7"/>
      <c r="B568" s="7"/>
      <c r="C568" s="7"/>
      <c r="D568" s="7"/>
      <c r="E568" s="11">
        <v>566</v>
      </c>
      <c r="F568" s="8"/>
      <c r="G568" s="8"/>
      <c r="H568" s="9"/>
      <c r="I568" s="10"/>
      <c r="J568" s="9"/>
      <c r="K568" s="10"/>
      <c r="L568" s="8"/>
      <c r="M568" s="8"/>
      <c r="N568" s="10"/>
      <c r="O568" s="10"/>
    </row>
    <row r="569" spans="1:15" ht="33.75" customHeight="1" x14ac:dyDescent="0.25">
      <c r="A569" s="7"/>
      <c r="B569" s="7"/>
      <c r="C569" s="7"/>
      <c r="D569" s="7"/>
      <c r="E569" s="11">
        <v>567</v>
      </c>
      <c r="F569" s="8"/>
      <c r="G569" s="8"/>
      <c r="H569" s="9"/>
      <c r="I569" s="10"/>
      <c r="J569" s="9"/>
      <c r="K569" s="10"/>
      <c r="L569" s="8"/>
      <c r="M569" s="8"/>
      <c r="N569" s="10"/>
      <c r="O569" s="10"/>
    </row>
    <row r="570" spans="1:15" ht="33.75" customHeight="1" x14ac:dyDescent="0.25">
      <c r="A570" s="7"/>
      <c r="B570" s="7"/>
      <c r="C570" s="7"/>
      <c r="D570" s="7"/>
      <c r="E570" s="11">
        <v>568</v>
      </c>
      <c r="F570" s="8"/>
      <c r="G570" s="8"/>
      <c r="H570" s="9"/>
      <c r="I570" s="10"/>
      <c r="J570" s="9"/>
      <c r="K570" s="10"/>
      <c r="L570" s="8"/>
      <c r="M570" s="8"/>
      <c r="N570" s="10"/>
      <c r="O570" s="10"/>
    </row>
    <row r="571" spans="1:15" ht="33.75" customHeight="1" x14ac:dyDescent="0.25">
      <c r="A571" s="7"/>
      <c r="B571" s="7"/>
      <c r="C571" s="7"/>
      <c r="D571" s="7"/>
      <c r="E571" s="11">
        <v>569</v>
      </c>
      <c r="F571" s="8"/>
      <c r="G571" s="8"/>
      <c r="H571" s="9"/>
      <c r="I571" s="10"/>
      <c r="J571" s="9"/>
      <c r="K571" s="10"/>
      <c r="L571" s="8"/>
      <c r="M571" s="8"/>
      <c r="N571" s="10"/>
      <c r="O571" s="10"/>
    </row>
    <row r="572" spans="1:15" ht="33.75" customHeight="1" x14ac:dyDescent="0.25">
      <c r="A572" s="7"/>
      <c r="B572" s="7"/>
      <c r="C572" s="7"/>
      <c r="D572" s="7"/>
      <c r="E572" s="11">
        <v>570</v>
      </c>
      <c r="F572" s="8"/>
      <c r="G572" s="8"/>
      <c r="H572" s="9"/>
      <c r="I572" s="10"/>
      <c r="J572" s="9"/>
      <c r="K572" s="10"/>
      <c r="L572" s="8"/>
      <c r="M572" s="8"/>
      <c r="N572" s="10"/>
      <c r="O572" s="10"/>
    </row>
    <row r="573" spans="1:15" ht="33.75" customHeight="1" x14ac:dyDescent="0.25">
      <c r="A573" s="7"/>
      <c r="B573" s="7"/>
      <c r="C573" s="7"/>
      <c r="D573" s="7"/>
      <c r="E573" s="11">
        <v>571</v>
      </c>
      <c r="F573" s="8"/>
      <c r="G573" s="8"/>
      <c r="H573" s="9"/>
      <c r="I573" s="10"/>
      <c r="J573" s="9"/>
      <c r="K573" s="10"/>
      <c r="L573" s="8"/>
      <c r="M573" s="8"/>
      <c r="N573" s="10"/>
      <c r="O573" s="10"/>
    </row>
    <row r="574" spans="1:15" ht="33.75" customHeight="1" x14ac:dyDescent="0.25">
      <c r="A574" s="7"/>
      <c r="B574" s="7"/>
      <c r="C574" s="7"/>
      <c r="D574" s="7"/>
      <c r="E574" s="11">
        <v>572</v>
      </c>
      <c r="F574" s="8"/>
      <c r="G574" s="8"/>
      <c r="H574" s="9"/>
      <c r="I574" s="10"/>
      <c r="J574" s="9"/>
      <c r="K574" s="10"/>
      <c r="L574" s="8"/>
      <c r="M574" s="8"/>
      <c r="N574" s="10"/>
      <c r="O574" s="10"/>
    </row>
    <row r="575" spans="1:15" ht="33.75" customHeight="1" x14ac:dyDescent="0.25">
      <c r="A575" s="7"/>
      <c r="B575" s="7"/>
      <c r="C575" s="7"/>
      <c r="D575" s="7"/>
      <c r="E575" s="11">
        <v>573</v>
      </c>
      <c r="F575" s="8"/>
      <c r="G575" s="8"/>
      <c r="H575" s="9"/>
      <c r="I575" s="10"/>
      <c r="J575" s="9"/>
      <c r="K575" s="10"/>
      <c r="L575" s="8"/>
      <c r="M575" s="8"/>
      <c r="N575" s="10"/>
      <c r="O575" s="10"/>
    </row>
    <row r="576" spans="1:15" ht="33.75" customHeight="1" x14ac:dyDescent="0.25">
      <c r="A576" s="7"/>
      <c r="B576" s="7"/>
      <c r="C576" s="7"/>
      <c r="D576" s="7"/>
      <c r="E576" s="11">
        <v>574</v>
      </c>
      <c r="F576" s="8"/>
      <c r="G576" s="8"/>
      <c r="H576" s="9"/>
      <c r="I576" s="10"/>
      <c r="J576" s="9"/>
      <c r="K576" s="10"/>
      <c r="L576" s="8"/>
      <c r="M576" s="8"/>
      <c r="N576" s="10"/>
      <c r="O576" s="10"/>
    </row>
    <row r="577" spans="1:15" ht="33.75" customHeight="1" x14ac:dyDescent="0.25">
      <c r="A577" s="7"/>
      <c r="B577" s="7"/>
      <c r="C577" s="7"/>
      <c r="D577" s="7"/>
      <c r="E577" s="11">
        <v>575</v>
      </c>
      <c r="F577" s="8"/>
      <c r="G577" s="8"/>
      <c r="H577" s="9"/>
      <c r="I577" s="10"/>
      <c r="J577" s="9"/>
      <c r="K577" s="10"/>
      <c r="L577" s="8"/>
      <c r="M577" s="8"/>
      <c r="N577" s="10"/>
      <c r="O577" s="10"/>
    </row>
    <row r="578" spans="1:15" ht="33.75" customHeight="1" x14ac:dyDescent="0.25">
      <c r="A578" s="7"/>
      <c r="B578" s="7"/>
      <c r="C578" s="7"/>
      <c r="D578" s="7"/>
      <c r="E578" s="11">
        <v>576</v>
      </c>
      <c r="F578" s="8"/>
      <c r="G578" s="8"/>
      <c r="H578" s="9"/>
      <c r="I578" s="10"/>
      <c r="J578" s="9"/>
      <c r="K578" s="10"/>
      <c r="L578" s="8"/>
      <c r="M578" s="8"/>
      <c r="N578" s="10"/>
      <c r="O578" s="10"/>
    </row>
    <row r="579" spans="1:15" ht="33.75" customHeight="1" x14ac:dyDescent="0.25">
      <c r="A579" s="7"/>
      <c r="B579" s="7"/>
      <c r="C579" s="7"/>
      <c r="D579" s="7"/>
      <c r="E579" s="11">
        <v>577</v>
      </c>
      <c r="F579" s="8"/>
      <c r="G579" s="8"/>
      <c r="H579" s="9"/>
      <c r="I579" s="10"/>
      <c r="J579" s="9"/>
      <c r="K579" s="10"/>
      <c r="L579" s="8"/>
      <c r="M579" s="8"/>
      <c r="N579" s="10"/>
      <c r="O579" s="10"/>
    </row>
    <row r="580" spans="1:15" ht="33.75" customHeight="1" x14ac:dyDescent="0.25">
      <c r="A580" s="7"/>
      <c r="B580" s="7"/>
      <c r="C580" s="7"/>
      <c r="D580" s="7"/>
      <c r="E580" s="11">
        <v>578</v>
      </c>
      <c r="F580" s="8"/>
      <c r="G580" s="8"/>
      <c r="H580" s="9"/>
      <c r="I580" s="10"/>
      <c r="J580" s="9"/>
      <c r="K580" s="10"/>
      <c r="L580" s="8"/>
      <c r="M580" s="8"/>
      <c r="N580" s="10"/>
      <c r="O580" s="10"/>
    </row>
    <row r="581" spans="1:15" ht="33.75" customHeight="1" x14ac:dyDescent="0.25">
      <c r="A581" s="7"/>
      <c r="B581" s="7"/>
      <c r="C581" s="7"/>
      <c r="D581" s="7"/>
      <c r="E581" s="11">
        <v>579</v>
      </c>
      <c r="F581" s="8"/>
      <c r="G581" s="8"/>
      <c r="H581" s="9"/>
      <c r="I581" s="10"/>
      <c r="J581" s="9"/>
      <c r="K581" s="10"/>
      <c r="L581" s="8"/>
      <c r="M581" s="8"/>
      <c r="N581" s="10"/>
      <c r="O581" s="10"/>
    </row>
    <row r="582" spans="1:15" ht="33.75" customHeight="1" x14ac:dyDescent="0.25">
      <c r="A582" s="7"/>
      <c r="B582" s="7"/>
      <c r="C582" s="7"/>
      <c r="D582" s="7"/>
      <c r="E582" s="11">
        <v>580</v>
      </c>
      <c r="F582" s="8"/>
      <c r="G582" s="8"/>
      <c r="H582" s="9"/>
      <c r="I582" s="10"/>
      <c r="J582" s="9"/>
      <c r="K582" s="10"/>
      <c r="L582" s="8"/>
      <c r="M582" s="8"/>
      <c r="N582" s="10"/>
      <c r="O582" s="10"/>
    </row>
    <row r="583" spans="1:15" ht="33.75" customHeight="1" x14ac:dyDescent="0.25">
      <c r="A583" s="7"/>
      <c r="B583" s="7"/>
      <c r="C583" s="7"/>
      <c r="D583" s="7"/>
      <c r="E583" s="11">
        <v>581</v>
      </c>
      <c r="F583" s="8"/>
      <c r="G583" s="8"/>
      <c r="H583" s="9"/>
      <c r="I583" s="10"/>
      <c r="J583" s="9"/>
      <c r="K583" s="10"/>
      <c r="L583" s="8"/>
      <c r="M583" s="8"/>
      <c r="N583" s="10"/>
      <c r="O583" s="10"/>
    </row>
    <row r="584" spans="1:15" ht="33.75" customHeight="1" x14ac:dyDescent="0.25">
      <c r="A584" s="7"/>
      <c r="B584" s="7"/>
      <c r="C584" s="7"/>
      <c r="D584" s="7"/>
      <c r="E584" s="11">
        <v>582</v>
      </c>
      <c r="F584" s="8"/>
      <c r="G584" s="8"/>
      <c r="H584" s="9"/>
      <c r="I584" s="10"/>
      <c r="J584" s="9"/>
      <c r="K584" s="10"/>
      <c r="L584" s="8"/>
      <c r="M584" s="8"/>
      <c r="N584" s="10"/>
      <c r="O584" s="10"/>
    </row>
    <row r="585" spans="1:15" ht="33.75" customHeight="1" x14ac:dyDescent="0.25">
      <c r="A585" s="7"/>
      <c r="B585" s="7"/>
      <c r="C585" s="7"/>
      <c r="D585" s="7"/>
      <c r="E585" s="11">
        <v>583</v>
      </c>
      <c r="F585" s="8"/>
      <c r="G585" s="8"/>
      <c r="H585" s="9"/>
      <c r="I585" s="10"/>
      <c r="J585" s="9"/>
      <c r="K585" s="10"/>
      <c r="L585" s="8"/>
      <c r="M585" s="8"/>
      <c r="N585" s="10"/>
      <c r="O585" s="10"/>
    </row>
    <row r="586" spans="1:15" ht="33.75" customHeight="1" x14ac:dyDescent="0.25">
      <c r="A586" s="7"/>
      <c r="B586" s="7"/>
      <c r="C586" s="7"/>
      <c r="D586" s="7"/>
      <c r="E586" s="11">
        <v>584</v>
      </c>
      <c r="F586" s="8"/>
      <c r="G586" s="8"/>
      <c r="H586" s="9"/>
      <c r="I586" s="10"/>
      <c r="J586" s="9"/>
      <c r="K586" s="10"/>
      <c r="L586" s="8"/>
      <c r="M586" s="8"/>
      <c r="N586" s="10"/>
      <c r="O586" s="10"/>
    </row>
    <row r="587" spans="1:15" ht="33.75" customHeight="1" x14ac:dyDescent="0.25">
      <c r="A587" s="7"/>
      <c r="B587" s="7"/>
      <c r="C587" s="7"/>
      <c r="D587" s="7"/>
      <c r="E587" s="11">
        <v>585</v>
      </c>
      <c r="F587" s="8"/>
      <c r="G587" s="8"/>
      <c r="H587" s="9"/>
      <c r="I587" s="10"/>
      <c r="J587" s="9"/>
      <c r="K587" s="10"/>
      <c r="L587" s="8"/>
      <c r="M587" s="8"/>
      <c r="N587" s="10"/>
      <c r="O587" s="10"/>
    </row>
    <row r="588" spans="1:15" ht="33.75" customHeight="1" x14ac:dyDescent="0.25">
      <c r="A588" s="7"/>
      <c r="B588" s="7"/>
      <c r="C588" s="7"/>
      <c r="D588" s="7"/>
      <c r="E588" s="11">
        <v>586</v>
      </c>
      <c r="F588" s="8"/>
      <c r="G588" s="8"/>
      <c r="H588" s="9"/>
      <c r="I588" s="10"/>
      <c r="J588" s="9"/>
      <c r="K588" s="10"/>
      <c r="L588" s="8"/>
      <c r="M588" s="8"/>
      <c r="N588" s="10"/>
      <c r="O588" s="10"/>
    </row>
    <row r="589" spans="1:15" ht="33.75" customHeight="1" x14ac:dyDescent="0.25">
      <c r="A589" s="7"/>
      <c r="B589" s="7"/>
      <c r="C589" s="7"/>
      <c r="D589" s="7"/>
      <c r="E589" s="11">
        <v>587</v>
      </c>
      <c r="F589" s="8"/>
      <c r="G589" s="8"/>
      <c r="H589" s="9"/>
      <c r="I589" s="10"/>
      <c r="J589" s="9"/>
      <c r="K589" s="10"/>
      <c r="L589" s="8"/>
      <c r="M589" s="8"/>
      <c r="N589" s="10"/>
      <c r="O589" s="10"/>
    </row>
    <row r="590" spans="1:15" ht="33.75" customHeight="1" x14ac:dyDescent="0.25">
      <c r="A590" s="7"/>
      <c r="B590" s="7"/>
      <c r="C590" s="7"/>
      <c r="D590" s="7"/>
      <c r="E590" s="11">
        <v>588</v>
      </c>
      <c r="F590" s="8"/>
      <c r="G590" s="8"/>
      <c r="H590" s="9"/>
      <c r="I590" s="10"/>
      <c r="J590" s="9"/>
      <c r="K590" s="10"/>
      <c r="L590" s="8"/>
      <c r="M590" s="8"/>
      <c r="N590" s="10"/>
      <c r="O590" s="10"/>
    </row>
    <row r="591" spans="1:15" ht="33.75" customHeight="1" x14ac:dyDescent="0.25">
      <c r="A591" s="7"/>
      <c r="B591" s="7"/>
      <c r="C591" s="7"/>
      <c r="D591" s="7"/>
      <c r="E591" s="11">
        <v>589</v>
      </c>
      <c r="F591" s="8"/>
      <c r="G591" s="8"/>
      <c r="H591" s="9"/>
      <c r="I591" s="10"/>
      <c r="J591" s="9"/>
      <c r="K591" s="10"/>
      <c r="L591" s="8"/>
      <c r="M591" s="8"/>
      <c r="N591" s="10"/>
      <c r="O591" s="10"/>
    </row>
    <row r="592" spans="1:15" ht="33.75" customHeight="1" x14ac:dyDescent="0.25">
      <c r="A592" s="7"/>
      <c r="B592" s="7"/>
      <c r="C592" s="7"/>
      <c r="D592" s="7"/>
      <c r="E592" s="11">
        <v>590</v>
      </c>
      <c r="F592" s="8"/>
      <c r="G592" s="8"/>
      <c r="H592" s="9"/>
      <c r="I592" s="10"/>
      <c r="J592" s="9"/>
      <c r="K592" s="10"/>
      <c r="L592" s="8"/>
      <c r="M592" s="8"/>
      <c r="N592" s="10"/>
      <c r="O592" s="10"/>
    </row>
    <row r="593" spans="1:15" ht="33.75" customHeight="1" x14ac:dyDescent="0.25">
      <c r="A593" s="7"/>
      <c r="B593" s="7"/>
      <c r="C593" s="7"/>
      <c r="D593" s="7"/>
      <c r="E593" s="11">
        <v>591</v>
      </c>
      <c r="F593" s="8"/>
      <c r="G593" s="8"/>
      <c r="H593" s="9"/>
      <c r="I593" s="10"/>
      <c r="J593" s="9"/>
      <c r="K593" s="10"/>
      <c r="L593" s="8"/>
      <c r="M593" s="8"/>
      <c r="N593" s="10"/>
      <c r="O593" s="10"/>
    </row>
    <row r="594" spans="1:15" ht="33.75" customHeight="1" x14ac:dyDescent="0.25">
      <c r="A594" s="7"/>
      <c r="B594" s="7"/>
      <c r="C594" s="7"/>
      <c r="D594" s="7"/>
      <c r="E594" s="11">
        <v>592</v>
      </c>
      <c r="F594" s="8"/>
      <c r="G594" s="8"/>
      <c r="H594" s="9"/>
      <c r="I594" s="10"/>
      <c r="J594" s="9"/>
      <c r="K594" s="10"/>
      <c r="L594" s="8"/>
      <c r="M594" s="8"/>
      <c r="N594" s="10"/>
      <c r="O594" s="10"/>
    </row>
    <row r="595" spans="1:15" ht="33.75" customHeight="1" x14ac:dyDescent="0.25">
      <c r="A595" s="7"/>
      <c r="B595" s="7"/>
      <c r="C595" s="7"/>
      <c r="D595" s="7"/>
      <c r="E595" s="11">
        <v>593</v>
      </c>
      <c r="F595" s="8"/>
      <c r="G595" s="8"/>
      <c r="H595" s="9"/>
      <c r="I595" s="10"/>
      <c r="J595" s="9"/>
      <c r="K595" s="10"/>
      <c r="L595" s="8"/>
      <c r="M595" s="8"/>
      <c r="N595" s="10"/>
      <c r="O595" s="10"/>
    </row>
    <row r="596" spans="1:15" ht="33.75" customHeight="1" x14ac:dyDescent="0.25">
      <c r="A596" s="7"/>
      <c r="B596" s="7"/>
      <c r="C596" s="7"/>
      <c r="D596" s="7"/>
      <c r="E596" s="11">
        <v>594</v>
      </c>
      <c r="F596" s="8"/>
      <c r="G596" s="8"/>
      <c r="H596" s="9"/>
      <c r="I596" s="10"/>
      <c r="J596" s="9"/>
      <c r="K596" s="10"/>
      <c r="L596" s="8"/>
      <c r="M596" s="8"/>
      <c r="N596" s="10"/>
      <c r="O596" s="10"/>
    </row>
    <row r="597" spans="1:15" ht="33.75" customHeight="1" x14ac:dyDescent="0.25">
      <c r="A597" s="7"/>
      <c r="B597" s="7"/>
      <c r="C597" s="7"/>
      <c r="D597" s="7"/>
      <c r="E597" s="11">
        <v>595</v>
      </c>
      <c r="F597" s="8"/>
      <c r="G597" s="8"/>
      <c r="H597" s="9"/>
      <c r="I597" s="10"/>
      <c r="J597" s="9"/>
      <c r="K597" s="10"/>
      <c r="L597" s="8"/>
      <c r="M597" s="8"/>
      <c r="N597" s="10"/>
      <c r="O597" s="10"/>
    </row>
    <row r="598" spans="1:15" ht="33.75" customHeight="1" x14ac:dyDescent="0.25">
      <c r="A598" s="7"/>
      <c r="B598" s="7"/>
      <c r="C598" s="7"/>
      <c r="D598" s="7"/>
      <c r="E598" s="11">
        <v>596</v>
      </c>
      <c r="F598" s="8"/>
      <c r="G598" s="8"/>
      <c r="H598" s="9"/>
      <c r="I598" s="10"/>
      <c r="J598" s="9"/>
      <c r="K598" s="10"/>
      <c r="L598" s="8"/>
      <c r="M598" s="8"/>
      <c r="N598" s="10"/>
      <c r="O598" s="10"/>
    </row>
    <row r="599" spans="1:15" ht="33.75" customHeight="1" x14ac:dyDescent="0.25">
      <c r="A599" s="7"/>
      <c r="B599" s="7"/>
      <c r="C599" s="7"/>
      <c r="D599" s="7"/>
      <c r="E599" s="11">
        <v>597</v>
      </c>
      <c r="F599" s="8"/>
      <c r="G599" s="8"/>
      <c r="H599" s="9"/>
      <c r="I599" s="10"/>
      <c r="J599" s="9"/>
      <c r="K599" s="10"/>
      <c r="L599" s="8"/>
      <c r="M599" s="8"/>
      <c r="N599" s="10"/>
      <c r="O599" s="10"/>
    </row>
    <row r="600" spans="1:15" ht="33.75" customHeight="1" x14ac:dyDescent="0.25">
      <c r="A600" s="7"/>
      <c r="B600" s="7"/>
      <c r="C600" s="7"/>
      <c r="D600" s="7"/>
      <c r="E600" s="11">
        <v>598</v>
      </c>
      <c r="F600" s="8"/>
      <c r="G600" s="8"/>
      <c r="H600" s="9"/>
      <c r="I600" s="10"/>
      <c r="J600" s="9"/>
      <c r="K600" s="10"/>
      <c r="L600" s="8"/>
      <c r="M600" s="8"/>
      <c r="N600" s="10"/>
      <c r="O600" s="10"/>
    </row>
    <row r="601" spans="1:15" ht="33.75" customHeight="1" x14ac:dyDescent="0.25">
      <c r="A601" s="7"/>
      <c r="B601" s="7"/>
      <c r="C601" s="7"/>
      <c r="D601" s="7"/>
      <c r="E601" s="11">
        <v>599</v>
      </c>
      <c r="F601" s="8"/>
      <c r="G601" s="8"/>
      <c r="H601" s="9"/>
      <c r="I601" s="10"/>
      <c r="J601" s="9"/>
      <c r="K601" s="10"/>
      <c r="L601" s="8"/>
      <c r="M601" s="8"/>
      <c r="N601" s="10"/>
      <c r="O601" s="10"/>
    </row>
    <row r="602" spans="1:15" ht="33.75" customHeight="1" x14ac:dyDescent="0.25">
      <c r="A602" s="7"/>
      <c r="B602" s="7"/>
      <c r="C602" s="7"/>
      <c r="D602" s="7"/>
      <c r="E602" s="11">
        <v>600</v>
      </c>
      <c r="F602" s="8"/>
      <c r="G602" s="8"/>
      <c r="H602" s="9"/>
      <c r="I602" s="10"/>
      <c r="J602" s="9"/>
      <c r="K602" s="10"/>
      <c r="L602" s="8"/>
      <c r="M602" s="8"/>
      <c r="N602" s="10"/>
      <c r="O602" s="10"/>
    </row>
    <row r="603" spans="1:15" ht="33.75" customHeight="1" x14ac:dyDescent="0.25">
      <c r="A603" s="7"/>
      <c r="B603" s="7"/>
      <c r="C603" s="7"/>
      <c r="D603" s="7"/>
      <c r="E603" s="11">
        <v>601</v>
      </c>
      <c r="F603" s="8"/>
      <c r="G603" s="8"/>
      <c r="H603" s="9"/>
      <c r="I603" s="10"/>
      <c r="J603" s="9"/>
      <c r="K603" s="10"/>
      <c r="L603" s="8"/>
      <c r="M603" s="8"/>
      <c r="N603" s="10"/>
      <c r="O603" s="10"/>
    </row>
    <row r="604" spans="1:15" ht="33.75" customHeight="1" x14ac:dyDescent="0.25">
      <c r="A604" s="7"/>
      <c r="B604" s="7"/>
      <c r="C604" s="7"/>
      <c r="D604" s="7"/>
      <c r="E604" s="11">
        <v>602</v>
      </c>
      <c r="F604" s="8"/>
      <c r="G604" s="8"/>
      <c r="H604" s="9"/>
      <c r="I604" s="10"/>
      <c r="J604" s="9"/>
      <c r="K604" s="10"/>
      <c r="L604" s="8"/>
      <c r="M604" s="8"/>
      <c r="N604" s="10"/>
      <c r="O604" s="10"/>
    </row>
    <row r="605" spans="1:15" ht="33.75" customHeight="1" x14ac:dyDescent="0.25">
      <c r="A605" s="7"/>
      <c r="B605" s="7"/>
      <c r="C605" s="7"/>
      <c r="D605" s="7"/>
      <c r="E605" s="11">
        <v>603</v>
      </c>
      <c r="F605" s="8"/>
      <c r="G605" s="8"/>
      <c r="H605" s="9"/>
      <c r="I605" s="10"/>
      <c r="J605" s="9"/>
      <c r="K605" s="10"/>
      <c r="L605" s="8"/>
      <c r="M605" s="8"/>
      <c r="N605" s="10"/>
      <c r="O605" s="10"/>
    </row>
    <row r="606" spans="1:15" ht="33.75" customHeight="1" x14ac:dyDescent="0.25">
      <c r="A606" s="7"/>
      <c r="B606" s="7"/>
      <c r="C606" s="7"/>
      <c r="D606" s="7"/>
      <c r="E606" s="11">
        <v>604</v>
      </c>
      <c r="F606" s="8"/>
      <c r="G606" s="8"/>
      <c r="H606" s="9"/>
      <c r="I606" s="10"/>
      <c r="J606" s="9"/>
      <c r="K606" s="10"/>
      <c r="L606" s="8"/>
      <c r="M606" s="8"/>
      <c r="N606" s="10"/>
      <c r="O606" s="10"/>
    </row>
    <row r="607" spans="1:15" ht="33.75" customHeight="1" x14ac:dyDescent="0.25">
      <c r="A607" s="7"/>
      <c r="B607" s="7"/>
      <c r="C607" s="7"/>
      <c r="D607" s="7"/>
      <c r="E607" s="11">
        <v>605</v>
      </c>
      <c r="F607" s="8"/>
      <c r="G607" s="8"/>
      <c r="H607" s="9"/>
      <c r="I607" s="10"/>
      <c r="J607" s="9"/>
      <c r="K607" s="10"/>
      <c r="L607" s="8"/>
      <c r="M607" s="8"/>
      <c r="N607" s="10"/>
      <c r="O607" s="10"/>
    </row>
    <row r="608" spans="1:15" ht="33.75" customHeight="1" x14ac:dyDescent="0.25">
      <c r="A608" s="7"/>
      <c r="B608" s="7"/>
      <c r="C608" s="7"/>
      <c r="D608" s="7"/>
      <c r="E608" s="11">
        <v>606</v>
      </c>
      <c r="F608" s="8"/>
      <c r="G608" s="8"/>
      <c r="H608" s="9"/>
      <c r="I608" s="10"/>
      <c r="J608" s="9"/>
      <c r="K608" s="10"/>
      <c r="L608" s="8"/>
      <c r="M608" s="8"/>
      <c r="N608" s="10"/>
      <c r="O608" s="10"/>
    </row>
    <row r="609" spans="1:15" ht="33.75" customHeight="1" x14ac:dyDescent="0.25">
      <c r="A609" s="7"/>
      <c r="B609" s="7"/>
      <c r="C609" s="7"/>
      <c r="D609" s="7"/>
      <c r="E609" s="11">
        <v>607</v>
      </c>
      <c r="F609" s="8"/>
      <c r="G609" s="8"/>
      <c r="H609" s="9"/>
      <c r="I609" s="10"/>
      <c r="J609" s="9"/>
      <c r="K609" s="10"/>
      <c r="L609" s="8"/>
      <c r="M609" s="8"/>
      <c r="N609" s="10"/>
      <c r="O609" s="10"/>
    </row>
    <row r="610" spans="1:15" ht="33.75" customHeight="1" x14ac:dyDescent="0.25">
      <c r="A610" s="7"/>
      <c r="B610" s="7"/>
      <c r="C610" s="7"/>
      <c r="D610" s="7"/>
      <c r="E610" s="11">
        <v>608</v>
      </c>
      <c r="F610" s="8"/>
      <c r="G610" s="8"/>
      <c r="H610" s="9"/>
      <c r="I610" s="10"/>
      <c r="J610" s="9"/>
      <c r="K610" s="10"/>
      <c r="L610" s="8"/>
      <c r="M610" s="8"/>
      <c r="N610" s="10"/>
      <c r="O610" s="10"/>
    </row>
    <row r="611" spans="1:15" ht="33.75" customHeight="1" x14ac:dyDescent="0.25">
      <c r="A611" s="7"/>
      <c r="B611" s="7"/>
      <c r="C611" s="7"/>
      <c r="D611" s="7"/>
      <c r="E611" s="11">
        <v>609</v>
      </c>
      <c r="F611" s="8"/>
      <c r="G611" s="8"/>
      <c r="H611" s="9"/>
      <c r="I611" s="10"/>
      <c r="J611" s="9"/>
      <c r="K611" s="10"/>
      <c r="L611" s="8"/>
      <c r="M611" s="8"/>
      <c r="N611" s="10"/>
      <c r="O611" s="10"/>
    </row>
    <row r="612" spans="1:15" ht="33.75" customHeight="1" x14ac:dyDescent="0.25">
      <c r="A612" s="7"/>
      <c r="B612" s="7"/>
      <c r="C612" s="7"/>
      <c r="D612" s="7"/>
      <c r="E612" s="11">
        <v>610</v>
      </c>
      <c r="F612" s="8"/>
      <c r="G612" s="8"/>
      <c r="H612" s="9"/>
      <c r="I612" s="10"/>
      <c r="J612" s="9"/>
      <c r="K612" s="10"/>
      <c r="L612" s="8"/>
      <c r="M612" s="8"/>
      <c r="N612" s="10"/>
      <c r="O612" s="10"/>
    </row>
    <row r="613" spans="1:15" ht="33.75" customHeight="1" x14ac:dyDescent="0.25">
      <c r="A613" s="7"/>
      <c r="B613" s="7"/>
      <c r="C613" s="7"/>
      <c r="D613" s="7"/>
      <c r="E613" s="11">
        <v>611</v>
      </c>
      <c r="F613" s="8"/>
      <c r="G613" s="8"/>
      <c r="H613" s="9"/>
      <c r="I613" s="10"/>
      <c r="J613" s="9"/>
      <c r="K613" s="10"/>
      <c r="L613" s="8"/>
      <c r="M613" s="8"/>
      <c r="N613" s="10"/>
      <c r="O613" s="10"/>
    </row>
    <row r="614" spans="1:15" ht="33.75" customHeight="1" x14ac:dyDescent="0.25">
      <c r="A614" s="7"/>
      <c r="B614" s="7"/>
      <c r="C614" s="7"/>
      <c r="D614" s="7"/>
      <c r="E614" s="11">
        <v>612</v>
      </c>
      <c r="F614" s="8"/>
      <c r="G614" s="8"/>
      <c r="H614" s="9"/>
      <c r="I614" s="10"/>
      <c r="J614" s="9"/>
      <c r="K614" s="10"/>
      <c r="L614" s="8"/>
      <c r="M614" s="8"/>
      <c r="N614" s="10"/>
      <c r="O614" s="10"/>
    </row>
    <row r="615" spans="1:15" ht="33.75" customHeight="1" x14ac:dyDescent="0.25">
      <c r="A615" s="7"/>
      <c r="B615" s="7"/>
      <c r="C615" s="7"/>
      <c r="D615" s="7"/>
      <c r="E615" s="11">
        <v>613</v>
      </c>
      <c r="F615" s="8"/>
      <c r="G615" s="8"/>
      <c r="H615" s="9"/>
      <c r="I615" s="10"/>
      <c r="J615" s="9"/>
      <c r="K615" s="10"/>
      <c r="L615" s="8"/>
      <c r="M615" s="8"/>
      <c r="N615" s="10"/>
      <c r="O615" s="10"/>
    </row>
    <row r="616" spans="1:15" ht="33.75" customHeight="1" x14ac:dyDescent="0.25">
      <c r="A616" s="7"/>
      <c r="B616" s="7"/>
      <c r="C616" s="7"/>
      <c r="D616" s="7"/>
      <c r="E616" s="11">
        <v>614</v>
      </c>
      <c r="F616" s="8"/>
      <c r="G616" s="8"/>
      <c r="H616" s="9"/>
      <c r="I616" s="10"/>
      <c r="J616" s="9"/>
      <c r="K616" s="10"/>
      <c r="L616" s="8"/>
      <c r="M616" s="8"/>
      <c r="N616" s="10"/>
      <c r="O616" s="10"/>
    </row>
    <row r="617" spans="1:15" ht="33.75" customHeight="1" x14ac:dyDescent="0.25">
      <c r="A617" s="7"/>
      <c r="B617" s="7"/>
      <c r="C617" s="7"/>
      <c r="D617" s="7"/>
      <c r="E617" s="11">
        <v>615</v>
      </c>
      <c r="F617" s="8"/>
      <c r="G617" s="8"/>
      <c r="H617" s="9"/>
      <c r="I617" s="10"/>
      <c r="J617" s="9"/>
      <c r="K617" s="10"/>
      <c r="L617" s="8"/>
      <c r="M617" s="8"/>
      <c r="N617" s="10"/>
      <c r="O617" s="10"/>
    </row>
    <row r="618" spans="1:15" ht="33.75" customHeight="1" x14ac:dyDescent="0.25">
      <c r="A618" s="7"/>
      <c r="B618" s="7"/>
      <c r="C618" s="7"/>
      <c r="D618" s="7"/>
      <c r="E618" s="11">
        <v>616</v>
      </c>
      <c r="F618" s="8"/>
      <c r="G618" s="8"/>
      <c r="H618" s="9"/>
      <c r="I618" s="10"/>
      <c r="J618" s="9"/>
      <c r="K618" s="10"/>
      <c r="L618" s="8"/>
      <c r="M618" s="8"/>
      <c r="N618" s="10"/>
      <c r="O618" s="10"/>
    </row>
    <row r="619" spans="1:15" ht="33.75" customHeight="1" x14ac:dyDescent="0.25">
      <c r="A619" s="7"/>
      <c r="B619" s="7"/>
      <c r="C619" s="7"/>
      <c r="D619" s="7"/>
      <c r="E619" s="11">
        <v>617</v>
      </c>
      <c r="F619" s="8"/>
      <c r="G619" s="8"/>
      <c r="H619" s="9"/>
      <c r="I619" s="10"/>
      <c r="J619" s="9"/>
      <c r="K619" s="10"/>
      <c r="L619" s="8"/>
      <c r="M619" s="8"/>
      <c r="N619" s="10"/>
      <c r="O619" s="10"/>
    </row>
    <row r="620" spans="1:15" ht="33.75" customHeight="1" x14ac:dyDescent="0.25">
      <c r="A620" s="7"/>
      <c r="B620" s="7"/>
      <c r="C620" s="7"/>
      <c r="D620" s="7"/>
      <c r="E620" s="11">
        <v>618</v>
      </c>
      <c r="F620" s="8"/>
      <c r="G620" s="8"/>
      <c r="H620" s="9"/>
      <c r="I620" s="10"/>
      <c r="J620" s="9"/>
      <c r="K620" s="10"/>
      <c r="L620" s="8"/>
      <c r="M620" s="8"/>
      <c r="N620" s="10"/>
      <c r="O620" s="10"/>
    </row>
    <row r="621" spans="1:15" ht="33.75" customHeight="1" x14ac:dyDescent="0.25">
      <c r="A621" s="7"/>
      <c r="B621" s="7"/>
      <c r="C621" s="7"/>
      <c r="D621" s="7"/>
      <c r="E621" s="11">
        <v>619</v>
      </c>
      <c r="F621" s="8"/>
      <c r="G621" s="8"/>
      <c r="H621" s="9"/>
      <c r="I621" s="10"/>
      <c r="J621" s="9"/>
      <c r="K621" s="10"/>
      <c r="L621" s="8"/>
      <c r="M621" s="8"/>
      <c r="N621" s="10"/>
      <c r="O621" s="10"/>
    </row>
    <row r="622" spans="1:15" ht="33.75" customHeight="1" x14ac:dyDescent="0.25">
      <c r="A622" s="7"/>
      <c r="B622" s="7"/>
      <c r="C622" s="7"/>
      <c r="D622" s="7"/>
      <c r="E622" s="11">
        <v>620</v>
      </c>
      <c r="F622" s="8"/>
      <c r="G622" s="8"/>
      <c r="H622" s="9"/>
      <c r="I622" s="10"/>
      <c r="J622" s="9"/>
      <c r="K622" s="10"/>
      <c r="L622" s="8"/>
      <c r="M622" s="8"/>
      <c r="N622" s="10"/>
      <c r="O622" s="10"/>
    </row>
    <row r="623" spans="1:15" ht="33.75" customHeight="1" x14ac:dyDescent="0.25">
      <c r="A623" s="7"/>
      <c r="B623" s="7"/>
      <c r="C623" s="7"/>
      <c r="D623" s="7"/>
      <c r="E623" s="11">
        <v>621</v>
      </c>
      <c r="F623" s="8"/>
      <c r="G623" s="8"/>
      <c r="H623" s="9"/>
      <c r="I623" s="10"/>
      <c r="J623" s="9"/>
      <c r="K623" s="10"/>
      <c r="L623" s="8"/>
      <c r="M623" s="8"/>
      <c r="N623" s="10"/>
      <c r="O623" s="10"/>
    </row>
    <row r="624" spans="1:15" ht="33.75" customHeight="1" x14ac:dyDescent="0.25">
      <c r="A624" s="7"/>
      <c r="B624" s="7"/>
      <c r="C624" s="7"/>
      <c r="D624" s="7"/>
      <c r="E624" s="11">
        <v>622</v>
      </c>
      <c r="F624" s="8"/>
      <c r="G624" s="8"/>
      <c r="H624" s="9"/>
      <c r="I624" s="10"/>
      <c r="J624" s="9"/>
      <c r="K624" s="10"/>
      <c r="L624" s="8"/>
      <c r="M624" s="8"/>
      <c r="N624" s="10"/>
      <c r="O624" s="10"/>
    </row>
    <row r="625" spans="1:15" ht="33.75" customHeight="1" x14ac:dyDescent="0.25">
      <c r="A625" s="7"/>
      <c r="B625" s="7"/>
      <c r="C625" s="7"/>
      <c r="D625" s="7"/>
      <c r="E625" s="11">
        <v>623</v>
      </c>
      <c r="F625" s="8"/>
      <c r="G625" s="8"/>
      <c r="H625" s="9"/>
      <c r="I625" s="10"/>
      <c r="J625" s="9"/>
      <c r="K625" s="10"/>
      <c r="L625" s="8"/>
      <c r="M625" s="8"/>
      <c r="N625" s="10"/>
      <c r="O625" s="10"/>
    </row>
    <row r="626" spans="1:15" ht="33.75" customHeight="1" x14ac:dyDescent="0.25">
      <c r="A626" s="7"/>
      <c r="B626" s="7"/>
      <c r="C626" s="7"/>
      <c r="D626" s="7"/>
      <c r="E626" s="11">
        <v>624</v>
      </c>
      <c r="F626" s="8"/>
      <c r="G626" s="8"/>
      <c r="H626" s="9"/>
      <c r="I626" s="10"/>
      <c r="J626" s="9"/>
      <c r="K626" s="10"/>
      <c r="L626" s="8"/>
      <c r="M626" s="8"/>
      <c r="N626" s="10"/>
      <c r="O626" s="10"/>
    </row>
    <row r="627" spans="1:15" ht="33.75" customHeight="1" x14ac:dyDescent="0.25">
      <c r="A627" s="7"/>
      <c r="B627" s="7"/>
      <c r="C627" s="7"/>
      <c r="D627" s="7"/>
      <c r="E627" s="11">
        <v>625</v>
      </c>
      <c r="F627" s="8"/>
      <c r="G627" s="8"/>
      <c r="H627" s="9"/>
      <c r="I627" s="10"/>
      <c r="J627" s="9"/>
      <c r="K627" s="10"/>
      <c r="L627" s="8"/>
      <c r="M627" s="8"/>
      <c r="N627" s="10"/>
      <c r="O627" s="10"/>
    </row>
    <row r="628" spans="1:15" ht="33.75" customHeight="1" x14ac:dyDescent="0.25">
      <c r="A628" s="7"/>
      <c r="B628" s="7"/>
      <c r="C628" s="7"/>
      <c r="D628" s="7"/>
      <c r="E628" s="11">
        <v>626</v>
      </c>
      <c r="F628" s="8"/>
      <c r="G628" s="8"/>
      <c r="H628" s="9"/>
      <c r="I628" s="10"/>
      <c r="J628" s="9"/>
      <c r="K628" s="10"/>
      <c r="L628" s="8"/>
      <c r="M628" s="8"/>
      <c r="N628" s="10"/>
      <c r="O628" s="10"/>
    </row>
    <row r="629" spans="1:15" ht="33.75" customHeight="1" x14ac:dyDescent="0.25">
      <c r="A629" s="7"/>
      <c r="B629" s="7"/>
      <c r="C629" s="7"/>
      <c r="D629" s="7"/>
      <c r="E629" s="11">
        <v>627</v>
      </c>
      <c r="F629" s="8"/>
      <c r="G629" s="8"/>
      <c r="H629" s="9"/>
      <c r="I629" s="10"/>
      <c r="J629" s="9"/>
      <c r="K629" s="10"/>
      <c r="L629" s="8"/>
      <c r="M629" s="8"/>
      <c r="N629" s="10"/>
      <c r="O629" s="10"/>
    </row>
    <row r="630" spans="1:15" ht="33.75" customHeight="1" x14ac:dyDescent="0.25">
      <c r="A630" s="7"/>
      <c r="B630" s="7"/>
      <c r="C630" s="7"/>
      <c r="D630" s="7"/>
      <c r="E630" s="11">
        <v>628</v>
      </c>
      <c r="F630" s="8"/>
      <c r="G630" s="8"/>
      <c r="H630" s="9"/>
      <c r="I630" s="10"/>
      <c r="J630" s="9"/>
      <c r="K630" s="10"/>
      <c r="L630" s="8"/>
      <c r="M630" s="8"/>
      <c r="N630" s="10"/>
      <c r="O630" s="10"/>
    </row>
    <row r="631" spans="1:15" ht="33.75" customHeight="1" x14ac:dyDescent="0.25">
      <c r="A631" s="7"/>
      <c r="B631" s="7"/>
      <c r="C631" s="7"/>
      <c r="D631" s="7"/>
      <c r="E631" s="11">
        <v>629</v>
      </c>
      <c r="F631" s="8"/>
      <c r="G631" s="8"/>
      <c r="H631" s="9"/>
      <c r="I631" s="10"/>
      <c r="J631" s="9"/>
      <c r="K631" s="10"/>
      <c r="L631" s="8"/>
      <c r="M631" s="8"/>
      <c r="N631" s="10"/>
      <c r="O631" s="10"/>
    </row>
    <row r="632" spans="1:15" ht="33.75" customHeight="1" x14ac:dyDescent="0.25">
      <c r="A632" s="7"/>
      <c r="B632" s="7"/>
      <c r="C632" s="7"/>
      <c r="D632" s="7"/>
      <c r="E632" s="11">
        <v>630</v>
      </c>
      <c r="F632" s="8"/>
      <c r="G632" s="8"/>
      <c r="H632" s="9"/>
      <c r="I632" s="10"/>
      <c r="J632" s="9"/>
      <c r="K632" s="10"/>
      <c r="L632" s="8"/>
      <c r="M632" s="8"/>
      <c r="N632" s="10"/>
      <c r="O632" s="10"/>
    </row>
    <row r="633" spans="1:15" ht="33.75" customHeight="1" x14ac:dyDescent="0.25">
      <c r="A633" s="7"/>
      <c r="B633" s="7"/>
      <c r="C633" s="7"/>
      <c r="D633" s="7"/>
      <c r="E633" s="11">
        <v>631</v>
      </c>
      <c r="F633" s="8"/>
      <c r="G633" s="8"/>
      <c r="H633" s="9"/>
      <c r="I633" s="10"/>
      <c r="J633" s="9"/>
      <c r="K633" s="10"/>
      <c r="L633" s="8"/>
      <c r="M633" s="8"/>
      <c r="N633" s="10"/>
      <c r="O633" s="10"/>
    </row>
    <row r="634" spans="1:15" ht="33.75" customHeight="1" x14ac:dyDescent="0.25">
      <c r="A634" s="7"/>
      <c r="B634" s="7"/>
      <c r="C634" s="7"/>
      <c r="D634" s="7"/>
      <c r="E634" s="11">
        <v>632</v>
      </c>
      <c r="F634" s="8"/>
      <c r="G634" s="8"/>
      <c r="H634" s="9"/>
      <c r="I634" s="10"/>
      <c r="J634" s="9"/>
      <c r="K634" s="10"/>
      <c r="L634" s="8"/>
      <c r="M634" s="8"/>
      <c r="N634" s="10"/>
      <c r="O634" s="10"/>
    </row>
    <row r="635" spans="1:15" ht="33.75" customHeight="1" x14ac:dyDescent="0.25">
      <c r="A635" s="7"/>
      <c r="B635" s="7"/>
      <c r="C635" s="7"/>
      <c r="D635" s="7"/>
      <c r="E635" s="11">
        <v>633</v>
      </c>
      <c r="F635" s="8"/>
      <c r="G635" s="8"/>
      <c r="H635" s="9"/>
      <c r="I635" s="10"/>
      <c r="J635" s="9"/>
      <c r="K635" s="10"/>
      <c r="L635" s="8"/>
      <c r="M635" s="8"/>
      <c r="N635" s="10"/>
      <c r="O635" s="10"/>
    </row>
    <row r="636" spans="1:15" ht="33.75" customHeight="1" x14ac:dyDescent="0.25">
      <c r="A636" s="7"/>
      <c r="B636" s="7"/>
      <c r="C636" s="7"/>
      <c r="D636" s="7"/>
      <c r="E636" s="11">
        <v>634</v>
      </c>
      <c r="F636" s="8"/>
      <c r="G636" s="8"/>
      <c r="H636" s="9"/>
      <c r="I636" s="10"/>
      <c r="J636" s="9"/>
      <c r="K636" s="10"/>
      <c r="L636" s="8"/>
      <c r="M636" s="8"/>
      <c r="N636" s="10"/>
      <c r="O636" s="10"/>
    </row>
    <row r="637" spans="1:15" ht="33.75" customHeight="1" x14ac:dyDescent="0.25">
      <c r="A637" s="7"/>
      <c r="B637" s="7"/>
      <c r="C637" s="7"/>
      <c r="D637" s="7"/>
      <c r="E637" s="11">
        <v>635</v>
      </c>
      <c r="F637" s="8"/>
      <c r="G637" s="8"/>
      <c r="H637" s="9"/>
      <c r="I637" s="10"/>
      <c r="J637" s="9"/>
      <c r="K637" s="10"/>
      <c r="L637" s="8"/>
      <c r="M637" s="8"/>
      <c r="N637" s="10"/>
      <c r="O637" s="10"/>
    </row>
    <row r="638" spans="1:15" ht="33.75" customHeight="1" x14ac:dyDescent="0.25">
      <c r="A638" s="7"/>
      <c r="B638" s="7"/>
      <c r="C638" s="7"/>
      <c r="D638" s="7"/>
      <c r="E638" s="11">
        <v>636</v>
      </c>
      <c r="F638" s="8"/>
      <c r="G638" s="8"/>
      <c r="H638" s="9"/>
      <c r="I638" s="10"/>
      <c r="J638" s="9"/>
      <c r="K638" s="10"/>
      <c r="L638" s="8"/>
      <c r="M638" s="8"/>
      <c r="N638" s="10"/>
      <c r="O638" s="10"/>
    </row>
    <row r="639" spans="1:15" ht="33.75" customHeight="1" x14ac:dyDescent="0.25">
      <c r="A639" s="7"/>
      <c r="B639" s="7"/>
      <c r="C639" s="7"/>
      <c r="D639" s="7"/>
      <c r="E639" s="11">
        <v>637</v>
      </c>
      <c r="F639" s="8"/>
      <c r="G639" s="8"/>
      <c r="H639" s="9"/>
      <c r="I639" s="10"/>
      <c r="J639" s="9"/>
      <c r="K639" s="10"/>
      <c r="L639" s="8"/>
      <c r="M639" s="8"/>
      <c r="N639" s="10"/>
      <c r="O639" s="10"/>
    </row>
    <row r="640" spans="1:15" ht="33.75" customHeight="1" x14ac:dyDescent="0.25">
      <c r="A640" s="7"/>
      <c r="B640" s="7"/>
      <c r="C640" s="7"/>
      <c r="D640" s="7"/>
      <c r="E640" s="11">
        <v>638</v>
      </c>
      <c r="F640" s="8"/>
      <c r="G640" s="8"/>
      <c r="H640" s="9"/>
      <c r="I640" s="10"/>
      <c r="J640" s="9"/>
      <c r="K640" s="10"/>
      <c r="L640" s="8"/>
      <c r="M640" s="8"/>
      <c r="N640" s="10"/>
      <c r="O640" s="10"/>
    </row>
    <row r="641" spans="1:15" ht="33.75" customHeight="1" x14ac:dyDescent="0.25">
      <c r="A641" s="7"/>
      <c r="B641" s="7"/>
      <c r="C641" s="7"/>
      <c r="D641" s="7"/>
      <c r="E641" s="11">
        <v>639</v>
      </c>
      <c r="F641" s="8"/>
      <c r="G641" s="8"/>
      <c r="H641" s="9"/>
      <c r="I641" s="10"/>
      <c r="J641" s="9"/>
      <c r="K641" s="10"/>
      <c r="L641" s="8"/>
      <c r="M641" s="8"/>
      <c r="N641" s="10"/>
      <c r="O641" s="10"/>
    </row>
    <row r="642" spans="1:15" ht="33.75" customHeight="1" x14ac:dyDescent="0.25">
      <c r="A642" s="7"/>
      <c r="B642" s="7"/>
      <c r="C642" s="7"/>
      <c r="D642" s="7"/>
      <c r="E642" s="11">
        <v>640</v>
      </c>
      <c r="F642" s="8"/>
      <c r="G642" s="8"/>
      <c r="H642" s="9"/>
      <c r="I642" s="10"/>
      <c r="J642" s="9"/>
      <c r="K642" s="10"/>
      <c r="L642" s="8"/>
      <c r="M642" s="8"/>
      <c r="N642" s="10"/>
      <c r="O642" s="10"/>
    </row>
    <row r="643" spans="1:15" ht="33.75" customHeight="1" x14ac:dyDescent="0.25">
      <c r="A643" s="7"/>
      <c r="B643" s="7"/>
      <c r="C643" s="7"/>
      <c r="D643" s="7"/>
      <c r="E643" s="11">
        <v>641</v>
      </c>
      <c r="F643" s="8"/>
      <c r="G643" s="8"/>
      <c r="H643" s="9"/>
      <c r="I643" s="10"/>
      <c r="J643" s="9"/>
      <c r="K643" s="10"/>
      <c r="L643" s="8"/>
      <c r="M643" s="8"/>
      <c r="N643" s="10"/>
      <c r="O643" s="10"/>
    </row>
    <row r="644" spans="1:15" ht="33.75" customHeight="1" x14ac:dyDescent="0.25">
      <c r="A644" s="7"/>
      <c r="B644" s="7"/>
      <c r="C644" s="7"/>
      <c r="D644" s="7"/>
      <c r="E644" s="11">
        <v>642</v>
      </c>
      <c r="F644" s="8"/>
      <c r="G644" s="8"/>
      <c r="H644" s="9"/>
      <c r="I644" s="10"/>
      <c r="J644" s="9"/>
      <c r="K644" s="10"/>
      <c r="L644" s="8"/>
      <c r="M644" s="8"/>
      <c r="N644" s="10"/>
      <c r="O644" s="10"/>
    </row>
    <row r="645" spans="1:15" ht="33.75" customHeight="1" x14ac:dyDescent="0.25">
      <c r="A645" s="7"/>
      <c r="B645" s="7"/>
      <c r="C645" s="7"/>
      <c r="D645" s="7"/>
      <c r="E645" s="11">
        <v>643</v>
      </c>
      <c r="F645" s="8"/>
      <c r="G645" s="8"/>
      <c r="H645" s="9"/>
      <c r="I645" s="10"/>
      <c r="J645" s="9"/>
      <c r="K645" s="10"/>
      <c r="L645" s="8"/>
      <c r="M645" s="8"/>
      <c r="N645" s="10"/>
      <c r="O645" s="10"/>
    </row>
    <row r="646" spans="1:15" ht="33.75" customHeight="1" x14ac:dyDescent="0.25">
      <c r="A646" s="7"/>
      <c r="B646" s="7"/>
      <c r="C646" s="7"/>
      <c r="D646" s="7"/>
      <c r="E646" s="11">
        <v>644</v>
      </c>
      <c r="F646" s="8"/>
      <c r="G646" s="8"/>
      <c r="H646" s="9"/>
      <c r="I646" s="10"/>
      <c r="J646" s="9"/>
      <c r="K646" s="10"/>
      <c r="L646" s="8"/>
      <c r="M646" s="8"/>
      <c r="N646" s="10"/>
      <c r="O646" s="10"/>
    </row>
    <row r="647" spans="1:15" ht="33.75" customHeight="1" x14ac:dyDescent="0.25">
      <c r="A647" s="7"/>
      <c r="B647" s="7"/>
      <c r="C647" s="7"/>
      <c r="D647" s="7"/>
      <c r="E647" s="11">
        <v>645</v>
      </c>
      <c r="F647" s="8"/>
      <c r="G647" s="8"/>
      <c r="H647" s="9"/>
      <c r="I647" s="10"/>
      <c r="J647" s="9"/>
      <c r="K647" s="10"/>
      <c r="L647" s="8"/>
      <c r="M647" s="8"/>
      <c r="N647" s="10"/>
      <c r="O647" s="10"/>
    </row>
    <row r="648" spans="1:15" ht="33.75" customHeight="1" x14ac:dyDescent="0.25">
      <c r="A648" s="7"/>
      <c r="B648" s="7"/>
      <c r="C648" s="7"/>
      <c r="D648" s="7"/>
      <c r="E648" s="11">
        <v>646</v>
      </c>
      <c r="F648" s="8"/>
      <c r="G648" s="8"/>
      <c r="H648" s="9"/>
      <c r="I648" s="10"/>
      <c r="J648" s="9"/>
      <c r="K648" s="10"/>
      <c r="L648" s="8"/>
      <c r="M648" s="8"/>
      <c r="N648" s="10"/>
      <c r="O648" s="10"/>
    </row>
    <row r="649" spans="1:15" ht="33.75" customHeight="1" x14ac:dyDescent="0.25">
      <c r="A649" s="7"/>
      <c r="B649" s="7"/>
      <c r="C649" s="7"/>
      <c r="D649" s="7"/>
      <c r="E649" s="11">
        <v>647</v>
      </c>
      <c r="F649" s="8"/>
      <c r="G649" s="8"/>
      <c r="H649" s="9"/>
      <c r="I649" s="10"/>
      <c r="J649" s="9"/>
      <c r="K649" s="10"/>
      <c r="L649" s="8"/>
      <c r="M649" s="8"/>
      <c r="N649" s="10"/>
      <c r="O649" s="10"/>
    </row>
    <row r="650" spans="1:15" ht="33.75" customHeight="1" x14ac:dyDescent="0.25">
      <c r="A650" s="7"/>
      <c r="B650" s="7"/>
      <c r="C650" s="7"/>
      <c r="D650" s="7"/>
      <c r="E650" s="11">
        <v>648</v>
      </c>
      <c r="F650" s="8"/>
      <c r="G650" s="8"/>
      <c r="H650" s="9"/>
      <c r="I650" s="10"/>
      <c r="J650" s="9"/>
      <c r="K650" s="10"/>
      <c r="L650" s="8"/>
      <c r="M650" s="8"/>
      <c r="N650" s="10"/>
      <c r="O650" s="10"/>
    </row>
    <row r="651" spans="1:15" ht="33.75" customHeight="1" x14ac:dyDescent="0.25">
      <c r="A651" s="7"/>
      <c r="B651" s="7"/>
      <c r="C651" s="7"/>
      <c r="D651" s="7"/>
      <c r="E651" s="11">
        <v>649</v>
      </c>
      <c r="F651" s="8"/>
      <c r="G651" s="8"/>
      <c r="H651" s="9"/>
      <c r="I651" s="10"/>
      <c r="J651" s="9"/>
      <c r="K651" s="10"/>
      <c r="L651" s="8"/>
      <c r="M651" s="8"/>
      <c r="N651" s="10"/>
      <c r="O651" s="10"/>
    </row>
    <row r="652" spans="1:15" ht="33.75" customHeight="1" x14ac:dyDescent="0.25">
      <c r="A652" s="7"/>
      <c r="B652" s="7"/>
      <c r="C652" s="7"/>
      <c r="D652" s="7"/>
      <c r="E652" s="11">
        <v>650</v>
      </c>
      <c r="F652" s="8"/>
      <c r="G652" s="8"/>
      <c r="H652" s="9"/>
      <c r="I652" s="10"/>
      <c r="J652" s="9"/>
      <c r="K652" s="10"/>
      <c r="L652" s="8"/>
      <c r="M652" s="8"/>
      <c r="N652" s="10"/>
      <c r="O652" s="10"/>
    </row>
    <row r="653" spans="1:15" ht="33.75" customHeight="1" x14ac:dyDescent="0.25">
      <c r="A653" s="7"/>
      <c r="B653" s="7"/>
      <c r="C653" s="7"/>
      <c r="D653" s="7"/>
      <c r="E653" s="11">
        <v>651</v>
      </c>
      <c r="F653" s="8"/>
      <c r="G653" s="8"/>
      <c r="H653" s="9"/>
      <c r="I653" s="10"/>
      <c r="J653" s="9"/>
      <c r="K653" s="10"/>
      <c r="L653" s="8"/>
      <c r="M653" s="8"/>
      <c r="N653" s="10"/>
      <c r="O653" s="10"/>
    </row>
    <row r="654" spans="1:15" ht="33.75" customHeight="1" x14ac:dyDescent="0.25">
      <c r="A654" s="7"/>
      <c r="B654" s="7"/>
      <c r="C654" s="7"/>
      <c r="D654" s="7"/>
      <c r="E654" s="11">
        <v>652</v>
      </c>
      <c r="F654" s="8"/>
      <c r="G654" s="8"/>
      <c r="H654" s="9"/>
      <c r="I654" s="10"/>
      <c r="J654" s="9"/>
      <c r="K654" s="10"/>
      <c r="L654" s="8"/>
      <c r="M654" s="8"/>
      <c r="N654" s="10"/>
      <c r="O654" s="10"/>
    </row>
    <row r="655" spans="1:15" ht="33.75" customHeight="1" x14ac:dyDescent="0.25">
      <c r="A655" s="7"/>
      <c r="B655" s="7"/>
      <c r="C655" s="7"/>
      <c r="D655" s="7"/>
      <c r="E655" s="11">
        <v>653</v>
      </c>
      <c r="F655" s="8"/>
      <c r="G655" s="8"/>
      <c r="H655" s="9"/>
      <c r="I655" s="10"/>
      <c r="J655" s="9"/>
      <c r="K655" s="10"/>
      <c r="L655" s="8"/>
      <c r="M655" s="8"/>
      <c r="N655" s="10"/>
      <c r="O655" s="10"/>
    </row>
    <row r="656" spans="1:15" ht="33.75" customHeight="1" x14ac:dyDescent="0.25">
      <c r="A656" s="7"/>
      <c r="B656" s="7"/>
      <c r="C656" s="7"/>
      <c r="D656" s="7"/>
      <c r="E656" s="11">
        <v>654</v>
      </c>
      <c r="F656" s="8"/>
      <c r="G656" s="8"/>
      <c r="H656" s="9"/>
      <c r="I656" s="10"/>
      <c r="J656" s="9"/>
      <c r="K656" s="10"/>
      <c r="L656" s="8"/>
      <c r="M656" s="8"/>
      <c r="N656" s="10"/>
      <c r="O656" s="10"/>
    </row>
    <row r="657" spans="1:15" ht="33.75" customHeight="1" x14ac:dyDescent="0.25">
      <c r="A657" s="7"/>
      <c r="B657" s="7"/>
      <c r="C657" s="7"/>
      <c r="D657" s="7"/>
      <c r="E657" s="11">
        <v>655</v>
      </c>
      <c r="F657" s="8"/>
      <c r="G657" s="8"/>
      <c r="H657" s="9"/>
      <c r="I657" s="10"/>
      <c r="J657" s="9"/>
      <c r="K657" s="10"/>
      <c r="L657" s="8"/>
      <c r="M657" s="8"/>
      <c r="N657" s="10"/>
      <c r="O657" s="10"/>
    </row>
    <row r="658" spans="1:15" ht="33.75" customHeight="1" x14ac:dyDescent="0.25">
      <c r="A658" s="7"/>
      <c r="B658" s="7"/>
      <c r="C658" s="7"/>
      <c r="D658" s="7"/>
      <c r="E658" s="11">
        <v>656</v>
      </c>
      <c r="F658" s="8"/>
      <c r="G658" s="8"/>
      <c r="H658" s="9"/>
      <c r="I658" s="10"/>
      <c r="J658" s="9"/>
      <c r="K658" s="10"/>
      <c r="L658" s="8"/>
      <c r="M658" s="8"/>
      <c r="N658" s="10"/>
      <c r="O658" s="10"/>
    </row>
    <row r="659" spans="1:15" ht="33.75" customHeight="1" x14ac:dyDescent="0.25">
      <c r="A659" s="7"/>
      <c r="B659" s="7"/>
      <c r="C659" s="7"/>
      <c r="D659" s="7"/>
      <c r="E659" s="11">
        <v>657</v>
      </c>
      <c r="F659" s="8"/>
      <c r="G659" s="8"/>
      <c r="H659" s="9"/>
      <c r="I659" s="10"/>
      <c r="J659" s="9"/>
      <c r="K659" s="10"/>
      <c r="L659" s="8"/>
      <c r="M659" s="8"/>
      <c r="N659" s="10"/>
      <c r="O659" s="10"/>
    </row>
    <row r="660" spans="1:15" ht="33.75" customHeight="1" x14ac:dyDescent="0.25">
      <c r="A660" s="7"/>
      <c r="B660" s="7"/>
      <c r="C660" s="7"/>
      <c r="D660" s="7"/>
      <c r="E660" s="11">
        <v>658</v>
      </c>
      <c r="F660" s="8"/>
      <c r="G660" s="8"/>
      <c r="H660" s="9"/>
      <c r="I660" s="10"/>
      <c r="J660" s="9"/>
      <c r="K660" s="10"/>
      <c r="L660" s="8"/>
      <c r="M660" s="8"/>
      <c r="N660" s="10"/>
      <c r="O660" s="10"/>
    </row>
    <row r="661" spans="1:15" ht="33.75" customHeight="1" x14ac:dyDescent="0.25">
      <c r="A661" s="7"/>
      <c r="B661" s="7"/>
      <c r="C661" s="7"/>
      <c r="D661" s="7"/>
      <c r="E661" s="11">
        <v>659</v>
      </c>
      <c r="F661" s="8"/>
      <c r="G661" s="8"/>
      <c r="H661" s="9"/>
      <c r="I661" s="10"/>
      <c r="J661" s="9"/>
      <c r="K661" s="10"/>
      <c r="L661" s="8"/>
      <c r="M661" s="8"/>
      <c r="N661" s="10"/>
      <c r="O661" s="10"/>
    </row>
    <row r="662" spans="1:15" ht="33.75" customHeight="1" x14ac:dyDescent="0.25">
      <c r="A662" s="7"/>
      <c r="B662" s="7"/>
      <c r="C662" s="7"/>
      <c r="D662" s="7"/>
      <c r="E662" s="11">
        <v>660</v>
      </c>
      <c r="F662" s="8"/>
      <c r="G662" s="8"/>
      <c r="H662" s="9"/>
      <c r="I662" s="10"/>
      <c r="J662" s="9"/>
      <c r="K662" s="10"/>
      <c r="L662" s="8"/>
      <c r="M662" s="8"/>
      <c r="N662" s="10"/>
      <c r="O662" s="10"/>
    </row>
    <row r="663" spans="1:15" ht="33.75" customHeight="1" x14ac:dyDescent="0.25">
      <c r="A663" s="7"/>
      <c r="B663" s="7"/>
      <c r="C663" s="7"/>
      <c r="D663" s="7"/>
      <c r="E663" s="11">
        <v>661</v>
      </c>
      <c r="F663" s="8"/>
      <c r="G663" s="8"/>
      <c r="H663" s="9"/>
      <c r="I663" s="10"/>
      <c r="J663" s="9"/>
      <c r="K663" s="10"/>
      <c r="L663" s="8"/>
      <c r="M663" s="8"/>
      <c r="N663" s="10"/>
      <c r="O663" s="10"/>
    </row>
    <row r="664" spans="1:15" ht="33.75" customHeight="1" x14ac:dyDescent="0.25">
      <c r="A664" s="7"/>
      <c r="B664" s="7"/>
      <c r="C664" s="7"/>
      <c r="D664" s="7"/>
      <c r="E664" s="11">
        <v>662</v>
      </c>
      <c r="F664" s="8"/>
      <c r="G664" s="8"/>
      <c r="H664" s="9"/>
      <c r="I664" s="10"/>
      <c r="J664" s="9"/>
      <c r="K664" s="10"/>
      <c r="L664" s="8"/>
      <c r="M664" s="8"/>
      <c r="N664" s="10"/>
      <c r="O664" s="10"/>
    </row>
    <row r="665" spans="1:15" ht="33.75" customHeight="1" x14ac:dyDescent="0.25">
      <c r="A665" s="7"/>
      <c r="B665" s="7"/>
      <c r="C665" s="7"/>
      <c r="D665" s="7"/>
      <c r="E665" s="11">
        <v>663</v>
      </c>
      <c r="F665" s="8"/>
      <c r="G665" s="8"/>
      <c r="H665" s="9"/>
      <c r="I665" s="10"/>
      <c r="J665" s="9"/>
      <c r="K665" s="10"/>
      <c r="L665" s="8"/>
      <c r="M665" s="8"/>
      <c r="N665" s="10"/>
      <c r="O665" s="10"/>
    </row>
    <row r="666" spans="1:15" ht="33.75" customHeight="1" x14ac:dyDescent="0.25">
      <c r="A666" s="7"/>
      <c r="B666" s="7"/>
      <c r="C666" s="7"/>
      <c r="D666" s="7"/>
      <c r="E666" s="11">
        <v>664</v>
      </c>
      <c r="F666" s="8"/>
      <c r="G666" s="8"/>
      <c r="H666" s="9"/>
      <c r="I666" s="10"/>
      <c r="J666" s="9"/>
      <c r="K666" s="10"/>
      <c r="L666" s="8"/>
      <c r="M666" s="8"/>
      <c r="N666" s="10"/>
      <c r="O666" s="10"/>
    </row>
    <row r="667" spans="1:15" ht="33.75" customHeight="1" x14ac:dyDescent="0.25">
      <c r="A667" s="7"/>
      <c r="B667" s="7"/>
      <c r="C667" s="7"/>
      <c r="D667" s="7"/>
      <c r="E667" s="11">
        <v>665</v>
      </c>
      <c r="F667" s="8"/>
      <c r="G667" s="8"/>
      <c r="H667" s="9"/>
      <c r="I667" s="10"/>
      <c r="J667" s="9"/>
      <c r="K667" s="10"/>
      <c r="L667" s="8"/>
      <c r="M667" s="8"/>
      <c r="N667" s="10"/>
      <c r="O667" s="10"/>
    </row>
    <row r="668" spans="1:15" ht="33.75" customHeight="1" x14ac:dyDescent="0.25">
      <c r="A668" s="7"/>
      <c r="B668" s="7"/>
      <c r="C668" s="7"/>
      <c r="D668" s="7"/>
      <c r="E668" s="11">
        <v>666</v>
      </c>
      <c r="F668" s="8"/>
      <c r="G668" s="8"/>
      <c r="H668" s="9"/>
      <c r="I668" s="10"/>
      <c r="J668" s="9"/>
      <c r="K668" s="10"/>
      <c r="L668" s="8"/>
      <c r="M668" s="8"/>
      <c r="N668" s="10"/>
      <c r="O668" s="10"/>
    </row>
    <row r="669" spans="1:15" ht="33.75" customHeight="1" x14ac:dyDescent="0.25">
      <c r="A669" s="7"/>
      <c r="B669" s="7"/>
      <c r="C669" s="7"/>
      <c r="D669" s="7"/>
      <c r="E669" s="11">
        <v>667</v>
      </c>
      <c r="F669" s="8"/>
      <c r="G669" s="8"/>
      <c r="H669" s="9"/>
      <c r="I669" s="10"/>
      <c r="J669" s="9"/>
      <c r="K669" s="10"/>
      <c r="L669" s="8"/>
      <c r="M669" s="8"/>
      <c r="N669" s="10"/>
      <c r="O669" s="10"/>
    </row>
    <row r="670" spans="1:15" ht="33.75" customHeight="1" x14ac:dyDescent="0.25">
      <c r="A670" s="7"/>
      <c r="B670" s="7"/>
      <c r="C670" s="7"/>
      <c r="D670" s="7"/>
      <c r="E670" s="11">
        <v>668</v>
      </c>
      <c r="F670" s="8"/>
      <c r="G670" s="8"/>
      <c r="H670" s="9"/>
      <c r="I670" s="10"/>
      <c r="J670" s="9"/>
      <c r="K670" s="10"/>
      <c r="L670" s="8"/>
      <c r="M670" s="8"/>
      <c r="N670" s="10"/>
      <c r="O670" s="10"/>
    </row>
    <row r="671" spans="1:15" ht="33.75" customHeight="1" x14ac:dyDescent="0.25">
      <c r="A671" s="7"/>
      <c r="B671" s="7"/>
      <c r="C671" s="7"/>
      <c r="D671" s="7"/>
      <c r="E671" s="11">
        <v>669</v>
      </c>
      <c r="F671" s="8"/>
      <c r="G671" s="8"/>
      <c r="H671" s="9"/>
      <c r="I671" s="10"/>
      <c r="J671" s="9"/>
      <c r="K671" s="10"/>
      <c r="L671" s="8"/>
      <c r="M671" s="8"/>
      <c r="N671" s="10"/>
      <c r="O671" s="10"/>
    </row>
    <row r="672" spans="1:15" ht="33.75" customHeight="1" x14ac:dyDescent="0.25">
      <c r="A672" s="7"/>
      <c r="B672" s="7"/>
      <c r="C672" s="7"/>
      <c r="D672" s="7"/>
      <c r="E672" s="11">
        <v>670</v>
      </c>
      <c r="F672" s="8"/>
      <c r="G672" s="8"/>
      <c r="H672" s="9"/>
      <c r="I672" s="10"/>
      <c r="J672" s="9"/>
      <c r="K672" s="10"/>
      <c r="L672" s="8"/>
      <c r="M672" s="8"/>
      <c r="N672" s="10"/>
      <c r="O672" s="10"/>
    </row>
    <row r="673" spans="1:15" ht="33.75" customHeight="1" x14ac:dyDescent="0.25">
      <c r="A673" s="7"/>
      <c r="B673" s="7"/>
      <c r="C673" s="7"/>
      <c r="D673" s="7"/>
      <c r="E673" s="11">
        <v>671</v>
      </c>
      <c r="F673" s="8"/>
      <c r="G673" s="8"/>
      <c r="H673" s="9"/>
      <c r="I673" s="10"/>
      <c r="J673" s="9"/>
      <c r="K673" s="10"/>
      <c r="L673" s="8"/>
      <c r="M673" s="8"/>
      <c r="N673" s="10"/>
      <c r="O673" s="10"/>
    </row>
    <row r="674" spans="1:15" ht="33.75" customHeight="1" x14ac:dyDescent="0.25">
      <c r="A674" s="7"/>
      <c r="B674" s="7"/>
      <c r="C674" s="7"/>
      <c r="D674" s="7"/>
      <c r="E674" s="11">
        <v>672</v>
      </c>
      <c r="F674" s="8"/>
      <c r="G674" s="8"/>
      <c r="H674" s="9"/>
      <c r="I674" s="10"/>
      <c r="J674" s="9"/>
      <c r="K674" s="10"/>
      <c r="L674" s="8"/>
      <c r="M674" s="8"/>
      <c r="N674" s="10"/>
      <c r="O674" s="10"/>
    </row>
    <row r="675" spans="1:15" ht="33.75" customHeight="1" x14ac:dyDescent="0.25">
      <c r="A675" s="7"/>
      <c r="B675" s="7"/>
      <c r="C675" s="7"/>
      <c r="D675" s="7"/>
      <c r="E675" s="11">
        <v>673</v>
      </c>
      <c r="F675" s="8"/>
      <c r="G675" s="8"/>
      <c r="H675" s="9"/>
      <c r="I675" s="10"/>
      <c r="J675" s="9"/>
      <c r="K675" s="10"/>
      <c r="L675" s="8"/>
      <c r="M675" s="8"/>
      <c r="N675" s="10"/>
      <c r="O675" s="10"/>
    </row>
    <row r="676" spans="1:15" ht="33.75" customHeight="1" x14ac:dyDescent="0.25">
      <c r="A676" s="7"/>
      <c r="B676" s="7"/>
      <c r="C676" s="7"/>
      <c r="D676" s="7"/>
      <c r="E676" s="11">
        <v>674</v>
      </c>
      <c r="F676" s="8"/>
      <c r="G676" s="8"/>
      <c r="H676" s="9"/>
      <c r="I676" s="10"/>
      <c r="J676" s="9"/>
      <c r="K676" s="10"/>
      <c r="L676" s="8"/>
      <c r="M676" s="8"/>
      <c r="N676" s="10"/>
      <c r="O676" s="10"/>
    </row>
    <row r="677" spans="1:15" ht="33.75" customHeight="1" x14ac:dyDescent="0.25">
      <c r="A677" s="7"/>
      <c r="B677" s="7"/>
      <c r="C677" s="7"/>
      <c r="D677" s="7"/>
      <c r="E677" s="11">
        <v>675</v>
      </c>
      <c r="F677" s="8"/>
      <c r="G677" s="8"/>
      <c r="H677" s="9"/>
      <c r="I677" s="10"/>
      <c r="J677" s="9"/>
      <c r="K677" s="10"/>
      <c r="L677" s="8"/>
      <c r="M677" s="8"/>
      <c r="N677" s="10"/>
      <c r="O677" s="10"/>
    </row>
    <row r="678" spans="1:15" ht="33.75" customHeight="1" x14ac:dyDescent="0.25">
      <c r="A678" s="7"/>
      <c r="B678" s="7"/>
      <c r="C678" s="7"/>
      <c r="D678" s="7"/>
      <c r="E678" s="11">
        <v>676</v>
      </c>
      <c r="F678" s="8"/>
      <c r="G678" s="8"/>
      <c r="H678" s="9"/>
      <c r="I678" s="10"/>
      <c r="J678" s="9"/>
      <c r="K678" s="10"/>
      <c r="L678" s="8"/>
      <c r="M678" s="8"/>
      <c r="N678" s="10"/>
      <c r="O678" s="10"/>
    </row>
    <row r="679" spans="1:15" ht="33.75" customHeight="1" x14ac:dyDescent="0.25">
      <c r="A679" s="7"/>
      <c r="B679" s="7"/>
      <c r="C679" s="7"/>
      <c r="D679" s="7"/>
      <c r="E679" s="11">
        <v>677</v>
      </c>
      <c r="F679" s="8"/>
      <c r="G679" s="8"/>
      <c r="H679" s="9"/>
      <c r="I679" s="10"/>
      <c r="J679" s="9"/>
      <c r="K679" s="10"/>
      <c r="L679" s="8"/>
      <c r="M679" s="8"/>
      <c r="N679" s="10"/>
      <c r="O679" s="10"/>
    </row>
    <row r="680" spans="1:15" ht="33.75" customHeight="1" x14ac:dyDescent="0.25">
      <c r="A680" s="7"/>
      <c r="B680" s="7"/>
      <c r="C680" s="7"/>
      <c r="D680" s="7"/>
      <c r="E680" s="11">
        <v>678</v>
      </c>
      <c r="F680" s="8"/>
      <c r="G680" s="8"/>
      <c r="H680" s="9"/>
      <c r="I680" s="10"/>
      <c r="J680" s="9"/>
      <c r="K680" s="10"/>
      <c r="L680" s="8"/>
      <c r="M680" s="8"/>
      <c r="N680" s="10"/>
      <c r="O680" s="10"/>
    </row>
    <row r="681" spans="1:15" ht="33.75" customHeight="1" x14ac:dyDescent="0.25">
      <c r="A681" s="7"/>
      <c r="B681" s="7"/>
      <c r="C681" s="7"/>
      <c r="D681" s="7"/>
      <c r="E681" s="11">
        <v>679</v>
      </c>
      <c r="F681" s="8"/>
      <c r="G681" s="8"/>
      <c r="H681" s="9"/>
      <c r="I681" s="10"/>
      <c r="J681" s="9"/>
      <c r="K681" s="10"/>
      <c r="L681" s="8"/>
      <c r="M681" s="8"/>
      <c r="N681" s="10"/>
      <c r="O681" s="10"/>
    </row>
    <row r="682" spans="1:15" ht="33.75" customHeight="1" x14ac:dyDescent="0.25">
      <c r="A682" s="7"/>
      <c r="B682" s="7"/>
      <c r="C682" s="7"/>
      <c r="D682" s="7"/>
      <c r="E682" s="11">
        <v>680</v>
      </c>
      <c r="F682" s="8"/>
      <c r="G682" s="8"/>
      <c r="H682" s="9"/>
      <c r="I682" s="10"/>
      <c r="J682" s="9"/>
      <c r="K682" s="10"/>
      <c r="L682" s="8"/>
      <c r="M682" s="8"/>
      <c r="N682" s="10"/>
      <c r="O682" s="10"/>
    </row>
    <row r="683" spans="1:15" ht="33.75" customHeight="1" x14ac:dyDescent="0.25">
      <c r="A683" s="7"/>
      <c r="B683" s="7"/>
      <c r="C683" s="7"/>
      <c r="D683" s="7"/>
      <c r="E683" s="11">
        <v>681</v>
      </c>
      <c r="F683" s="8"/>
      <c r="G683" s="8"/>
      <c r="H683" s="9"/>
      <c r="I683" s="10"/>
      <c r="J683" s="9"/>
      <c r="K683" s="10"/>
      <c r="L683" s="8"/>
      <c r="M683" s="8"/>
      <c r="N683" s="10"/>
      <c r="O683" s="10"/>
    </row>
    <row r="684" spans="1:15" ht="33.75" customHeight="1" x14ac:dyDescent="0.25">
      <c r="A684" s="7"/>
      <c r="B684" s="7"/>
      <c r="C684" s="7"/>
      <c r="D684" s="7"/>
      <c r="E684" s="11">
        <v>682</v>
      </c>
      <c r="F684" s="8"/>
      <c r="G684" s="8"/>
      <c r="H684" s="9"/>
      <c r="I684" s="10"/>
      <c r="J684" s="9"/>
      <c r="K684" s="10"/>
      <c r="L684" s="8"/>
      <c r="M684" s="8"/>
      <c r="N684" s="10"/>
      <c r="O684" s="10"/>
    </row>
    <row r="685" spans="1:15" ht="33.75" customHeight="1" x14ac:dyDescent="0.25">
      <c r="A685" s="7"/>
      <c r="B685" s="7"/>
      <c r="C685" s="7"/>
      <c r="D685" s="7"/>
      <c r="E685" s="11">
        <v>683</v>
      </c>
      <c r="F685" s="8"/>
      <c r="G685" s="8"/>
      <c r="H685" s="9"/>
      <c r="I685" s="10"/>
      <c r="J685" s="9"/>
      <c r="K685" s="10"/>
      <c r="L685" s="8"/>
      <c r="M685" s="8"/>
      <c r="N685" s="10"/>
      <c r="O685" s="10"/>
    </row>
    <row r="686" spans="1:15" ht="33.75" customHeight="1" x14ac:dyDescent="0.25">
      <c r="A686" s="7"/>
      <c r="B686" s="7"/>
      <c r="C686" s="7"/>
      <c r="D686" s="7"/>
      <c r="E686" s="11">
        <v>684</v>
      </c>
      <c r="F686" s="8"/>
      <c r="G686" s="8"/>
      <c r="H686" s="9"/>
      <c r="I686" s="10"/>
      <c r="J686" s="9"/>
      <c r="K686" s="10"/>
      <c r="L686" s="8"/>
      <c r="M686" s="8"/>
      <c r="N686" s="10"/>
      <c r="O686" s="10"/>
    </row>
    <row r="687" spans="1:15" ht="33.75" customHeight="1" x14ac:dyDescent="0.25">
      <c r="A687" s="7"/>
      <c r="B687" s="7"/>
      <c r="C687" s="7"/>
      <c r="D687" s="7"/>
      <c r="E687" s="11">
        <v>685</v>
      </c>
      <c r="F687" s="8"/>
      <c r="G687" s="8"/>
      <c r="H687" s="9"/>
      <c r="I687" s="10"/>
      <c r="J687" s="9"/>
      <c r="K687" s="10"/>
      <c r="L687" s="8"/>
      <c r="M687" s="8"/>
      <c r="N687" s="10"/>
      <c r="O687" s="10"/>
    </row>
    <row r="688" spans="1:15" ht="33.75" customHeight="1" x14ac:dyDescent="0.25">
      <c r="A688" s="7"/>
      <c r="B688" s="7"/>
      <c r="C688" s="7"/>
      <c r="D688" s="7"/>
      <c r="E688" s="11">
        <v>686</v>
      </c>
      <c r="F688" s="8"/>
      <c r="G688" s="8"/>
      <c r="H688" s="9"/>
      <c r="I688" s="10"/>
      <c r="J688" s="9"/>
      <c r="K688" s="10"/>
      <c r="L688" s="8"/>
      <c r="M688" s="8"/>
      <c r="N688" s="10"/>
      <c r="O688" s="10"/>
    </row>
    <row r="689" spans="1:15" ht="33.75" customHeight="1" x14ac:dyDescent="0.25">
      <c r="A689" s="7"/>
      <c r="B689" s="7"/>
      <c r="C689" s="7"/>
      <c r="D689" s="7"/>
      <c r="E689" s="11">
        <v>687</v>
      </c>
      <c r="F689" s="8"/>
      <c r="G689" s="8"/>
      <c r="H689" s="9"/>
      <c r="I689" s="10"/>
      <c r="J689" s="9"/>
      <c r="K689" s="10"/>
      <c r="L689" s="8"/>
      <c r="M689" s="8"/>
      <c r="N689" s="10"/>
      <c r="O689" s="10"/>
    </row>
    <row r="690" spans="1:15" ht="33.75" customHeight="1" x14ac:dyDescent="0.25">
      <c r="A690" s="7"/>
      <c r="B690" s="7"/>
      <c r="C690" s="7"/>
      <c r="D690" s="7"/>
      <c r="E690" s="11">
        <v>688</v>
      </c>
      <c r="F690" s="8"/>
      <c r="G690" s="8"/>
      <c r="H690" s="9"/>
      <c r="I690" s="10"/>
      <c r="J690" s="9"/>
      <c r="K690" s="10"/>
      <c r="L690" s="8"/>
      <c r="M690" s="8"/>
      <c r="N690" s="10"/>
      <c r="O690" s="10"/>
    </row>
    <row r="691" spans="1:15" ht="33.75" customHeight="1" x14ac:dyDescent="0.25">
      <c r="A691" s="7"/>
      <c r="B691" s="7"/>
      <c r="C691" s="7"/>
      <c r="D691" s="7"/>
      <c r="E691" s="11">
        <v>689</v>
      </c>
      <c r="F691" s="8"/>
      <c r="G691" s="8"/>
      <c r="H691" s="9"/>
      <c r="I691" s="10"/>
      <c r="J691" s="9"/>
      <c r="K691" s="10"/>
      <c r="L691" s="8"/>
      <c r="M691" s="8"/>
      <c r="N691" s="10"/>
      <c r="O691" s="10"/>
    </row>
    <row r="692" spans="1:15" ht="33.75" customHeight="1" x14ac:dyDescent="0.25">
      <c r="A692" s="7"/>
      <c r="B692" s="7"/>
      <c r="C692" s="7"/>
      <c r="D692" s="7"/>
      <c r="E692" s="11">
        <v>690</v>
      </c>
      <c r="F692" s="8"/>
      <c r="G692" s="8"/>
      <c r="H692" s="9"/>
      <c r="I692" s="10"/>
      <c r="J692" s="9"/>
      <c r="K692" s="10"/>
      <c r="L692" s="8"/>
      <c r="M692" s="8"/>
      <c r="N692" s="10"/>
      <c r="O692" s="10"/>
    </row>
    <row r="693" spans="1:15" ht="33.75" customHeight="1" x14ac:dyDescent="0.25">
      <c r="A693" s="7"/>
      <c r="B693" s="7"/>
      <c r="C693" s="7"/>
      <c r="D693" s="7"/>
      <c r="E693" s="11">
        <v>691</v>
      </c>
      <c r="F693" s="8"/>
      <c r="G693" s="8"/>
      <c r="H693" s="9"/>
      <c r="I693" s="10"/>
      <c r="J693" s="9"/>
      <c r="K693" s="10"/>
      <c r="L693" s="8"/>
      <c r="M693" s="8"/>
      <c r="N693" s="10"/>
      <c r="O693" s="10"/>
    </row>
    <row r="694" spans="1:15" ht="33.75" customHeight="1" x14ac:dyDescent="0.25">
      <c r="A694" s="7"/>
      <c r="B694" s="7"/>
      <c r="C694" s="7"/>
      <c r="D694" s="7"/>
      <c r="E694" s="11">
        <v>692</v>
      </c>
      <c r="F694" s="8"/>
      <c r="G694" s="8"/>
      <c r="H694" s="9"/>
      <c r="I694" s="10"/>
      <c r="J694" s="9"/>
      <c r="K694" s="10"/>
      <c r="L694" s="8"/>
      <c r="M694" s="8"/>
      <c r="N694" s="10"/>
      <c r="O694" s="10"/>
    </row>
    <row r="695" spans="1:15" ht="33.75" customHeight="1" x14ac:dyDescent="0.25">
      <c r="A695" s="7"/>
      <c r="B695" s="7"/>
      <c r="C695" s="7"/>
      <c r="D695" s="7"/>
      <c r="E695" s="11">
        <v>693</v>
      </c>
      <c r="F695" s="8"/>
      <c r="G695" s="8"/>
      <c r="H695" s="9"/>
      <c r="I695" s="10"/>
      <c r="J695" s="9"/>
      <c r="K695" s="10"/>
      <c r="L695" s="8"/>
      <c r="M695" s="8"/>
      <c r="N695" s="10"/>
      <c r="O695" s="10"/>
    </row>
    <row r="696" spans="1:15" ht="33.75" customHeight="1" x14ac:dyDescent="0.25">
      <c r="A696" s="7"/>
      <c r="B696" s="7"/>
      <c r="C696" s="7"/>
      <c r="D696" s="7"/>
      <c r="E696" s="11">
        <v>694</v>
      </c>
      <c r="F696" s="8"/>
      <c r="G696" s="8"/>
      <c r="H696" s="9"/>
      <c r="I696" s="10"/>
      <c r="J696" s="9"/>
      <c r="K696" s="10"/>
      <c r="L696" s="8"/>
      <c r="M696" s="8"/>
      <c r="N696" s="10"/>
      <c r="O696" s="10"/>
    </row>
    <row r="697" spans="1:15" ht="33.75" customHeight="1" x14ac:dyDescent="0.25">
      <c r="A697" s="7"/>
      <c r="B697" s="7"/>
      <c r="C697" s="7"/>
      <c r="D697" s="7"/>
      <c r="E697" s="11">
        <v>695</v>
      </c>
      <c r="F697" s="8"/>
      <c r="G697" s="8"/>
      <c r="H697" s="9"/>
      <c r="I697" s="10"/>
      <c r="J697" s="9"/>
      <c r="K697" s="10"/>
      <c r="L697" s="8"/>
      <c r="M697" s="8"/>
      <c r="N697" s="10"/>
      <c r="O697" s="10"/>
    </row>
    <row r="698" spans="1:15" ht="33.75" customHeight="1" x14ac:dyDescent="0.25">
      <c r="A698" s="7"/>
      <c r="B698" s="7"/>
      <c r="C698" s="7"/>
      <c r="D698" s="7"/>
      <c r="E698" s="11">
        <v>696</v>
      </c>
      <c r="F698" s="8"/>
      <c r="G698" s="8"/>
      <c r="H698" s="9"/>
      <c r="I698" s="10"/>
      <c r="J698" s="9"/>
      <c r="K698" s="10"/>
      <c r="L698" s="8"/>
      <c r="M698" s="8"/>
      <c r="N698" s="10"/>
      <c r="O698" s="10"/>
    </row>
    <row r="699" spans="1:15" ht="33.75" customHeight="1" x14ac:dyDescent="0.25">
      <c r="A699" s="7"/>
      <c r="B699" s="7"/>
      <c r="C699" s="7"/>
      <c r="D699" s="7"/>
      <c r="E699" s="11">
        <v>697</v>
      </c>
      <c r="F699" s="8"/>
      <c r="G699" s="8"/>
      <c r="H699" s="9"/>
      <c r="I699" s="10"/>
      <c r="J699" s="9"/>
      <c r="K699" s="10"/>
      <c r="L699" s="8"/>
      <c r="M699" s="8"/>
      <c r="N699" s="10"/>
      <c r="O699" s="10"/>
    </row>
    <row r="700" spans="1:15" ht="33.75" customHeight="1" x14ac:dyDescent="0.25">
      <c r="A700" s="7"/>
      <c r="B700" s="7"/>
      <c r="C700" s="7"/>
      <c r="D700" s="7"/>
      <c r="E700" s="11">
        <v>698</v>
      </c>
      <c r="F700" s="8"/>
      <c r="G700" s="8"/>
      <c r="H700" s="9"/>
      <c r="I700" s="10"/>
      <c r="J700" s="9"/>
      <c r="K700" s="10"/>
      <c r="L700" s="8"/>
      <c r="M700" s="8"/>
      <c r="N700" s="10"/>
      <c r="O700" s="10"/>
    </row>
    <row r="701" spans="1:15" ht="33.75" customHeight="1" x14ac:dyDescent="0.25">
      <c r="A701" s="7"/>
      <c r="B701" s="7"/>
      <c r="C701" s="7"/>
      <c r="D701" s="7"/>
      <c r="E701" s="11">
        <v>699</v>
      </c>
      <c r="F701" s="8"/>
      <c r="G701" s="8"/>
      <c r="H701" s="9"/>
      <c r="I701" s="10"/>
      <c r="J701" s="9"/>
      <c r="K701" s="10"/>
      <c r="L701" s="8"/>
      <c r="M701" s="8"/>
      <c r="N701" s="10"/>
      <c r="O701" s="10"/>
    </row>
    <row r="702" spans="1:15" ht="33.75" customHeight="1" x14ac:dyDescent="0.25">
      <c r="A702" s="7"/>
      <c r="B702" s="7"/>
      <c r="C702" s="7"/>
      <c r="D702" s="7"/>
      <c r="E702" s="11">
        <v>700</v>
      </c>
      <c r="F702" s="8"/>
      <c r="G702" s="8"/>
      <c r="H702" s="9"/>
      <c r="I702" s="10"/>
      <c r="J702" s="9"/>
      <c r="K702" s="10"/>
      <c r="L702" s="8"/>
      <c r="M702" s="8"/>
      <c r="N702" s="10"/>
      <c r="O702" s="10"/>
    </row>
    <row r="703" spans="1:15" ht="33.75" customHeight="1" x14ac:dyDescent="0.25">
      <c r="A703" s="7"/>
      <c r="B703" s="7"/>
      <c r="C703" s="7"/>
      <c r="D703" s="7"/>
      <c r="E703" s="11">
        <v>701</v>
      </c>
      <c r="F703" s="8"/>
      <c r="G703" s="8"/>
      <c r="H703" s="9"/>
      <c r="I703" s="10"/>
      <c r="J703" s="9"/>
      <c r="K703" s="10"/>
      <c r="L703" s="8"/>
      <c r="M703" s="8"/>
      <c r="N703" s="10"/>
      <c r="O703" s="10"/>
    </row>
    <row r="704" spans="1:15" ht="33.75" customHeight="1" x14ac:dyDescent="0.25">
      <c r="A704" s="7"/>
      <c r="B704" s="7"/>
      <c r="C704" s="7"/>
      <c r="D704" s="7"/>
      <c r="E704" s="11">
        <v>702</v>
      </c>
      <c r="F704" s="8"/>
      <c r="G704" s="8"/>
      <c r="H704" s="9"/>
      <c r="I704" s="10"/>
      <c r="J704" s="9"/>
      <c r="K704" s="10"/>
      <c r="L704" s="8"/>
      <c r="M704" s="8"/>
      <c r="N704" s="10"/>
      <c r="O704" s="10"/>
    </row>
    <row r="705" spans="1:15" ht="33.75" customHeight="1" x14ac:dyDescent="0.25">
      <c r="A705" s="7"/>
      <c r="B705" s="7"/>
      <c r="C705" s="7"/>
      <c r="D705" s="7"/>
      <c r="E705" s="11">
        <v>703</v>
      </c>
      <c r="F705" s="8"/>
      <c r="G705" s="8"/>
      <c r="H705" s="9"/>
      <c r="I705" s="10"/>
      <c r="J705" s="9"/>
      <c r="K705" s="10"/>
      <c r="L705" s="8"/>
      <c r="M705" s="8"/>
      <c r="N705" s="10"/>
      <c r="O705" s="10"/>
    </row>
    <row r="706" spans="1:15" ht="33.75" customHeight="1" x14ac:dyDescent="0.25">
      <c r="A706" s="7"/>
      <c r="B706" s="7"/>
      <c r="C706" s="7"/>
      <c r="D706" s="7"/>
      <c r="E706" s="11">
        <v>704</v>
      </c>
      <c r="F706" s="8"/>
      <c r="G706" s="8"/>
      <c r="H706" s="9"/>
      <c r="I706" s="10"/>
      <c r="J706" s="9"/>
      <c r="K706" s="10"/>
      <c r="L706" s="8"/>
      <c r="M706" s="8"/>
      <c r="N706" s="10"/>
      <c r="O706" s="10"/>
    </row>
    <row r="707" spans="1:15" ht="33.75" customHeight="1" x14ac:dyDescent="0.25">
      <c r="A707" s="7"/>
      <c r="B707" s="7"/>
      <c r="C707" s="7"/>
      <c r="D707" s="7"/>
      <c r="E707" s="11">
        <v>705</v>
      </c>
      <c r="F707" s="8"/>
      <c r="G707" s="8"/>
      <c r="H707" s="9"/>
      <c r="I707" s="10"/>
      <c r="J707" s="9"/>
      <c r="K707" s="10"/>
      <c r="L707" s="8"/>
      <c r="M707" s="8"/>
      <c r="N707" s="10"/>
      <c r="O707" s="10"/>
    </row>
    <row r="708" spans="1:15" ht="33.75" customHeight="1" x14ac:dyDescent="0.25">
      <c r="A708" s="7"/>
      <c r="B708" s="7"/>
      <c r="C708" s="7"/>
      <c r="D708" s="7"/>
      <c r="E708" s="11">
        <v>706</v>
      </c>
      <c r="F708" s="8"/>
      <c r="G708" s="8"/>
      <c r="H708" s="9"/>
      <c r="I708" s="10"/>
      <c r="J708" s="9"/>
      <c r="K708" s="10"/>
      <c r="L708" s="8"/>
      <c r="M708" s="8"/>
      <c r="N708" s="10"/>
      <c r="O708" s="10"/>
    </row>
    <row r="709" spans="1:15" ht="33.75" customHeight="1" x14ac:dyDescent="0.25">
      <c r="A709" s="7"/>
      <c r="B709" s="7"/>
      <c r="C709" s="7"/>
      <c r="D709" s="7"/>
      <c r="E709" s="11">
        <v>707</v>
      </c>
      <c r="F709" s="8"/>
      <c r="G709" s="8"/>
      <c r="H709" s="9"/>
      <c r="I709" s="10"/>
      <c r="J709" s="9"/>
      <c r="K709" s="10"/>
      <c r="L709" s="8"/>
      <c r="M709" s="8"/>
      <c r="N709" s="10"/>
      <c r="O709" s="10"/>
    </row>
    <row r="710" spans="1:15" ht="33.75" customHeight="1" x14ac:dyDescent="0.25">
      <c r="A710" s="7"/>
      <c r="B710" s="7"/>
      <c r="C710" s="7"/>
      <c r="D710" s="7"/>
      <c r="E710" s="11">
        <v>708</v>
      </c>
      <c r="F710" s="8"/>
      <c r="G710" s="8"/>
      <c r="H710" s="9"/>
      <c r="I710" s="10"/>
      <c r="J710" s="9"/>
      <c r="K710" s="10"/>
      <c r="L710" s="8"/>
      <c r="M710" s="8"/>
      <c r="N710" s="10"/>
      <c r="O710" s="10"/>
    </row>
    <row r="711" spans="1:15" ht="33.75" customHeight="1" x14ac:dyDescent="0.25">
      <c r="A711" s="7"/>
      <c r="B711" s="7"/>
      <c r="C711" s="7"/>
      <c r="D711" s="7"/>
      <c r="E711" s="11">
        <v>709</v>
      </c>
      <c r="F711" s="8"/>
      <c r="G711" s="8"/>
      <c r="H711" s="9"/>
      <c r="I711" s="10"/>
      <c r="J711" s="9"/>
      <c r="K711" s="10"/>
      <c r="L711" s="8"/>
      <c r="M711" s="8"/>
      <c r="N711" s="10"/>
      <c r="O711" s="10"/>
    </row>
    <row r="712" spans="1:15" ht="33.75" customHeight="1" x14ac:dyDescent="0.25">
      <c r="A712" s="7"/>
      <c r="B712" s="7"/>
      <c r="C712" s="7"/>
      <c r="D712" s="7"/>
      <c r="E712" s="11">
        <v>710</v>
      </c>
      <c r="F712" s="8"/>
      <c r="G712" s="8"/>
      <c r="H712" s="9"/>
      <c r="I712" s="10"/>
      <c r="J712" s="9"/>
      <c r="K712" s="10"/>
      <c r="L712" s="8"/>
      <c r="M712" s="8"/>
      <c r="N712" s="10"/>
      <c r="O712" s="10"/>
    </row>
    <row r="713" spans="1:15" ht="33.75" customHeight="1" x14ac:dyDescent="0.25">
      <c r="A713" s="7"/>
      <c r="B713" s="7"/>
      <c r="C713" s="7"/>
      <c r="D713" s="7"/>
      <c r="E713" s="11">
        <v>711</v>
      </c>
      <c r="F713" s="8"/>
      <c r="G713" s="8"/>
      <c r="H713" s="9"/>
      <c r="I713" s="10"/>
      <c r="J713" s="9"/>
      <c r="K713" s="10"/>
      <c r="L713" s="8"/>
      <c r="M713" s="8"/>
      <c r="N713" s="10"/>
      <c r="O713" s="10"/>
    </row>
    <row r="714" spans="1:15" ht="33.75" customHeight="1" x14ac:dyDescent="0.25">
      <c r="A714" s="7"/>
      <c r="B714" s="7"/>
      <c r="C714" s="7"/>
      <c r="D714" s="7"/>
      <c r="E714" s="11">
        <v>712</v>
      </c>
      <c r="F714" s="8"/>
      <c r="G714" s="8"/>
      <c r="H714" s="9"/>
      <c r="I714" s="10"/>
      <c r="J714" s="9"/>
      <c r="K714" s="10"/>
      <c r="L714" s="8"/>
      <c r="M714" s="8"/>
      <c r="N714" s="10"/>
      <c r="O714" s="10"/>
    </row>
    <row r="715" spans="1:15" ht="33.75" customHeight="1" x14ac:dyDescent="0.25">
      <c r="A715" s="7"/>
      <c r="B715" s="7"/>
      <c r="C715" s="7"/>
      <c r="D715" s="7"/>
      <c r="E715" s="11">
        <v>713</v>
      </c>
      <c r="F715" s="8"/>
      <c r="G715" s="8"/>
      <c r="H715" s="9"/>
      <c r="I715" s="10"/>
      <c r="J715" s="9"/>
      <c r="K715" s="10"/>
      <c r="L715" s="8"/>
      <c r="M715" s="8"/>
      <c r="N715" s="10"/>
      <c r="O715" s="10"/>
    </row>
    <row r="716" spans="1:15" ht="33.75" customHeight="1" x14ac:dyDescent="0.25">
      <c r="A716" s="7"/>
      <c r="B716" s="7"/>
      <c r="C716" s="7"/>
      <c r="D716" s="7"/>
      <c r="E716" s="11">
        <v>714</v>
      </c>
      <c r="F716" s="8"/>
      <c r="G716" s="8"/>
      <c r="H716" s="9"/>
      <c r="I716" s="10"/>
      <c r="J716" s="9"/>
      <c r="K716" s="10"/>
      <c r="L716" s="8"/>
      <c r="M716" s="8"/>
      <c r="N716" s="10"/>
      <c r="O716" s="10"/>
    </row>
    <row r="717" spans="1:15" ht="33.75" customHeight="1" x14ac:dyDescent="0.25">
      <c r="A717" s="7"/>
      <c r="B717" s="7"/>
      <c r="C717" s="7"/>
      <c r="D717" s="7"/>
      <c r="E717" s="11">
        <v>715</v>
      </c>
      <c r="F717" s="8"/>
      <c r="G717" s="8"/>
      <c r="H717" s="9"/>
      <c r="I717" s="10"/>
      <c r="J717" s="9"/>
      <c r="K717" s="10"/>
      <c r="L717" s="8"/>
      <c r="M717" s="8"/>
      <c r="N717" s="10"/>
      <c r="O717" s="10"/>
    </row>
    <row r="718" spans="1:15" ht="33.75" customHeight="1" x14ac:dyDescent="0.25">
      <c r="A718" s="7"/>
      <c r="B718" s="7"/>
      <c r="C718" s="7"/>
      <c r="D718" s="7"/>
      <c r="E718" s="11">
        <v>716</v>
      </c>
      <c r="F718" s="8"/>
      <c r="G718" s="8"/>
      <c r="H718" s="9"/>
      <c r="I718" s="10"/>
      <c r="J718" s="9"/>
      <c r="K718" s="10"/>
      <c r="L718" s="8"/>
      <c r="M718" s="8"/>
      <c r="N718" s="10"/>
      <c r="O718" s="10"/>
    </row>
    <row r="719" spans="1:15" ht="33.75" customHeight="1" x14ac:dyDescent="0.25">
      <c r="A719" s="7"/>
      <c r="B719" s="7"/>
      <c r="C719" s="7"/>
      <c r="D719" s="7"/>
      <c r="E719" s="11">
        <v>717</v>
      </c>
      <c r="F719" s="8"/>
      <c r="G719" s="8"/>
      <c r="H719" s="9"/>
      <c r="I719" s="10"/>
      <c r="J719" s="9"/>
      <c r="K719" s="10"/>
      <c r="L719" s="8"/>
      <c r="M719" s="8"/>
      <c r="N719" s="10"/>
      <c r="O719" s="10"/>
    </row>
    <row r="720" spans="1:15" ht="33.75" customHeight="1" x14ac:dyDescent="0.25">
      <c r="A720" s="7"/>
      <c r="B720" s="7"/>
      <c r="C720" s="7"/>
      <c r="D720" s="7"/>
      <c r="E720" s="11">
        <v>718</v>
      </c>
      <c r="F720" s="8"/>
      <c r="G720" s="8"/>
      <c r="H720" s="9"/>
      <c r="I720" s="10"/>
      <c r="J720" s="9"/>
      <c r="K720" s="10"/>
      <c r="L720" s="8"/>
      <c r="M720" s="8"/>
      <c r="N720" s="10"/>
      <c r="O720" s="10"/>
    </row>
    <row r="721" spans="1:15" ht="33.75" customHeight="1" x14ac:dyDescent="0.25">
      <c r="A721" s="7"/>
      <c r="B721" s="7"/>
      <c r="C721" s="7"/>
      <c r="D721" s="7"/>
      <c r="E721" s="11">
        <v>719</v>
      </c>
      <c r="F721" s="8"/>
      <c r="G721" s="8"/>
      <c r="H721" s="9"/>
      <c r="I721" s="10"/>
      <c r="J721" s="9"/>
      <c r="K721" s="10"/>
      <c r="L721" s="8"/>
      <c r="M721" s="8"/>
      <c r="N721" s="10"/>
      <c r="O721" s="10"/>
    </row>
    <row r="722" spans="1:15" ht="33.75" customHeight="1" x14ac:dyDescent="0.25">
      <c r="A722" s="7"/>
      <c r="B722" s="7"/>
      <c r="C722" s="7"/>
      <c r="D722" s="7"/>
      <c r="E722" s="11">
        <v>720</v>
      </c>
      <c r="F722" s="8"/>
      <c r="G722" s="8"/>
      <c r="H722" s="9"/>
      <c r="I722" s="10"/>
      <c r="J722" s="9"/>
      <c r="K722" s="10"/>
      <c r="L722" s="8"/>
      <c r="M722" s="8"/>
      <c r="N722" s="10"/>
      <c r="O722" s="10"/>
    </row>
    <row r="723" spans="1:15" ht="33.75" customHeight="1" x14ac:dyDescent="0.25">
      <c r="A723" s="7"/>
      <c r="B723" s="7"/>
      <c r="C723" s="7"/>
      <c r="D723" s="7"/>
      <c r="E723" s="11">
        <v>721</v>
      </c>
      <c r="F723" s="8"/>
      <c r="G723" s="8"/>
      <c r="H723" s="9"/>
      <c r="I723" s="10"/>
      <c r="J723" s="9"/>
      <c r="K723" s="10"/>
      <c r="L723" s="8"/>
      <c r="M723" s="8"/>
      <c r="N723" s="10"/>
      <c r="O723" s="10"/>
    </row>
    <row r="724" spans="1:15" ht="33.75" customHeight="1" x14ac:dyDescent="0.25">
      <c r="A724" s="7"/>
      <c r="B724" s="7"/>
      <c r="C724" s="7"/>
      <c r="D724" s="7"/>
      <c r="E724" s="11">
        <v>722</v>
      </c>
      <c r="F724" s="8"/>
      <c r="G724" s="8"/>
      <c r="H724" s="9"/>
      <c r="I724" s="10"/>
      <c r="J724" s="9"/>
      <c r="K724" s="10"/>
      <c r="L724" s="8"/>
      <c r="M724" s="8"/>
      <c r="N724" s="10"/>
      <c r="O724" s="10"/>
    </row>
    <row r="725" spans="1:15" ht="33.75" customHeight="1" x14ac:dyDescent="0.25">
      <c r="A725" s="7"/>
      <c r="B725" s="7"/>
      <c r="C725" s="7"/>
      <c r="D725" s="7"/>
      <c r="E725" s="11">
        <v>723</v>
      </c>
      <c r="F725" s="8"/>
      <c r="G725" s="8"/>
      <c r="H725" s="9"/>
      <c r="I725" s="10"/>
      <c r="J725" s="9"/>
      <c r="K725" s="10"/>
      <c r="L725" s="8"/>
      <c r="M725" s="8"/>
      <c r="N725" s="10"/>
      <c r="O725" s="10"/>
    </row>
    <row r="726" spans="1:15" ht="33.75" customHeight="1" x14ac:dyDescent="0.25">
      <c r="A726" s="7"/>
      <c r="B726" s="7"/>
      <c r="C726" s="7"/>
      <c r="D726" s="7"/>
      <c r="E726" s="11">
        <v>724</v>
      </c>
      <c r="F726" s="8"/>
      <c r="G726" s="8"/>
      <c r="H726" s="9"/>
      <c r="I726" s="10"/>
      <c r="J726" s="9"/>
      <c r="K726" s="10"/>
      <c r="L726" s="8"/>
      <c r="M726" s="8"/>
      <c r="N726" s="10"/>
      <c r="O726" s="10"/>
    </row>
    <row r="727" spans="1:15" ht="33.75" customHeight="1" x14ac:dyDescent="0.25">
      <c r="A727" s="7"/>
      <c r="B727" s="7"/>
      <c r="C727" s="7"/>
      <c r="D727" s="7"/>
      <c r="E727" s="11">
        <v>725</v>
      </c>
      <c r="F727" s="8"/>
      <c r="G727" s="8"/>
      <c r="H727" s="9"/>
      <c r="I727" s="10"/>
      <c r="J727" s="9"/>
      <c r="K727" s="10"/>
      <c r="L727" s="8"/>
      <c r="M727" s="8"/>
      <c r="N727" s="10"/>
      <c r="O727" s="10"/>
    </row>
    <row r="728" spans="1:15" ht="33.75" customHeight="1" x14ac:dyDescent="0.25">
      <c r="A728" s="7"/>
      <c r="B728" s="7"/>
      <c r="C728" s="7"/>
      <c r="D728" s="7"/>
      <c r="E728" s="11">
        <v>726</v>
      </c>
      <c r="F728" s="8"/>
      <c r="G728" s="8"/>
      <c r="H728" s="9"/>
      <c r="I728" s="10"/>
      <c r="J728" s="9"/>
      <c r="K728" s="10"/>
      <c r="L728" s="8"/>
      <c r="M728" s="8"/>
      <c r="N728" s="10"/>
      <c r="O728" s="10"/>
    </row>
    <row r="729" spans="1:15" ht="33.75" customHeight="1" x14ac:dyDescent="0.25">
      <c r="A729" s="7"/>
      <c r="B729" s="7"/>
      <c r="C729" s="7"/>
      <c r="D729" s="7"/>
      <c r="E729" s="11">
        <v>727</v>
      </c>
      <c r="F729" s="8"/>
      <c r="G729" s="8"/>
      <c r="H729" s="9"/>
      <c r="I729" s="10"/>
      <c r="J729" s="9"/>
      <c r="K729" s="10"/>
      <c r="L729" s="8"/>
      <c r="M729" s="8"/>
      <c r="N729" s="10"/>
      <c r="O729" s="10"/>
    </row>
    <row r="730" spans="1:15" ht="33.75" customHeight="1" x14ac:dyDescent="0.25">
      <c r="A730" s="7"/>
      <c r="B730" s="7"/>
      <c r="C730" s="7"/>
      <c r="D730" s="7"/>
      <c r="E730" s="11">
        <v>728</v>
      </c>
      <c r="F730" s="8"/>
      <c r="G730" s="8"/>
      <c r="H730" s="9"/>
      <c r="I730" s="10"/>
      <c r="J730" s="9"/>
      <c r="K730" s="10"/>
      <c r="L730" s="8"/>
      <c r="M730" s="8"/>
      <c r="N730" s="10"/>
      <c r="O730" s="10"/>
    </row>
    <row r="731" spans="1:15" ht="33.75" customHeight="1" x14ac:dyDescent="0.25">
      <c r="A731" s="7"/>
      <c r="B731" s="7"/>
      <c r="C731" s="7"/>
      <c r="D731" s="7"/>
      <c r="E731" s="11">
        <v>729</v>
      </c>
      <c r="F731" s="8"/>
      <c r="G731" s="8"/>
      <c r="H731" s="9"/>
      <c r="I731" s="10"/>
      <c r="J731" s="9"/>
      <c r="K731" s="10"/>
      <c r="L731" s="8"/>
      <c r="M731" s="8"/>
      <c r="N731" s="10"/>
      <c r="O731" s="10"/>
    </row>
    <row r="732" spans="1:15" ht="33.75" customHeight="1" x14ac:dyDescent="0.25">
      <c r="A732" s="7"/>
      <c r="B732" s="7"/>
      <c r="C732" s="7"/>
      <c r="D732" s="7"/>
      <c r="E732" s="11">
        <v>730</v>
      </c>
      <c r="F732" s="8"/>
      <c r="G732" s="8"/>
      <c r="H732" s="9"/>
      <c r="I732" s="10"/>
      <c r="J732" s="9"/>
      <c r="K732" s="10"/>
      <c r="L732" s="8"/>
      <c r="M732" s="8"/>
      <c r="N732" s="10"/>
      <c r="O732" s="10"/>
    </row>
    <row r="733" spans="1:15" ht="33.75" customHeight="1" x14ac:dyDescent="0.25">
      <c r="A733" s="7"/>
      <c r="B733" s="7"/>
      <c r="C733" s="7"/>
      <c r="D733" s="7"/>
      <c r="E733" s="11">
        <v>731</v>
      </c>
      <c r="F733" s="8"/>
      <c r="G733" s="8"/>
      <c r="H733" s="9"/>
      <c r="I733" s="10"/>
      <c r="J733" s="9"/>
      <c r="K733" s="10"/>
      <c r="L733" s="8"/>
      <c r="M733" s="8"/>
      <c r="N733" s="10"/>
      <c r="O733" s="10"/>
    </row>
    <row r="734" spans="1:15" ht="33.75" customHeight="1" x14ac:dyDescent="0.25">
      <c r="A734" s="7"/>
      <c r="B734" s="7"/>
      <c r="C734" s="7"/>
      <c r="D734" s="7"/>
      <c r="E734" s="11">
        <v>732</v>
      </c>
      <c r="F734" s="8"/>
      <c r="G734" s="8"/>
      <c r="H734" s="9"/>
      <c r="I734" s="10"/>
      <c r="J734" s="9"/>
      <c r="K734" s="10"/>
      <c r="L734" s="8"/>
      <c r="M734" s="8"/>
      <c r="N734" s="10"/>
      <c r="O734" s="10"/>
    </row>
    <row r="735" spans="1:15" ht="33.75" customHeight="1" x14ac:dyDescent="0.25">
      <c r="A735" s="7"/>
      <c r="B735" s="7"/>
      <c r="C735" s="7"/>
      <c r="D735" s="7"/>
      <c r="E735" s="11">
        <v>733</v>
      </c>
      <c r="F735" s="8"/>
      <c r="G735" s="8"/>
      <c r="H735" s="9"/>
      <c r="I735" s="10"/>
      <c r="J735" s="9"/>
      <c r="K735" s="10"/>
      <c r="L735" s="8"/>
      <c r="M735" s="8"/>
      <c r="N735" s="10"/>
      <c r="O735" s="10"/>
    </row>
    <row r="736" spans="1:15" ht="33.75" customHeight="1" x14ac:dyDescent="0.25">
      <c r="A736" s="7"/>
      <c r="B736" s="7"/>
      <c r="C736" s="7"/>
      <c r="D736" s="7"/>
      <c r="E736" s="11">
        <v>734</v>
      </c>
      <c r="F736" s="8"/>
      <c r="G736" s="8"/>
      <c r="H736" s="9"/>
      <c r="I736" s="10"/>
      <c r="J736" s="9"/>
      <c r="K736" s="10"/>
      <c r="L736" s="8"/>
      <c r="M736" s="8"/>
      <c r="N736" s="10"/>
      <c r="O736" s="10"/>
    </row>
    <row r="737" spans="1:15" ht="33.75" customHeight="1" x14ac:dyDescent="0.25">
      <c r="A737" s="7"/>
      <c r="B737" s="7"/>
      <c r="C737" s="7"/>
      <c r="D737" s="7"/>
      <c r="E737" s="11">
        <v>735</v>
      </c>
      <c r="F737" s="8"/>
      <c r="G737" s="8"/>
      <c r="H737" s="9"/>
      <c r="I737" s="10"/>
      <c r="J737" s="9"/>
      <c r="K737" s="10"/>
      <c r="L737" s="8"/>
      <c r="M737" s="8"/>
      <c r="N737" s="10"/>
      <c r="O737" s="10"/>
    </row>
    <row r="738" spans="1:15" ht="33.75" customHeight="1" x14ac:dyDescent="0.25">
      <c r="A738" s="7"/>
      <c r="B738" s="7"/>
      <c r="C738" s="7"/>
      <c r="D738" s="7"/>
      <c r="E738" s="11">
        <v>736</v>
      </c>
      <c r="F738" s="8"/>
      <c r="G738" s="8"/>
      <c r="H738" s="9"/>
      <c r="I738" s="10"/>
      <c r="J738" s="9"/>
      <c r="K738" s="10"/>
      <c r="L738" s="8"/>
      <c r="M738" s="8"/>
      <c r="N738" s="10"/>
      <c r="O738" s="10"/>
    </row>
    <row r="739" spans="1:15" ht="33.75" customHeight="1" x14ac:dyDescent="0.25">
      <c r="A739" s="7"/>
      <c r="B739" s="7"/>
      <c r="C739" s="7"/>
      <c r="D739" s="7"/>
      <c r="E739" s="11">
        <v>737</v>
      </c>
      <c r="F739" s="8"/>
      <c r="G739" s="8"/>
      <c r="H739" s="9"/>
      <c r="I739" s="10"/>
      <c r="J739" s="9"/>
      <c r="K739" s="10"/>
      <c r="L739" s="8"/>
      <c r="M739" s="8"/>
      <c r="N739" s="10"/>
      <c r="O739" s="10"/>
    </row>
    <row r="740" spans="1:15" ht="33.75" customHeight="1" x14ac:dyDescent="0.25">
      <c r="A740" s="7"/>
      <c r="B740" s="7"/>
      <c r="C740" s="7"/>
      <c r="D740" s="7"/>
      <c r="E740" s="11">
        <v>738</v>
      </c>
      <c r="F740" s="8"/>
      <c r="G740" s="8"/>
      <c r="H740" s="9"/>
      <c r="I740" s="10"/>
      <c r="J740" s="9"/>
      <c r="K740" s="10"/>
      <c r="L740" s="8"/>
      <c r="M740" s="8"/>
      <c r="N740" s="10"/>
      <c r="O740" s="10"/>
    </row>
    <row r="741" spans="1:15" ht="33.75" customHeight="1" x14ac:dyDescent="0.25">
      <c r="A741" s="7"/>
      <c r="B741" s="7"/>
      <c r="C741" s="7"/>
      <c r="D741" s="7"/>
      <c r="E741" s="11">
        <v>739</v>
      </c>
      <c r="F741" s="8"/>
      <c r="G741" s="8"/>
      <c r="H741" s="9"/>
      <c r="I741" s="10"/>
      <c r="J741" s="9"/>
      <c r="K741" s="10"/>
      <c r="L741" s="8"/>
      <c r="M741" s="8"/>
      <c r="N741" s="10"/>
      <c r="O741" s="10"/>
    </row>
    <row r="742" spans="1:15" ht="33.75" customHeight="1" x14ac:dyDescent="0.25">
      <c r="A742" s="7"/>
      <c r="B742" s="7"/>
      <c r="C742" s="7"/>
      <c r="D742" s="7"/>
      <c r="E742" s="11">
        <v>740</v>
      </c>
      <c r="F742" s="8"/>
      <c r="G742" s="8"/>
      <c r="H742" s="9"/>
      <c r="I742" s="10"/>
      <c r="J742" s="9"/>
      <c r="K742" s="10"/>
      <c r="L742" s="8"/>
      <c r="M742" s="8"/>
      <c r="N742" s="10"/>
      <c r="O742" s="10"/>
    </row>
    <row r="743" spans="1:15" ht="33.75" customHeight="1" x14ac:dyDescent="0.25">
      <c r="A743" s="7"/>
      <c r="B743" s="7"/>
      <c r="C743" s="7"/>
      <c r="D743" s="7"/>
      <c r="E743" s="11">
        <v>741</v>
      </c>
      <c r="F743" s="8"/>
      <c r="G743" s="8"/>
      <c r="H743" s="9"/>
      <c r="I743" s="10"/>
      <c r="J743" s="9"/>
      <c r="K743" s="10"/>
      <c r="L743" s="8"/>
      <c r="M743" s="8"/>
      <c r="N743" s="10"/>
      <c r="O743" s="10"/>
    </row>
    <row r="744" spans="1:15" ht="33.75" customHeight="1" x14ac:dyDescent="0.25">
      <c r="A744" s="7"/>
      <c r="B744" s="7"/>
      <c r="C744" s="7"/>
      <c r="D744" s="7"/>
      <c r="E744" s="11">
        <v>742</v>
      </c>
      <c r="F744" s="8"/>
      <c r="G744" s="8"/>
      <c r="H744" s="9"/>
      <c r="I744" s="10"/>
      <c r="J744" s="9"/>
      <c r="K744" s="10"/>
      <c r="L744" s="8"/>
      <c r="M744" s="8"/>
      <c r="N744" s="10"/>
      <c r="O744" s="10"/>
    </row>
    <row r="745" spans="1:15" ht="33.75" customHeight="1" x14ac:dyDescent="0.25">
      <c r="A745" s="7"/>
      <c r="B745" s="7"/>
      <c r="C745" s="7"/>
      <c r="D745" s="7"/>
      <c r="E745" s="11">
        <v>743</v>
      </c>
      <c r="F745" s="8"/>
      <c r="G745" s="8"/>
      <c r="H745" s="9"/>
      <c r="I745" s="10"/>
      <c r="J745" s="9"/>
      <c r="K745" s="10"/>
      <c r="L745" s="8"/>
      <c r="M745" s="8"/>
      <c r="N745" s="10"/>
      <c r="O745" s="10"/>
    </row>
    <row r="746" spans="1:15" ht="33.75" customHeight="1" x14ac:dyDescent="0.25">
      <c r="A746" s="7"/>
      <c r="B746" s="7"/>
      <c r="C746" s="7"/>
      <c r="D746" s="7"/>
      <c r="E746" s="11">
        <v>744</v>
      </c>
      <c r="F746" s="8"/>
      <c r="G746" s="8"/>
      <c r="H746" s="9"/>
      <c r="I746" s="10"/>
      <c r="J746" s="9"/>
      <c r="K746" s="10"/>
      <c r="L746" s="8"/>
      <c r="M746" s="8"/>
      <c r="N746" s="10"/>
      <c r="O746" s="10"/>
    </row>
    <row r="747" spans="1:15" ht="33.75" customHeight="1" x14ac:dyDescent="0.25">
      <c r="A747" s="7"/>
      <c r="B747" s="7"/>
      <c r="C747" s="7"/>
      <c r="D747" s="7"/>
      <c r="E747" s="11">
        <v>745</v>
      </c>
      <c r="F747" s="8"/>
      <c r="G747" s="8"/>
      <c r="H747" s="9"/>
      <c r="I747" s="10"/>
      <c r="J747" s="9"/>
      <c r="K747" s="10"/>
      <c r="L747" s="8"/>
      <c r="M747" s="8"/>
      <c r="N747" s="10"/>
      <c r="O747" s="10"/>
    </row>
    <row r="748" spans="1:15" ht="33.75" customHeight="1" x14ac:dyDescent="0.25">
      <c r="A748" s="7"/>
      <c r="B748" s="7"/>
      <c r="C748" s="7"/>
      <c r="D748" s="7"/>
      <c r="E748" s="11">
        <v>746</v>
      </c>
      <c r="F748" s="8"/>
      <c r="G748" s="8"/>
      <c r="H748" s="9"/>
      <c r="I748" s="10"/>
      <c r="J748" s="9"/>
      <c r="K748" s="10"/>
      <c r="L748" s="8"/>
      <c r="M748" s="8"/>
      <c r="N748" s="10"/>
      <c r="O748" s="10"/>
    </row>
    <row r="749" spans="1:15" ht="33.75" customHeight="1" x14ac:dyDescent="0.25">
      <c r="A749" s="7"/>
      <c r="B749" s="7"/>
      <c r="C749" s="7"/>
      <c r="D749" s="7"/>
      <c r="E749" s="11">
        <v>747</v>
      </c>
      <c r="F749" s="8"/>
      <c r="G749" s="8"/>
      <c r="H749" s="9"/>
      <c r="I749" s="10"/>
      <c r="J749" s="9"/>
      <c r="K749" s="10"/>
      <c r="L749" s="8"/>
      <c r="M749" s="8"/>
      <c r="N749" s="10"/>
      <c r="O749" s="10"/>
    </row>
    <row r="750" spans="1:15" ht="33.75" customHeight="1" x14ac:dyDescent="0.25">
      <c r="A750" s="7"/>
      <c r="B750" s="7"/>
      <c r="C750" s="7"/>
      <c r="D750" s="7"/>
      <c r="E750" s="11">
        <v>748</v>
      </c>
      <c r="F750" s="8"/>
      <c r="G750" s="8"/>
      <c r="H750" s="9"/>
      <c r="I750" s="10"/>
      <c r="J750" s="9"/>
      <c r="K750" s="10"/>
      <c r="L750" s="8"/>
      <c r="M750" s="8"/>
      <c r="N750" s="10"/>
      <c r="O750" s="10"/>
    </row>
    <row r="751" spans="1:15" ht="33.75" customHeight="1" x14ac:dyDescent="0.25">
      <c r="A751" s="7"/>
      <c r="B751" s="7"/>
      <c r="C751" s="7"/>
      <c r="D751" s="7"/>
      <c r="E751" s="11">
        <v>749</v>
      </c>
      <c r="F751" s="8"/>
      <c r="G751" s="8"/>
      <c r="H751" s="9"/>
      <c r="I751" s="10"/>
      <c r="J751" s="9"/>
      <c r="K751" s="10"/>
      <c r="L751" s="8"/>
      <c r="M751" s="8"/>
      <c r="N751" s="10"/>
      <c r="O751" s="10"/>
    </row>
    <row r="752" spans="1:15" ht="33.75" customHeight="1" x14ac:dyDescent="0.25">
      <c r="A752" s="7"/>
      <c r="B752" s="7"/>
      <c r="C752" s="7"/>
      <c r="D752" s="7"/>
      <c r="E752" s="11">
        <v>750</v>
      </c>
      <c r="F752" s="8"/>
      <c r="G752" s="8"/>
      <c r="H752" s="9"/>
      <c r="I752" s="10"/>
      <c r="J752" s="9"/>
      <c r="K752" s="10"/>
      <c r="L752" s="8"/>
      <c r="M752" s="8"/>
      <c r="N752" s="10"/>
      <c r="O752" s="10"/>
    </row>
    <row r="753" spans="1:15" ht="33.75" customHeight="1" x14ac:dyDescent="0.25">
      <c r="A753" s="7"/>
      <c r="B753" s="7"/>
      <c r="C753" s="7"/>
      <c r="D753" s="7"/>
      <c r="E753" s="11">
        <v>751</v>
      </c>
      <c r="F753" s="8"/>
      <c r="G753" s="8"/>
      <c r="H753" s="9"/>
      <c r="I753" s="10"/>
      <c r="J753" s="9"/>
      <c r="K753" s="10"/>
      <c r="L753" s="8"/>
      <c r="M753" s="8"/>
      <c r="N753" s="10"/>
      <c r="O753" s="10"/>
    </row>
    <row r="754" spans="1:15" ht="33.75" customHeight="1" x14ac:dyDescent="0.25">
      <c r="A754" s="7"/>
      <c r="B754" s="7"/>
      <c r="C754" s="7"/>
      <c r="D754" s="7"/>
      <c r="E754" s="11">
        <v>752</v>
      </c>
      <c r="F754" s="8"/>
      <c r="G754" s="8"/>
      <c r="H754" s="9"/>
      <c r="I754" s="10"/>
      <c r="J754" s="9"/>
      <c r="K754" s="10"/>
      <c r="L754" s="8"/>
      <c r="M754" s="8"/>
      <c r="N754" s="10"/>
      <c r="O754" s="10"/>
    </row>
    <row r="755" spans="1:15" ht="33.75" customHeight="1" x14ac:dyDescent="0.25">
      <c r="A755" s="7"/>
      <c r="B755" s="7"/>
      <c r="C755" s="7"/>
      <c r="D755" s="7"/>
      <c r="E755" s="11">
        <v>753</v>
      </c>
      <c r="F755" s="8"/>
      <c r="G755" s="8"/>
      <c r="H755" s="9"/>
      <c r="I755" s="10"/>
      <c r="J755" s="9"/>
      <c r="K755" s="10"/>
      <c r="L755" s="8"/>
      <c r="M755" s="8"/>
      <c r="N755" s="10"/>
      <c r="O755" s="10"/>
    </row>
    <row r="756" spans="1:15" ht="33.75" customHeight="1" x14ac:dyDescent="0.25">
      <c r="A756" s="7"/>
      <c r="B756" s="7"/>
      <c r="C756" s="7"/>
      <c r="D756" s="7"/>
      <c r="E756" s="11">
        <v>754</v>
      </c>
      <c r="F756" s="8"/>
      <c r="G756" s="8"/>
      <c r="H756" s="9"/>
      <c r="I756" s="10"/>
      <c r="J756" s="9"/>
      <c r="K756" s="10"/>
      <c r="L756" s="8"/>
      <c r="M756" s="8"/>
      <c r="N756" s="10"/>
      <c r="O756" s="10"/>
    </row>
    <row r="757" spans="1:15" ht="33.75" customHeight="1" x14ac:dyDescent="0.25">
      <c r="A757" s="7"/>
      <c r="B757" s="7"/>
      <c r="C757" s="7"/>
      <c r="D757" s="7"/>
      <c r="E757" s="11">
        <v>755</v>
      </c>
      <c r="F757" s="8"/>
      <c r="G757" s="8"/>
      <c r="H757" s="9"/>
      <c r="I757" s="10"/>
      <c r="J757" s="9"/>
      <c r="K757" s="10"/>
      <c r="L757" s="8"/>
      <c r="M757" s="8"/>
      <c r="N757" s="10"/>
      <c r="O757" s="10"/>
    </row>
    <row r="758" spans="1:15" ht="33.75" customHeight="1" x14ac:dyDescent="0.25">
      <c r="A758" s="7"/>
      <c r="B758" s="7"/>
      <c r="C758" s="7"/>
      <c r="D758" s="7"/>
      <c r="E758" s="11">
        <v>756</v>
      </c>
      <c r="F758" s="8"/>
      <c r="G758" s="8"/>
      <c r="H758" s="9"/>
      <c r="I758" s="10"/>
      <c r="J758" s="9"/>
      <c r="K758" s="10"/>
      <c r="L758" s="8"/>
      <c r="M758" s="8"/>
      <c r="N758" s="10"/>
      <c r="O758" s="10"/>
    </row>
    <row r="759" spans="1:15" ht="33.75" customHeight="1" x14ac:dyDescent="0.25">
      <c r="A759" s="7"/>
      <c r="B759" s="7"/>
      <c r="C759" s="7"/>
      <c r="D759" s="7"/>
      <c r="E759" s="11">
        <v>757</v>
      </c>
      <c r="F759" s="8"/>
      <c r="G759" s="8"/>
      <c r="H759" s="9"/>
      <c r="I759" s="10"/>
      <c r="J759" s="9"/>
      <c r="K759" s="10"/>
      <c r="L759" s="8"/>
      <c r="M759" s="8"/>
      <c r="N759" s="10"/>
      <c r="O759" s="10"/>
    </row>
    <row r="760" spans="1:15" ht="33.75" customHeight="1" x14ac:dyDescent="0.25">
      <c r="A760" s="7"/>
      <c r="B760" s="7"/>
      <c r="C760" s="7"/>
      <c r="D760" s="7"/>
      <c r="E760" s="11">
        <v>758</v>
      </c>
      <c r="F760" s="8"/>
      <c r="G760" s="8"/>
      <c r="H760" s="9"/>
      <c r="I760" s="10"/>
      <c r="J760" s="9"/>
      <c r="K760" s="10"/>
      <c r="L760" s="8"/>
      <c r="M760" s="8"/>
      <c r="N760" s="10"/>
      <c r="O760" s="10"/>
    </row>
    <row r="761" spans="1:15" ht="33.75" customHeight="1" x14ac:dyDescent="0.25">
      <c r="A761" s="7"/>
      <c r="B761" s="7"/>
      <c r="C761" s="7"/>
      <c r="D761" s="7"/>
      <c r="E761" s="11">
        <v>759</v>
      </c>
      <c r="F761" s="8"/>
      <c r="G761" s="8"/>
      <c r="H761" s="9"/>
      <c r="I761" s="10"/>
      <c r="J761" s="9"/>
      <c r="K761" s="10"/>
      <c r="L761" s="8"/>
      <c r="M761" s="8"/>
      <c r="N761" s="10"/>
      <c r="O761" s="10"/>
    </row>
    <row r="762" spans="1:15" ht="33.75" customHeight="1" x14ac:dyDescent="0.25">
      <c r="A762" s="7"/>
      <c r="B762" s="7"/>
      <c r="C762" s="7"/>
      <c r="D762" s="7"/>
      <c r="E762" s="11">
        <v>760</v>
      </c>
      <c r="F762" s="8"/>
      <c r="G762" s="8"/>
      <c r="H762" s="9"/>
      <c r="I762" s="10"/>
      <c r="J762" s="9"/>
      <c r="K762" s="10"/>
      <c r="L762" s="8"/>
      <c r="M762" s="8"/>
      <c r="N762" s="10"/>
      <c r="O762" s="10"/>
    </row>
    <row r="763" spans="1:15" ht="33.75" customHeight="1" x14ac:dyDescent="0.25">
      <c r="A763" s="7"/>
      <c r="B763" s="7"/>
      <c r="C763" s="7"/>
      <c r="D763" s="7"/>
      <c r="E763" s="11">
        <v>761</v>
      </c>
      <c r="F763" s="8"/>
      <c r="G763" s="8"/>
      <c r="H763" s="9"/>
      <c r="I763" s="10"/>
      <c r="J763" s="9"/>
      <c r="K763" s="10"/>
      <c r="L763" s="8"/>
      <c r="M763" s="8"/>
      <c r="N763" s="10"/>
      <c r="O763" s="10"/>
    </row>
    <row r="764" spans="1:15" ht="33.75" customHeight="1" x14ac:dyDescent="0.25">
      <c r="A764" s="7"/>
      <c r="B764" s="7"/>
      <c r="C764" s="7"/>
      <c r="D764" s="7"/>
      <c r="E764" s="11">
        <v>762</v>
      </c>
      <c r="F764" s="8"/>
      <c r="G764" s="8"/>
      <c r="H764" s="9"/>
      <c r="I764" s="10"/>
      <c r="J764" s="9"/>
      <c r="K764" s="10"/>
      <c r="L764" s="8"/>
      <c r="M764" s="8"/>
      <c r="N764" s="10"/>
      <c r="O764" s="10"/>
    </row>
    <row r="765" spans="1:15" ht="33.75" customHeight="1" x14ac:dyDescent="0.25">
      <c r="A765" s="7"/>
      <c r="B765" s="7"/>
      <c r="C765" s="7"/>
      <c r="D765" s="7"/>
      <c r="E765" s="11">
        <v>763</v>
      </c>
      <c r="F765" s="8"/>
      <c r="G765" s="8"/>
      <c r="H765" s="9"/>
      <c r="I765" s="10"/>
      <c r="J765" s="9"/>
      <c r="K765" s="10"/>
      <c r="L765" s="8"/>
      <c r="M765" s="8"/>
      <c r="N765" s="10"/>
      <c r="O765" s="10"/>
    </row>
    <row r="766" spans="1:15" ht="33.75" customHeight="1" x14ac:dyDescent="0.25">
      <c r="A766" s="7"/>
      <c r="B766" s="7"/>
      <c r="C766" s="7"/>
      <c r="D766" s="7"/>
      <c r="E766" s="11">
        <v>764</v>
      </c>
      <c r="F766" s="8"/>
      <c r="G766" s="8"/>
      <c r="H766" s="9"/>
      <c r="I766" s="10"/>
      <c r="J766" s="9"/>
      <c r="K766" s="10"/>
      <c r="L766" s="8"/>
      <c r="M766" s="8"/>
      <c r="N766" s="10"/>
      <c r="O766" s="10"/>
    </row>
    <row r="767" spans="1:15" ht="33.75" customHeight="1" x14ac:dyDescent="0.25">
      <c r="A767" s="7"/>
      <c r="B767" s="7"/>
      <c r="C767" s="7"/>
      <c r="D767" s="7"/>
      <c r="E767" s="11">
        <v>765</v>
      </c>
      <c r="F767" s="8"/>
      <c r="G767" s="8"/>
      <c r="H767" s="9"/>
      <c r="I767" s="10"/>
      <c r="J767" s="9"/>
      <c r="K767" s="10"/>
      <c r="L767" s="8"/>
      <c r="M767" s="8"/>
      <c r="N767" s="10"/>
      <c r="O767" s="10"/>
    </row>
    <row r="768" spans="1:15" ht="33.75" customHeight="1" x14ac:dyDescent="0.25">
      <c r="A768" s="7"/>
      <c r="B768" s="7"/>
      <c r="C768" s="7"/>
      <c r="D768" s="7"/>
      <c r="E768" s="11">
        <v>766</v>
      </c>
      <c r="F768" s="8"/>
      <c r="G768" s="8"/>
      <c r="H768" s="9"/>
      <c r="I768" s="10"/>
      <c r="J768" s="9"/>
      <c r="K768" s="10"/>
      <c r="L768" s="8"/>
      <c r="M768" s="8"/>
      <c r="N768" s="10"/>
      <c r="O768" s="10"/>
    </row>
    <row r="769" spans="1:15" ht="33.75" customHeight="1" x14ac:dyDescent="0.25">
      <c r="A769" s="7"/>
      <c r="B769" s="7"/>
      <c r="C769" s="7"/>
      <c r="D769" s="7"/>
      <c r="E769" s="11">
        <v>767</v>
      </c>
      <c r="F769" s="8"/>
      <c r="G769" s="8"/>
      <c r="H769" s="9"/>
      <c r="I769" s="10"/>
      <c r="J769" s="9"/>
      <c r="K769" s="10"/>
      <c r="L769" s="8"/>
      <c r="M769" s="8"/>
      <c r="N769" s="10"/>
      <c r="O769" s="10"/>
    </row>
    <row r="770" spans="1:15" ht="33.75" customHeight="1" x14ac:dyDescent="0.25">
      <c r="A770" s="7"/>
      <c r="B770" s="7"/>
      <c r="C770" s="7"/>
      <c r="D770" s="7"/>
      <c r="E770" s="11">
        <v>768</v>
      </c>
      <c r="F770" s="8"/>
      <c r="G770" s="8"/>
      <c r="H770" s="9"/>
      <c r="I770" s="10"/>
      <c r="J770" s="9"/>
      <c r="K770" s="10"/>
      <c r="L770" s="8"/>
      <c r="M770" s="8"/>
      <c r="N770" s="10"/>
      <c r="O770" s="10"/>
    </row>
    <row r="771" spans="1:15" ht="33.75" customHeight="1" x14ac:dyDescent="0.25">
      <c r="A771" s="7"/>
      <c r="B771" s="7"/>
      <c r="C771" s="7"/>
      <c r="D771" s="7"/>
      <c r="E771" s="11">
        <v>769</v>
      </c>
      <c r="F771" s="8"/>
      <c r="G771" s="8"/>
      <c r="H771" s="9"/>
      <c r="I771" s="10"/>
      <c r="J771" s="9"/>
      <c r="K771" s="10"/>
      <c r="L771" s="8"/>
      <c r="M771" s="8"/>
      <c r="N771" s="10"/>
      <c r="O771" s="10"/>
    </row>
    <row r="772" spans="1:15" ht="33.75" customHeight="1" x14ac:dyDescent="0.25">
      <c r="A772" s="7"/>
      <c r="B772" s="7"/>
      <c r="C772" s="7"/>
      <c r="D772" s="7"/>
      <c r="E772" s="11">
        <v>770</v>
      </c>
      <c r="F772" s="8"/>
      <c r="G772" s="8"/>
      <c r="H772" s="9"/>
      <c r="I772" s="10"/>
      <c r="J772" s="9"/>
      <c r="K772" s="10"/>
      <c r="L772" s="8"/>
      <c r="M772" s="8"/>
      <c r="N772" s="10"/>
      <c r="O772" s="10"/>
    </row>
    <row r="773" spans="1:15" ht="33.75" customHeight="1" x14ac:dyDescent="0.25">
      <c r="A773" s="7"/>
      <c r="B773" s="7"/>
      <c r="C773" s="7"/>
      <c r="D773" s="7"/>
      <c r="E773" s="11">
        <v>771</v>
      </c>
      <c r="F773" s="8"/>
      <c r="G773" s="8"/>
      <c r="H773" s="9"/>
      <c r="I773" s="10"/>
      <c r="J773" s="9"/>
      <c r="K773" s="10"/>
      <c r="L773" s="8"/>
      <c r="M773" s="8"/>
      <c r="N773" s="10"/>
      <c r="O773" s="10"/>
    </row>
    <row r="774" spans="1:15" ht="33.75" customHeight="1" x14ac:dyDescent="0.25">
      <c r="A774" s="7"/>
      <c r="B774" s="7"/>
      <c r="C774" s="7"/>
      <c r="D774" s="7"/>
      <c r="E774" s="11">
        <v>772</v>
      </c>
      <c r="F774" s="8"/>
      <c r="G774" s="8"/>
      <c r="H774" s="9"/>
      <c r="I774" s="10"/>
      <c r="J774" s="9"/>
      <c r="K774" s="10"/>
      <c r="L774" s="8"/>
      <c r="M774" s="8"/>
      <c r="N774" s="10"/>
      <c r="O774" s="10"/>
    </row>
    <row r="775" spans="1:15" ht="33.75" customHeight="1" x14ac:dyDescent="0.25">
      <c r="A775" s="7"/>
      <c r="B775" s="7"/>
      <c r="C775" s="7"/>
      <c r="D775" s="7"/>
      <c r="E775" s="11">
        <v>773</v>
      </c>
      <c r="F775" s="8"/>
      <c r="G775" s="8"/>
      <c r="H775" s="9"/>
      <c r="I775" s="10"/>
      <c r="J775" s="9"/>
      <c r="K775" s="10"/>
      <c r="L775" s="8"/>
      <c r="M775" s="8"/>
      <c r="N775" s="10"/>
      <c r="O775" s="10"/>
    </row>
    <row r="776" spans="1:15" ht="33.75" customHeight="1" x14ac:dyDescent="0.25">
      <c r="A776" s="7"/>
      <c r="B776" s="7"/>
      <c r="C776" s="7"/>
      <c r="D776" s="7"/>
      <c r="E776" s="11">
        <v>774</v>
      </c>
      <c r="F776" s="8"/>
      <c r="G776" s="8"/>
      <c r="H776" s="9"/>
      <c r="I776" s="10"/>
      <c r="J776" s="9"/>
      <c r="K776" s="10"/>
      <c r="L776" s="8"/>
      <c r="M776" s="8"/>
      <c r="N776" s="10"/>
      <c r="O776" s="10"/>
    </row>
    <row r="777" spans="1:15" ht="33.75" customHeight="1" x14ac:dyDescent="0.25">
      <c r="A777" s="7"/>
      <c r="B777" s="7"/>
      <c r="C777" s="7"/>
      <c r="D777" s="7"/>
      <c r="E777" s="11">
        <v>775</v>
      </c>
      <c r="F777" s="8"/>
      <c r="G777" s="8"/>
      <c r="H777" s="9"/>
      <c r="I777" s="10"/>
      <c r="J777" s="9"/>
      <c r="K777" s="10"/>
      <c r="L777" s="8"/>
      <c r="M777" s="8"/>
      <c r="N777" s="10"/>
      <c r="O777" s="10"/>
    </row>
    <row r="778" spans="1:15" ht="33.75" customHeight="1" x14ac:dyDescent="0.25">
      <c r="A778" s="7"/>
      <c r="B778" s="7"/>
      <c r="C778" s="7"/>
      <c r="D778" s="7"/>
      <c r="E778" s="11">
        <v>776</v>
      </c>
      <c r="F778" s="8"/>
      <c r="G778" s="8"/>
      <c r="H778" s="9"/>
      <c r="I778" s="10"/>
      <c r="J778" s="9"/>
      <c r="K778" s="10"/>
      <c r="L778" s="8"/>
      <c r="M778" s="8"/>
      <c r="N778" s="10"/>
      <c r="O778" s="10"/>
    </row>
    <row r="779" spans="1:15" ht="33.75" customHeight="1" x14ac:dyDescent="0.25">
      <c r="A779" s="7"/>
      <c r="B779" s="7"/>
      <c r="C779" s="7"/>
      <c r="D779" s="7"/>
      <c r="E779" s="11">
        <v>777</v>
      </c>
      <c r="F779" s="8"/>
      <c r="G779" s="8"/>
      <c r="H779" s="9"/>
      <c r="I779" s="10"/>
      <c r="J779" s="9"/>
      <c r="K779" s="10"/>
      <c r="L779" s="8"/>
      <c r="M779" s="8"/>
      <c r="N779" s="10"/>
      <c r="O779" s="10"/>
    </row>
    <row r="780" spans="1:15" ht="33.75" customHeight="1" x14ac:dyDescent="0.25">
      <c r="A780" s="7"/>
      <c r="B780" s="7"/>
      <c r="C780" s="7"/>
      <c r="D780" s="7"/>
      <c r="E780" s="11">
        <v>778</v>
      </c>
      <c r="F780" s="8"/>
      <c r="G780" s="8"/>
      <c r="H780" s="9"/>
      <c r="I780" s="10"/>
      <c r="J780" s="9"/>
      <c r="K780" s="10"/>
      <c r="L780" s="8"/>
      <c r="M780" s="8"/>
      <c r="N780" s="10"/>
      <c r="O780" s="10"/>
    </row>
    <row r="781" spans="1:15" ht="33.75" customHeight="1" x14ac:dyDescent="0.25">
      <c r="A781" s="7"/>
      <c r="B781" s="7"/>
      <c r="C781" s="7"/>
      <c r="D781" s="7"/>
      <c r="E781" s="11">
        <v>779</v>
      </c>
      <c r="F781" s="8"/>
      <c r="G781" s="8"/>
      <c r="H781" s="9"/>
      <c r="I781" s="10"/>
      <c r="J781" s="9"/>
      <c r="K781" s="10"/>
      <c r="L781" s="8"/>
      <c r="M781" s="8"/>
      <c r="N781" s="10"/>
      <c r="O781" s="10"/>
    </row>
    <row r="782" spans="1:15" ht="33.75" customHeight="1" x14ac:dyDescent="0.25">
      <c r="A782" s="7"/>
      <c r="B782" s="7"/>
      <c r="C782" s="7"/>
      <c r="D782" s="7"/>
      <c r="E782" s="11">
        <v>780</v>
      </c>
      <c r="F782" s="8"/>
      <c r="G782" s="8"/>
      <c r="H782" s="9"/>
      <c r="I782" s="10"/>
      <c r="J782" s="9"/>
      <c r="K782" s="10"/>
      <c r="L782" s="8"/>
      <c r="M782" s="8"/>
      <c r="N782" s="10"/>
      <c r="O782" s="10"/>
    </row>
    <row r="783" spans="1:15" ht="33.75" customHeight="1" x14ac:dyDescent="0.25">
      <c r="A783" s="7"/>
      <c r="B783" s="7"/>
      <c r="C783" s="7"/>
      <c r="D783" s="7"/>
      <c r="E783" s="11">
        <v>781</v>
      </c>
      <c r="F783" s="8"/>
      <c r="G783" s="8"/>
      <c r="H783" s="9"/>
      <c r="I783" s="10"/>
      <c r="J783" s="9"/>
      <c r="K783" s="10"/>
      <c r="L783" s="8"/>
      <c r="M783" s="8"/>
      <c r="N783" s="10"/>
      <c r="O783" s="10"/>
    </row>
    <row r="784" spans="1:15" ht="33.75" customHeight="1" x14ac:dyDescent="0.25">
      <c r="A784" s="7"/>
      <c r="B784" s="7"/>
      <c r="C784" s="7"/>
      <c r="D784" s="7"/>
      <c r="E784" s="11">
        <v>782</v>
      </c>
      <c r="F784" s="8"/>
      <c r="G784" s="8"/>
      <c r="H784" s="9"/>
      <c r="I784" s="10"/>
      <c r="J784" s="9"/>
      <c r="K784" s="10"/>
      <c r="L784" s="8"/>
      <c r="M784" s="8"/>
      <c r="N784" s="10"/>
      <c r="O784" s="10"/>
    </row>
    <row r="785" spans="1:15" ht="33.75" customHeight="1" x14ac:dyDescent="0.25">
      <c r="A785" s="7"/>
      <c r="B785" s="7"/>
      <c r="C785" s="7"/>
      <c r="D785" s="7"/>
      <c r="E785" s="11">
        <v>783</v>
      </c>
      <c r="F785" s="8"/>
      <c r="G785" s="8"/>
      <c r="H785" s="9"/>
      <c r="I785" s="10"/>
      <c r="J785" s="9"/>
      <c r="K785" s="10"/>
      <c r="L785" s="8"/>
      <c r="M785" s="8"/>
      <c r="N785" s="10"/>
      <c r="O785" s="10"/>
    </row>
    <row r="786" spans="1:15" ht="33.75" customHeight="1" x14ac:dyDescent="0.25">
      <c r="A786" s="7"/>
      <c r="B786" s="7"/>
      <c r="C786" s="7"/>
      <c r="D786" s="7"/>
      <c r="E786" s="11">
        <v>784</v>
      </c>
      <c r="F786" s="8"/>
      <c r="G786" s="8"/>
      <c r="H786" s="9"/>
      <c r="I786" s="10"/>
      <c r="J786" s="9"/>
      <c r="K786" s="10"/>
      <c r="L786" s="8"/>
      <c r="M786" s="8"/>
      <c r="N786" s="10"/>
      <c r="O786" s="10"/>
    </row>
    <row r="787" spans="1:15" ht="33.75" customHeight="1" x14ac:dyDescent="0.25">
      <c r="A787" s="7"/>
      <c r="B787" s="7"/>
      <c r="C787" s="7"/>
      <c r="D787" s="7"/>
      <c r="E787" s="11">
        <v>785</v>
      </c>
      <c r="F787" s="8"/>
      <c r="G787" s="8"/>
      <c r="H787" s="9"/>
      <c r="I787" s="10"/>
      <c r="J787" s="9"/>
      <c r="K787" s="10"/>
      <c r="L787" s="8"/>
      <c r="M787" s="8"/>
      <c r="N787" s="10"/>
      <c r="O787" s="10"/>
    </row>
    <row r="788" spans="1:15" ht="33.75" customHeight="1" x14ac:dyDescent="0.25">
      <c r="A788" s="7"/>
      <c r="B788" s="7"/>
      <c r="C788" s="7"/>
      <c r="D788" s="7"/>
      <c r="E788" s="11">
        <v>786</v>
      </c>
      <c r="F788" s="8"/>
      <c r="G788" s="8"/>
      <c r="H788" s="9"/>
      <c r="I788" s="10"/>
      <c r="J788" s="9"/>
      <c r="K788" s="10"/>
      <c r="L788" s="8"/>
      <c r="M788" s="8"/>
      <c r="N788" s="10"/>
      <c r="O788" s="10"/>
    </row>
    <row r="789" spans="1:15" ht="33.75" customHeight="1" x14ac:dyDescent="0.25">
      <c r="A789" s="7"/>
      <c r="B789" s="7"/>
      <c r="C789" s="7"/>
      <c r="D789" s="7"/>
      <c r="E789" s="11">
        <v>787</v>
      </c>
      <c r="F789" s="8"/>
      <c r="G789" s="8"/>
      <c r="H789" s="9"/>
      <c r="I789" s="10"/>
      <c r="J789" s="9"/>
      <c r="K789" s="10"/>
      <c r="L789" s="8"/>
      <c r="M789" s="8"/>
      <c r="N789" s="10"/>
      <c r="O789" s="10"/>
    </row>
    <row r="790" spans="1:15" ht="33.75" customHeight="1" x14ac:dyDescent="0.25">
      <c r="A790" s="7"/>
      <c r="B790" s="7"/>
      <c r="C790" s="7"/>
      <c r="D790" s="7"/>
      <c r="E790" s="11">
        <v>788</v>
      </c>
      <c r="F790" s="8"/>
      <c r="G790" s="8"/>
      <c r="H790" s="9"/>
      <c r="I790" s="10"/>
      <c r="J790" s="9"/>
      <c r="K790" s="10"/>
      <c r="L790" s="8"/>
      <c r="M790" s="8"/>
      <c r="N790" s="10"/>
      <c r="O790" s="10"/>
    </row>
    <row r="791" spans="1:15" ht="33.75" customHeight="1" x14ac:dyDescent="0.25">
      <c r="A791" s="7"/>
      <c r="B791" s="7"/>
      <c r="C791" s="7"/>
      <c r="D791" s="7"/>
      <c r="E791" s="11">
        <v>789</v>
      </c>
      <c r="F791" s="8"/>
      <c r="G791" s="8"/>
      <c r="H791" s="9"/>
      <c r="I791" s="10"/>
      <c r="J791" s="9"/>
      <c r="K791" s="10"/>
      <c r="L791" s="8"/>
      <c r="M791" s="8"/>
      <c r="N791" s="10"/>
      <c r="O791" s="10"/>
    </row>
    <row r="792" spans="1:15" ht="33.75" customHeight="1" x14ac:dyDescent="0.25">
      <c r="A792" s="7"/>
      <c r="B792" s="7"/>
      <c r="C792" s="7"/>
      <c r="D792" s="7"/>
      <c r="E792" s="11">
        <v>790</v>
      </c>
      <c r="F792" s="8"/>
      <c r="G792" s="8"/>
      <c r="H792" s="9"/>
      <c r="I792" s="10"/>
      <c r="J792" s="9"/>
      <c r="K792" s="10"/>
      <c r="L792" s="8"/>
      <c r="M792" s="8"/>
      <c r="N792" s="10"/>
      <c r="O792" s="10"/>
    </row>
    <row r="793" spans="1:15" ht="33.75" customHeight="1" x14ac:dyDescent="0.25">
      <c r="A793" s="7"/>
      <c r="B793" s="7"/>
      <c r="C793" s="7"/>
      <c r="D793" s="7"/>
      <c r="E793" s="11">
        <v>791</v>
      </c>
      <c r="F793" s="8"/>
      <c r="G793" s="8"/>
      <c r="H793" s="9"/>
      <c r="I793" s="10"/>
      <c r="J793" s="9"/>
      <c r="K793" s="10"/>
      <c r="L793" s="8"/>
      <c r="M793" s="8"/>
      <c r="N793" s="10"/>
      <c r="O793" s="10"/>
    </row>
    <row r="794" spans="1:15" ht="33.75" customHeight="1" x14ac:dyDescent="0.25">
      <c r="A794" s="7"/>
      <c r="B794" s="7"/>
      <c r="C794" s="7"/>
      <c r="D794" s="7"/>
      <c r="E794" s="11">
        <v>792</v>
      </c>
      <c r="F794" s="8"/>
      <c r="G794" s="8"/>
      <c r="H794" s="9"/>
      <c r="I794" s="10"/>
      <c r="J794" s="9"/>
      <c r="K794" s="10"/>
      <c r="L794" s="8"/>
      <c r="M794" s="8"/>
      <c r="N794" s="10"/>
      <c r="O794" s="10"/>
    </row>
    <row r="795" spans="1:15" ht="33.75" customHeight="1" x14ac:dyDescent="0.25">
      <c r="A795" s="7"/>
      <c r="B795" s="7"/>
      <c r="C795" s="7"/>
      <c r="D795" s="7"/>
      <c r="E795" s="11">
        <v>793</v>
      </c>
      <c r="F795" s="8"/>
      <c r="G795" s="8"/>
      <c r="H795" s="9"/>
      <c r="I795" s="10"/>
      <c r="J795" s="9"/>
      <c r="K795" s="10"/>
      <c r="L795" s="8"/>
      <c r="M795" s="8"/>
      <c r="N795" s="10"/>
      <c r="O795" s="10"/>
    </row>
    <row r="796" spans="1:15" ht="33.75" customHeight="1" x14ac:dyDescent="0.25">
      <c r="A796" s="7"/>
      <c r="B796" s="7"/>
      <c r="C796" s="7"/>
      <c r="D796" s="7"/>
      <c r="E796" s="11">
        <v>794</v>
      </c>
      <c r="F796" s="8"/>
      <c r="G796" s="8"/>
      <c r="H796" s="9"/>
      <c r="I796" s="10"/>
      <c r="J796" s="9"/>
      <c r="K796" s="10"/>
      <c r="L796" s="8"/>
      <c r="M796" s="8"/>
      <c r="N796" s="10"/>
      <c r="O796" s="10"/>
    </row>
    <row r="797" spans="1:15" ht="33.75" customHeight="1" x14ac:dyDescent="0.25">
      <c r="A797" s="7"/>
      <c r="B797" s="7"/>
      <c r="C797" s="7"/>
      <c r="D797" s="7"/>
      <c r="E797" s="11">
        <v>795</v>
      </c>
      <c r="F797" s="8"/>
      <c r="G797" s="8"/>
      <c r="H797" s="9"/>
      <c r="I797" s="10"/>
      <c r="J797" s="9"/>
      <c r="K797" s="10"/>
      <c r="L797" s="8"/>
      <c r="M797" s="8"/>
      <c r="N797" s="10"/>
      <c r="O797" s="10"/>
    </row>
    <row r="798" spans="1:15" ht="33.75" customHeight="1" x14ac:dyDescent="0.25">
      <c r="A798" s="7"/>
      <c r="B798" s="7"/>
      <c r="C798" s="7"/>
      <c r="D798" s="7"/>
      <c r="E798" s="11">
        <v>796</v>
      </c>
      <c r="F798" s="8"/>
      <c r="G798" s="8"/>
      <c r="H798" s="9"/>
      <c r="I798" s="10"/>
      <c r="J798" s="9"/>
      <c r="K798" s="10"/>
      <c r="L798" s="8"/>
      <c r="M798" s="8"/>
      <c r="N798" s="10"/>
      <c r="O798" s="10"/>
    </row>
    <row r="799" spans="1:15" ht="33.75" customHeight="1" x14ac:dyDescent="0.25">
      <c r="A799" s="7"/>
      <c r="B799" s="7"/>
      <c r="C799" s="7"/>
      <c r="D799" s="7"/>
      <c r="E799" s="11">
        <v>797</v>
      </c>
      <c r="F799" s="8"/>
      <c r="G799" s="8"/>
      <c r="H799" s="9"/>
      <c r="I799" s="10"/>
      <c r="J799" s="9"/>
      <c r="K799" s="10"/>
      <c r="L799" s="8"/>
      <c r="M799" s="8"/>
      <c r="N799" s="10"/>
      <c r="O799" s="10"/>
    </row>
    <row r="800" spans="1:15" ht="33.75" customHeight="1" x14ac:dyDescent="0.25">
      <c r="A800" s="7"/>
      <c r="B800" s="7"/>
      <c r="C800" s="7"/>
      <c r="D800" s="7"/>
      <c r="E800" s="11">
        <v>798</v>
      </c>
      <c r="F800" s="8"/>
      <c r="G800" s="8"/>
      <c r="H800" s="9"/>
      <c r="I800" s="10"/>
      <c r="J800" s="9"/>
      <c r="K800" s="10"/>
      <c r="L800" s="8"/>
      <c r="M800" s="8"/>
      <c r="N800" s="10"/>
      <c r="O800" s="10"/>
    </row>
    <row r="801" spans="1:15" ht="33.75" customHeight="1" x14ac:dyDescent="0.25">
      <c r="A801" s="7"/>
      <c r="B801" s="7"/>
      <c r="C801" s="7"/>
      <c r="D801" s="7"/>
      <c r="E801" s="11">
        <v>799</v>
      </c>
      <c r="F801" s="8"/>
      <c r="G801" s="8"/>
      <c r="H801" s="9"/>
      <c r="I801" s="10"/>
      <c r="J801" s="9"/>
      <c r="K801" s="10"/>
      <c r="L801" s="8"/>
      <c r="M801" s="8"/>
      <c r="N801" s="10"/>
      <c r="O801" s="10"/>
    </row>
    <row r="802" spans="1:15" ht="33.75" customHeight="1" x14ac:dyDescent="0.25">
      <c r="A802" s="7"/>
      <c r="B802" s="7"/>
      <c r="C802" s="7"/>
      <c r="D802" s="7"/>
      <c r="E802" s="11">
        <v>800</v>
      </c>
      <c r="F802" s="8"/>
      <c r="G802" s="8"/>
      <c r="H802" s="9"/>
      <c r="I802" s="10"/>
      <c r="J802" s="9"/>
      <c r="K802" s="10"/>
      <c r="L802" s="8"/>
      <c r="M802" s="8"/>
      <c r="N802" s="10"/>
      <c r="O802" s="10"/>
    </row>
    <row r="803" spans="1:15" ht="33.75" customHeight="1" x14ac:dyDescent="0.25">
      <c r="A803" s="7"/>
      <c r="B803" s="7"/>
      <c r="C803" s="7"/>
      <c r="D803" s="7"/>
      <c r="E803" s="11">
        <v>801</v>
      </c>
      <c r="F803" s="8"/>
      <c r="G803" s="8"/>
      <c r="H803" s="9"/>
      <c r="I803" s="10"/>
      <c r="J803" s="9"/>
      <c r="K803" s="10"/>
      <c r="L803" s="8"/>
      <c r="M803" s="8"/>
      <c r="N803" s="10"/>
      <c r="O803" s="10"/>
    </row>
    <row r="804" spans="1:15" ht="33.75" customHeight="1" x14ac:dyDescent="0.25">
      <c r="A804" s="7"/>
      <c r="B804" s="7"/>
      <c r="C804" s="7"/>
      <c r="D804" s="7"/>
      <c r="E804" s="11">
        <v>802</v>
      </c>
      <c r="F804" s="8"/>
      <c r="G804" s="8"/>
      <c r="H804" s="9"/>
      <c r="I804" s="10"/>
      <c r="J804" s="9"/>
      <c r="K804" s="10"/>
      <c r="L804" s="8"/>
      <c r="M804" s="8"/>
      <c r="N804" s="10"/>
      <c r="O804" s="10"/>
    </row>
    <row r="805" spans="1:15" ht="33.75" customHeight="1" x14ac:dyDescent="0.25">
      <c r="A805" s="7"/>
      <c r="B805" s="7"/>
      <c r="C805" s="7"/>
      <c r="D805" s="7"/>
      <c r="E805" s="11">
        <v>803</v>
      </c>
      <c r="F805" s="8"/>
      <c r="G805" s="8"/>
      <c r="H805" s="9"/>
      <c r="I805" s="10"/>
      <c r="J805" s="9"/>
      <c r="K805" s="10"/>
      <c r="L805" s="8"/>
      <c r="M805" s="8"/>
      <c r="N805" s="10"/>
      <c r="O805" s="10"/>
    </row>
    <row r="806" spans="1:15" ht="33.75" customHeight="1" x14ac:dyDescent="0.25">
      <c r="A806" s="7"/>
      <c r="B806" s="7"/>
      <c r="C806" s="7"/>
      <c r="D806" s="7"/>
      <c r="E806" s="11">
        <v>804</v>
      </c>
      <c r="F806" s="8"/>
      <c r="G806" s="8"/>
      <c r="H806" s="9"/>
      <c r="I806" s="10"/>
      <c r="J806" s="9"/>
      <c r="K806" s="10"/>
      <c r="L806" s="8"/>
      <c r="M806" s="8"/>
      <c r="N806" s="10"/>
      <c r="O806" s="10"/>
    </row>
    <row r="807" spans="1:15" ht="33.75" customHeight="1" x14ac:dyDescent="0.25">
      <c r="A807" s="7"/>
      <c r="B807" s="7"/>
      <c r="C807" s="7"/>
      <c r="D807" s="7"/>
      <c r="E807" s="11">
        <v>805</v>
      </c>
      <c r="F807" s="8"/>
      <c r="G807" s="8"/>
      <c r="H807" s="9"/>
      <c r="I807" s="10"/>
      <c r="J807" s="9"/>
      <c r="K807" s="10"/>
      <c r="L807" s="8"/>
      <c r="M807" s="8"/>
      <c r="N807" s="10"/>
      <c r="O807" s="10"/>
    </row>
    <row r="808" spans="1:15" ht="33.75" customHeight="1" x14ac:dyDescent="0.25">
      <c r="A808" s="7"/>
      <c r="B808" s="7"/>
      <c r="C808" s="7"/>
      <c r="D808" s="7"/>
      <c r="E808" s="11">
        <v>806</v>
      </c>
      <c r="F808" s="8"/>
      <c r="G808" s="8"/>
      <c r="H808" s="9"/>
      <c r="I808" s="10"/>
      <c r="J808" s="9"/>
      <c r="K808" s="10"/>
      <c r="L808" s="8"/>
      <c r="M808" s="8"/>
      <c r="N808" s="10"/>
      <c r="O808" s="10"/>
    </row>
    <row r="809" spans="1:15" ht="33.75" customHeight="1" x14ac:dyDescent="0.25">
      <c r="A809" s="7"/>
      <c r="B809" s="7"/>
      <c r="C809" s="7"/>
      <c r="D809" s="7"/>
      <c r="E809" s="11">
        <v>807</v>
      </c>
      <c r="F809" s="8"/>
      <c r="G809" s="8"/>
      <c r="H809" s="9"/>
      <c r="I809" s="10"/>
      <c r="J809" s="9"/>
      <c r="K809" s="10"/>
      <c r="L809" s="8"/>
      <c r="M809" s="8"/>
      <c r="N809" s="10"/>
      <c r="O809" s="10"/>
    </row>
    <row r="810" spans="1:15" ht="33.75" customHeight="1" x14ac:dyDescent="0.25">
      <c r="A810" s="7"/>
      <c r="B810" s="7"/>
      <c r="C810" s="7"/>
      <c r="D810" s="7"/>
      <c r="E810" s="11">
        <v>808</v>
      </c>
      <c r="F810" s="8"/>
      <c r="G810" s="8"/>
      <c r="H810" s="9"/>
      <c r="I810" s="10"/>
      <c r="J810" s="9"/>
      <c r="K810" s="10"/>
      <c r="L810" s="8"/>
      <c r="M810" s="8"/>
      <c r="N810" s="10"/>
      <c r="O810" s="10"/>
    </row>
    <row r="811" spans="1:15" ht="33.75" customHeight="1" x14ac:dyDescent="0.25">
      <c r="A811" s="7"/>
      <c r="B811" s="7"/>
      <c r="C811" s="7"/>
      <c r="D811" s="7"/>
      <c r="E811" s="11">
        <v>809</v>
      </c>
      <c r="F811" s="8"/>
      <c r="G811" s="8"/>
      <c r="H811" s="9"/>
      <c r="I811" s="10"/>
      <c r="J811" s="9"/>
      <c r="K811" s="10"/>
      <c r="L811" s="8"/>
      <c r="M811" s="8"/>
      <c r="N811" s="10"/>
      <c r="O811" s="10"/>
    </row>
    <row r="812" spans="1:15" ht="33.75" customHeight="1" x14ac:dyDescent="0.25">
      <c r="A812" s="7"/>
      <c r="B812" s="7"/>
      <c r="C812" s="7"/>
      <c r="D812" s="7"/>
      <c r="E812" s="11">
        <v>810</v>
      </c>
      <c r="F812" s="8"/>
      <c r="G812" s="8"/>
      <c r="H812" s="9"/>
      <c r="I812" s="10"/>
      <c r="J812" s="9"/>
      <c r="K812" s="10"/>
      <c r="L812" s="8"/>
      <c r="M812" s="8"/>
      <c r="N812" s="10"/>
      <c r="O812" s="10"/>
    </row>
    <row r="813" spans="1:15" ht="33.75" customHeight="1" x14ac:dyDescent="0.25">
      <c r="A813" s="7"/>
      <c r="B813" s="7"/>
      <c r="C813" s="7"/>
      <c r="D813" s="7"/>
      <c r="E813" s="11">
        <v>811</v>
      </c>
      <c r="F813" s="8"/>
      <c r="G813" s="8"/>
      <c r="H813" s="9"/>
      <c r="I813" s="10"/>
      <c r="J813" s="9"/>
      <c r="K813" s="10"/>
      <c r="L813" s="8"/>
      <c r="M813" s="8"/>
      <c r="N813" s="10"/>
      <c r="O813" s="10"/>
    </row>
    <row r="814" spans="1:15" ht="33.75" customHeight="1" x14ac:dyDescent="0.25">
      <c r="A814" s="7"/>
      <c r="B814" s="7"/>
      <c r="C814" s="7"/>
      <c r="D814" s="7"/>
      <c r="E814" s="11">
        <v>812</v>
      </c>
      <c r="F814" s="8"/>
      <c r="G814" s="8"/>
      <c r="H814" s="9"/>
      <c r="I814" s="10"/>
      <c r="J814" s="9"/>
      <c r="K814" s="10"/>
      <c r="L814" s="8"/>
      <c r="M814" s="8"/>
      <c r="N814" s="10"/>
      <c r="O814" s="10"/>
    </row>
    <row r="815" spans="1:15" ht="33.75" customHeight="1" x14ac:dyDescent="0.25">
      <c r="A815" s="7"/>
      <c r="B815" s="7"/>
      <c r="C815" s="7"/>
      <c r="D815" s="7"/>
      <c r="E815" s="11">
        <v>813</v>
      </c>
      <c r="F815" s="8"/>
      <c r="G815" s="8"/>
      <c r="H815" s="9"/>
      <c r="I815" s="10"/>
      <c r="J815" s="9"/>
      <c r="K815" s="10"/>
      <c r="L815" s="8"/>
      <c r="M815" s="8"/>
      <c r="N815" s="10"/>
      <c r="O815" s="10"/>
    </row>
    <row r="816" spans="1:15" ht="33.75" customHeight="1" x14ac:dyDescent="0.25">
      <c r="A816" s="7"/>
      <c r="B816" s="7"/>
      <c r="C816" s="7"/>
      <c r="D816" s="7"/>
      <c r="E816" s="11">
        <v>814</v>
      </c>
      <c r="F816" s="8"/>
      <c r="G816" s="8"/>
      <c r="H816" s="9"/>
      <c r="I816" s="10"/>
      <c r="J816" s="9"/>
      <c r="K816" s="10"/>
      <c r="L816" s="8"/>
      <c r="M816" s="8"/>
      <c r="N816" s="10"/>
      <c r="O816" s="10"/>
    </row>
    <row r="817" spans="1:15" ht="33.75" customHeight="1" x14ac:dyDescent="0.25">
      <c r="A817" s="7"/>
      <c r="B817" s="7"/>
      <c r="C817" s="7"/>
      <c r="D817" s="7"/>
      <c r="E817" s="11">
        <v>815</v>
      </c>
      <c r="F817" s="8"/>
      <c r="G817" s="8"/>
      <c r="H817" s="9"/>
      <c r="I817" s="10"/>
      <c r="J817" s="9"/>
      <c r="K817" s="10"/>
      <c r="L817" s="8"/>
      <c r="M817" s="8"/>
      <c r="N817" s="10"/>
      <c r="O817" s="10"/>
    </row>
    <row r="818" spans="1:15" ht="33.75" customHeight="1" x14ac:dyDescent="0.25">
      <c r="A818" s="7"/>
      <c r="B818" s="7"/>
      <c r="C818" s="7"/>
      <c r="D818" s="7"/>
      <c r="E818" s="11">
        <v>816</v>
      </c>
      <c r="F818" s="8"/>
      <c r="G818" s="8"/>
      <c r="H818" s="9"/>
      <c r="I818" s="10"/>
      <c r="J818" s="9"/>
      <c r="K818" s="10"/>
      <c r="L818" s="8"/>
      <c r="M818" s="8"/>
      <c r="N818" s="10"/>
      <c r="O818" s="10"/>
    </row>
    <row r="819" spans="1:15" ht="33.75" customHeight="1" x14ac:dyDescent="0.25">
      <c r="A819" s="7"/>
      <c r="B819" s="7"/>
      <c r="C819" s="7"/>
      <c r="D819" s="7"/>
      <c r="E819" s="11">
        <v>817</v>
      </c>
      <c r="F819" s="8"/>
      <c r="G819" s="8"/>
      <c r="H819" s="9"/>
      <c r="I819" s="10"/>
      <c r="J819" s="9"/>
      <c r="K819" s="10"/>
      <c r="L819" s="8"/>
      <c r="M819" s="8"/>
      <c r="N819" s="10"/>
      <c r="O819" s="10"/>
    </row>
    <row r="820" spans="1:15" ht="33.75" customHeight="1" x14ac:dyDescent="0.25">
      <c r="A820" s="7"/>
      <c r="B820" s="7"/>
      <c r="C820" s="7"/>
      <c r="D820" s="7"/>
      <c r="E820" s="11">
        <v>818</v>
      </c>
      <c r="F820" s="8"/>
      <c r="G820" s="8"/>
      <c r="H820" s="9"/>
      <c r="I820" s="10"/>
      <c r="J820" s="9"/>
      <c r="K820" s="10"/>
      <c r="L820" s="8"/>
      <c r="M820" s="8"/>
      <c r="N820" s="10"/>
      <c r="O820" s="10"/>
    </row>
    <row r="821" spans="1:15" ht="33.75" customHeight="1" x14ac:dyDescent="0.25">
      <c r="A821" s="7"/>
      <c r="B821" s="7"/>
      <c r="C821" s="7"/>
      <c r="D821" s="7"/>
      <c r="E821" s="11">
        <v>819</v>
      </c>
      <c r="F821" s="8"/>
      <c r="G821" s="8"/>
      <c r="H821" s="9"/>
      <c r="I821" s="10"/>
      <c r="J821" s="9"/>
      <c r="K821" s="10"/>
      <c r="L821" s="8"/>
      <c r="M821" s="8"/>
      <c r="N821" s="10"/>
      <c r="O821" s="10"/>
    </row>
    <row r="822" spans="1:15" ht="33.75" customHeight="1" x14ac:dyDescent="0.25">
      <c r="A822" s="7"/>
      <c r="B822" s="7"/>
      <c r="C822" s="7"/>
      <c r="D822" s="7"/>
      <c r="E822" s="11">
        <v>820</v>
      </c>
      <c r="F822" s="8"/>
      <c r="G822" s="8"/>
      <c r="H822" s="9"/>
      <c r="I822" s="10"/>
      <c r="J822" s="9"/>
      <c r="K822" s="10"/>
      <c r="L822" s="8"/>
      <c r="M822" s="8"/>
      <c r="N822" s="10"/>
      <c r="O822" s="10"/>
    </row>
    <row r="823" spans="1:15" ht="33.75" customHeight="1" x14ac:dyDescent="0.25">
      <c r="A823" s="7"/>
      <c r="B823" s="7"/>
      <c r="C823" s="7"/>
      <c r="D823" s="7"/>
      <c r="E823" s="11">
        <v>821</v>
      </c>
      <c r="F823" s="8"/>
      <c r="G823" s="8"/>
      <c r="H823" s="9"/>
      <c r="I823" s="10"/>
      <c r="J823" s="9"/>
      <c r="K823" s="10"/>
      <c r="L823" s="8"/>
      <c r="M823" s="8"/>
      <c r="N823" s="10"/>
      <c r="O823" s="10"/>
    </row>
    <row r="824" spans="1:15" ht="33.75" customHeight="1" x14ac:dyDescent="0.25">
      <c r="A824" s="7"/>
      <c r="B824" s="7"/>
      <c r="C824" s="7"/>
      <c r="D824" s="7"/>
      <c r="E824" s="11">
        <v>822</v>
      </c>
      <c r="F824" s="8"/>
      <c r="G824" s="8"/>
      <c r="H824" s="9"/>
      <c r="I824" s="10"/>
      <c r="J824" s="9"/>
      <c r="K824" s="10"/>
      <c r="L824" s="8"/>
      <c r="M824" s="8"/>
      <c r="N824" s="10"/>
      <c r="O824" s="10"/>
    </row>
    <row r="825" spans="1:15" ht="33.75" customHeight="1" x14ac:dyDescent="0.25">
      <c r="A825" s="7"/>
      <c r="B825" s="7"/>
      <c r="C825" s="7"/>
      <c r="D825" s="7"/>
      <c r="E825" s="11">
        <v>823</v>
      </c>
      <c r="F825" s="8"/>
      <c r="G825" s="8"/>
      <c r="H825" s="9"/>
      <c r="I825" s="10"/>
      <c r="J825" s="9"/>
      <c r="K825" s="10"/>
      <c r="L825" s="8"/>
      <c r="M825" s="8"/>
      <c r="N825" s="10"/>
      <c r="O825" s="10"/>
    </row>
    <row r="826" spans="1:15" ht="33.75" customHeight="1" x14ac:dyDescent="0.25">
      <c r="A826" s="7"/>
      <c r="B826" s="7"/>
      <c r="C826" s="7"/>
      <c r="D826" s="7"/>
      <c r="E826" s="11">
        <v>824</v>
      </c>
      <c r="F826" s="8"/>
      <c r="G826" s="8"/>
      <c r="H826" s="9"/>
      <c r="I826" s="10"/>
      <c r="J826" s="9"/>
      <c r="K826" s="10"/>
      <c r="L826" s="8"/>
      <c r="M826" s="8"/>
      <c r="N826" s="10"/>
      <c r="O826" s="10"/>
    </row>
    <row r="827" spans="1:15" ht="33.75" customHeight="1" x14ac:dyDescent="0.25">
      <c r="A827" s="7"/>
      <c r="B827" s="7"/>
      <c r="C827" s="7"/>
      <c r="D827" s="7"/>
      <c r="E827" s="11">
        <v>825</v>
      </c>
      <c r="F827" s="8"/>
      <c r="G827" s="8"/>
      <c r="H827" s="9"/>
      <c r="I827" s="10"/>
      <c r="J827" s="9"/>
      <c r="K827" s="10"/>
      <c r="L827" s="8"/>
      <c r="M827" s="8"/>
      <c r="N827" s="10"/>
      <c r="O827" s="10"/>
    </row>
    <row r="828" spans="1:15" ht="33.75" customHeight="1" x14ac:dyDescent="0.25">
      <c r="A828" s="7"/>
      <c r="B828" s="7"/>
      <c r="C828" s="7"/>
      <c r="D828" s="7"/>
      <c r="E828" s="11">
        <v>826</v>
      </c>
      <c r="F828" s="8"/>
      <c r="G828" s="8"/>
      <c r="H828" s="9"/>
      <c r="I828" s="10"/>
      <c r="J828" s="9"/>
      <c r="K828" s="10"/>
      <c r="L828" s="8"/>
      <c r="M828" s="8"/>
      <c r="N828" s="10"/>
      <c r="O828" s="10"/>
    </row>
    <row r="829" spans="1:15" ht="33.75" customHeight="1" x14ac:dyDescent="0.25">
      <c r="A829" s="7"/>
      <c r="B829" s="7"/>
      <c r="C829" s="7"/>
      <c r="D829" s="7"/>
      <c r="E829" s="11">
        <v>827</v>
      </c>
      <c r="F829" s="8"/>
      <c r="G829" s="8"/>
      <c r="H829" s="9"/>
      <c r="I829" s="10"/>
      <c r="J829" s="9"/>
      <c r="K829" s="10"/>
      <c r="L829" s="8"/>
      <c r="M829" s="8"/>
      <c r="N829" s="10"/>
      <c r="O829" s="10"/>
    </row>
    <row r="830" spans="1:15" ht="33.75" customHeight="1" x14ac:dyDescent="0.25">
      <c r="A830" s="7"/>
      <c r="B830" s="7"/>
      <c r="C830" s="7"/>
      <c r="D830" s="7"/>
      <c r="E830" s="11">
        <v>828</v>
      </c>
      <c r="F830" s="8"/>
      <c r="G830" s="8"/>
      <c r="H830" s="9"/>
      <c r="I830" s="10"/>
      <c r="J830" s="9"/>
      <c r="K830" s="10"/>
      <c r="L830" s="8"/>
      <c r="M830" s="8"/>
      <c r="N830" s="10"/>
      <c r="O830" s="10"/>
    </row>
    <row r="831" spans="1:15" ht="33.75" customHeight="1" x14ac:dyDescent="0.25">
      <c r="A831" s="7"/>
      <c r="B831" s="7"/>
      <c r="C831" s="7"/>
      <c r="D831" s="7"/>
      <c r="E831" s="11">
        <v>829</v>
      </c>
      <c r="F831" s="8"/>
      <c r="G831" s="8"/>
      <c r="H831" s="9"/>
      <c r="I831" s="10"/>
      <c r="J831" s="9"/>
      <c r="K831" s="10"/>
      <c r="L831" s="8"/>
      <c r="M831" s="8"/>
      <c r="N831" s="10"/>
      <c r="O831" s="10"/>
    </row>
    <row r="832" spans="1:15" ht="33.75" customHeight="1" x14ac:dyDescent="0.25">
      <c r="A832" s="7"/>
      <c r="B832" s="7"/>
      <c r="C832" s="7"/>
      <c r="D832" s="7"/>
      <c r="E832" s="11">
        <v>830</v>
      </c>
      <c r="F832" s="8"/>
      <c r="G832" s="8"/>
      <c r="H832" s="9"/>
      <c r="I832" s="10"/>
      <c r="J832" s="9"/>
      <c r="K832" s="10"/>
      <c r="L832" s="8"/>
      <c r="M832" s="8"/>
      <c r="N832" s="10"/>
      <c r="O832" s="10"/>
    </row>
    <row r="833" spans="1:15" ht="33.75" customHeight="1" x14ac:dyDescent="0.25">
      <c r="A833" s="7"/>
      <c r="B833" s="7"/>
      <c r="C833" s="7"/>
      <c r="D833" s="7"/>
      <c r="E833" s="11">
        <v>831</v>
      </c>
      <c r="F833" s="8"/>
      <c r="G833" s="8"/>
      <c r="H833" s="9"/>
      <c r="I833" s="10"/>
      <c r="J833" s="9"/>
      <c r="K833" s="10"/>
      <c r="L833" s="8"/>
      <c r="M833" s="8"/>
      <c r="N833" s="10"/>
      <c r="O833" s="10"/>
    </row>
    <row r="834" spans="1:15" ht="33.75" customHeight="1" x14ac:dyDescent="0.25">
      <c r="A834" s="7"/>
      <c r="B834" s="7"/>
      <c r="C834" s="7"/>
      <c r="D834" s="7"/>
      <c r="E834" s="11">
        <v>832</v>
      </c>
      <c r="F834" s="8"/>
      <c r="G834" s="8"/>
      <c r="H834" s="9"/>
      <c r="I834" s="10"/>
      <c r="J834" s="9"/>
      <c r="K834" s="10"/>
      <c r="L834" s="8"/>
      <c r="M834" s="8"/>
      <c r="N834" s="10"/>
      <c r="O834" s="10"/>
    </row>
    <row r="835" spans="1:15" ht="33.75" customHeight="1" x14ac:dyDescent="0.25">
      <c r="A835" s="7"/>
      <c r="B835" s="7"/>
      <c r="C835" s="7"/>
      <c r="D835" s="7"/>
      <c r="E835" s="11">
        <v>833</v>
      </c>
      <c r="F835" s="8"/>
      <c r="G835" s="8"/>
      <c r="H835" s="9"/>
      <c r="I835" s="10"/>
      <c r="J835" s="9"/>
      <c r="K835" s="10"/>
      <c r="L835" s="8"/>
      <c r="M835" s="8"/>
      <c r="N835" s="10"/>
      <c r="O835" s="10"/>
    </row>
    <row r="836" spans="1:15" ht="33.75" customHeight="1" x14ac:dyDescent="0.25">
      <c r="A836" s="7"/>
      <c r="B836" s="7"/>
      <c r="C836" s="7"/>
      <c r="D836" s="7"/>
      <c r="E836" s="11">
        <v>834</v>
      </c>
      <c r="F836" s="8"/>
      <c r="G836" s="8"/>
      <c r="H836" s="9"/>
      <c r="I836" s="10"/>
      <c r="J836" s="9"/>
      <c r="K836" s="10"/>
      <c r="L836" s="8"/>
      <c r="M836" s="8"/>
      <c r="N836" s="10"/>
      <c r="O836" s="10"/>
    </row>
    <row r="837" spans="1:15" ht="33.75" customHeight="1" x14ac:dyDescent="0.25">
      <c r="A837" s="7"/>
      <c r="B837" s="7"/>
      <c r="C837" s="7"/>
      <c r="D837" s="7"/>
      <c r="E837" s="11">
        <v>835</v>
      </c>
      <c r="F837" s="8"/>
      <c r="G837" s="8"/>
      <c r="H837" s="9"/>
      <c r="I837" s="10"/>
      <c r="J837" s="9"/>
      <c r="K837" s="10"/>
      <c r="L837" s="8"/>
      <c r="M837" s="8"/>
      <c r="N837" s="10"/>
      <c r="O837" s="10"/>
    </row>
    <row r="838" spans="1:15" ht="33.75" customHeight="1" x14ac:dyDescent="0.25">
      <c r="A838" s="7"/>
      <c r="B838" s="7"/>
      <c r="C838" s="7"/>
      <c r="D838" s="7"/>
      <c r="E838" s="11">
        <v>836</v>
      </c>
      <c r="F838" s="8"/>
      <c r="G838" s="8"/>
      <c r="H838" s="9"/>
      <c r="I838" s="10"/>
      <c r="J838" s="9"/>
      <c r="K838" s="10"/>
      <c r="L838" s="8"/>
      <c r="M838" s="8"/>
      <c r="N838" s="10"/>
      <c r="O838" s="10"/>
    </row>
    <row r="839" spans="1:15" ht="33.75" customHeight="1" x14ac:dyDescent="0.25">
      <c r="A839" s="7"/>
      <c r="B839" s="7"/>
      <c r="C839" s="7"/>
      <c r="D839" s="7"/>
      <c r="E839" s="11">
        <v>837</v>
      </c>
      <c r="F839" s="8"/>
      <c r="G839" s="8"/>
      <c r="H839" s="9"/>
      <c r="I839" s="10"/>
      <c r="J839" s="9"/>
      <c r="K839" s="10"/>
      <c r="L839" s="8"/>
      <c r="M839" s="8"/>
      <c r="N839" s="10"/>
      <c r="O839" s="10"/>
    </row>
    <row r="840" spans="1:15" ht="33.75" customHeight="1" x14ac:dyDescent="0.25">
      <c r="A840" s="7"/>
      <c r="B840" s="7"/>
      <c r="C840" s="7"/>
      <c r="D840" s="7"/>
      <c r="E840" s="11">
        <v>838</v>
      </c>
      <c r="F840" s="8"/>
      <c r="G840" s="8"/>
      <c r="H840" s="9"/>
      <c r="I840" s="10"/>
      <c r="J840" s="9"/>
      <c r="K840" s="10"/>
      <c r="L840" s="8"/>
      <c r="M840" s="8"/>
      <c r="N840" s="10"/>
      <c r="O840" s="10"/>
    </row>
    <row r="841" spans="1:15" ht="33.75" customHeight="1" x14ac:dyDescent="0.25">
      <c r="A841" s="7"/>
      <c r="B841" s="7"/>
      <c r="C841" s="7"/>
      <c r="D841" s="7"/>
      <c r="E841" s="11">
        <v>839</v>
      </c>
      <c r="F841" s="8"/>
      <c r="G841" s="8"/>
      <c r="H841" s="9"/>
      <c r="I841" s="10"/>
      <c r="J841" s="9"/>
      <c r="K841" s="10"/>
      <c r="L841" s="8"/>
      <c r="M841" s="8"/>
      <c r="N841" s="10"/>
      <c r="O841" s="10"/>
    </row>
    <row r="842" spans="1:15" ht="33.75" customHeight="1" x14ac:dyDescent="0.25">
      <c r="A842" s="7"/>
      <c r="B842" s="7"/>
      <c r="C842" s="7"/>
      <c r="D842" s="7"/>
      <c r="E842" s="11">
        <v>840</v>
      </c>
      <c r="F842" s="8"/>
      <c r="G842" s="8"/>
      <c r="H842" s="9"/>
      <c r="I842" s="10"/>
      <c r="J842" s="9"/>
      <c r="K842" s="10"/>
      <c r="L842" s="8"/>
      <c r="M842" s="8"/>
      <c r="N842" s="10"/>
      <c r="O842" s="10"/>
    </row>
    <row r="843" spans="1:15" ht="33.75" customHeight="1" x14ac:dyDescent="0.25">
      <c r="A843" s="7"/>
      <c r="B843" s="7"/>
      <c r="C843" s="7"/>
      <c r="D843" s="7"/>
      <c r="E843" s="11">
        <v>841</v>
      </c>
      <c r="F843" s="8"/>
      <c r="G843" s="8"/>
      <c r="H843" s="9"/>
      <c r="I843" s="10"/>
      <c r="J843" s="9"/>
      <c r="K843" s="10"/>
      <c r="L843" s="8"/>
      <c r="M843" s="8"/>
      <c r="N843" s="10"/>
      <c r="O843" s="10"/>
    </row>
    <row r="844" spans="1:15" ht="33.75" customHeight="1" x14ac:dyDescent="0.25">
      <c r="A844" s="7"/>
      <c r="B844" s="7"/>
      <c r="C844" s="7"/>
      <c r="D844" s="7"/>
      <c r="E844" s="11">
        <v>842</v>
      </c>
      <c r="F844" s="8"/>
      <c r="G844" s="8"/>
      <c r="H844" s="9"/>
      <c r="I844" s="10"/>
      <c r="J844" s="9"/>
      <c r="K844" s="10"/>
      <c r="L844" s="8"/>
      <c r="M844" s="8"/>
      <c r="N844" s="10"/>
      <c r="O844" s="10"/>
    </row>
    <row r="845" spans="1:15" ht="33.75" customHeight="1" x14ac:dyDescent="0.25">
      <c r="A845" s="7"/>
      <c r="B845" s="7"/>
      <c r="C845" s="7"/>
      <c r="D845" s="7"/>
      <c r="E845" s="11">
        <v>843</v>
      </c>
      <c r="F845" s="8"/>
      <c r="G845" s="8"/>
      <c r="H845" s="9"/>
      <c r="I845" s="10"/>
      <c r="J845" s="9"/>
      <c r="K845" s="10"/>
      <c r="L845" s="8"/>
      <c r="M845" s="8"/>
      <c r="N845" s="10"/>
      <c r="O845" s="10"/>
    </row>
    <row r="846" spans="1:15" ht="33.75" customHeight="1" x14ac:dyDescent="0.25">
      <c r="A846" s="7"/>
      <c r="B846" s="7"/>
      <c r="C846" s="7"/>
      <c r="D846" s="7"/>
      <c r="E846" s="11">
        <v>844</v>
      </c>
      <c r="F846" s="8"/>
      <c r="G846" s="8"/>
      <c r="H846" s="9"/>
      <c r="I846" s="10"/>
      <c r="J846" s="9"/>
      <c r="K846" s="10"/>
      <c r="L846" s="8"/>
      <c r="M846" s="8"/>
      <c r="N846" s="10"/>
      <c r="O846" s="10"/>
    </row>
    <row r="847" spans="1:15" ht="33.75" customHeight="1" x14ac:dyDescent="0.25">
      <c r="A847" s="7"/>
      <c r="B847" s="7"/>
      <c r="C847" s="7"/>
      <c r="D847" s="7"/>
      <c r="E847" s="11">
        <v>845</v>
      </c>
      <c r="F847" s="8"/>
      <c r="G847" s="8"/>
      <c r="H847" s="9"/>
      <c r="I847" s="10"/>
      <c r="J847" s="9"/>
      <c r="K847" s="10"/>
      <c r="L847" s="8"/>
      <c r="M847" s="8"/>
      <c r="N847" s="10"/>
      <c r="O847" s="10"/>
    </row>
    <row r="848" spans="1:15" ht="33.75" customHeight="1" x14ac:dyDescent="0.25">
      <c r="A848" s="7"/>
      <c r="B848" s="7"/>
      <c r="C848" s="7"/>
      <c r="D848" s="7"/>
      <c r="E848" s="11">
        <v>846</v>
      </c>
      <c r="F848" s="8"/>
      <c r="G848" s="8"/>
      <c r="H848" s="9"/>
      <c r="I848" s="10"/>
      <c r="J848" s="9"/>
      <c r="K848" s="10"/>
      <c r="L848" s="8"/>
      <c r="M848" s="8"/>
      <c r="N848" s="10"/>
      <c r="O848" s="10"/>
    </row>
    <row r="849" spans="1:15" ht="33.75" customHeight="1" x14ac:dyDescent="0.25">
      <c r="A849" s="7"/>
      <c r="B849" s="7"/>
      <c r="C849" s="7"/>
      <c r="D849" s="7"/>
      <c r="E849" s="11">
        <v>847</v>
      </c>
      <c r="F849" s="8"/>
      <c r="G849" s="8"/>
      <c r="H849" s="9"/>
      <c r="I849" s="10"/>
      <c r="J849" s="9"/>
      <c r="K849" s="10"/>
      <c r="L849" s="8"/>
      <c r="M849" s="8"/>
      <c r="N849" s="10"/>
      <c r="O849" s="10"/>
    </row>
    <row r="850" spans="1:15" ht="33.75" customHeight="1" x14ac:dyDescent="0.25">
      <c r="A850" s="7"/>
      <c r="B850" s="7"/>
      <c r="C850" s="7"/>
      <c r="D850" s="7"/>
      <c r="E850" s="11">
        <v>848</v>
      </c>
      <c r="F850" s="8"/>
      <c r="G850" s="8"/>
      <c r="H850" s="9"/>
      <c r="I850" s="10"/>
      <c r="J850" s="9"/>
      <c r="K850" s="10"/>
      <c r="L850" s="8"/>
      <c r="M850" s="8"/>
      <c r="N850" s="10"/>
      <c r="O850" s="10"/>
    </row>
    <row r="851" spans="1:15" ht="33.75" customHeight="1" x14ac:dyDescent="0.25">
      <c r="A851" s="7"/>
      <c r="B851" s="7"/>
      <c r="C851" s="7"/>
      <c r="D851" s="7"/>
      <c r="E851" s="11">
        <v>849</v>
      </c>
      <c r="F851" s="8"/>
      <c r="G851" s="8"/>
      <c r="H851" s="9"/>
      <c r="I851" s="10"/>
      <c r="J851" s="9"/>
      <c r="K851" s="10"/>
      <c r="L851" s="8"/>
      <c r="M851" s="8"/>
      <c r="N851" s="10"/>
      <c r="O851" s="10"/>
    </row>
    <row r="852" spans="1:15" ht="33.75" customHeight="1" x14ac:dyDescent="0.25">
      <c r="A852" s="7"/>
      <c r="B852" s="7"/>
      <c r="C852" s="7"/>
      <c r="D852" s="7"/>
      <c r="E852" s="11">
        <v>850</v>
      </c>
      <c r="F852" s="8"/>
      <c r="G852" s="8"/>
      <c r="H852" s="9"/>
      <c r="I852" s="10"/>
      <c r="J852" s="9"/>
      <c r="K852" s="10"/>
      <c r="L852" s="8"/>
      <c r="M852" s="8"/>
      <c r="N852" s="10"/>
      <c r="O852" s="10"/>
    </row>
    <row r="853" spans="1:15" ht="33.75" customHeight="1" x14ac:dyDescent="0.25">
      <c r="A853" s="7"/>
      <c r="B853" s="7"/>
      <c r="C853" s="7"/>
      <c r="D853" s="7"/>
      <c r="E853" s="11">
        <v>851</v>
      </c>
      <c r="F853" s="8"/>
      <c r="G853" s="8"/>
      <c r="H853" s="9"/>
      <c r="I853" s="10"/>
      <c r="J853" s="9"/>
      <c r="K853" s="10"/>
      <c r="L853" s="8"/>
      <c r="M853" s="8"/>
      <c r="N853" s="10"/>
      <c r="O853" s="10"/>
    </row>
    <row r="854" spans="1:15" ht="33.75" customHeight="1" x14ac:dyDescent="0.25">
      <c r="A854" s="7"/>
      <c r="B854" s="7"/>
      <c r="C854" s="7"/>
      <c r="D854" s="7"/>
      <c r="E854" s="11">
        <v>852</v>
      </c>
      <c r="F854" s="8"/>
      <c r="G854" s="8"/>
      <c r="H854" s="9"/>
      <c r="I854" s="10"/>
      <c r="J854" s="9"/>
      <c r="K854" s="10"/>
      <c r="L854" s="8"/>
      <c r="M854" s="8"/>
      <c r="N854" s="10"/>
      <c r="O854" s="10"/>
    </row>
    <row r="855" spans="1:15" ht="33.75" customHeight="1" x14ac:dyDescent="0.25">
      <c r="A855" s="7"/>
      <c r="B855" s="7"/>
      <c r="C855" s="7"/>
      <c r="D855" s="7"/>
      <c r="E855" s="11">
        <v>853</v>
      </c>
      <c r="F855" s="8"/>
      <c r="G855" s="8"/>
      <c r="H855" s="9"/>
      <c r="I855" s="10"/>
      <c r="J855" s="9"/>
      <c r="K855" s="10"/>
      <c r="L855" s="8"/>
      <c r="M855" s="8"/>
      <c r="N855" s="10"/>
      <c r="O855" s="10"/>
    </row>
    <row r="856" spans="1:15" ht="33.75" customHeight="1" x14ac:dyDescent="0.25">
      <c r="A856" s="7"/>
      <c r="B856" s="7"/>
      <c r="C856" s="7"/>
      <c r="D856" s="7"/>
      <c r="E856" s="11">
        <v>854</v>
      </c>
      <c r="F856" s="8"/>
      <c r="G856" s="8"/>
      <c r="H856" s="9"/>
      <c r="I856" s="10"/>
      <c r="J856" s="9"/>
      <c r="K856" s="10"/>
      <c r="L856" s="8"/>
      <c r="M856" s="8"/>
      <c r="N856" s="10"/>
      <c r="O856" s="10"/>
    </row>
    <row r="857" spans="1:15" ht="33.75" customHeight="1" x14ac:dyDescent="0.25">
      <c r="A857" s="7"/>
      <c r="B857" s="7"/>
      <c r="C857" s="7"/>
      <c r="D857" s="7"/>
      <c r="E857" s="11">
        <v>855</v>
      </c>
      <c r="F857" s="8"/>
      <c r="G857" s="8"/>
      <c r="H857" s="9"/>
      <c r="I857" s="10"/>
      <c r="J857" s="9"/>
      <c r="K857" s="10"/>
      <c r="L857" s="8"/>
      <c r="M857" s="8"/>
      <c r="N857" s="10"/>
      <c r="O857" s="10"/>
    </row>
    <row r="858" spans="1:15" ht="33.75" customHeight="1" x14ac:dyDescent="0.25">
      <c r="A858" s="7"/>
      <c r="B858" s="7"/>
      <c r="C858" s="7"/>
      <c r="D858" s="7"/>
      <c r="E858" s="11">
        <v>856</v>
      </c>
      <c r="F858" s="8"/>
      <c r="G858" s="8"/>
      <c r="H858" s="9"/>
      <c r="I858" s="10"/>
      <c r="J858" s="9"/>
      <c r="K858" s="10"/>
      <c r="L858" s="8"/>
      <c r="M858" s="8"/>
      <c r="N858" s="10"/>
      <c r="O858" s="10"/>
    </row>
    <row r="859" spans="1:15" ht="33.75" customHeight="1" x14ac:dyDescent="0.25">
      <c r="A859" s="7"/>
      <c r="B859" s="7"/>
      <c r="C859" s="7"/>
      <c r="D859" s="7"/>
      <c r="E859" s="11">
        <v>857</v>
      </c>
      <c r="F859" s="8"/>
      <c r="G859" s="8"/>
      <c r="H859" s="9"/>
      <c r="I859" s="10"/>
      <c r="J859" s="9"/>
      <c r="K859" s="10"/>
      <c r="L859" s="8"/>
      <c r="M859" s="8"/>
      <c r="N859" s="10"/>
      <c r="O859" s="10"/>
    </row>
    <row r="860" spans="1:15" ht="33.75" customHeight="1" x14ac:dyDescent="0.25">
      <c r="A860" s="7"/>
      <c r="B860" s="7"/>
      <c r="C860" s="7"/>
      <c r="D860" s="7"/>
      <c r="E860" s="11">
        <v>858</v>
      </c>
      <c r="F860" s="8"/>
      <c r="G860" s="8"/>
      <c r="H860" s="9"/>
      <c r="I860" s="10"/>
      <c r="J860" s="9"/>
      <c r="K860" s="10"/>
      <c r="L860" s="8"/>
      <c r="M860" s="8"/>
      <c r="N860" s="10"/>
      <c r="O860" s="10"/>
    </row>
    <row r="861" spans="1:15" ht="33.75" customHeight="1" x14ac:dyDescent="0.25">
      <c r="A861" s="7"/>
      <c r="B861" s="7"/>
      <c r="C861" s="7"/>
      <c r="D861" s="7"/>
      <c r="E861" s="11">
        <v>859</v>
      </c>
      <c r="F861" s="8"/>
      <c r="G861" s="8"/>
      <c r="H861" s="9"/>
      <c r="I861" s="10"/>
      <c r="J861" s="9"/>
      <c r="K861" s="10"/>
      <c r="L861" s="8"/>
      <c r="M861" s="8"/>
      <c r="N861" s="10"/>
      <c r="O861" s="10"/>
    </row>
    <row r="862" spans="1:15" ht="33.75" customHeight="1" x14ac:dyDescent="0.25">
      <c r="A862" s="7"/>
      <c r="B862" s="7"/>
      <c r="C862" s="7"/>
      <c r="D862" s="7"/>
      <c r="E862" s="11">
        <v>860</v>
      </c>
      <c r="F862" s="8"/>
      <c r="G862" s="8"/>
      <c r="H862" s="9"/>
      <c r="I862" s="10"/>
      <c r="J862" s="9"/>
      <c r="K862" s="10"/>
      <c r="L862" s="8"/>
      <c r="M862" s="8"/>
      <c r="N862" s="10"/>
      <c r="O862" s="10"/>
    </row>
    <row r="863" spans="1:15" ht="33.75" customHeight="1" x14ac:dyDescent="0.25">
      <c r="A863" s="7"/>
      <c r="B863" s="7"/>
      <c r="C863" s="7"/>
      <c r="D863" s="7"/>
      <c r="E863" s="11">
        <v>861</v>
      </c>
      <c r="F863" s="8"/>
      <c r="G863" s="8"/>
      <c r="H863" s="9"/>
      <c r="I863" s="10"/>
      <c r="J863" s="9"/>
      <c r="K863" s="10"/>
      <c r="L863" s="8"/>
      <c r="M863" s="8"/>
      <c r="N863" s="10"/>
      <c r="O863" s="10"/>
    </row>
    <row r="864" spans="1:15" ht="33.75" customHeight="1" x14ac:dyDescent="0.25">
      <c r="A864" s="7"/>
      <c r="B864" s="7"/>
      <c r="C864" s="7"/>
      <c r="D864" s="7"/>
      <c r="E864" s="11">
        <v>862</v>
      </c>
      <c r="F864" s="8"/>
      <c r="G864" s="8"/>
      <c r="H864" s="9"/>
      <c r="I864" s="10"/>
      <c r="J864" s="9"/>
      <c r="K864" s="10"/>
      <c r="L864" s="8"/>
      <c r="M864" s="8"/>
      <c r="N864" s="10"/>
      <c r="O864" s="10"/>
    </row>
    <row r="865" spans="1:15" ht="33.75" customHeight="1" x14ac:dyDescent="0.25">
      <c r="A865" s="7"/>
      <c r="B865" s="7"/>
      <c r="C865" s="7"/>
      <c r="D865" s="7"/>
      <c r="E865" s="11">
        <v>863</v>
      </c>
      <c r="F865" s="8"/>
      <c r="G865" s="8"/>
      <c r="H865" s="9"/>
      <c r="I865" s="10"/>
      <c r="J865" s="9"/>
      <c r="K865" s="10"/>
      <c r="L865" s="8"/>
      <c r="M865" s="8"/>
      <c r="N865" s="10"/>
      <c r="O865" s="10"/>
    </row>
    <row r="866" spans="1:15" ht="33.75" customHeight="1" x14ac:dyDescent="0.25">
      <c r="A866" s="7"/>
      <c r="B866" s="7"/>
      <c r="C866" s="7"/>
      <c r="D866" s="7"/>
      <c r="E866" s="11">
        <v>864</v>
      </c>
      <c r="F866" s="8"/>
      <c r="G866" s="8"/>
      <c r="H866" s="9"/>
      <c r="I866" s="10"/>
      <c r="J866" s="9"/>
      <c r="K866" s="10"/>
      <c r="L866" s="8"/>
      <c r="M866" s="8"/>
      <c r="N866" s="10"/>
      <c r="O866" s="10"/>
    </row>
    <row r="867" spans="1:15" ht="33.75" customHeight="1" x14ac:dyDescent="0.25">
      <c r="A867" s="7"/>
      <c r="B867" s="7"/>
      <c r="C867" s="7"/>
      <c r="D867" s="7"/>
      <c r="E867" s="11">
        <v>865</v>
      </c>
      <c r="F867" s="8"/>
      <c r="G867" s="8"/>
      <c r="H867" s="9"/>
      <c r="I867" s="10"/>
      <c r="J867" s="9"/>
      <c r="K867" s="10"/>
      <c r="L867" s="8"/>
      <c r="M867" s="8"/>
      <c r="N867" s="10"/>
      <c r="O867" s="10"/>
    </row>
    <row r="868" spans="1:15" ht="33.75" customHeight="1" x14ac:dyDescent="0.25">
      <c r="A868" s="7"/>
      <c r="B868" s="7"/>
      <c r="C868" s="7"/>
      <c r="D868" s="7"/>
      <c r="E868" s="11">
        <v>866</v>
      </c>
      <c r="F868" s="8"/>
      <c r="G868" s="8"/>
      <c r="H868" s="9"/>
      <c r="I868" s="10"/>
      <c r="J868" s="9"/>
      <c r="K868" s="10"/>
      <c r="L868" s="8"/>
      <c r="M868" s="8"/>
      <c r="N868" s="10"/>
      <c r="O868" s="10"/>
    </row>
    <row r="869" spans="1:15" ht="33.75" customHeight="1" x14ac:dyDescent="0.25">
      <c r="A869" s="7"/>
      <c r="B869" s="7"/>
      <c r="C869" s="7"/>
      <c r="D869" s="7"/>
      <c r="E869" s="11">
        <v>867</v>
      </c>
      <c r="F869" s="8"/>
      <c r="G869" s="8"/>
      <c r="H869" s="9"/>
      <c r="I869" s="10"/>
      <c r="J869" s="9"/>
      <c r="K869" s="10"/>
      <c r="L869" s="8"/>
      <c r="M869" s="8"/>
      <c r="N869" s="10"/>
      <c r="O869" s="10"/>
    </row>
    <row r="870" spans="1:15" ht="33.75" customHeight="1" x14ac:dyDescent="0.25">
      <c r="A870" s="7"/>
      <c r="B870" s="7"/>
      <c r="C870" s="7"/>
      <c r="D870" s="7"/>
      <c r="E870" s="11">
        <v>868</v>
      </c>
      <c r="F870" s="8"/>
      <c r="G870" s="8"/>
      <c r="H870" s="9"/>
      <c r="I870" s="10"/>
      <c r="J870" s="9"/>
      <c r="K870" s="10"/>
      <c r="L870" s="8"/>
      <c r="M870" s="8"/>
      <c r="N870" s="10"/>
      <c r="O870" s="10"/>
    </row>
    <row r="871" spans="1:15" ht="33.75" customHeight="1" x14ac:dyDescent="0.25">
      <c r="A871" s="7"/>
      <c r="B871" s="7"/>
      <c r="C871" s="7"/>
      <c r="D871" s="7"/>
      <c r="E871" s="11">
        <v>869</v>
      </c>
      <c r="F871" s="8"/>
      <c r="G871" s="8"/>
      <c r="H871" s="9"/>
      <c r="I871" s="10"/>
      <c r="J871" s="9"/>
      <c r="K871" s="10"/>
      <c r="L871" s="8"/>
      <c r="M871" s="8"/>
      <c r="N871" s="10"/>
      <c r="O871" s="10"/>
    </row>
    <row r="872" spans="1:15" ht="33.75" customHeight="1" x14ac:dyDescent="0.25">
      <c r="A872" s="7"/>
      <c r="B872" s="7"/>
      <c r="C872" s="7"/>
      <c r="D872" s="7"/>
      <c r="E872" s="11">
        <v>870</v>
      </c>
      <c r="F872" s="8"/>
      <c r="G872" s="8"/>
      <c r="H872" s="9"/>
      <c r="I872" s="10"/>
      <c r="J872" s="9"/>
      <c r="K872" s="10"/>
      <c r="L872" s="8"/>
      <c r="M872" s="8"/>
      <c r="N872" s="10"/>
      <c r="O872" s="10"/>
    </row>
    <row r="873" spans="1:15" ht="33.75" customHeight="1" x14ac:dyDescent="0.25">
      <c r="A873" s="7"/>
      <c r="B873" s="7"/>
      <c r="C873" s="7"/>
      <c r="D873" s="7"/>
      <c r="E873" s="11">
        <v>871</v>
      </c>
      <c r="F873" s="8"/>
      <c r="G873" s="8"/>
      <c r="H873" s="9"/>
      <c r="I873" s="10"/>
      <c r="J873" s="9"/>
      <c r="K873" s="10"/>
      <c r="L873" s="8"/>
      <c r="M873" s="8"/>
      <c r="N873" s="10"/>
      <c r="O873" s="10"/>
    </row>
    <row r="874" spans="1:15" ht="33.75" customHeight="1" x14ac:dyDescent="0.25">
      <c r="A874" s="7"/>
      <c r="B874" s="7"/>
      <c r="C874" s="7"/>
      <c r="D874" s="7"/>
      <c r="E874" s="11">
        <v>872</v>
      </c>
      <c r="F874" s="8"/>
      <c r="G874" s="8"/>
      <c r="H874" s="9"/>
      <c r="I874" s="10"/>
      <c r="J874" s="9"/>
      <c r="K874" s="10"/>
      <c r="L874" s="8"/>
      <c r="M874" s="8"/>
      <c r="N874" s="10"/>
      <c r="O874" s="10"/>
    </row>
    <row r="875" spans="1:15" ht="33.75" customHeight="1" x14ac:dyDescent="0.25">
      <c r="A875" s="7"/>
      <c r="B875" s="7"/>
      <c r="C875" s="7"/>
      <c r="D875" s="7"/>
      <c r="E875" s="11">
        <v>873</v>
      </c>
      <c r="F875" s="8"/>
      <c r="G875" s="8"/>
      <c r="H875" s="9"/>
      <c r="I875" s="10"/>
      <c r="J875" s="9"/>
      <c r="K875" s="10"/>
      <c r="L875" s="8"/>
      <c r="M875" s="8"/>
      <c r="N875" s="10"/>
      <c r="O875" s="10"/>
    </row>
    <row r="876" spans="1:15" ht="33.75" customHeight="1" x14ac:dyDescent="0.25">
      <c r="A876" s="7"/>
      <c r="B876" s="7"/>
      <c r="C876" s="7"/>
      <c r="D876" s="7"/>
      <c r="E876" s="11">
        <v>874</v>
      </c>
      <c r="F876" s="8"/>
      <c r="G876" s="8"/>
      <c r="H876" s="9"/>
      <c r="I876" s="10"/>
      <c r="J876" s="9"/>
      <c r="K876" s="10"/>
      <c r="L876" s="8"/>
      <c r="M876" s="8"/>
      <c r="N876" s="10"/>
      <c r="O876" s="10"/>
    </row>
    <row r="877" spans="1:15" ht="33.75" customHeight="1" x14ac:dyDescent="0.25">
      <c r="A877" s="7"/>
      <c r="B877" s="7"/>
      <c r="C877" s="7"/>
      <c r="D877" s="7"/>
      <c r="E877" s="11">
        <v>875</v>
      </c>
      <c r="F877" s="8"/>
      <c r="G877" s="8"/>
      <c r="H877" s="9"/>
      <c r="I877" s="10"/>
      <c r="J877" s="9"/>
      <c r="K877" s="10"/>
      <c r="L877" s="8"/>
      <c r="M877" s="8"/>
      <c r="N877" s="10"/>
      <c r="O877" s="10"/>
    </row>
    <row r="878" spans="1:15" ht="33.75" customHeight="1" x14ac:dyDescent="0.25">
      <c r="A878" s="7"/>
      <c r="B878" s="7"/>
      <c r="C878" s="7"/>
      <c r="D878" s="7"/>
      <c r="E878" s="11">
        <v>876</v>
      </c>
      <c r="F878" s="8"/>
      <c r="G878" s="8"/>
      <c r="H878" s="9"/>
      <c r="I878" s="10"/>
      <c r="J878" s="9"/>
      <c r="K878" s="10"/>
      <c r="L878" s="8"/>
      <c r="M878" s="8"/>
      <c r="N878" s="10"/>
      <c r="O878" s="10"/>
    </row>
    <row r="879" spans="1:15" ht="33.75" customHeight="1" x14ac:dyDescent="0.25">
      <c r="A879" s="7"/>
      <c r="B879" s="7"/>
      <c r="C879" s="7"/>
      <c r="D879" s="7"/>
      <c r="E879" s="11">
        <v>877</v>
      </c>
      <c r="F879" s="8"/>
      <c r="G879" s="8"/>
      <c r="H879" s="9"/>
      <c r="I879" s="10"/>
      <c r="J879" s="9"/>
      <c r="K879" s="10"/>
      <c r="L879" s="8"/>
      <c r="M879" s="8"/>
      <c r="N879" s="10"/>
      <c r="O879" s="10"/>
    </row>
    <row r="880" spans="1:15" ht="33.75" customHeight="1" x14ac:dyDescent="0.25">
      <c r="A880" s="7"/>
      <c r="B880" s="7"/>
      <c r="C880" s="7"/>
      <c r="D880" s="7"/>
      <c r="E880" s="11">
        <v>878</v>
      </c>
      <c r="F880" s="8"/>
      <c r="G880" s="8"/>
      <c r="H880" s="9"/>
      <c r="I880" s="10"/>
      <c r="J880" s="9"/>
      <c r="K880" s="10"/>
      <c r="L880" s="8"/>
      <c r="M880" s="8"/>
      <c r="N880" s="10"/>
      <c r="O880" s="10"/>
    </row>
    <row r="881" spans="1:15" ht="33.75" customHeight="1" x14ac:dyDescent="0.25">
      <c r="A881" s="7"/>
      <c r="B881" s="7"/>
      <c r="C881" s="7"/>
      <c r="D881" s="7"/>
      <c r="E881" s="11">
        <v>879</v>
      </c>
      <c r="F881" s="8"/>
      <c r="G881" s="8"/>
      <c r="H881" s="9"/>
      <c r="I881" s="10"/>
      <c r="J881" s="9"/>
      <c r="K881" s="10"/>
      <c r="L881" s="8"/>
      <c r="M881" s="8"/>
      <c r="N881" s="10"/>
      <c r="O881" s="10"/>
    </row>
    <row r="882" spans="1:15" ht="33.75" customHeight="1" x14ac:dyDescent="0.25">
      <c r="A882" s="7"/>
      <c r="B882" s="7"/>
      <c r="C882" s="7"/>
      <c r="D882" s="7"/>
      <c r="E882" s="11">
        <v>880</v>
      </c>
      <c r="F882" s="8"/>
      <c r="G882" s="8"/>
      <c r="H882" s="9"/>
      <c r="I882" s="10"/>
      <c r="J882" s="9"/>
      <c r="K882" s="10"/>
      <c r="L882" s="8"/>
      <c r="M882" s="8"/>
      <c r="N882" s="10"/>
      <c r="O882" s="10"/>
    </row>
    <row r="883" spans="1:15" ht="33.75" customHeight="1" x14ac:dyDescent="0.25">
      <c r="A883" s="7"/>
      <c r="B883" s="7"/>
      <c r="C883" s="7"/>
      <c r="D883" s="7"/>
      <c r="E883" s="11">
        <v>881</v>
      </c>
      <c r="F883" s="8"/>
      <c r="G883" s="8"/>
      <c r="H883" s="9"/>
      <c r="I883" s="10"/>
      <c r="J883" s="9"/>
      <c r="K883" s="10"/>
      <c r="L883" s="8"/>
      <c r="M883" s="8"/>
      <c r="N883" s="10"/>
      <c r="O883" s="10"/>
    </row>
    <row r="884" spans="1:15" ht="33.75" customHeight="1" x14ac:dyDescent="0.25">
      <c r="A884" s="7"/>
      <c r="B884" s="7"/>
      <c r="C884" s="7"/>
      <c r="D884" s="7"/>
      <c r="E884" s="11">
        <v>882</v>
      </c>
      <c r="F884" s="8"/>
      <c r="G884" s="8"/>
      <c r="H884" s="9"/>
      <c r="I884" s="10"/>
      <c r="J884" s="9"/>
      <c r="K884" s="10"/>
      <c r="L884" s="8"/>
      <c r="M884" s="8"/>
      <c r="N884" s="10"/>
      <c r="O884" s="10"/>
    </row>
    <row r="885" spans="1:15" ht="33.75" customHeight="1" x14ac:dyDescent="0.25">
      <c r="A885" s="7"/>
      <c r="B885" s="7"/>
      <c r="C885" s="7"/>
      <c r="D885" s="7"/>
      <c r="E885" s="11">
        <v>883</v>
      </c>
      <c r="F885" s="8"/>
      <c r="G885" s="8"/>
      <c r="H885" s="9"/>
      <c r="I885" s="10"/>
      <c r="J885" s="9"/>
      <c r="K885" s="10"/>
      <c r="L885" s="8"/>
      <c r="M885" s="8"/>
      <c r="N885" s="10"/>
      <c r="O885" s="10"/>
    </row>
    <row r="886" spans="1:15" ht="33.75" customHeight="1" x14ac:dyDescent="0.25">
      <c r="A886" s="7"/>
      <c r="B886" s="7"/>
      <c r="C886" s="7"/>
      <c r="D886" s="7"/>
      <c r="E886" s="11">
        <v>884</v>
      </c>
      <c r="F886" s="8"/>
      <c r="G886" s="8"/>
      <c r="H886" s="9"/>
      <c r="I886" s="10"/>
      <c r="J886" s="9"/>
      <c r="K886" s="10"/>
      <c r="L886" s="8"/>
      <c r="M886" s="8"/>
      <c r="N886" s="10"/>
      <c r="O886" s="10"/>
    </row>
    <row r="887" spans="1:15" ht="33.75" customHeight="1" x14ac:dyDescent="0.25">
      <c r="A887" s="7"/>
      <c r="B887" s="7"/>
      <c r="C887" s="7"/>
      <c r="D887" s="7"/>
      <c r="E887" s="11">
        <v>885</v>
      </c>
      <c r="F887" s="8"/>
      <c r="G887" s="8"/>
      <c r="H887" s="9"/>
      <c r="I887" s="10"/>
      <c r="J887" s="9"/>
      <c r="K887" s="10"/>
      <c r="L887" s="8"/>
      <c r="M887" s="8"/>
      <c r="N887" s="10"/>
      <c r="O887" s="10"/>
    </row>
    <row r="888" spans="1:15" ht="33.75" customHeight="1" x14ac:dyDescent="0.25">
      <c r="A888" s="7"/>
      <c r="B888" s="7"/>
      <c r="C888" s="7"/>
      <c r="D888" s="7"/>
      <c r="E888" s="11">
        <v>886</v>
      </c>
      <c r="F888" s="8"/>
      <c r="G888" s="8"/>
      <c r="H888" s="9"/>
      <c r="I888" s="10"/>
      <c r="J888" s="9"/>
      <c r="K888" s="10"/>
      <c r="L888" s="8"/>
      <c r="M888" s="8"/>
      <c r="N888" s="10"/>
      <c r="O888" s="10"/>
    </row>
    <row r="889" spans="1:15" ht="33.75" customHeight="1" x14ac:dyDescent="0.25">
      <c r="A889" s="7"/>
      <c r="B889" s="7"/>
      <c r="C889" s="7"/>
      <c r="D889" s="7"/>
      <c r="E889" s="11">
        <v>887</v>
      </c>
      <c r="F889" s="8"/>
      <c r="G889" s="8"/>
      <c r="H889" s="9"/>
      <c r="I889" s="10"/>
      <c r="J889" s="9"/>
      <c r="K889" s="10"/>
      <c r="L889" s="8"/>
      <c r="M889" s="8"/>
      <c r="N889" s="10"/>
      <c r="O889" s="10"/>
    </row>
    <row r="890" spans="1:15" ht="33.75" customHeight="1" x14ac:dyDescent="0.25">
      <c r="A890" s="7"/>
      <c r="B890" s="7"/>
      <c r="C890" s="7"/>
      <c r="D890" s="7"/>
      <c r="E890" s="11">
        <v>888</v>
      </c>
      <c r="F890" s="8"/>
      <c r="G890" s="8"/>
      <c r="H890" s="9"/>
      <c r="I890" s="10"/>
      <c r="J890" s="9"/>
      <c r="K890" s="10"/>
      <c r="L890" s="8"/>
      <c r="M890" s="8"/>
      <c r="N890" s="10"/>
      <c r="O890" s="10"/>
    </row>
    <row r="891" spans="1:15" ht="33.75" customHeight="1" x14ac:dyDescent="0.25">
      <c r="A891" s="7"/>
      <c r="B891" s="7"/>
      <c r="C891" s="7"/>
      <c r="D891" s="7"/>
      <c r="E891" s="11">
        <v>889</v>
      </c>
      <c r="F891" s="8"/>
      <c r="G891" s="8"/>
      <c r="H891" s="9"/>
      <c r="I891" s="10"/>
      <c r="J891" s="9"/>
      <c r="K891" s="10"/>
      <c r="L891" s="8"/>
      <c r="M891" s="8"/>
      <c r="N891" s="10"/>
      <c r="O891" s="10"/>
    </row>
    <row r="892" spans="1:15" ht="33.75" customHeight="1" x14ac:dyDescent="0.25">
      <c r="A892" s="7"/>
      <c r="B892" s="7"/>
      <c r="C892" s="7"/>
      <c r="D892" s="7"/>
      <c r="E892" s="11">
        <v>890</v>
      </c>
      <c r="F892" s="8"/>
      <c r="G892" s="8"/>
      <c r="H892" s="9"/>
      <c r="I892" s="10"/>
      <c r="J892" s="9"/>
      <c r="K892" s="10"/>
      <c r="L892" s="8"/>
      <c r="M892" s="8"/>
      <c r="N892" s="10"/>
      <c r="O892" s="10"/>
    </row>
    <row r="893" spans="1:15" ht="33.75" customHeight="1" x14ac:dyDescent="0.25">
      <c r="A893" s="7"/>
      <c r="B893" s="7"/>
      <c r="C893" s="7"/>
      <c r="D893" s="7"/>
      <c r="E893" s="11">
        <v>891</v>
      </c>
      <c r="F893" s="8"/>
      <c r="G893" s="8"/>
      <c r="H893" s="9"/>
      <c r="I893" s="10"/>
      <c r="J893" s="9"/>
      <c r="K893" s="10"/>
      <c r="L893" s="8"/>
      <c r="M893" s="8"/>
      <c r="N893" s="10"/>
      <c r="O893" s="10"/>
    </row>
    <row r="894" spans="1:15" ht="33.75" customHeight="1" x14ac:dyDescent="0.25">
      <c r="A894" s="7"/>
      <c r="B894" s="7"/>
      <c r="C894" s="7"/>
      <c r="D894" s="7"/>
      <c r="E894" s="11">
        <v>892</v>
      </c>
      <c r="F894" s="8"/>
      <c r="G894" s="8"/>
      <c r="H894" s="9"/>
      <c r="I894" s="10"/>
      <c r="J894" s="9"/>
      <c r="K894" s="10"/>
      <c r="L894" s="8"/>
      <c r="M894" s="8"/>
      <c r="N894" s="10"/>
      <c r="O894" s="10"/>
    </row>
    <row r="895" spans="1:15" ht="33.75" customHeight="1" x14ac:dyDescent="0.25">
      <c r="A895" s="7"/>
      <c r="B895" s="7"/>
      <c r="C895" s="7"/>
      <c r="D895" s="7"/>
      <c r="E895" s="11">
        <v>893</v>
      </c>
      <c r="F895" s="8"/>
      <c r="G895" s="8"/>
      <c r="H895" s="9"/>
      <c r="I895" s="10"/>
      <c r="J895" s="9"/>
      <c r="K895" s="10"/>
      <c r="L895" s="8"/>
      <c r="M895" s="8"/>
      <c r="N895" s="10"/>
      <c r="O895" s="10"/>
    </row>
    <row r="896" spans="1:15" ht="33.75" customHeight="1" x14ac:dyDescent="0.25">
      <c r="A896" s="7"/>
      <c r="B896" s="7"/>
      <c r="C896" s="7"/>
      <c r="D896" s="7"/>
      <c r="E896" s="11">
        <v>894</v>
      </c>
      <c r="F896" s="8"/>
      <c r="G896" s="8"/>
      <c r="H896" s="9"/>
      <c r="I896" s="10"/>
      <c r="J896" s="9"/>
      <c r="K896" s="10"/>
      <c r="L896" s="8"/>
      <c r="M896" s="8"/>
      <c r="N896" s="10"/>
      <c r="O896" s="10"/>
    </row>
    <row r="897" spans="1:15" ht="33.75" customHeight="1" x14ac:dyDescent="0.25">
      <c r="A897" s="7"/>
      <c r="B897" s="7"/>
      <c r="C897" s="7"/>
      <c r="D897" s="7"/>
      <c r="E897" s="11">
        <v>895</v>
      </c>
      <c r="F897" s="8"/>
      <c r="G897" s="8"/>
      <c r="H897" s="9"/>
      <c r="I897" s="10"/>
      <c r="J897" s="9"/>
      <c r="K897" s="10"/>
      <c r="L897" s="8"/>
      <c r="M897" s="8"/>
      <c r="N897" s="10"/>
      <c r="O897" s="10"/>
    </row>
    <row r="898" spans="1:15" ht="33.75" customHeight="1" x14ac:dyDescent="0.25">
      <c r="A898" s="7"/>
      <c r="B898" s="7"/>
      <c r="C898" s="7"/>
      <c r="D898" s="7"/>
      <c r="E898" s="11">
        <v>896</v>
      </c>
      <c r="F898" s="8"/>
      <c r="G898" s="8"/>
      <c r="H898" s="9"/>
      <c r="I898" s="10"/>
      <c r="J898" s="9"/>
      <c r="K898" s="10"/>
      <c r="L898" s="8"/>
      <c r="M898" s="8"/>
      <c r="N898" s="10"/>
      <c r="O898" s="10"/>
    </row>
    <row r="899" spans="1:15" ht="33.75" customHeight="1" x14ac:dyDescent="0.25">
      <c r="A899" s="7"/>
      <c r="B899" s="7"/>
      <c r="C899" s="7"/>
      <c r="D899" s="7"/>
      <c r="E899" s="11">
        <v>897</v>
      </c>
      <c r="F899" s="8"/>
      <c r="G899" s="8"/>
      <c r="H899" s="9"/>
      <c r="I899" s="10"/>
      <c r="J899" s="9"/>
      <c r="K899" s="10"/>
      <c r="L899" s="8"/>
      <c r="M899" s="8"/>
      <c r="N899" s="10"/>
      <c r="O899" s="10"/>
    </row>
    <row r="900" spans="1:15" ht="33.75" customHeight="1" x14ac:dyDescent="0.25">
      <c r="A900" s="7"/>
      <c r="B900" s="7"/>
      <c r="C900" s="7"/>
      <c r="D900" s="7"/>
      <c r="E900" s="11">
        <v>898</v>
      </c>
      <c r="F900" s="8"/>
      <c r="G900" s="8"/>
      <c r="H900" s="9"/>
      <c r="I900" s="10"/>
      <c r="J900" s="9"/>
      <c r="K900" s="10"/>
      <c r="L900" s="8"/>
      <c r="M900" s="8"/>
      <c r="N900" s="10"/>
      <c r="O900" s="10"/>
    </row>
    <row r="901" spans="1:15" ht="33.75" customHeight="1" x14ac:dyDescent="0.25">
      <c r="A901" s="7"/>
      <c r="B901" s="7"/>
      <c r="C901" s="7"/>
      <c r="D901" s="7"/>
      <c r="E901" s="11">
        <v>899</v>
      </c>
      <c r="F901" s="8"/>
      <c r="G901" s="8"/>
      <c r="H901" s="9"/>
      <c r="I901" s="10"/>
      <c r="J901" s="9"/>
      <c r="K901" s="10"/>
      <c r="L901" s="8"/>
      <c r="M901" s="8"/>
      <c r="N901" s="10"/>
      <c r="O901" s="10"/>
    </row>
    <row r="902" spans="1:15" ht="33.75" customHeight="1" x14ac:dyDescent="0.25">
      <c r="A902" s="7"/>
      <c r="B902" s="7"/>
      <c r="C902" s="7"/>
      <c r="D902" s="7"/>
      <c r="E902" s="11">
        <v>900</v>
      </c>
      <c r="F902" s="8"/>
      <c r="G902" s="8"/>
      <c r="H902" s="9"/>
      <c r="I902" s="10"/>
      <c r="J902" s="9"/>
      <c r="K902" s="10"/>
      <c r="L902" s="8"/>
      <c r="M902" s="8"/>
      <c r="N902" s="10"/>
      <c r="O902" s="10"/>
    </row>
    <row r="903" spans="1:15" ht="33.75" customHeight="1" x14ac:dyDescent="0.25">
      <c r="A903" s="7"/>
      <c r="B903" s="7"/>
      <c r="C903" s="7"/>
      <c r="D903" s="7"/>
      <c r="E903" s="11">
        <v>901</v>
      </c>
      <c r="F903" s="8"/>
      <c r="G903" s="8"/>
      <c r="H903" s="9"/>
      <c r="I903" s="10"/>
      <c r="J903" s="9"/>
      <c r="K903" s="10"/>
      <c r="L903" s="8"/>
      <c r="M903" s="8"/>
      <c r="N903" s="10"/>
      <c r="O903" s="10"/>
    </row>
    <row r="904" spans="1:15" ht="33.75" customHeight="1" x14ac:dyDescent="0.25">
      <c r="A904" s="7"/>
      <c r="B904" s="7"/>
      <c r="C904" s="7"/>
      <c r="D904" s="7"/>
      <c r="E904" s="11">
        <v>902</v>
      </c>
      <c r="F904" s="8"/>
      <c r="G904" s="8"/>
      <c r="H904" s="9"/>
      <c r="I904" s="10"/>
      <c r="J904" s="9"/>
      <c r="K904" s="10"/>
      <c r="L904" s="8"/>
      <c r="M904" s="8"/>
      <c r="N904" s="10"/>
      <c r="O904" s="10"/>
    </row>
    <row r="905" spans="1:15" ht="33.75" customHeight="1" x14ac:dyDescent="0.25">
      <c r="A905" s="7"/>
      <c r="B905" s="7"/>
      <c r="C905" s="7"/>
      <c r="D905" s="7"/>
      <c r="E905" s="11">
        <v>903</v>
      </c>
      <c r="F905" s="8"/>
      <c r="G905" s="8"/>
      <c r="H905" s="9"/>
      <c r="I905" s="10"/>
      <c r="J905" s="9"/>
      <c r="K905" s="10"/>
      <c r="L905" s="8"/>
      <c r="M905" s="8"/>
      <c r="N905" s="10"/>
      <c r="O905" s="10"/>
    </row>
    <row r="906" spans="1:15" ht="33.75" customHeight="1" x14ac:dyDescent="0.25">
      <c r="A906" s="7"/>
      <c r="B906" s="7"/>
      <c r="C906" s="7"/>
      <c r="D906" s="7"/>
      <c r="E906" s="11">
        <v>904</v>
      </c>
      <c r="F906" s="8"/>
      <c r="G906" s="8"/>
      <c r="H906" s="9"/>
      <c r="I906" s="10"/>
      <c r="J906" s="9"/>
      <c r="K906" s="10"/>
      <c r="L906" s="8"/>
      <c r="M906" s="8"/>
      <c r="N906" s="10"/>
      <c r="O906" s="10"/>
    </row>
    <row r="907" spans="1:15" ht="33.75" customHeight="1" x14ac:dyDescent="0.25">
      <c r="A907" s="7"/>
      <c r="B907" s="7"/>
      <c r="C907" s="7"/>
      <c r="D907" s="7"/>
      <c r="E907" s="11">
        <v>905</v>
      </c>
      <c r="F907" s="8"/>
      <c r="G907" s="8"/>
      <c r="H907" s="9"/>
      <c r="I907" s="10"/>
      <c r="J907" s="9"/>
      <c r="K907" s="10"/>
      <c r="L907" s="8"/>
      <c r="M907" s="8"/>
      <c r="N907" s="10"/>
      <c r="O907" s="10"/>
    </row>
    <row r="908" spans="1:15" ht="33.75" customHeight="1" x14ac:dyDescent="0.25">
      <c r="A908" s="7"/>
      <c r="B908" s="7"/>
      <c r="C908" s="7"/>
      <c r="D908" s="7"/>
      <c r="E908" s="11">
        <v>906</v>
      </c>
      <c r="F908" s="8"/>
      <c r="G908" s="8"/>
      <c r="H908" s="9"/>
      <c r="I908" s="10"/>
      <c r="J908" s="9"/>
      <c r="K908" s="10"/>
      <c r="L908" s="8"/>
      <c r="M908" s="8"/>
      <c r="N908" s="10"/>
      <c r="O908" s="10"/>
    </row>
    <row r="909" spans="1:15" ht="33.75" customHeight="1" x14ac:dyDescent="0.25">
      <c r="A909" s="7"/>
      <c r="B909" s="7"/>
      <c r="C909" s="7"/>
      <c r="D909" s="7"/>
      <c r="E909" s="11">
        <v>907</v>
      </c>
      <c r="F909" s="8"/>
      <c r="G909" s="8"/>
      <c r="H909" s="9"/>
      <c r="I909" s="10"/>
      <c r="J909" s="9"/>
      <c r="K909" s="10"/>
      <c r="L909" s="8"/>
      <c r="M909" s="8"/>
      <c r="N909" s="10"/>
      <c r="O909" s="10"/>
    </row>
    <row r="910" spans="1:15" ht="33.75" customHeight="1" x14ac:dyDescent="0.25">
      <c r="A910" s="7"/>
      <c r="B910" s="7"/>
      <c r="C910" s="7"/>
      <c r="D910" s="7"/>
      <c r="E910" s="11">
        <v>908</v>
      </c>
      <c r="F910" s="8"/>
      <c r="G910" s="8"/>
      <c r="H910" s="9"/>
      <c r="I910" s="10"/>
      <c r="J910" s="9"/>
      <c r="K910" s="10"/>
      <c r="L910" s="8"/>
      <c r="M910" s="8"/>
      <c r="N910" s="10"/>
      <c r="O910" s="10"/>
    </row>
    <row r="911" spans="1:15" ht="33.75" customHeight="1" x14ac:dyDescent="0.25">
      <c r="A911" s="7"/>
      <c r="B911" s="7"/>
      <c r="C911" s="7"/>
      <c r="D911" s="7"/>
      <c r="E911" s="11">
        <v>909</v>
      </c>
      <c r="F911" s="8"/>
      <c r="G911" s="8"/>
      <c r="H911" s="9"/>
      <c r="I911" s="10"/>
      <c r="J911" s="9"/>
      <c r="K911" s="10"/>
      <c r="L911" s="8"/>
      <c r="M911" s="8"/>
      <c r="N911" s="10"/>
      <c r="O911" s="10"/>
    </row>
    <row r="912" spans="1:15" ht="33.75" customHeight="1" x14ac:dyDescent="0.25">
      <c r="A912" s="7"/>
      <c r="B912" s="7"/>
      <c r="C912" s="7"/>
      <c r="D912" s="7"/>
      <c r="E912" s="11">
        <v>910</v>
      </c>
      <c r="F912" s="8"/>
      <c r="G912" s="8"/>
      <c r="H912" s="9"/>
      <c r="I912" s="10"/>
      <c r="J912" s="9"/>
      <c r="K912" s="10"/>
      <c r="L912" s="8"/>
      <c r="M912" s="8"/>
      <c r="N912" s="10"/>
      <c r="O912" s="10"/>
    </row>
    <row r="913" spans="1:15" ht="33.75" customHeight="1" x14ac:dyDescent="0.25">
      <c r="A913" s="7"/>
      <c r="B913" s="7"/>
      <c r="C913" s="7"/>
      <c r="D913" s="7"/>
      <c r="E913" s="11">
        <v>911</v>
      </c>
      <c r="F913" s="8"/>
      <c r="G913" s="8"/>
      <c r="H913" s="9"/>
      <c r="I913" s="10"/>
      <c r="J913" s="9"/>
      <c r="K913" s="10"/>
      <c r="L913" s="8"/>
      <c r="M913" s="8"/>
      <c r="N913" s="10"/>
      <c r="O913" s="10"/>
    </row>
    <row r="914" spans="1:15" ht="33.75" customHeight="1" x14ac:dyDescent="0.25">
      <c r="A914" s="7"/>
      <c r="B914" s="7"/>
      <c r="C914" s="7"/>
      <c r="D914" s="7"/>
      <c r="E914" s="11">
        <v>912</v>
      </c>
      <c r="F914" s="8"/>
      <c r="G914" s="8"/>
      <c r="H914" s="9"/>
      <c r="I914" s="10"/>
      <c r="J914" s="9"/>
      <c r="K914" s="10"/>
      <c r="L914" s="8"/>
      <c r="M914" s="8"/>
      <c r="N914" s="10"/>
      <c r="O914" s="10"/>
    </row>
    <row r="915" spans="1:15" ht="33.75" customHeight="1" x14ac:dyDescent="0.25">
      <c r="A915" s="7"/>
      <c r="B915" s="7"/>
      <c r="C915" s="7"/>
      <c r="D915" s="7"/>
      <c r="E915" s="11">
        <v>913</v>
      </c>
      <c r="F915" s="8"/>
      <c r="G915" s="8"/>
      <c r="H915" s="9"/>
      <c r="I915" s="10"/>
      <c r="J915" s="9"/>
      <c r="K915" s="10"/>
      <c r="L915" s="8"/>
      <c r="M915" s="8"/>
      <c r="N915" s="10"/>
      <c r="O915" s="10"/>
    </row>
    <row r="916" spans="1:15" ht="33.75" customHeight="1" x14ac:dyDescent="0.25">
      <c r="A916" s="7"/>
      <c r="B916" s="7"/>
      <c r="C916" s="7"/>
      <c r="D916" s="7"/>
      <c r="E916" s="11">
        <v>914</v>
      </c>
      <c r="F916" s="8"/>
      <c r="G916" s="8"/>
      <c r="H916" s="9"/>
      <c r="I916" s="10"/>
      <c r="J916" s="9"/>
      <c r="K916" s="10"/>
      <c r="L916" s="8"/>
      <c r="M916" s="8"/>
      <c r="N916" s="10"/>
      <c r="O916" s="10"/>
    </row>
    <row r="917" spans="1:15" ht="33.75" customHeight="1" x14ac:dyDescent="0.25">
      <c r="A917" s="7"/>
      <c r="B917" s="7"/>
      <c r="C917" s="7"/>
      <c r="D917" s="7"/>
      <c r="E917" s="11">
        <v>915</v>
      </c>
      <c r="F917" s="8"/>
      <c r="G917" s="8"/>
      <c r="H917" s="9"/>
      <c r="I917" s="10"/>
      <c r="J917" s="9"/>
      <c r="K917" s="10"/>
      <c r="L917" s="8"/>
      <c r="M917" s="8"/>
      <c r="N917" s="10"/>
      <c r="O917" s="10"/>
    </row>
    <row r="918" spans="1:15" ht="33.75" customHeight="1" x14ac:dyDescent="0.25">
      <c r="A918" s="7"/>
      <c r="B918" s="7"/>
      <c r="C918" s="7"/>
      <c r="D918" s="7"/>
      <c r="E918" s="11">
        <v>916</v>
      </c>
      <c r="F918" s="8"/>
      <c r="G918" s="8"/>
      <c r="H918" s="9"/>
      <c r="I918" s="10"/>
      <c r="J918" s="9"/>
      <c r="K918" s="10"/>
      <c r="L918" s="8"/>
      <c r="M918" s="8"/>
      <c r="N918" s="10"/>
      <c r="O918" s="10"/>
    </row>
    <row r="919" spans="1:15" ht="33.75" customHeight="1" x14ac:dyDescent="0.25">
      <c r="A919" s="7"/>
      <c r="B919" s="7"/>
      <c r="C919" s="7"/>
      <c r="D919" s="7"/>
      <c r="E919" s="11">
        <v>917</v>
      </c>
      <c r="F919" s="8"/>
      <c r="G919" s="8"/>
      <c r="H919" s="9"/>
      <c r="I919" s="10"/>
      <c r="J919" s="9"/>
      <c r="K919" s="10"/>
      <c r="L919" s="8"/>
      <c r="M919" s="8"/>
      <c r="N919" s="10"/>
      <c r="O919" s="10"/>
    </row>
    <row r="920" spans="1:15" ht="33.75" customHeight="1" x14ac:dyDescent="0.25">
      <c r="A920" s="7"/>
      <c r="B920" s="7"/>
      <c r="C920" s="7"/>
      <c r="D920" s="7"/>
      <c r="E920" s="11">
        <v>918</v>
      </c>
      <c r="F920" s="8"/>
      <c r="G920" s="8"/>
      <c r="H920" s="9"/>
      <c r="I920" s="10"/>
      <c r="J920" s="9"/>
      <c r="K920" s="10"/>
      <c r="L920" s="8"/>
      <c r="M920" s="8"/>
      <c r="N920" s="10"/>
      <c r="O920" s="10"/>
    </row>
    <row r="921" spans="1:15" ht="33.75" customHeight="1" x14ac:dyDescent="0.25">
      <c r="A921" s="7"/>
      <c r="B921" s="7"/>
      <c r="C921" s="7"/>
      <c r="D921" s="7"/>
      <c r="E921" s="11">
        <v>919</v>
      </c>
      <c r="F921" s="8"/>
      <c r="G921" s="8"/>
      <c r="H921" s="9"/>
      <c r="I921" s="10"/>
      <c r="J921" s="9"/>
      <c r="K921" s="10"/>
      <c r="L921" s="8"/>
      <c r="M921" s="8"/>
      <c r="N921" s="10"/>
      <c r="O921" s="10"/>
    </row>
    <row r="922" spans="1:15" ht="33.75" customHeight="1" x14ac:dyDescent="0.25">
      <c r="A922" s="7"/>
      <c r="B922" s="7"/>
      <c r="C922" s="7"/>
      <c r="D922" s="7"/>
      <c r="E922" s="11">
        <v>920</v>
      </c>
      <c r="F922" s="8"/>
      <c r="G922" s="8"/>
      <c r="H922" s="9"/>
      <c r="I922" s="10"/>
      <c r="J922" s="9"/>
      <c r="K922" s="10"/>
      <c r="L922" s="8"/>
      <c r="M922" s="8"/>
      <c r="N922" s="10"/>
      <c r="O922" s="10"/>
    </row>
    <row r="923" spans="1:15" ht="33.75" customHeight="1" x14ac:dyDescent="0.25">
      <c r="A923" s="7"/>
      <c r="B923" s="7"/>
      <c r="C923" s="7"/>
      <c r="D923" s="7"/>
      <c r="E923" s="11">
        <v>921</v>
      </c>
      <c r="F923" s="8"/>
      <c r="G923" s="8"/>
      <c r="H923" s="9"/>
      <c r="I923" s="10"/>
      <c r="J923" s="9"/>
      <c r="K923" s="10"/>
      <c r="L923" s="8"/>
      <c r="M923" s="8"/>
      <c r="N923" s="10"/>
      <c r="O923" s="10"/>
    </row>
    <row r="924" spans="1:15" ht="33.75" customHeight="1" x14ac:dyDescent="0.25">
      <c r="A924" s="7"/>
      <c r="B924" s="7"/>
      <c r="C924" s="7"/>
      <c r="D924" s="7"/>
      <c r="E924" s="11">
        <v>922</v>
      </c>
      <c r="F924" s="8"/>
      <c r="G924" s="8"/>
      <c r="H924" s="9"/>
      <c r="I924" s="10"/>
      <c r="J924" s="9"/>
      <c r="K924" s="10"/>
      <c r="L924" s="8"/>
      <c r="M924" s="8"/>
      <c r="N924" s="10"/>
      <c r="O924" s="10"/>
    </row>
    <row r="925" spans="1:15" ht="33.75" customHeight="1" x14ac:dyDescent="0.25">
      <c r="A925" s="7"/>
      <c r="B925" s="7"/>
      <c r="C925" s="7"/>
      <c r="D925" s="7"/>
      <c r="E925" s="11">
        <v>923</v>
      </c>
      <c r="F925" s="8"/>
      <c r="G925" s="8"/>
      <c r="H925" s="9"/>
      <c r="I925" s="10"/>
      <c r="J925" s="9"/>
      <c r="K925" s="10"/>
      <c r="L925" s="8"/>
      <c r="M925" s="8"/>
      <c r="N925" s="10"/>
      <c r="O925" s="10"/>
    </row>
    <row r="926" spans="1:15" ht="33.75" customHeight="1" x14ac:dyDescent="0.25">
      <c r="A926" s="7"/>
      <c r="B926" s="7"/>
      <c r="C926" s="7"/>
      <c r="D926" s="7"/>
      <c r="E926" s="11">
        <v>924</v>
      </c>
      <c r="F926" s="8"/>
      <c r="G926" s="8"/>
      <c r="H926" s="9"/>
      <c r="I926" s="10"/>
      <c r="J926" s="9"/>
      <c r="K926" s="10"/>
      <c r="L926" s="8"/>
      <c r="M926" s="8"/>
      <c r="N926" s="10"/>
      <c r="O926" s="10"/>
    </row>
    <row r="927" spans="1:15" ht="33.75" customHeight="1" x14ac:dyDescent="0.25">
      <c r="A927" s="7"/>
      <c r="B927" s="7"/>
      <c r="C927" s="7"/>
      <c r="D927" s="7"/>
      <c r="E927" s="11">
        <v>925</v>
      </c>
      <c r="F927" s="8"/>
      <c r="G927" s="8"/>
      <c r="H927" s="9"/>
      <c r="I927" s="10"/>
      <c r="J927" s="9"/>
      <c r="K927" s="10"/>
      <c r="L927" s="8"/>
      <c r="M927" s="8"/>
      <c r="N927" s="10"/>
      <c r="O927" s="10"/>
    </row>
    <row r="928" spans="1:15" ht="33.75" customHeight="1" x14ac:dyDescent="0.25">
      <c r="A928" s="7"/>
      <c r="B928" s="7"/>
      <c r="C928" s="7"/>
      <c r="D928" s="7"/>
      <c r="E928" s="11">
        <v>926</v>
      </c>
      <c r="F928" s="8"/>
      <c r="G928" s="8"/>
      <c r="H928" s="9"/>
      <c r="I928" s="10"/>
      <c r="J928" s="9"/>
      <c r="K928" s="10"/>
      <c r="L928" s="8"/>
      <c r="M928" s="8"/>
      <c r="N928" s="10"/>
      <c r="O928" s="10"/>
    </row>
    <row r="929" spans="1:15" ht="33.75" customHeight="1" x14ac:dyDescent="0.25">
      <c r="A929" s="7"/>
      <c r="B929" s="7"/>
      <c r="C929" s="7"/>
      <c r="D929" s="7"/>
      <c r="E929" s="11">
        <v>927</v>
      </c>
      <c r="F929" s="8"/>
      <c r="G929" s="8"/>
      <c r="H929" s="9"/>
      <c r="I929" s="10"/>
      <c r="J929" s="9"/>
      <c r="K929" s="10"/>
      <c r="L929" s="8"/>
      <c r="M929" s="8"/>
      <c r="N929" s="10"/>
      <c r="O929" s="10"/>
    </row>
    <row r="930" spans="1:15" ht="33.75" customHeight="1" x14ac:dyDescent="0.25">
      <c r="A930" s="7"/>
      <c r="B930" s="7"/>
      <c r="C930" s="7"/>
      <c r="D930" s="7"/>
      <c r="E930" s="11">
        <v>928</v>
      </c>
      <c r="F930" s="8"/>
      <c r="G930" s="8"/>
      <c r="H930" s="9"/>
      <c r="I930" s="10"/>
      <c r="J930" s="9"/>
      <c r="K930" s="10"/>
      <c r="L930" s="8"/>
      <c r="M930" s="8"/>
      <c r="N930" s="10"/>
      <c r="O930" s="10"/>
    </row>
    <row r="931" spans="1:15" ht="33.75" customHeight="1" x14ac:dyDescent="0.25">
      <c r="A931" s="7"/>
      <c r="B931" s="7"/>
      <c r="C931" s="7"/>
      <c r="D931" s="7"/>
      <c r="E931" s="11">
        <v>929</v>
      </c>
      <c r="F931" s="8"/>
      <c r="G931" s="8"/>
      <c r="H931" s="9"/>
      <c r="I931" s="10"/>
      <c r="J931" s="9"/>
      <c r="K931" s="10"/>
      <c r="L931" s="8"/>
      <c r="M931" s="8"/>
      <c r="N931" s="10"/>
      <c r="O931" s="10"/>
    </row>
    <row r="932" spans="1:15" ht="33.75" customHeight="1" x14ac:dyDescent="0.25">
      <c r="A932" s="7"/>
      <c r="B932" s="7"/>
      <c r="C932" s="7"/>
      <c r="D932" s="7"/>
      <c r="E932" s="11">
        <v>930</v>
      </c>
      <c r="F932" s="8"/>
      <c r="G932" s="8"/>
      <c r="H932" s="9"/>
      <c r="I932" s="10"/>
      <c r="J932" s="9"/>
      <c r="K932" s="10"/>
      <c r="L932" s="8"/>
      <c r="M932" s="8"/>
      <c r="N932" s="10"/>
      <c r="O932" s="10"/>
    </row>
    <row r="933" spans="1:15" ht="33.75" customHeight="1" x14ac:dyDescent="0.25">
      <c r="A933" s="7"/>
      <c r="B933" s="7"/>
      <c r="C933" s="7"/>
      <c r="D933" s="7"/>
      <c r="E933" s="11">
        <v>931</v>
      </c>
      <c r="F933" s="8"/>
      <c r="G933" s="8"/>
      <c r="H933" s="9"/>
      <c r="I933" s="10"/>
      <c r="J933" s="9"/>
      <c r="K933" s="10"/>
      <c r="L933" s="8"/>
      <c r="M933" s="8"/>
      <c r="N933" s="10"/>
      <c r="O933" s="10"/>
    </row>
    <row r="934" spans="1:15" ht="33.75" customHeight="1" x14ac:dyDescent="0.25">
      <c r="A934" s="7"/>
      <c r="B934" s="7"/>
      <c r="C934" s="7"/>
      <c r="D934" s="7"/>
      <c r="E934" s="11">
        <v>932</v>
      </c>
      <c r="F934" s="8"/>
      <c r="G934" s="8"/>
      <c r="H934" s="9"/>
      <c r="I934" s="10"/>
      <c r="J934" s="9"/>
      <c r="K934" s="10"/>
      <c r="L934" s="8"/>
      <c r="M934" s="8"/>
      <c r="N934" s="10"/>
      <c r="O934" s="10"/>
    </row>
    <row r="935" spans="1:15" ht="33.75" customHeight="1" x14ac:dyDescent="0.25">
      <c r="A935" s="7"/>
      <c r="B935" s="7"/>
      <c r="C935" s="7"/>
      <c r="D935" s="7"/>
      <c r="E935" s="11">
        <v>933</v>
      </c>
      <c r="F935" s="8"/>
      <c r="G935" s="8"/>
      <c r="H935" s="9"/>
      <c r="I935" s="10"/>
      <c r="J935" s="9"/>
      <c r="K935" s="10"/>
      <c r="L935" s="8"/>
      <c r="M935" s="8"/>
      <c r="N935" s="10"/>
      <c r="O935" s="10"/>
    </row>
    <row r="936" spans="1:15" ht="33.75" customHeight="1" x14ac:dyDescent="0.25">
      <c r="A936" s="7"/>
      <c r="B936" s="7"/>
      <c r="C936" s="7"/>
      <c r="D936" s="7"/>
      <c r="E936" s="11">
        <v>934</v>
      </c>
      <c r="F936" s="8"/>
      <c r="G936" s="8"/>
      <c r="H936" s="9"/>
      <c r="I936" s="10"/>
      <c r="J936" s="9"/>
      <c r="K936" s="10"/>
      <c r="L936" s="8"/>
      <c r="M936" s="8"/>
      <c r="N936" s="10"/>
      <c r="O936" s="10"/>
    </row>
    <row r="937" spans="1:15" ht="33.75" customHeight="1" x14ac:dyDescent="0.25">
      <c r="A937" s="7"/>
      <c r="B937" s="7"/>
      <c r="C937" s="7"/>
      <c r="D937" s="7"/>
      <c r="E937" s="11">
        <v>935</v>
      </c>
      <c r="F937" s="8"/>
      <c r="G937" s="8"/>
      <c r="H937" s="9"/>
      <c r="I937" s="10"/>
      <c r="J937" s="9"/>
      <c r="K937" s="10"/>
      <c r="L937" s="8"/>
      <c r="M937" s="8"/>
      <c r="N937" s="10"/>
      <c r="O937" s="10"/>
    </row>
    <row r="938" spans="1:15" ht="33.75" customHeight="1" x14ac:dyDescent="0.25">
      <c r="A938" s="7"/>
      <c r="B938" s="7"/>
      <c r="C938" s="7"/>
      <c r="D938" s="7"/>
      <c r="E938" s="11">
        <v>936</v>
      </c>
      <c r="F938" s="8"/>
      <c r="G938" s="8"/>
      <c r="H938" s="9"/>
      <c r="I938" s="10"/>
      <c r="J938" s="9"/>
      <c r="K938" s="10"/>
      <c r="L938" s="8"/>
      <c r="M938" s="8"/>
      <c r="N938" s="10"/>
      <c r="O938" s="10"/>
    </row>
    <row r="939" spans="1:15" ht="33.75" customHeight="1" x14ac:dyDescent="0.25">
      <c r="A939" s="7"/>
      <c r="B939" s="7"/>
      <c r="C939" s="7"/>
      <c r="D939" s="7"/>
      <c r="E939" s="11">
        <v>937</v>
      </c>
      <c r="F939" s="8"/>
      <c r="G939" s="8"/>
      <c r="H939" s="9"/>
      <c r="I939" s="10"/>
      <c r="J939" s="9"/>
      <c r="K939" s="10"/>
      <c r="L939" s="8"/>
      <c r="M939" s="8"/>
      <c r="N939" s="10"/>
      <c r="O939" s="10"/>
    </row>
    <row r="940" spans="1:15" ht="33.75" customHeight="1" x14ac:dyDescent="0.25">
      <c r="A940" s="7"/>
      <c r="B940" s="7"/>
      <c r="C940" s="7"/>
      <c r="D940" s="7"/>
      <c r="E940" s="11">
        <v>938</v>
      </c>
      <c r="F940" s="8"/>
      <c r="G940" s="8"/>
      <c r="H940" s="9"/>
      <c r="I940" s="10"/>
      <c r="J940" s="9"/>
      <c r="K940" s="10"/>
      <c r="L940" s="8"/>
      <c r="M940" s="8"/>
      <c r="N940" s="10"/>
      <c r="O940" s="10"/>
    </row>
    <row r="941" spans="1:15" ht="33.75" customHeight="1" x14ac:dyDescent="0.25">
      <c r="A941" s="7"/>
      <c r="B941" s="7"/>
      <c r="C941" s="7"/>
      <c r="D941" s="7"/>
      <c r="E941" s="11">
        <v>939</v>
      </c>
      <c r="F941" s="8"/>
      <c r="G941" s="8"/>
      <c r="H941" s="9"/>
      <c r="I941" s="10"/>
      <c r="J941" s="9"/>
      <c r="K941" s="10"/>
      <c r="L941" s="8"/>
      <c r="M941" s="8"/>
      <c r="N941" s="10"/>
      <c r="O941" s="10"/>
    </row>
    <row r="942" spans="1:15" ht="33.75" customHeight="1" x14ac:dyDescent="0.25">
      <c r="A942" s="7"/>
      <c r="B942" s="7"/>
      <c r="C942" s="7"/>
      <c r="D942" s="7"/>
      <c r="E942" s="11">
        <v>940</v>
      </c>
      <c r="F942" s="8"/>
      <c r="G942" s="8"/>
      <c r="H942" s="9"/>
      <c r="I942" s="10"/>
      <c r="J942" s="9"/>
      <c r="K942" s="10"/>
      <c r="L942" s="8"/>
      <c r="M942" s="8"/>
      <c r="N942" s="10"/>
      <c r="O942" s="10"/>
    </row>
    <row r="943" spans="1:15" ht="33.75" customHeight="1" x14ac:dyDescent="0.25">
      <c r="A943" s="7"/>
      <c r="B943" s="7"/>
      <c r="C943" s="7"/>
      <c r="D943" s="7"/>
      <c r="E943" s="11">
        <v>941</v>
      </c>
      <c r="F943" s="8"/>
      <c r="G943" s="8"/>
      <c r="H943" s="9"/>
      <c r="I943" s="10"/>
      <c r="J943" s="9"/>
      <c r="K943" s="10"/>
      <c r="L943" s="8"/>
      <c r="M943" s="8"/>
      <c r="N943" s="10"/>
      <c r="O943" s="10"/>
    </row>
    <row r="944" spans="1:15" ht="33.75" customHeight="1" x14ac:dyDescent="0.25">
      <c r="A944" s="7"/>
      <c r="B944" s="7"/>
      <c r="C944" s="7"/>
      <c r="D944" s="7"/>
      <c r="E944" s="11">
        <v>942</v>
      </c>
      <c r="F944" s="8"/>
      <c r="G944" s="8"/>
      <c r="H944" s="9"/>
      <c r="I944" s="10"/>
      <c r="J944" s="9"/>
      <c r="K944" s="10"/>
      <c r="L944" s="8"/>
      <c r="M944" s="8"/>
      <c r="N944" s="10"/>
      <c r="O944" s="10"/>
    </row>
    <row r="945" spans="1:15" ht="33.75" customHeight="1" x14ac:dyDescent="0.25">
      <c r="A945" s="7"/>
      <c r="B945" s="7"/>
      <c r="C945" s="7"/>
      <c r="D945" s="7"/>
      <c r="E945" s="11">
        <v>943</v>
      </c>
      <c r="F945" s="8"/>
      <c r="G945" s="8"/>
      <c r="H945" s="9"/>
      <c r="I945" s="10"/>
      <c r="J945" s="9"/>
      <c r="K945" s="10"/>
      <c r="L945" s="8"/>
      <c r="M945" s="8"/>
      <c r="N945" s="10"/>
      <c r="O945" s="10"/>
    </row>
    <row r="946" spans="1:15" ht="33.75" customHeight="1" x14ac:dyDescent="0.25">
      <c r="A946" s="7"/>
      <c r="B946" s="7"/>
      <c r="C946" s="7"/>
      <c r="D946" s="7"/>
      <c r="E946" s="11">
        <v>944</v>
      </c>
      <c r="F946" s="8"/>
      <c r="G946" s="8"/>
      <c r="H946" s="9"/>
      <c r="I946" s="10"/>
      <c r="J946" s="9"/>
      <c r="K946" s="10"/>
      <c r="L946" s="8"/>
      <c r="M946" s="8"/>
      <c r="N946" s="10"/>
      <c r="O946" s="10"/>
    </row>
    <row r="947" spans="1:15" ht="33.75" customHeight="1" x14ac:dyDescent="0.25">
      <c r="A947" s="7"/>
      <c r="B947" s="7"/>
      <c r="C947" s="7"/>
      <c r="D947" s="7"/>
      <c r="E947" s="11">
        <v>945</v>
      </c>
      <c r="F947" s="8"/>
      <c r="G947" s="8"/>
      <c r="H947" s="9"/>
      <c r="I947" s="10"/>
      <c r="J947" s="9"/>
      <c r="K947" s="10"/>
      <c r="L947" s="8"/>
      <c r="M947" s="8"/>
      <c r="N947" s="10"/>
      <c r="O947" s="10"/>
    </row>
    <row r="948" spans="1:15" ht="33.75" customHeight="1" x14ac:dyDescent="0.25">
      <c r="A948" s="7"/>
      <c r="B948" s="7"/>
      <c r="C948" s="7"/>
      <c r="D948" s="7"/>
      <c r="E948" s="11">
        <v>946</v>
      </c>
      <c r="F948" s="8"/>
      <c r="G948" s="8"/>
      <c r="H948" s="9"/>
      <c r="I948" s="10"/>
      <c r="J948" s="9"/>
      <c r="K948" s="10"/>
      <c r="L948" s="8"/>
      <c r="M948" s="8"/>
      <c r="N948" s="10"/>
      <c r="O948" s="10"/>
    </row>
    <row r="949" spans="1:15" ht="33.75" customHeight="1" x14ac:dyDescent="0.25">
      <c r="A949" s="7"/>
      <c r="B949" s="7"/>
      <c r="C949" s="7"/>
      <c r="D949" s="7"/>
      <c r="E949" s="11">
        <v>947</v>
      </c>
      <c r="F949" s="8"/>
      <c r="G949" s="8"/>
      <c r="H949" s="9"/>
      <c r="I949" s="10"/>
      <c r="J949" s="9"/>
      <c r="K949" s="10"/>
      <c r="L949" s="8"/>
      <c r="M949" s="8"/>
      <c r="N949" s="10"/>
      <c r="O949" s="10"/>
    </row>
    <row r="950" spans="1:15" ht="33.75" customHeight="1" x14ac:dyDescent="0.25">
      <c r="A950" s="7"/>
      <c r="B950" s="7"/>
      <c r="C950" s="7"/>
      <c r="D950" s="7"/>
      <c r="E950" s="11">
        <v>948</v>
      </c>
      <c r="F950" s="8"/>
      <c r="G950" s="8"/>
      <c r="H950" s="9"/>
      <c r="I950" s="10"/>
      <c r="J950" s="9"/>
      <c r="K950" s="10"/>
      <c r="L950" s="8"/>
      <c r="M950" s="8"/>
      <c r="N950" s="10"/>
      <c r="O950" s="10"/>
    </row>
    <row r="951" spans="1:15" ht="33.75" customHeight="1" x14ac:dyDescent="0.25">
      <c r="A951" s="7"/>
      <c r="B951" s="7"/>
      <c r="C951" s="7"/>
      <c r="D951" s="7"/>
      <c r="E951" s="11">
        <v>949</v>
      </c>
      <c r="F951" s="8"/>
      <c r="G951" s="8"/>
      <c r="H951" s="9"/>
      <c r="I951" s="10"/>
      <c r="J951" s="9"/>
      <c r="K951" s="10"/>
      <c r="L951" s="8"/>
      <c r="M951" s="8"/>
      <c r="N951" s="10"/>
      <c r="O951" s="10"/>
    </row>
    <row r="952" spans="1:15" ht="33.75" customHeight="1" x14ac:dyDescent="0.25">
      <c r="A952" s="7"/>
      <c r="B952" s="7"/>
      <c r="C952" s="7"/>
      <c r="D952" s="7"/>
      <c r="E952" s="11">
        <v>950</v>
      </c>
      <c r="F952" s="8"/>
      <c r="G952" s="8"/>
      <c r="H952" s="9"/>
      <c r="I952" s="10"/>
      <c r="J952" s="9"/>
      <c r="K952" s="10"/>
      <c r="L952" s="8"/>
      <c r="M952" s="8"/>
      <c r="N952" s="10"/>
      <c r="O952" s="10"/>
    </row>
    <row r="953" spans="1:15" ht="33.75" customHeight="1" x14ac:dyDescent="0.25">
      <c r="A953" s="7"/>
      <c r="B953" s="7"/>
      <c r="C953" s="7"/>
      <c r="D953" s="7"/>
      <c r="E953" s="11">
        <v>951</v>
      </c>
      <c r="F953" s="8"/>
      <c r="G953" s="8"/>
      <c r="H953" s="9"/>
      <c r="I953" s="10"/>
      <c r="J953" s="9"/>
      <c r="K953" s="10"/>
      <c r="L953" s="8"/>
      <c r="M953" s="8"/>
      <c r="N953" s="10"/>
      <c r="O953" s="10"/>
    </row>
    <row r="954" spans="1:15" ht="33.75" customHeight="1" x14ac:dyDescent="0.25">
      <c r="A954" s="7"/>
      <c r="B954" s="7"/>
      <c r="C954" s="7"/>
      <c r="D954" s="7"/>
      <c r="E954" s="11">
        <v>952</v>
      </c>
      <c r="F954" s="8"/>
      <c r="G954" s="8"/>
      <c r="H954" s="9"/>
      <c r="I954" s="10"/>
      <c r="J954" s="9"/>
      <c r="K954" s="10"/>
      <c r="L954" s="8"/>
      <c r="M954" s="8"/>
      <c r="N954" s="10"/>
      <c r="O954" s="10"/>
    </row>
    <row r="955" spans="1:15" ht="33.75" customHeight="1" x14ac:dyDescent="0.25">
      <c r="A955" s="7"/>
      <c r="B955" s="7"/>
      <c r="C955" s="7"/>
      <c r="D955" s="7"/>
      <c r="E955" s="11">
        <v>953</v>
      </c>
      <c r="F955" s="8"/>
      <c r="G955" s="8"/>
      <c r="H955" s="9"/>
      <c r="I955" s="10"/>
      <c r="J955" s="9"/>
      <c r="K955" s="10"/>
      <c r="L955" s="8"/>
      <c r="M955" s="8"/>
      <c r="N955" s="10"/>
      <c r="O955" s="10"/>
    </row>
    <row r="956" spans="1:15" ht="33.75" customHeight="1" x14ac:dyDescent="0.25">
      <c r="A956" s="7"/>
      <c r="B956" s="7"/>
      <c r="C956" s="7"/>
      <c r="D956" s="7"/>
      <c r="E956" s="11">
        <v>954</v>
      </c>
      <c r="F956" s="8"/>
      <c r="G956" s="8"/>
      <c r="H956" s="9"/>
      <c r="I956" s="10"/>
      <c r="J956" s="9"/>
      <c r="K956" s="10"/>
      <c r="L956" s="8"/>
      <c r="M956" s="8"/>
      <c r="N956" s="10"/>
      <c r="O956" s="10"/>
    </row>
    <row r="957" spans="1:15" ht="33.75" customHeight="1" x14ac:dyDescent="0.25">
      <c r="A957" s="7"/>
      <c r="B957" s="7"/>
      <c r="C957" s="7"/>
      <c r="D957" s="7"/>
      <c r="E957" s="11">
        <v>955</v>
      </c>
      <c r="F957" s="8"/>
      <c r="G957" s="8"/>
      <c r="H957" s="9"/>
      <c r="I957" s="10"/>
      <c r="J957" s="9"/>
      <c r="K957" s="10"/>
      <c r="L957" s="8"/>
      <c r="M957" s="8"/>
      <c r="N957" s="10"/>
      <c r="O957" s="10"/>
    </row>
    <row r="958" spans="1:15" ht="33.75" customHeight="1" x14ac:dyDescent="0.25">
      <c r="A958" s="7"/>
      <c r="B958" s="7"/>
      <c r="C958" s="7"/>
      <c r="D958" s="7"/>
      <c r="E958" s="11">
        <v>956</v>
      </c>
      <c r="F958" s="8"/>
      <c r="G958" s="8"/>
      <c r="H958" s="9"/>
      <c r="I958" s="10"/>
      <c r="J958" s="9"/>
      <c r="K958" s="10"/>
      <c r="L958" s="8"/>
      <c r="M958" s="8"/>
      <c r="N958" s="10"/>
      <c r="O958" s="10"/>
    </row>
    <row r="959" spans="1:15" ht="33.75" customHeight="1" x14ac:dyDescent="0.25">
      <c r="A959" s="7"/>
      <c r="B959" s="7"/>
      <c r="C959" s="7"/>
      <c r="D959" s="7"/>
      <c r="E959" s="11">
        <v>957</v>
      </c>
      <c r="F959" s="8"/>
      <c r="G959" s="8"/>
      <c r="H959" s="9"/>
      <c r="I959" s="10"/>
      <c r="J959" s="9"/>
      <c r="K959" s="10"/>
      <c r="L959" s="8"/>
      <c r="M959" s="8"/>
      <c r="N959" s="10"/>
      <c r="O959" s="10"/>
    </row>
    <row r="960" spans="1:15" ht="33.75" customHeight="1" x14ac:dyDescent="0.25">
      <c r="A960" s="7"/>
      <c r="B960" s="7"/>
      <c r="C960" s="7"/>
      <c r="D960" s="7"/>
      <c r="E960" s="11">
        <v>958</v>
      </c>
      <c r="F960" s="8"/>
      <c r="G960" s="8"/>
      <c r="H960" s="9"/>
      <c r="I960" s="10"/>
      <c r="J960" s="9"/>
      <c r="K960" s="10"/>
      <c r="L960" s="8"/>
      <c r="M960" s="8"/>
      <c r="N960" s="10"/>
      <c r="O960" s="10"/>
    </row>
    <row r="961" spans="1:15" ht="33.75" customHeight="1" x14ac:dyDescent="0.25">
      <c r="A961" s="7"/>
      <c r="B961" s="7"/>
      <c r="C961" s="7"/>
      <c r="D961" s="7"/>
      <c r="E961" s="11">
        <v>959</v>
      </c>
      <c r="F961" s="8"/>
      <c r="G961" s="8"/>
      <c r="H961" s="9"/>
      <c r="I961" s="10"/>
      <c r="J961" s="9"/>
      <c r="K961" s="10"/>
      <c r="L961" s="8"/>
      <c r="M961" s="8"/>
      <c r="N961" s="10"/>
      <c r="O961" s="10"/>
    </row>
    <row r="962" spans="1:15" ht="33.75" customHeight="1" x14ac:dyDescent="0.25">
      <c r="A962" s="7"/>
      <c r="B962" s="7"/>
      <c r="C962" s="7"/>
      <c r="D962" s="7"/>
      <c r="E962" s="11">
        <v>960</v>
      </c>
      <c r="F962" s="8"/>
      <c r="G962" s="8"/>
      <c r="H962" s="9"/>
      <c r="I962" s="10"/>
      <c r="J962" s="9"/>
      <c r="K962" s="10"/>
      <c r="L962" s="8"/>
      <c r="M962" s="8"/>
      <c r="N962" s="10"/>
      <c r="O962" s="10"/>
    </row>
    <row r="963" spans="1:15" ht="33.75" customHeight="1" x14ac:dyDescent="0.25">
      <c r="A963" s="7"/>
      <c r="B963" s="7"/>
      <c r="C963" s="7"/>
      <c r="D963" s="7"/>
      <c r="E963" s="11">
        <v>961</v>
      </c>
      <c r="F963" s="8"/>
      <c r="G963" s="8"/>
      <c r="H963" s="9"/>
      <c r="I963" s="10"/>
      <c r="J963" s="9"/>
      <c r="K963" s="10"/>
      <c r="L963" s="8"/>
      <c r="M963" s="8"/>
      <c r="N963" s="10"/>
      <c r="O963" s="10"/>
    </row>
    <row r="964" spans="1:15" ht="33.75" customHeight="1" x14ac:dyDescent="0.25">
      <c r="A964" s="7"/>
      <c r="B964" s="7"/>
      <c r="C964" s="7"/>
      <c r="D964" s="7"/>
      <c r="E964" s="11">
        <v>962</v>
      </c>
      <c r="F964" s="8"/>
      <c r="G964" s="8"/>
      <c r="H964" s="9"/>
      <c r="I964" s="10"/>
      <c r="J964" s="9"/>
      <c r="K964" s="10"/>
      <c r="L964" s="8"/>
      <c r="M964" s="8"/>
      <c r="N964" s="10"/>
      <c r="O964" s="10"/>
    </row>
    <row r="965" spans="1:15" ht="33.75" customHeight="1" x14ac:dyDescent="0.25">
      <c r="A965" s="7"/>
      <c r="B965" s="7"/>
      <c r="C965" s="7"/>
      <c r="D965" s="7"/>
      <c r="E965" s="11">
        <v>963</v>
      </c>
      <c r="F965" s="8"/>
      <c r="G965" s="8"/>
      <c r="H965" s="9"/>
      <c r="I965" s="10"/>
      <c r="J965" s="9"/>
      <c r="K965" s="10"/>
      <c r="L965" s="8"/>
      <c r="M965" s="8"/>
      <c r="N965" s="10"/>
      <c r="O965" s="10"/>
    </row>
    <row r="966" spans="1:15" ht="33.75" customHeight="1" x14ac:dyDescent="0.25">
      <c r="A966" s="7"/>
      <c r="B966" s="7"/>
      <c r="C966" s="7"/>
      <c r="D966" s="7"/>
      <c r="E966" s="11">
        <v>964</v>
      </c>
      <c r="F966" s="8"/>
      <c r="G966" s="8"/>
      <c r="H966" s="9"/>
      <c r="I966" s="10"/>
      <c r="J966" s="9"/>
      <c r="K966" s="10"/>
      <c r="L966" s="8"/>
      <c r="M966" s="8"/>
      <c r="N966" s="10"/>
      <c r="O966" s="10"/>
    </row>
    <row r="967" spans="1:15" ht="33.75" customHeight="1" x14ac:dyDescent="0.25">
      <c r="A967" s="7"/>
      <c r="B967" s="7"/>
      <c r="C967" s="7"/>
      <c r="D967" s="7"/>
      <c r="E967" s="11">
        <v>965</v>
      </c>
      <c r="F967" s="8"/>
      <c r="G967" s="8"/>
      <c r="H967" s="9"/>
      <c r="I967" s="10"/>
      <c r="J967" s="9"/>
      <c r="K967" s="10"/>
      <c r="L967" s="8"/>
      <c r="M967" s="8"/>
      <c r="N967" s="10"/>
      <c r="O967" s="10"/>
    </row>
    <row r="968" spans="1:15" ht="33.75" customHeight="1" x14ac:dyDescent="0.25">
      <c r="A968" s="7"/>
      <c r="B968" s="7"/>
      <c r="C968" s="7"/>
      <c r="D968" s="7"/>
      <c r="E968" s="11">
        <v>966</v>
      </c>
      <c r="F968" s="8"/>
      <c r="G968" s="8"/>
      <c r="H968" s="9"/>
      <c r="I968" s="10"/>
      <c r="J968" s="9"/>
      <c r="K968" s="10"/>
      <c r="L968" s="8"/>
      <c r="M968" s="8"/>
      <c r="N968" s="10"/>
      <c r="O968" s="10"/>
    </row>
    <row r="969" spans="1:15" ht="33.75" customHeight="1" x14ac:dyDescent="0.25">
      <c r="A969" s="7"/>
      <c r="B969" s="7"/>
      <c r="C969" s="7"/>
      <c r="D969" s="7"/>
      <c r="E969" s="11">
        <v>967</v>
      </c>
      <c r="F969" s="8"/>
      <c r="G969" s="8"/>
      <c r="H969" s="9"/>
      <c r="I969" s="10"/>
      <c r="J969" s="9"/>
      <c r="K969" s="10"/>
      <c r="L969" s="8"/>
      <c r="M969" s="8"/>
      <c r="N969" s="10"/>
      <c r="O969" s="10"/>
    </row>
    <row r="970" spans="1:15" ht="33.75" customHeight="1" x14ac:dyDescent="0.25">
      <c r="A970" s="7"/>
      <c r="B970" s="7"/>
      <c r="C970" s="7"/>
      <c r="D970" s="7"/>
      <c r="E970" s="11">
        <v>968</v>
      </c>
      <c r="F970" s="8"/>
      <c r="G970" s="8"/>
      <c r="H970" s="9"/>
      <c r="I970" s="10"/>
      <c r="J970" s="9"/>
      <c r="K970" s="10"/>
      <c r="L970" s="8"/>
      <c r="M970" s="8"/>
      <c r="N970" s="10"/>
      <c r="O970" s="10"/>
    </row>
    <row r="971" spans="1:15" ht="33.75" customHeight="1" x14ac:dyDescent="0.25">
      <c r="A971" s="7"/>
      <c r="B971" s="7"/>
      <c r="C971" s="7"/>
      <c r="D971" s="7"/>
      <c r="E971" s="11">
        <v>969</v>
      </c>
      <c r="F971" s="8"/>
      <c r="G971" s="8"/>
      <c r="H971" s="9"/>
      <c r="I971" s="10"/>
      <c r="J971" s="9"/>
      <c r="K971" s="10"/>
      <c r="L971" s="8"/>
      <c r="M971" s="8"/>
      <c r="N971" s="10"/>
      <c r="O971" s="10"/>
    </row>
    <row r="972" spans="1:15" ht="33.75" customHeight="1" x14ac:dyDescent="0.25">
      <c r="A972" s="7"/>
      <c r="B972" s="7"/>
      <c r="C972" s="7"/>
      <c r="D972" s="7"/>
      <c r="E972" s="11">
        <v>970</v>
      </c>
      <c r="F972" s="8"/>
      <c r="G972" s="8"/>
      <c r="H972" s="9"/>
      <c r="I972" s="10"/>
      <c r="J972" s="9"/>
      <c r="K972" s="10"/>
      <c r="L972" s="8"/>
      <c r="M972" s="8"/>
      <c r="N972" s="10"/>
      <c r="O972" s="10"/>
    </row>
    <row r="973" spans="1:15" ht="33.75" customHeight="1" x14ac:dyDescent="0.25">
      <c r="A973" s="7"/>
      <c r="B973" s="7"/>
      <c r="C973" s="7"/>
      <c r="D973" s="7"/>
      <c r="E973" s="11">
        <v>971</v>
      </c>
      <c r="F973" s="8"/>
      <c r="G973" s="8"/>
      <c r="H973" s="9"/>
      <c r="I973" s="10"/>
      <c r="J973" s="9"/>
      <c r="K973" s="10"/>
      <c r="L973" s="8"/>
      <c r="M973" s="8"/>
      <c r="N973" s="10"/>
      <c r="O973" s="10"/>
    </row>
    <row r="974" spans="1:15" ht="33.75" customHeight="1" x14ac:dyDescent="0.25">
      <c r="A974" s="7"/>
      <c r="B974" s="7"/>
      <c r="C974" s="7"/>
      <c r="D974" s="7"/>
      <c r="E974" s="11">
        <v>972</v>
      </c>
      <c r="F974" s="8"/>
      <c r="G974" s="8"/>
      <c r="H974" s="9"/>
      <c r="I974" s="10"/>
      <c r="J974" s="9"/>
      <c r="K974" s="10"/>
      <c r="L974" s="8"/>
      <c r="M974" s="8"/>
      <c r="N974" s="10"/>
      <c r="O974" s="10"/>
    </row>
    <row r="975" spans="1:15" ht="33.75" customHeight="1" x14ac:dyDescent="0.25">
      <c r="A975" s="7"/>
      <c r="B975" s="7"/>
      <c r="C975" s="7"/>
      <c r="D975" s="7"/>
      <c r="E975" s="11">
        <v>973</v>
      </c>
      <c r="F975" s="8"/>
      <c r="G975" s="8"/>
      <c r="H975" s="9"/>
      <c r="I975" s="10"/>
      <c r="J975" s="9"/>
      <c r="K975" s="10"/>
      <c r="L975" s="8"/>
      <c r="M975" s="8"/>
      <c r="N975" s="10"/>
      <c r="O975" s="10"/>
    </row>
    <row r="976" spans="1:15" ht="33.75" customHeight="1" x14ac:dyDescent="0.25">
      <c r="A976" s="7"/>
      <c r="B976" s="7"/>
      <c r="C976" s="7"/>
      <c r="D976" s="7"/>
      <c r="E976" s="11">
        <v>974</v>
      </c>
      <c r="F976" s="8"/>
      <c r="G976" s="8"/>
      <c r="H976" s="9"/>
      <c r="I976" s="10"/>
      <c r="J976" s="9"/>
      <c r="K976" s="10"/>
      <c r="L976" s="8"/>
      <c r="M976" s="8"/>
      <c r="N976" s="10"/>
      <c r="O976" s="10"/>
    </row>
    <row r="977" spans="1:15" ht="33.75" customHeight="1" x14ac:dyDescent="0.25">
      <c r="A977" s="7"/>
      <c r="B977" s="7"/>
      <c r="C977" s="7"/>
      <c r="D977" s="7"/>
      <c r="E977" s="11">
        <v>975</v>
      </c>
      <c r="F977" s="8"/>
      <c r="G977" s="8"/>
      <c r="H977" s="9"/>
      <c r="I977" s="10"/>
      <c r="J977" s="9"/>
      <c r="K977" s="10"/>
      <c r="L977" s="8"/>
      <c r="M977" s="8"/>
      <c r="N977" s="10"/>
      <c r="O977" s="10"/>
    </row>
    <row r="978" spans="1:15" ht="33.75" customHeight="1" x14ac:dyDescent="0.25">
      <c r="A978" s="7"/>
      <c r="B978" s="7"/>
      <c r="C978" s="7"/>
      <c r="D978" s="7"/>
      <c r="E978" s="11">
        <v>976</v>
      </c>
      <c r="F978" s="8"/>
      <c r="G978" s="8"/>
      <c r="H978" s="9"/>
      <c r="I978" s="10"/>
      <c r="J978" s="9"/>
      <c r="K978" s="10"/>
      <c r="L978" s="8"/>
      <c r="M978" s="8"/>
      <c r="N978" s="10"/>
      <c r="O978" s="10"/>
    </row>
    <row r="979" spans="1:15" ht="33.75" customHeight="1" x14ac:dyDescent="0.25">
      <c r="A979" s="7"/>
      <c r="B979" s="7"/>
      <c r="C979" s="7"/>
      <c r="D979" s="7"/>
      <c r="E979" s="11">
        <v>977</v>
      </c>
      <c r="F979" s="8"/>
      <c r="G979" s="8"/>
      <c r="H979" s="9"/>
      <c r="I979" s="10"/>
      <c r="J979" s="9"/>
      <c r="K979" s="10"/>
      <c r="L979" s="8"/>
      <c r="M979" s="8"/>
      <c r="N979" s="10"/>
      <c r="O979" s="10"/>
    </row>
    <row r="980" spans="1:15" ht="33.75" customHeight="1" x14ac:dyDescent="0.25">
      <c r="A980" s="7"/>
      <c r="B980" s="7"/>
      <c r="C980" s="7"/>
      <c r="D980" s="7"/>
      <c r="E980" s="11">
        <v>978</v>
      </c>
      <c r="F980" s="8"/>
      <c r="G980" s="8"/>
      <c r="H980" s="9"/>
      <c r="I980" s="10"/>
      <c r="J980" s="9"/>
      <c r="K980" s="10"/>
      <c r="L980" s="8"/>
      <c r="M980" s="8"/>
      <c r="N980" s="10"/>
      <c r="O980" s="10"/>
    </row>
    <row r="981" spans="1:15" ht="33.75" customHeight="1" x14ac:dyDescent="0.25">
      <c r="A981" s="7"/>
      <c r="B981" s="7"/>
      <c r="C981" s="7"/>
      <c r="D981" s="7"/>
      <c r="E981" s="11">
        <v>979</v>
      </c>
      <c r="F981" s="8"/>
      <c r="G981" s="8"/>
      <c r="H981" s="9"/>
      <c r="I981" s="10"/>
      <c r="J981" s="9"/>
      <c r="K981" s="10"/>
      <c r="L981" s="8"/>
      <c r="M981" s="8"/>
      <c r="N981" s="10"/>
      <c r="O981" s="10"/>
    </row>
    <row r="982" spans="1:15" ht="33.75" customHeight="1" x14ac:dyDescent="0.25">
      <c r="A982" s="7"/>
      <c r="B982" s="7"/>
      <c r="C982" s="7"/>
      <c r="D982" s="7"/>
      <c r="E982" s="11">
        <v>980</v>
      </c>
      <c r="F982" s="8"/>
      <c r="G982" s="8"/>
      <c r="H982" s="9"/>
      <c r="I982" s="10"/>
      <c r="J982" s="9"/>
      <c r="K982" s="10"/>
      <c r="L982" s="8"/>
      <c r="M982" s="8"/>
      <c r="N982" s="10"/>
      <c r="O982" s="10"/>
    </row>
  </sheetData>
  <sheetProtection formatCells="0" formatColumns="0" formatRows="0"/>
  <autoFilter ref="A2:O37"/>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A12"/>
  <sheetViews>
    <sheetView workbookViewId="0">
      <selection activeCell="B10" sqref="B10:C10"/>
    </sheetView>
  </sheetViews>
  <sheetFormatPr defaultColWidth="0" defaultRowHeight="15" zeroHeight="1" x14ac:dyDescent="0.25"/>
  <cols>
    <col min="1" max="1" width="37" style="160" customWidth="1"/>
    <col min="2" max="2" width="64.140625" style="160" customWidth="1"/>
    <col min="3" max="3" width="45.570312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616</v>
      </c>
      <c r="AA1" s="39" t="str">
        <f>C2</f>
        <v>Credit</v>
      </c>
    </row>
    <row r="2" spans="1:27" ht="30.75" customHeight="1" thickBot="1" x14ac:dyDescent="0.3">
      <c r="A2" s="248" t="s">
        <v>255</v>
      </c>
      <c r="B2" s="249"/>
      <c r="C2" s="85" t="s">
        <v>17</v>
      </c>
      <c r="R2" s="42" t="str">
        <f t="shared" ref="R2:R7" si="0">A2</f>
        <v>Risk Type  - The Risk Type from the SHUSA ERM Risk Taxonomy</v>
      </c>
    </row>
    <row r="3" spans="1:27" ht="24" customHeight="1" thickBot="1" x14ac:dyDescent="0.3">
      <c r="A3" s="247" t="s">
        <v>251</v>
      </c>
      <c r="B3" s="194"/>
      <c r="C3" s="69" t="s">
        <v>56</v>
      </c>
      <c r="R3" s="42" t="str">
        <f t="shared" si="0"/>
        <v>Risk Sub Type  - The Risk Sub-Category from the SHUSA ERM Risk Taxonomy</v>
      </c>
    </row>
    <row r="4" spans="1:27" ht="31.5" customHeight="1" thickBot="1" x14ac:dyDescent="0.3">
      <c r="A4" s="247" t="s">
        <v>252</v>
      </c>
      <c r="B4" s="194"/>
      <c r="C4" s="69" t="s">
        <v>615</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6" customHeight="1" thickBot="1" x14ac:dyDescent="0.3">
      <c r="A9" s="254" t="s">
        <v>614</v>
      </c>
      <c r="B9" s="255"/>
      <c r="C9" s="256"/>
      <c r="Q9" s="159" t="str">
        <f>A9</f>
        <v xml:space="preserve">SLA scorecards are reviewed to monitor 3rd party performance.   Our contracts have termination clauses which allow us to terminate our agreement with said 3rd party for non-compliance with contractual provisions.    In additions, contracts have "right to audit" clauses which allows the SCUSA associates to independently evaluate the performance.  Vendor Managers in the 1LOD and the 3rd Party Vendor Management Team also conduct site visits for our vendors.  In addition, contractually the vendors are required to provide sufficient time if they do not want to renew our contracts.  </v>
      </c>
    </row>
    <row r="10" spans="1:27" ht="409.5" customHeight="1" thickBot="1" x14ac:dyDescent="0.3">
      <c r="A10" s="41" t="s">
        <v>484</v>
      </c>
      <c r="B10" s="244" t="s">
        <v>698</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613</v>
      </c>
      <c r="B12" s="245"/>
      <c r="C12" s="246"/>
      <c r="Q12" s="159" t="str">
        <f>A12</f>
        <v xml:space="preserve">Financial problems or potential catastrophic failure of Tier 1 third party may result in business disruption, regulator compliance violations, legal action, cost to recover, reputation exposure, and potential fines/penalties. 
We have Tier 1 vendors in each aspect of our organization and each could present a different type of risk.  For example, the loss  of a key vendor, such as XEROX, a Tier 1 vendor, impacts all of SCUSA as XEROX hosts SHAW.  A loss of a vendor such as this would be catastrophic as it would impact our ability to service our loans or post payment.  Even if a vendor such as this has an extended outage (more than 24 hours) this could severely impact our business.  To mitigate a risk such as this, the vendors have redundant systems and have business continuity plans.  
Contractually the vendors are required to provide sufficient time if they do not want to renew our contracts.  
SCUSA Vendor Management monitors 3rd party performance daily to mitigate risks.  </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61"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[1]Sheet5!#REF!</xm:f>
          </x14:formula1>
          <xm:sqref>C2</xm:sqref>
        </x14:dataValidation>
        <x14:dataValidation type="list" allowBlank="1" showInputMessage="1" showErrorMessage="1">
          <x14:formula1>
            <xm:f>'[1]Appendix - Risks'!#REF!</xm:f>
          </x14:formula1>
          <xm:sqref>C3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A12"/>
  <sheetViews>
    <sheetView workbookViewId="0">
      <selection activeCell="E3" sqref="E3:F40"/>
    </sheetView>
  </sheetViews>
  <sheetFormatPr defaultColWidth="0" defaultRowHeight="0" customHeight="1" zeroHeight="1" x14ac:dyDescent="0.25"/>
  <cols>
    <col min="1" max="1" width="66.5703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51" t="s">
        <v>483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433</v>
      </c>
      <c r="R3" s="42" t="str">
        <f t="shared" si="0"/>
        <v>Risk Sub Type  - The Risk Sub-Category from the SHUSA ERM Risk Taxonomy</v>
      </c>
    </row>
    <row r="4" spans="1:27" ht="31.5" customHeight="1" thickBot="1" x14ac:dyDescent="0.3">
      <c r="A4" s="247" t="s">
        <v>252</v>
      </c>
      <c r="B4" s="194"/>
      <c r="C4" s="72" t="s">
        <v>617</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34.25" customHeight="1" thickBot="1" x14ac:dyDescent="0.3">
      <c r="A9" s="254" t="s">
        <v>618</v>
      </c>
      <c r="B9" s="255"/>
      <c r="C9" s="256"/>
      <c r="Q9" s="159" t="str">
        <f>A9</f>
        <v xml:space="preserve">
SCUSA compliance conducts meetings with Bluestem Compliance to review and approve any new Tier 1 vendors that will be used.  BlueStem provides updates SCUSA on the 4th party vendor results.  
SLA scorecards are reviewed to monitor 3rd party performance.   Our contracts have termination clauses which allow us to terminate our agreement with said 3rd party for non-compliance with contractual provisions.    In additions, contracts have "right to audit" clauses which allows the SCUSA associates to independently evaluate the performance.  Vendor Managers in the 1LOD and the 3rd Party Vendor Management Team also conduct site visits for our vendors.  </v>
      </c>
    </row>
    <row r="10" spans="1:27" ht="204.75" customHeight="1" thickBot="1" x14ac:dyDescent="0.3">
      <c r="A10" s="41" t="s">
        <v>484</v>
      </c>
      <c r="B10" s="244" t="s">
        <v>697</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619</v>
      </c>
      <c r="B12" s="245"/>
      <c r="C12" s="246"/>
      <c r="Q12" s="159" t="str">
        <f>A12</f>
        <v xml:space="preserve">Third Party's breach of contractual guidelines or compliance may result in regulatory violations, reputational exposure, and financial impacts, including potential fines/penalties.  
 SCUSA relies  on 3rd parties to perform services on our behalf.  Although the service has been outsourced, the liability still remains with SCUSA.  The vendors are required to uphold the same compliance standards  as SCUSA as well as contractual obligations.  Should a vendor breach their contractual guidelines or compliance requirements, this could results in regulatory violations, financial losses and reputational damage for SCUSA.   Mitigation of 3rd party risks are contained within our vendor management process, which includes initial due diligence, on-going site visits and monthly performance scorecards.   
</v>
      </c>
    </row>
  </sheetData>
  <mergeCells count="12">
    <mergeCell ref="B10:C10"/>
    <mergeCell ref="A11:C11"/>
    <mergeCell ref="A12:C12"/>
    <mergeCell ref="A1:B1"/>
    <mergeCell ref="A2:B2"/>
    <mergeCell ref="A3:B3"/>
    <mergeCell ref="A4:B4"/>
    <mergeCell ref="A5:B5"/>
    <mergeCell ref="A6:B6"/>
    <mergeCell ref="A7:B7"/>
    <mergeCell ref="A8:C8"/>
    <mergeCell ref="A9:C9"/>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'[1]Appendix - Risks'!#REF!</xm:f>
          </x14:formula1>
          <xm:sqref>C3</xm:sqref>
        </x14:dataValidation>
        <x14:dataValidation type="list" allowBlank="1" showInputMessage="1" showErrorMessage="1">
          <x14:formula1>
            <xm:f>[1]Sheet5!#REF!</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pageSetUpPr fitToPage="1"/>
  </sheetPr>
  <dimension ref="A1:AA12"/>
  <sheetViews>
    <sheetView zoomScale="80" zoomScaleNormal="80" workbookViewId="0">
      <selection activeCell="B10" sqref="B10:C10"/>
    </sheetView>
  </sheetViews>
  <sheetFormatPr defaultColWidth="0" defaultRowHeight="15" zeroHeight="1" x14ac:dyDescent="0.25"/>
  <cols>
    <col min="1" max="1" width="53" style="156" customWidth="1"/>
    <col min="2" max="2" width="71.855468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620</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56</v>
      </c>
      <c r="R3" s="42" t="str">
        <f t="shared" si="0"/>
        <v>Risk Sub Type  - The Risk Sub-Category from the SHUSA ERM Risk Taxonomy</v>
      </c>
    </row>
    <row r="4" spans="1:27" ht="31.5" customHeight="1" thickBot="1" x14ac:dyDescent="0.3">
      <c r="A4" s="247" t="s">
        <v>252</v>
      </c>
      <c r="B4" s="194"/>
      <c r="C4" s="72" t="s">
        <v>621</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5" customHeight="1" thickBot="1" x14ac:dyDescent="0.3">
      <c r="A9" s="254" t="s">
        <v>622</v>
      </c>
      <c r="B9" s="255"/>
      <c r="C9" s="256"/>
      <c r="Q9" s="155" t="str">
        <f>A9</f>
        <v xml:space="preserve">Each third party vendor is reviewed annually by Vendor Manager and Supplier Oversight.  All agreements are created, reviewed and approved by Legal.  Accounting and Decision Science teams review daily transactions and monthly/annual reporting approval.  Compliance and Legal approve all customer facing materials including marketing, Terms &amp; Conditions, servicing statements and all account servicing activities.
</v>
      </c>
    </row>
    <row r="10" spans="1:27" ht="409.5" customHeight="1" thickBot="1" x14ac:dyDescent="0.3">
      <c r="A10" s="41" t="s">
        <v>484</v>
      </c>
      <c r="B10" s="244" t="s">
        <v>623</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201" customHeight="1" thickBot="1" x14ac:dyDescent="0.3">
      <c r="A12" s="244" t="s">
        <v>624</v>
      </c>
      <c r="B12" s="245"/>
      <c r="C12" s="246"/>
      <c r="Q12" s="155" t="str">
        <f>A12</f>
        <v xml:space="preserve">Third Party's breach of contractual guidelines or expectations (such as reporting), may result in regulatory violations, reputational exposure, and financial impacts, including potential fines / penalties.
The nature of the programs to date are based on partners who are contractually obligated to; meet SLAs, provide servicing, reporting, etc. The SCUSA Personal Lending team manages these partnerships to ensure they are fulfilling the requirement of the relationship. If a partner breaches the terms of the partnership, SCUSA has the following options to mitigate any potential risk; notifying the partner (right to cure), escalating the issue, and ultimately termination.
To ensure these contractual obligations are met, controls have been built to monitor critical processes and transaction flows. This includes; review of transactions, balancing of funding and purchases, verification by finance and accounting of portfolios, periodic audits, regularly scheduled business and credit reviews.
Specifically to Bluestem (BSTM), SCUSA relies on BSTM to provide month end numbers. A delay in this reporting could in turn cause a delay in SCUSA's month end close process. To avoid any delay, SCUSA and BSTM coordinate and publish a calendar detailing when certain reports are expected.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56"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[2]Sheet5!#REF!</xm:f>
          </x14:formula1>
          <xm:sqref>C2</xm:sqref>
        </x14:dataValidation>
        <x14:dataValidation type="list" allowBlank="1" showInputMessage="1" showErrorMessage="1">
          <x14:formula1>
            <xm:f>'[2]Appendix - Risks'!#REF!</xm:f>
          </x14:formula1>
          <xm:sqref>C3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pageSetUpPr fitToPage="1"/>
  </sheetPr>
  <dimension ref="A1:AA12"/>
  <sheetViews>
    <sheetView view="pageLayout" zoomScaleNormal="100" workbookViewId="0">
      <selection activeCell="E3" sqref="E3:F40"/>
    </sheetView>
  </sheetViews>
  <sheetFormatPr defaultColWidth="0" defaultRowHeight="15"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629</v>
      </c>
      <c r="AA1" s="39" t="str">
        <f>C2</f>
        <v>Model</v>
      </c>
    </row>
    <row r="2" spans="1:27" ht="30.75" customHeight="1" thickBot="1" x14ac:dyDescent="0.3">
      <c r="A2" s="248" t="s">
        <v>255</v>
      </c>
      <c r="B2" s="249"/>
      <c r="C2" s="85" t="s">
        <v>9</v>
      </c>
      <c r="R2" s="42" t="str">
        <f t="shared" ref="R2:R7" si="0">A2</f>
        <v>Risk Type  - The Risk Type from the SHUSA ERM Risk Taxonomy</v>
      </c>
    </row>
    <row r="3" spans="1:27" ht="24" customHeight="1" thickBot="1" x14ac:dyDescent="0.3">
      <c r="A3" s="247" t="s">
        <v>251</v>
      </c>
      <c r="B3" s="194"/>
      <c r="C3" s="69" t="s">
        <v>42</v>
      </c>
      <c r="R3" s="42" t="str">
        <f t="shared" si="0"/>
        <v>Risk Sub Type  - The Risk Sub-Category from the SHUSA ERM Risk Taxonomy</v>
      </c>
    </row>
    <row r="4" spans="1:27" ht="31.5" customHeight="1" thickBot="1" x14ac:dyDescent="0.3">
      <c r="A4" s="247" t="s">
        <v>252</v>
      </c>
      <c r="B4" s="194"/>
      <c r="C4" s="72" t="s">
        <v>628</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80</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234</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8.75" customHeight="1" thickBot="1" x14ac:dyDescent="0.3">
      <c r="A9" s="254" t="s">
        <v>627</v>
      </c>
      <c r="B9" s="255"/>
      <c r="C9" s="256"/>
      <c r="Q9" s="155" t="str">
        <f>A9</f>
        <v xml:space="preserve">Decision Science Analytics develops models that conform to Fed SR 11-7 guidelines around modeling practices and model risk management. Models are validated prior to implementation by SHUSA Model Risk Management Group (MRMG). Model are actively monitored by Decision Science as part of ongoing performance assessments.  Decision Science measures each model's actual performance against the expected results.  Significant deviations trigger review of the model validity and may result in adjustment or redevelopment of the model. Performance reporting is shared with SCUSA and SHUSA oversight committees. Origination models used in granting credit are also reviewed by Compliance to ensure regulatory and fair lending compliance. </v>
      </c>
    </row>
    <row r="10" spans="1:27" ht="174" customHeight="1" thickBot="1" x14ac:dyDescent="0.3">
      <c r="A10" s="41" t="s">
        <v>484</v>
      </c>
      <c r="B10" s="244" t="s">
        <v>626</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219.75" customHeight="1" thickBot="1" x14ac:dyDescent="0.3">
      <c r="A12" s="244" t="s">
        <v>625</v>
      </c>
      <c r="B12" s="245"/>
      <c r="C12" s="246"/>
      <c r="Q12" s="155" t="str">
        <f>A12</f>
        <v xml:space="preserve">Models are inaccurate or deteriorate gradually over time which may not effectively offset credit risk exposure leading to financial loss.
SCUSA leverages models in various business settings. Origination scorecard models provide rank ordering on loan applications and serves as a foundation for decisioning, pricing, and measuring profitability. Collection models allow for effective execution of collection, recovering, and servicing strategies. Loss forecasting models provide loss estimation for loan loss reserves.
These models are subject to model risk arising from such areas as deficiency in the model methodology, data limitations during model development, changes in the business practices over time, assumptions for modeling simplicty, macro economic factors, and defects in the implementation environment. Models may be inaccurate or may deteriorate gradually over time, which may not effectively offset credit risk exposure leading to financial loss.
SCUSA mitigates model risk by adopting strong model development and testing standards in the first-line-of-defense. All models are independently validated by SHUSA Model Risk Management Group prior to business use. Models that are in use are actively monitored for ongoing performance issues on a periodic basis and measured against performance thresholds. Deviations to these thresholds trigger in-depth analysis which may result in re-development of the model. 
</v>
      </c>
    </row>
  </sheetData>
  <sheetProtection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[3]Sheet5!#REF!</xm:f>
          </x14:formula1>
          <xm:sqref>C2</xm:sqref>
        </x14:dataValidation>
        <x14:dataValidation type="list" allowBlank="1" showInputMessage="1" showErrorMessage="1">
          <x14:formula1>
            <xm:f>'[3]Appendix - Risks'!#REF!</xm:f>
          </x14:formula1>
          <xm:sqref>C3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A12"/>
  <sheetViews>
    <sheetView zoomScale="130" zoomScaleNormal="130" workbookViewId="0">
      <selection activeCell="E3" sqref="E3:F40"/>
    </sheetView>
  </sheetViews>
  <sheetFormatPr defaultColWidth="0" defaultRowHeight="15" customHeight="1" zeroHeight="1" x14ac:dyDescent="0.25"/>
  <cols>
    <col min="1" max="1" width="66.5703125" style="158" customWidth="1"/>
    <col min="2" max="2" width="22.7109375" style="158" customWidth="1"/>
    <col min="3" max="3" width="35.7109375" style="39" customWidth="1"/>
    <col min="4" max="16" width="4.42578125" style="39" hidden="1" customWidth="1"/>
    <col min="17" max="18" width="4.42578125" style="157" hidden="1" customWidth="1"/>
    <col min="19" max="16384" width="4.42578125" style="39" hidden="1"/>
  </cols>
  <sheetData>
    <row r="1" spans="1:27" ht="29.25" customHeight="1" thickBot="1" x14ac:dyDescent="0.3">
      <c r="A1" s="247" t="s">
        <v>483</v>
      </c>
      <c r="B1" s="194"/>
      <c r="C1" s="72" t="s">
        <v>616</v>
      </c>
      <c r="AA1" s="39" t="str">
        <f>C2</f>
        <v xml:space="preserve">Strategic </v>
      </c>
    </row>
    <row r="2" spans="1:27" ht="30.75" customHeight="1" thickBot="1" x14ac:dyDescent="0.3">
      <c r="A2" s="248" t="s">
        <v>255</v>
      </c>
      <c r="B2" s="249"/>
      <c r="C2" s="85" t="s">
        <v>20</v>
      </c>
      <c r="R2" s="42" t="str">
        <f t="shared" ref="R2:R7" si="0">A2</f>
        <v>Risk Type  - The Risk Type from the SHUSA ERM Risk Taxonomy</v>
      </c>
    </row>
    <row r="3" spans="1:27" ht="24" customHeight="1" thickBot="1" x14ac:dyDescent="0.3">
      <c r="A3" s="247" t="s">
        <v>251</v>
      </c>
      <c r="B3" s="194"/>
      <c r="C3" s="69" t="s">
        <v>321</v>
      </c>
      <c r="R3" s="42" t="str">
        <f t="shared" si="0"/>
        <v>Risk Sub Type  - The Risk Sub-Category from the SHUSA ERM Risk Taxonomy</v>
      </c>
    </row>
    <row r="4" spans="1:27" ht="31.5" customHeight="1" thickBot="1" x14ac:dyDescent="0.3">
      <c r="A4" s="247" t="s">
        <v>252</v>
      </c>
      <c r="B4" s="194"/>
      <c r="C4" s="72" t="s">
        <v>630</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80</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7"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631</v>
      </c>
      <c r="B9" s="255"/>
      <c r="C9" s="256"/>
      <c r="Q9" s="157" t="str">
        <f>A9</f>
        <v xml:space="preserve">As mentioned below in the narrative, should a macroeconomic event occur, SCUSA would re-evaluate our loss mitigation tools and adjust deferments and loan payment modifications to mitigate the rise in delinquencies and repossessions.   SCUSA may also reduce residual values and lower recovery rates, as a conservative approach from an ALLL  and loan reserve perspective.  </v>
      </c>
    </row>
    <row r="10" spans="1:27" ht="204.75" customHeight="1" thickBot="1" x14ac:dyDescent="0.3">
      <c r="A10" s="41" t="s">
        <v>484</v>
      </c>
      <c r="B10" s="244" t="s">
        <v>689</v>
      </c>
      <c r="C10" s="257"/>
    </row>
    <row r="11" spans="1:27" ht="31.5" customHeight="1" thickBot="1" x14ac:dyDescent="0.3">
      <c r="A11" s="251" t="s">
        <v>254</v>
      </c>
      <c r="B11" s="252"/>
      <c r="C11" s="253"/>
      <c r="Q11" s="157"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690</v>
      </c>
      <c r="B12" s="245"/>
      <c r="C12" s="246"/>
      <c r="Q12" s="157" t="str">
        <f>A12</f>
        <v xml:space="preserve">Macroeconomic events, such as a rise in unemployment, housing market decline, and/or increase in oil prices could result in an increase in repossessions, decline in repo residual value at auction, increase in returned leases, reduction in lease residual value, reduction in earnings or capital, increased volume of delinquencies and negative profitability in segments/products.  
Should a macro event occur, SCUSA would employ loss mitigation tools such as deferments, loan payment modifications to mitigate the rise in delinquencies and repossessions.   SCUSA may also reduce residual values (leases) and lower recovery rates assumptions, as a conservative approach from an ALLL  and loan reserve perspective.  Although SCUSA doesn't  reserve for leases, we do adjust the residual value on a regular basis to account for the reduction in leased residual value by way of applying accelerated depreciation on the books.  This is accomplished at the asset level by using the lower of monthly internal forecast. vs. quarterly ALG forecast for each active lease.  </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'[1]Appendix - Risks'!#REF!</xm:f>
          </x14:formula1>
          <xm:sqref>C3</xm:sqref>
        </x14:dataValidation>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pageSetUpPr fitToPage="1"/>
  </sheetPr>
  <dimension ref="A1:AA12"/>
  <sheetViews>
    <sheetView view="pageLayout" topLeftCell="A10" zoomScaleNormal="100" workbookViewId="0">
      <selection activeCell="A9" sqref="A9:C9"/>
    </sheetView>
  </sheetViews>
  <sheetFormatPr defaultColWidth="0" defaultRowHeight="15" customHeight="1"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632</v>
      </c>
      <c r="AA1" s="39" t="str">
        <f>C2</f>
        <v>Credit</v>
      </c>
    </row>
    <row r="2" spans="1:27" ht="30.75" customHeight="1" thickBot="1" x14ac:dyDescent="0.3">
      <c r="A2" s="248" t="s">
        <v>255</v>
      </c>
      <c r="B2" s="249"/>
      <c r="C2" s="85" t="s">
        <v>17</v>
      </c>
      <c r="R2" s="42" t="str">
        <f t="shared" ref="R2:R7" si="0">A2</f>
        <v>Risk Type  - The Risk Type from the SHUSA ERM Risk Taxonomy</v>
      </c>
    </row>
    <row r="3" spans="1:27" ht="24" customHeight="1" thickBot="1" x14ac:dyDescent="0.3">
      <c r="A3" s="247" t="s">
        <v>251</v>
      </c>
      <c r="B3" s="194"/>
      <c r="C3" s="69" t="s">
        <v>338</v>
      </c>
      <c r="R3" s="42" t="str">
        <f t="shared" si="0"/>
        <v>Risk Sub Type  - The Risk Sub-Category from the SHUSA ERM Risk Taxonomy</v>
      </c>
    </row>
    <row r="4" spans="1:27" ht="31.5" customHeight="1" thickBot="1" x14ac:dyDescent="0.3">
      <c r="A4" s="247" t="s">
        <v>252</v>
      </c>
      <c r="B4" s="194"/>
      <c r="C4" s="72" t="s">
        <v>633</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80</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36.5" customHeight="1" thickBot="1" x14ac:dyDescent="0.3">
      <c r="A9" s="254" t="s">
        <v>634</v>
      </c>
      <c r="B9" s="255"/>
      <c r="C9" s="256"/>
      <c r="Q9" s="155" t="str">
        <f>A9</f>
        <v xml:space="preserve">The ALLL process is employed to reasonably assess and account for losses inherent in the portfolio.  An inaccurate quantitative forecast or incomplete assessment of the impact of external market and environmental factors could lead to SCUSA experiencing losses well in excess of those anticipated, as well as expose SCUSA to potential regulatory action, reputational exposure or mispricing of future loans.  The ALLL process includes several controls to mitigate this risk, including quantitative controls (backtesting of VLM with back-testing variance threshold, balance/volume reconciliation, etc.), qualitative controls (macroeconomic indicator monitoring, comparison of actual losses to plan, review of Operational and Risk Reporting Systems to identify potential risks to the business that could impact the losses experienced by SCUSA's portfolios, etc.), internal controls (regular review by SOX team, model input checks performed by Financial Analytics, annual review by Internal Audit, etc.) and governace controls (Risk Committee and SHUSA review and sign-off of quarterly reserve number, Board Ratification, etc.).  
</v>
      </c>
    </row>
    <row r="10" spans="1:27" ht="159.75" customHeight="1" thickBot="1" x14ac:dyDescent="0.3">
      <c r="A10" s="41" t="s">
        <v>484</v>
      </c>
      <c r="B10" s="244" t="s">
        <v>635</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30.5" customHeight="1" thickBot="1" x14ac:dyDescent="0.3">
      <c r="A12" s="244" t="s">
        <v>636</v>
      </c>
      <c r="B12" s="245"/>
      <c r="C12" s="246"/>
      <c r="Q12" s="155" t="str">
        <f>A12</f>
        <v xml:space="preserve">Inability to forecast losses accurately leading to inappropriate of ALLL / TDR balances, may result in fines, penalties, potential regulatory action, reputational exposure, mispricing of future loans, and overall negative profitability for SCUSA.
As noted above, quantitative forecast errors (whether in model/methodology design or execution) or the inablility to incorporate appropriate qualitative adjustments can result in an allowance that does not appropriately reflect losses inherrent in SCUSA's portfolio.  While the accuracy of the models used and effectiveness of the methodology employed are key determinants of SCUSA'a ALLL process, the most significant risk drivers that impact accuracy in a stress environment are changes to unemployment rates and used vehicle values.  See above responses for additional discussion.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[4]Sheet5!#REF!</xm:f>
          </x14:formula1>
          <xm:sqref>C2</xm:sqref>
        </x14:dataValidation>
        <x14:dataValidation type="list" allowBlank="1" showInputMessage="1" showErrorMessage="1">
          <x14:formula1>
            <xm:f>'[4]Appendix - Risks'!#REF!</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pageSetUpPr fitToPage="1"/>
  </sheetPr>
  <dimension ref="A1:AA12"/>
  <sheetViews>
    <sheetView view="pageLayout" zoomScale="110" zoomScaleNormal="100" zoomScalePageLayoutView="110" workbookViewId="0">
      <selection activeCell="E3" sqref="E3:F40"/>
    </sheetView>
  </sheetViews>
  <sheetFormatPr defaultColWidth="0" defaultRowHeight="15"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641</v>
      </c>
      <c r="AA1" s="39" t="str">
        <f>C2</f>
        <v>Credit</v>
      </c>
    </row>
    <row r="2" spans="1:27" ht="30.75" customHeight="1" thickBot="1" x14ac:dyDescent="0.3">
      <c r="A2" s="248" t="s">
        <v>255</v>
      </c>
      <c r="B2" s="249"/>
      <c r="C2" s="85" t="s">
        <v>17</v>
      </c>
      <c r="R2" s="42" t="str">
        <f t="shared" ref="R2:R7" si="0">A2</f>
        <v>Risk Type  - The Risk Type from the SHUSA ERM Risk Taxonomy</v>
      </c>
    </row>
    <row r="3" spans="1:27" ht="24" customHeight="1" thickBot="1" x14ac:dyDescent="0.3">
      <c r="A3" s="247" t="s">
        <v>251</v>
      </c>
      <c r="B3" s="194"/>
      <c r="C3" s="69" t="s">
        <v>64</v>
      </c>
      <c r="R3" s="42" t="str">
        <f t="shared" si="0"/>
        <v>Risk Sub Type  - The Risk Sub-Category from the SHUSA ERM Risk Taxonomy</v>
      </c>
    </row>
    <row r="4" spans="1:27" ht="31.5" customHeight="1" thickBot="1" x14ac:dyDescent="0.3">
      <c r="A4" s="247" t="s">
        <v>252</v>
      </c>
      <c r="B4" s="194"/>
      <c r="C4" s="72" t="s">
        <v>640</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80</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234</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4.5" customHeight="1" thickBot="1" x14ac:dyDescent="0.3">
      <c r="A9" s="254" t="s">
        <v>639</v>
      </c>
      <c r="B9" s="255"/>
      <c r="C9" s="256"/>
      <c r="Q9" s="155" t="str">
        <f>A9</f>
        <v>The ALLL Provision is the most likely estimate of loss and is governed by the ALLL Committee, ALLL Policy and Risk Committee. ALLL loss estimates are calculated using a validated loss model with stringent backtesting requirements. All models are validated by the oversight of SHUSA Model Risk Management (MRM) and adhere to established model guidelines. ALLL processes and validations are subject to Sarbanes Oxley (SOX) regulatory controls which add further checks and balances to the process of quantifying loss and loss provisions. Internal Audit performs periodic audits to ensure the ALLL models, policies and controls are executed accurately.</v>
      </c>
    </row>
    <row r="10" spans="1:27" ht="264" customHeight="1" thickBot="1" x14ac:dyDescent="0.3">
      <c r="A10" s="41" t="s">
        <v>484</v>
      </c>
      <c r="B10" s="244" t="s">
        <v>638</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85.25" customHeight="1" thickBot="1" x14ac:dyDescent="0.3">
      <c r="A12" s="244" t="s">
        <v>637</v>
      </c>
      <c r="B12" s="245"/>
      <c r="C12" s="246"/>
      <c r="Q12" s="155" t="str">
        <f>A12</f>
        <v xml:space="preserve">Obligors not able or unwilling to fulfill obligations may default prior to maturity  resulting in a credit loss.
As a primarily non-prime lender, SCUSA extends credit to borrowers which have historically had higher loss rates. Due to these higher loss rates, the profitabily of SCUSA is highly dependent on accurately projecting and provisioning for expected losses. SCUSA mitigates the exposure by accurately estimating and provisioning for expected losses by building and validating loss models. The output of the loss models is enhanced by applying expert judgement and effective challenge through a documented governance process. To ensure accuracy of expected losses governance has been established including the ALLL Committee and ALLL Policy. Additionally the loss models are subject to SHUSA oversight including MRM validation including backtesting. Monthly monitoring is performed to ensure actual losses are inline with expected losses. If actual losses exceed expected losses by 8% or more, this triggers a complete indepth review of the ALLL process and assumptions to determine a more accurate loss forecast. SCUSA maintains a credit loss reserve in the amount of $3.6B which accounts for 16.5 months of expected loss.
</v>
      </c>
    </row>
  </sheetData>
  <sheetProtection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[5]Sheet5!#REF!</xm:f>
          </x14:formula1>
          <xm:sqref>C2</xm:sqref>
        </x14:dataValidation>
        <x14:dataValidation type="list" allowBlank="1" showInputMessage="1" showErrorMessage="1">
          <x14:formula1>
            <xm:f>'[5]Appendix - Risks'!#REF!</xm:f>
          </x14:formula1>
          <xm:sqref>C3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pageSetUpPr fitToPage="1"/>
  </sheetPr>
  <dimension ref="A1:AA12"/>
  <sheetViews>
    <sheetView showWhiteSpace="0" view="pageLayout" zoomScale="125" zoomScalePageLayoutView="125" workbookViewId="0">
      <selection activeCell="E3" sqref="E3:F40"/>
    </sheetView>
  </sheetViews>
  <sheetFormatPr defaultColWidth="0" defaultRowHeight="15" customHeight="1" zeroHeight="1" x14ac:dyDescent="0.25"/>
  <cols>
    <col min="1" max="1" width="66.42578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699</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421</v>
      </c>
      <c r="R3" s="42" t="str">
        <f t="shared" si="0"/>
        <v>Risk Sub Type  - The Risk Sub-Category from the SHUSA ERM Risk Taxonomy</v>
      </c>
    </row>
    <row r="4" spans="1:27" ht="31.5" customHeight="1" thickBot="1" x14ac:dyDescent="0.3">
      <c r="A4" s="247" t="s">
        <v>252</v>
      </c>
      <c r="B4" s="194"/>
      <c r="C4" s="72" t="s">
        <v>712</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235</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59" customHeight="1" thickBot="1" x14ac:dyDescent="0.3">
      <c r="A9" s="254" t="s">
        <v>713</v>
      </c>
      <c r="B9" s="255"/>
      <c r="C9" s="256"/>
      <c r="Q9" s="159" t="str">
        <f>A9</f>
        <v>Change management controls are in place following industry best practices and the Information Technology Infrastructure Library (ITIL) framework. Changes are classifed by impact and tracked through the change lifecycle. Designated owners approve all changes.  Changes are monitored and managed by the IT Operations group. Some applications and technologies are managed outside of IT and not within the existing change management framework. Change management accountabilities and ownership need to be assessed for effectiveness.</v>
      </c>
    </row>
    <row r="10" spans="1:27" ht="261" customHeight="1" thickBot="1" x14ac:dyDescent="0.3">
      <c r="A10" s="41" t="s">
        <v>484</v>
      </c>
      <c r="B10" s="244" t="s">
        <v>714</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64.25" customHeight="1" thickBot="1" x14ac:dyDescent="0.3">
      <c r="A12" s="244" t="s">
        <v>715</v>
      </c>
      <c r="B12" s="245"/>
      <c r="C12" s="246"/>
      <c r="Q12" s="159" t="str">
        <f>A12</f>
        <v>Santander Consumer USA manages infrastructure, systems, databases and software that are critical to its operations. Unauthorized or improper changes to technology assets within this environment may result in data loss, disruption of operations, exposure of protected data and increased vulnerability. These events could cause reputational damage, loss of material relationships, regulatory fines, class action lawsuits, erosion of customer affinity and opportunity cost from lost business.</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[6]Sheet5!#REF!</xm:f>
          </x14:formula1>
          <xm:sqref>C2</xm:sqref>
        </x14:dataValidation>
        <x14:dataValidation type="list" allowBlank="1" showInputMessage="1" showErrorMessage="1">
          <x14:formula1>
            <xm:f>'[6]Appendix - Risks'!#REF!</xm:f>
          </x14:formula1>
          <xm:sqref>C3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pageSetUpPr fitToPage="1"/>
  </sheetPr>
  <dimension ref="A1:AA12"/>
  <sheetViews>
    <sheetView view="pageLayout" zoomScale="85" zoomScalePageLayoutView="85" workbookViewId="0">
      <selection activeCell="E3" sqref="E3:F40"/>
    </sheetView>
  </sheetViews>
  <sheetFormatPr defaultColWidth="0" defaultRowHeight="15" customHeight="1" zeroHeight="1" x14ac:dyDescent="0.25"/>
  <cols>
    <col min="1" max="1" width="66.42578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699</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33.75" customHeight="1" thickBot="1" x14ac:dyDescent="0.3">
      <c r="A3" s="247" t="s">
        <v>251</v>
      </c>
      <c r="B3" s="194"/>
      <c r="C3" s="69" t="s">
        <v>424</v>
      </c>
      <c r="R3" s="42" t="str">
        <f t="shared" si="0"/>
        <v>Risk Sub Type  - The Risk Sub-Category from the SHUSA ERM Risk Taxonomy</v>
      </c>
    </row>
    <row r="4" spans="1:27" ht="31.5" customHeight="1" thickBot="1" x14ac:dyDescent="0.3">
      <c r="A4" s="247" t="s">
        <v>252</v>
      </c>
      <c r="B4" s="194"/>
      <c r="C4" s="72" t="s">
        <v>716</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47" customHeight="1" thickBot="1" x14ac:dyDescent="0.3">
      <c r="A9" s="254" t="s">
        <v>717</v>
      </c>
      <c r="B9" s="255"/>
      <c r="C9" s="256"/>
      <c r="Q9" s="159" t="str">
        <f>A9</f>
        <v>Information technology governs access to data through it access control and security administration processes. Write and change access is tightly controlled for critical data stores such as the data warehouse. Read access to data is widely distributed and does not have adequate controls. Data stores exist with minimal IT controls and support to facilitate operational reporting and ad-hoc analysis. Data query governance software is in place to filter queries for assembly of NPI, but the effectiveness of the tool is inconsistent. Data governance was recently initiated in the Risk group. This effort should be accelerated to support proper data stewardship, data guardianship and well managed process for data management including technical and business data lineage, meta-data management and control of critical repositories.</v>
      </c>
    </row>
    <row r="10" spans="1:27" ht="165" customHeight="1" thickBot="1" x14ac:dyDescent="0.3">
      <c r="A10" s="41" t="s">
        <v>484</v>
      </c>
      <c r="B10" s="244" t="s">
        <v>718</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54.5" customHeight="1" thickBot="1" x14ac:dyDescent="0.3">
      <c r="A12" s="244" t="s">
        <v>719</v>
      </c>
      <c r="B12" s="245"/>
      <c r="C12" s="246"/>
      <c r="Q12" s="159" t="str">
        <f>A12</f>
        <v>Santander Consumer USA employs data analysis, reporting and analytics across the organization to facilitate better decision-making, transparency to business operations and critical reporting. Failure to govern data for appropriate use could result in incorrect critical reporting, misrepresentation of our financial condition, misrepresentation of our risk posture, anomalous decisions or inefficient operations. Failure to adequately govern this data could result in regulatory enforcements, class action lawsuits, loss of ability to conduct business, and/or negative reputation exposure.</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[7]Sheet5!#REF!</xm:f>
          </x14:formula1>
          <xm:sqref>C2</xm:sqref>
        </x14:dataValidation>
        <x14:dataValidation type="list" allowBlank="1" showInputMessage="1" showErrorMessage="1">
          <x14:formula1>
            <xm:f>'[7]Appendix - Risks'!#REF!</xm:f>
          </x14:formula1>
          <xm:sqref>C3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pageSetUpPr fitToPage="1"/>
  </sheetPr>
  <dimension ref="A1:AA12"/>
  <sheetViews>
    <sheetView view="pageLayout" zoomScale="70" zoomScalePageLayoutView="70" workbookViewId="0">
      <selection activeCell="C5" sqref="C5"/>
    </sheetView>
  </sheetViews>
  <sheetFormatPr defaultColWidth="0" defaultRowHeight="15" customHeight="1" zeroHeight="1" x14ac:dyDescent="0.25"/>
  <cols>
    <col min="1" max="1" width="54.7109375" style="160" customWidth="1"/>
    <col min="2" max="2" width="39.4257812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699</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423</v>
      </c>
      <c r="E3" s="39" t="s">
        <v>906</v>
      </c>
      <c r="R3" s="42" t="str">
        <f t="shared" si="0"/>
        <v>Risk Sub Type  - The Risk Sub-Category from the SHUSA ERM Risk Taxonomy</v>
      </c>
    </row>
    <row r="4" spans="1:27" ht="31.5" customHeight="1" thickBot="1" x14ac:dyDescent="0.3">
      <c r="A4" s="247" t="s">
        <v>252</v>
      </c>
      <c r="B4" s="194"/>
      <c r="C4" s="72" t="s">
        <v>720</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79</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04.25" customHeight="1" thickBot="1" x14ac:dyDescent="0.3">
      <c r="A9" s="254" t="s">
        <v>721</v>
      </c>
      <c r="B9" s="255"/>
      <c r="C9" s="256"/>
      <c r="Q9" s="159" t="str">
        <f>A9</f>
        <v xml:space="preserve">Core systems and operations are distributed across physcial machinery and locations. Disaster recovery prodcedures are in place and tested. Service provider contracts including key system services and data centers have contractual servivce level agreements.  Continuous system monitoring for incidents and management of incidents are in place. Third Party Management controls need strengthening to ensure new internet-based or cloud-based services follow existing controls and standards. Directive controls need strengthening.
</v>
      </c>
    </row>
    <row r="10" spans="1:27" ht="182.1" customHeight="1" thickBot="1" x14ac:dyDescent="0.3">
      <c r="A10" s="41" t="s">
        <v>484</v>
      </c>
      <c r="B10" s="244" t="s">
        <v>722</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29.75" customHeight="1" thickBot="1" x14ac:dyDescent="0.3">
      <c r="A12" s="244" t="s">
        <v>723</v>
      </c>
      <c r="B12" s="245"/>
      <c r="C12" s="246"/>
      <c r="Q12" s="159" t="str">
        <f>A12</f>
        <v xml:space="preserve">Santander Consumer USA provides externally facing systems and services to consumers, customers and business partners through digital channels, web sites, business services and telecommunications services. Prolonged external service disruptions, whether perpetuated internally or externally, malicously or by accident, could result in lost revenue, increased epxenses, reputational damage, loss of material relationship or opportunity cost to our business.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69"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[8]Sheet5!#REF!</xm:f>
          </x14:formula1>
          <xm:sqref>C2</xm:sqref>
        </x14:dataValidation>
        <x14:dataValidation type="list" allowBlank="1" showInputMessage="1" showErrorMessage="1">
          <x14:formula1>
            <xm:f>'[8]Appendix - Risks'!#REF!</xm:f>
          </x14:formula1>
          <xm:sqref>C3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pageSetUpPr fitToPage="1"/>
  </sheetPr>
  <dimension ref="A1:AA12"/>
  <sheetViews>
    <sheetView view="pageLayout" zoomScale="85" zoomScalePageLayoutView="85" workbookViewId="0">
      <selection activeCell="E3" sqref="E3:F40"/>
    </sheetView>
  </sheetViews>
  <sheetFormatPr defaultColWidth="0" defaultRowHeight="15" customHeight="1" zeroHeight="1" x14ac:dyDescent="0.25"/>
  <cols>
    <col min="1" max="1" width="66.42578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699</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401</v>
      </c>
      <c r="R3" s="42" t="str">
        <f t="shared" si="0"/>
        <v>Risk Sub Type  - The Risk Sub-Category from the SHUSA ERM Risk Taxonomy</v>
      </c>
    </row>
    <row r="4" spans="1:27" ht="31.5" customHeight="1" thickBot="1" x14ac:dyDescent="0.3">
      <c r="A4" s="247" t="s">
        <v>252</v>
      </c>
      <c r="B4" s="194"/>
      <c r="C4" s="72" t="s">
        <v>724</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0" customHeight="1" thickBot="1" x14ac:dyDescent="0.3">
      <c r="A9" s="254" t="s">
        <v>725</v>
      </c>
      <c r="B9" s="255"/>
      <c r="C9" s="256"/>
      <c r="Q9" s="159" t="str">
        <f>A9</f>
        <v>Detective controls are in place to monitor network traffic, looking for suspicious patterns, changes, or spikes. Preventative controls are in the network infrastructure to add limits, filters, threshholds. Exhaustive tests have not been peformed to ensure defense against the scenarios of the 2013 Izz ad-Din all-Qassam attacks. Processes/procedures need strengthening to manage key threats and threat escalation. Process/procedures need to be developed to support interaction with local, state and federal agencies in the event of cyber attacks.</v>
      </c>
    </row>
    <row r="10" spans="1:27" ht="192" customHeight="1" thickBot="1" x14ac:dyDescent="0.3">
      <c r="A10" s="41" t="s">
        <v>484</v>
      </c>
      <c r="B10" s="244" t="s">
        <v>726</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44" customHeight="1" thickBot="1" x14ac:dyDescent="0.3">
      <c r="A12" s="244" t="s">
        <v>727</v>
      </c>
      <c r="B12" s="245"/>
      <c r="C12" s="246"/>
      <c r="Q12" s="159" t="str">
        <f>A12</f>
        <v xml:space="preserve">Santander Consumer USA has externally facing websites, communications channels and web services that are under continual threat of cyber attack. Extreme latency or failure of services would primarily impact customers from logging into their accounts to make payments, and potential customers from creating an application. These attacks could cause system disruptions that may result in reputational damage, loss of material relationship, and opportunity cost from lost business. An example of these attacks occurred in the banking idustry during 2013 when a series of distributed denial of service attacks were launched against major banks over the course of several months by the self-proclaimed Muslim hacktivist group Izz ad-Din al-Qassam Cyber Fighters. Although the attackers communicated the exact date and time of the attacks well in advance, none of the major banks were able to fully defend themselves on the first round and progressive enhancements had to be made to install adequate defenses.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[9]Sheet5!#REF!</xm:f>
          </x14:formula1>
          <xm:sqref>C2</xm:sqref>
        </x14:dataValidation>
        <x14:dataValidation type="list" allowBlank="1" showInputMessage="1" showErrorMessage="1">
          <x14:formula1>
            <xm:f>'[9]Appendix - Risks'!#REF!</xm:f>
          </x14:formula1>
          <xm:sqref>C3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pageSetUpPr fitToPage="1"/>
  </sheetPr>
  <dimension ref="A1:AA12"/>
  <sheetViews>
    <sheetView view="pageLayout" zoomScale="70" zoomScalePageLayoutView="70" workbookViewId="0">
      <selection activeCell="C6" sqref="C6"/>
    </sheetView>
  </sheetViews>
  <sheetFormatPr defaultColWidth="0" defaultRowHeight="15" customHeight="1" zeroHeight="1" x14ac:dyDescent="0.25"/>
  <cols>
    <col min="1" max="1" width="66.42578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699</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413</v>
      </c>
      <c r="R3" s="42" t="str">
        <f t="shared" si="0"/>
        <v>Risk Sub Type  - The Risk Sub-Category from the SHUSA ERM Risk Taxonomy</v>
      </c>
    </row>
    <row r="4" spans="1:27" ht="31.5" customHeight="1" thickBot="1" x14ac:dyDescent="0.3">
      <c r="A4" s="247" t="s">
        <v>252</v>
      </c>
      <c r="B4" s="194"/>
      <c r="C4" s="72" t="s">
        <v>728</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92" customHeight="1" thickBot="1" x14ac:dyDescent="0.3">
      <c r="A9" s="254" t="s">
        <v>729</v>
      </c>
      <c r="B9" s="255"/>
      <c r="C9" s="256"/>
      <c r="Q9" s="159" t="str">
        <f>A9</f>
        <v>Preventative controls utilizing least privilege methodology are in place within the applications, databases, and infrastructure. Detective controls monitor those access levels during periodic entitlement review cycles. Preventative controls particularly guarding SSN and other highly sensitive consumer data to ensure it's masked in the application UI, as well as Production-level databases. Preventative controls in place for infrastructure design utilizing firewalls, PCI zones, and separate vlans. Preventative controls are in place to block certain known external threats, as well as detective controls for realtime monitoring of traffic that might cause compromise to consumer data. Preventative controls exist for consumer data in motion with standard encryption, movement practices, and approvals.
While there are no active findings for these controls at this time, there are known improvements being made in the use of the database monitoring tool, Guardium. There is also an effort underway to mature the access control processes, and automate the work where much of it is manual today. There have been audit findings for both of these items in the past. Compensating controls and/or tighter processes have worked to remediate those findings for high-risk exposure.</v>
      </c>
    </row>
    <row r="10" spans="1:27" ht="116.25" customHeight="1" thickBot="1" x14ac:dyDescent="0.3">
      <c r="A10" s="41" t="s">
        <v>484</v>
      </c>
      <c r="B10" s="244" t="s">
        <v>730</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71.75" customHeight="1" thickBot="1" x14ac:dyDescent="0.3">
      <c r="A12" s="244" t="s">
        <v>731</v>
      </c>
      <c r="B12" s="245"/>
      <c r="C12" s="246"/>
      <c r="Q12" s="159" t="str">
        <f>A12</f>
        <v xml:space="preserve">Santander Consumer USA collects, retains and uses consumer and customer nonpublic personal information and personally identifiable information in the normal course of its business operations. Failure to adequately protect this data could result in regulatory enforcements, class action lawsuits, loss of ability to conduct business, and/or negative reputation exposure.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[10]Sheet5!#REF!</xm:f>
          </x14:formula1>
          <xm:sqref>C2</xm:sqref>
        </x14:dataValidation>
        <x14:dataValidation type="list" allowBlank="1" showInputMessage="1" showErrorMessage="1">
          <x14:formula1>
            <xm:f>'[10]Appendix - Risks'!#REF!</xm:f>
          </x14:formula1>
          <xm:sqref>C3</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A12"/>
  <sheetViews>
    <sheetView view="pageLayout" zoomScale="55" zoomScalePageLayoutView="55" workbookViewId="0">
      <selection activeCell="E3" sqref="E3:F40"/>
    </sheetView>
  </sheetViews>
  <sheetFormatPr defaultColWidth="0" defaultRowHeight="15" customHeight="1" zeroHeight="1" x14ac:dyDescent="0.25"/>
  <cols>
    <col min="1" max="1" width="66.42578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699</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422</v>
      </c>
      <c r="R3" s="42" t="str">
        <f t="shared" si="0"/>
        <v>Risk Sub Type  - The Risk Sub-Category from the SHUSA ERM Risk Taxonomy</v>
      </c>
    </row>
    <row r="4" spans="1:27" ht="31.5" customHeight="1" thickBot="1" x14ac:dyDescent="0.3">
      <c r="A4" s="247" t="s">
        <v>252</v>
      </c>
      <c r="B4" s="194"/>
      <c r="C4" s="72" t="s">
        <v>700</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08.75" customHeight="1" thickBot="1" x14ac:dyDescent="0.3">
      <c r="A9" s="254" t="s">
        <v>701</v>
      </c>
      <c r="B9" s="255"/>
      <c r="C9" s="256"/>
      <c r="Q9" s="159" t="str">
        <f>A9</f>
        <v xml:space="preserve">Preventative controls for application, database, and infrastructure redundancy are in place with multiple data center locations that house similar hardware, capacity, and capabilities. Detective controls in place to execute annual disaster recovery testing for applications, database, and infrastructure. Detective controls in place to continually monitor infrastructure, applications, and database availability, and alert upon failure. Detective controls in place of identified key business functions within the in-house applications and defined expected performance threshhold. Many of these controls are tested internally and externally, both design and execution. Resiliency of core systems needs to be properly assessed. Our loan servicing system requires a minimum of 24 hours to recover from failure and operates within a single geography. The length (number of digits) of our account numbers in loan servicing does not permit growth in new business past Q3 of 2016. </v>
      </c>
    </row>
    <row r="10" spans="1:27" ht="137.1" customHeight="1" thickBot="1" x14ac:dyDescent="0.3">
      <c r="A10" s="41" t="s">
        <v>484</v>
      </c>
      <c r="B10" s="244" t="s">
        <v>702</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53" customHeight="1" thickBot="1" x14ac:dyDescent="0.3">
      <c r="A12" s="244" t="s">
        <v>703</v>
      </c>
      <c r="B12" s="245"/>
      <c r="C12" s="246"/>
      <c r="Q12" s="159" t="str">
        <f>A12</f>
        <v xml:space="preserve">Santander Consumer USA provides systems and services to associates and business partners through custom applications, web sites, business services and telecommunications services. Prolonged internal service disruptions, whether perpetuated malicously or by accident, could result in lost revenue, increased epxenses, reputational damage, loss of material relationship, loss of customer affinity or opportunity cost to our business.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[11]Sheet5!#REF!</xm:f>
          </x14:formula1>
          <xm:sqref>C2</xm:sqref>
        </x14:dataValidation>
        <x14:dataValidation type="list" allowBlank="1" showInputMessage="1" showErrorMessage="1">
          <x14:formula1>
            <xm:f>'[11]Appendix - Risks'!#REF!</xm:f>
          </x14:formula1>
          <xm:sqref>C3</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pageSetUpPr fitToPage="1"/>
  </sheetPr>
  <dimension ref="A1:AA12"/>
  <sheetViews>
    <sheetView zoomScale="85" zoomScaleNormal="85" workbookViewId="0">
      <selection activeCell="C4" sqref="C4"/>
    </sheetView>
  </sheetViews>
  <sheetFormatPr defaultColWidth="0" defaultRowHeight="15"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646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406</v>
      </c>
      <c r="R3" s="42" t="str">
        <f t="shared" si="0"/>
        <v>Risk Sub Type  - The Risk Sub-Category from the SHUSA ERM Risk Taxonomy</v>
      </c>
    </row>
    <row r="4" spans="1:27" ht="31.5" customHeight="1" thickBot="1" x14ac:dyDescent="0.3">
      <c r="A4" s="247" t="s">
        <v>252</v>
      </c>
      <c r="B4" s="194"/>
      <c r="C4" s="70" t="s">
        <v>645</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20" customHeight="1" thickBot="1" x14ac:dyDescent="0.3">
      <c r="A9" s="254" t="s">
        <v>644</v>
      </c>
      <c r="B9" s="255"/>
      <c r="C9" s="256"/>
      <c r="Q9" s="155" t="str">
        <f>A9</f>
        <v xml:space="preserve">SCUSA has various controls in place to manage and mitigate risks associated with Noncompliance with HR legal or regulatory requirements. Policies and Procedures are in place covering the entire employment relationship from Pre-Hire to Termination. An Employee Handbook is in place as well as a Code of Conduct describing employee resposibilities. Employee attestation is required for the Code of Conduct. Onboard training is provided for SCUSA employees where responsibilities of the employee relationship are discussed. In addition, SCUSA HR provides ongoing monitoring of various HR metrics to ensure alignment with expectations.
</v>
      </c>
    </row>
    <row r="10" spans="1:27" ht="48.75" customHeight="1" thickBot="1" x14ac:dyDescent="0.3">
      <c r="A10" s="41" t="s">
        <v>484</v>
      </c>
      <c r="B10" s="244" t="s">
        <v>643</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17.75" customHeight="1" thickBot="1" x14ac:dyDescent="0.3">
      <c r="A12" s="244" t="s">
        <v>642</v>
      </c>
      <c r="B12" s="245"/>
      <c r="C12" s="246"/>
      <c r="Q12" s="155" t="str">
        <f>A12</f>
        <v xml:space="preserve">Failure to comply with the relevant employment laws and regulations could have serious consequences. Violations involve regulatory enforcement, prosecution by individuals or governmental agencies leading to potential fines, compensation payments, financial penalties/corrective action and/or reputational damage. The severity of the penalty depends on whether the violation is wilful or negligent. 
</v>
      </c>
    </row>
  </sheetData>
  <sheetProtection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[12]Sheet5!#REF!</xm:f>
          </x14:formula1>
          <xm:sqref>C2</xm:sqref>
        </x14:dataValidation>
        <x14:dataValidation type="list" allowBlank="1" showInputMessage="1" showErrorMessage="1">
          <x14:formula1>
            <xm:f>'[12]Appendix - Risks'!#REF!</xm:f>
          </x14:formula1>
          <xm:sqref>C3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pageSetUpPr fitToPage="1"/>
  </sheetPr>
  <dimension ref="A1:AA1048576"/>
  <sheetViews>
    <sheetView view="pageLayout" zoomScale="70" zoomScaleNormal="100" zoomScalePageLayoutView="70" workbookViewId="0">
      <selection activeCell="A9" sqref="A9:C9"/>
    </sheetView>
  </sheetViews>
  <sheetFormatPr defaultColWidth="0" defaultRowHeight="15"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646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418</v>
      </c>
      <c r="R3" s="42" t="str">
        <f t="shared" si="0"/>
        <v>Risk Sub Type  - The Risk Sub-Category from the SHUSA ERM Risk Taxonomy</v>
      </c>
    </row>
    <row r="4" spans="1:27" ht="31.5" customHeight="1" thickBot="1" x14ac:dyDescent="0.3">
      <c r="A4" s="247" t="s">
        <v>252</v>
      </c>
      <c r="B4" s="194"/>
      <c r="C4" s="72" t="s">
        <v>654</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03.25" customHeight="1" thickBot="1" x14ac:dyDescent="0.3">
      <c r="A9" s="254" t="s">
        <v>653</v>
      </c>
      <c r="B9" s="255"/>
      <c r="C9" s="256"/>
      <c r="Q9" s="155" t="str">
        <f>A9</f>
        <v>SCUSA has recognized the real world need for enhanced physical security measures.  We have invested a large amount of resources to standardize all of our sites and ensure our workplace is safe and controlled as possible.  We have upgraded our buildings security with the newest controls, such as secure access badges, high visibility visitor lanyards, and additional video cameras inside the facility and in the parking areas.  We have extended security shifts to provide additional coverage and designed a 24 hour monitoring center that will oversee all sites 24x7x365.  Our Business Operation Facilities experience a high volume of vehicles in our parking areas.  The threat of auto accidents between vehicles and auto pedestrian accidents is always present as well as the threat of building damage by vehicles.  SCUSA mitigates these threats with on-site building security, cameras (CCTV), and badge access controls.  We have added additional lighting in the parking areas, installed speed bumps, and posted speed limit signs, as well as high visibility traffic cones.  Access badge audits are performed each quarter in addition to restricted access reviews to ensure all badges are accounted and terminated associates are inactive.  Security staff are provided continuous training throughout the year regarding evacuation procedures and safety measures.  All associates are drilled at least once a year in evacuation procedures.  Potential threats are continuously evaluated through the partnerships built with the local authorities and industry training and standards.</v>
      </c>
    </row>
    <row r="10" spans="1:27" ht="207" customHeight="1" thickBot="1" x14ac:dyDescent="0.3">
      <c r="A10" s="41" t="s">
        <v>484</v>
      </c>
      <c r="B10" s="244" t="s">
        <v>652</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256.5" customHeight="1" thickBot="1" x14ac:dyDescent="0.3">
      <c r="A12" s="244" t="s">
        <v>651</v>
      </c>
      <c r="B12" s="245"/>
      <c r="C12" s="246"/>
      <c r="Q12" s="155" t="str">
        <f>A12</f>
        <v xml:space="preserve">Security incidents potentially resulting in injury or loss of life, damage or theft of physical property, resulting in litigation exposure and / or associated costs. 
SCUSA operates multiple sites in different states.  There is a possibility that something could occur, potentially resulting in injury or loss of life, damage or theft of physical property, resulting in litigation exposure and / or associated costs. 
The potential threat of an individual entering a facility with malicious intent is ever present.  In one instance, a former associate with a violent history entered the property and subsequently was escorted off the property by SCUSA security.  Additionally, an associate was car-jacked at gunpoint in a remote parking area.  We have posted numerous "Private Property, No Trespassing" signage.  We intend to install pedestrian turnstile gates at our NRH facility entrances to prevent unauthorized piggy backing.  The officers perform daily shift change operations and share information through pass down books which includes security information regarding business operations and safety.   
In the last year, we are not aware of any litigation expenses associated with these or other related events, however we continue to identify potential risks and train for expected and unexpected scenarios.  The worst year impact is yet to be identified as the equipment and standardization of all sites is a new project.  The impact of replacement equipment could be substantial such as access servers, cameras or exterior lighting.  Additionally the cost of extra security or overtime expense after a major incident or significant event that could have a large financial impact.
</v>
      </c>
    </row>
    <row r="1048576" ht="12" customHeight="1" x14ac:dyDescent="0.25"/>
  </sheetData>
  <sheetProtection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[13]Sheet5!#REF!</xm:f>
          </x14:formula1>
          <xm:sqref>C2</xm:sqref>
        </x14:dataValidation>
        <x14:dataValidation type="list" allowBlank="1" showInputMessage="1" showErrorMessage="1">
          <x14:formula1>
            <xm:f>'[13]Appendix - Risks'!#REF!</xm:f>
          </x14:formula1>
          <xm:sqref>C3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pageSetUpPr fitToPage="1"/>
  </sheetPr>
  <dimension ref="A1:AA12"/>
  <sheetViews>
    <sheetView view="pageLayout" zoomScale="85" zoomScaleNormal="100" zoomScalePageLayoutView="85" workbookViewId="0">
      <selection activeCell="B10" sqref="B10:C10"/>
    </sheetView>
  </sheetViews>
  <sheetFormatPr defaultColWidth="0" defaultRowHeight="15" customHeight="1" zeroHeight="1" x14ac:dyDescent="0.25"/>
  <cols>
    <col min="1" max="1" width="47.42578125" style="156" customWidth="1"/>
    <col min="2" max="2" width="34.855468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646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417</v>
      </c>
      <c r="R3" s="42" t="str">
        <f t="shared" si="0"/>
        <v>Risk Sub Type  - The Risk Sub-Category from the SHUSA ERM Risk Taxonomy</v>
      </c>
    </row>
    <row r="4" spans="1:27" ht="31.5" customHeight="1" thickBot="1" x14ac:dyDescent="0.3">
      <c r="A4" s="247" t="s">
        <v>252</v>
      </c>
      <c r="B4" s="194"/>
      <c r="C4" s="72" t="s">
        <v>647</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26.75" customHeight="1" thickBot="1" x14ac:dyDescent="0.3">
      <c r="A9" s="254" t="s">
        <v>648</v>
      </c>
      <c r="B9" s="255"/>
      <c r="C9" s="256"/>
      <c r="Q9" s="155" t="str">
        <f>A9</f>
        <v>SCUSA has established a strategy to respond to a natural event before, during and after the actual event.  The SVP of Property Management|Physical Security is part of the CIMT (Corporate Incident Management Team).  We established a Floor Warden Program and have trained select associates in CPR and the ability to provide guidance and response during emergencies and natural disasters.  All our facilities are compliant per local city and state codes.  The properties team conducts detailed facility inspections every quarter in addition to the daily safety observations provided by our physical security team.  We stock ice melt to use at entry ways and contract with outside vendors to sand/salt our parking lots to avoid slips/falls.  Our Business Operations sites are equipped with backup generators to provide power in the event of disruption of the local power delivery.  SCUSA has designed a Business Continuity Plan to provide workers an off-site work location in the event of a lost work site due to damage or destruction.</v>
      </c>
    </row>
    <row r="10" spans="1:27" ht="315.75" customHeight="1" thickBot="1" x14ac:dyDescent="0.3">
      <c r="A10" s="41" t="s">
        <v>484</v>
      </c>
      <c r="B10" s="244" t="s">
        <v>649</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52.25" customHeight="1" thickBot="1" x14ac:dyDescent="0.3">
      <c r="A12" s="244" t="s">
        <v>650</v>
      </c>
      <c r="B12" s="245"/>
      <c r="C12" s="246"/>
      <c r="Q12" s="155" t="str">
        <f>A12</f>
        <v>Natural hazards and the resulting disasters can happen at any time.  Texas is considered part of tornado alley and in the winter, subject to ice/sleet accumulations on our roads and building parking lots.  Natural hazards poses a real threat not only to associates but to physical property as well.  Fire is also a real threat, as evident of a recent fire in the underground parking area attached to our headquarters facility. In addition, environmental risks are also a threat. In the event of any natural disaster, associates run the risk of injury or loss of life, which could result in personal litigation and extensive damage to personal property. Effects of hazards need to be defined and identified.  Primary effects occur as a result of the process itself, e.g., water damage after a fire or flood.  Secondary effects occur only because a primary effect has caused them e.g., fire ignited as result of down electrical power lines, looting after damage and Tertiary effects are long-term effect set off as a result of the primary event.  Protection, planning and preparedness are key risk drivers.</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6"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[14]Sheet5!#REF!</xm:f>
          </x14:formula1>
          <xm:sqref>C2</xm:sqref>
        </x14:dataValidation>
        <x14:dataValidation type="list" allowBlank="1" showInputMessage="1" showErrorMessage="1">
          <x14:formula1>
            <xm:f>'[14]Appendix - Risks'!#REF!</xm:f>
          </x14:formula1>
          <xm:sqref>C3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10" sqref="A10"/>
    </sheetView>
  </sheetViews>
  <sheetFormatPr defaultColWidth="0" defaultRowHeight="15" zeroHeight="1" x14ac:dyDescent="0.25"/>
  <cols>
    <col min="1" max="1" width="33.85546875" style="40" customWidth="1"/>
    <col min="2" max="2" width="61.855468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t="s">
        <v>616</v>
      </c>
      <c r="Q1" s="80"/>
      <c r="R1" s="80"/>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422</v>
      </c>
      <c r="R3" s="42" t="str">
        <f t="shared" si="0"/>
        <v>Risk Sub Type  - The Risk Sub-Category from the SHUSA ERM Risk Taxonomy</v>
      </c>
    </row>
    <row r="4" spans="1:27" ht="31.5" customHeight="1" thickBot="1" x14ac:dyDescent="0.3">
      <c r="A4" s="247" t="s">
        <v>252</v>
      </c>
      <c r="B4" s="194"/>
      <c r="C4" s="72" t="s">
        <v>873</v>
      </c>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1.5" customHeight="1" thickBot="1" x14ac:dyDescent="0.3">
      <c r="A9" s="254" t="s">
        <v>894</v>
      </c>
      <c r="B9" s="255"/>
      <c r="C9" s="256"/>
      <c r="Q9" s="38" t="str">
        <f>A9</f>
        <v xml:space="preserve">SCUSA monitors site capacity to ensure alignment with new business initiatives and economic conditions. An additional site in Puerto Rico is under review for approval. SCUSA is also currently building out an additional site in Phoenix and expanding the Denver site. 
</v>
      </c>
    </row>
    <row r="10" spans="1:27" ht="409.5" customHeight="1" thickBot="1" x14ac:dyDescent="0.3">
      <c r="A10" s="41" t="s">
        <v>485</v>
      </c>
      <c r="B10" s="244" t="s">
        <v>907</v>
      </c>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128.25" customHeight="1" thickBot="1" x14ac:dyDescent="0.3">
      <c r="A12" s="244" t="s">
        <v>895</v>
      </c>
      <c r="B12" s="245"/>
      <c r="C12" s="246"/>
      <c r="Q12" s="38" t="str">
        <f>A12</f>
        <v xml:space="preserve">A variety of scenarios could push us beyond our existing capacity, resulting in operational execution challenges, compliance exposure, reputational exposure and potential increased losses.
Currently, there are 4 locations in the Dallas Metroplex, including our corporate headquarters and NRH. With approximately 4,000 employees, we are at 90% capacity. In the event of a scenario such as increase in business demands, increase in losses, natural disaster, etc.; SCUSA is at risk of exceeding capacity. SCUSA monitors site capacity to ensure alignment with new business initiatives and economic conditions. An additional site in Puerto Rico is under review for approval. SCUSA is also currently building out an additional site in Phoenix and expanding the Denver site.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68"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pageSetUpPr fitToPage="1"/>
  </sheetPr>
  <dimension ref="A1:AA12"/>
  <sheetViews>
    <sheetView view="pageLayout" zoomScale="85" zoomScaleNormal="100" zoomScalePageLayoutView="85" workbookViewId="0">
      <selection activeCell="E3" sqref="E3:F40"/>
    </sheetView>
  </sheetViews>
  <sheetFormatPr defaultColWidth="0" defaultRowHeight="15" customHeight="1" zeroHeight="1" x14ac:dyDescent="0.25"/>
  <cols>
    <col min="1" max="1" width="66.5703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47" t="s">
        <v>483</v>
      </c>
      <c r="B1" s="194"/>
      <c r="C1" s="72" t="s">
        <v>704</v>
      </c>
      <c r="AA1" s="39" t="str">
        <f>C2</f>
        <v xml:space="preserve">Strategic </v>
      </c>
    </row>
    <row r="2" spans="1:27" ht="30.75" customHeight="1" thickBot="1" x14ac:dyDescent="0.3">
      <c r="A2" s="248" t="s">
        <v>255</v>
      </c>
      <c r="B2" s="249"/>
      <c r="C2" s="85" t="s">
        <v>20</v>
      </c>
      <c r="R2" s="42" t="str">
        <f t="shared" ref="R2:R7" si="0">A2</f>
        <v>Risk Type  - The Risk Type from the SHUSA ERM Risk Taxonomy</v>
      </c>
    </row>
    <row r="3" spans="1:27" ht="24" customHeight="1" thickBot="1" x14ac:dyDescent="0.3">
      <c r="A3" s="247" t="s">
        <v>251</v>
      </c>
      <c r="B3" s="194"/>
      <c r="C3" s="69" t="s">
        <v>465</v>
      </c>
      <c r="R3" s="42" t="str">
        <f t="shared" si="0"/>
        <v>Risk Sub Type  - The Risk Sub-Category from the SHUSA ERM Risk Taxonomy</v>
      </c>
    </row>
    <row r="4" spans="1:27" ht="31.5" customHeight="1" thickBot="1" x14ac:dyDescent="0.3">
      <c r="A4" s="247" t="s">
        <v>252</v>
      </c>
      <c r="B4" s="194"/>
      <c r="C4" s="72" t="s">
        <v>705</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81</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5" customHeight="1" thickBot="1" x14ac:dyDescent="0.3">
      <c r="A9" s="254" t="s">
        <v>706</v>
      </c>
      <c r="B9" s="255"/>
      <c r="C9" s="256"/>
      <c r="Q9" s="159" t="str">
        <f>A9</f>
        <v xml:space="preserve">The primary controls we have in place today is our corporate succession plan, which assess current skill-sets to determine readiness and core competencies to perform within the identified key positions across the organization. </v>
      </c>
    </row>
    <row r="10" spans="1:27" ht="123.6" customHeight="1" thickBot="1" x14ac:dyDescent="0.3">
      <c r="A10" s="41" t="s">
        <v>484</v>
      </c>
      <c r="B10" s="244" t="s">
        <v>707</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17.75" customHeight="1" thickBot="1" x14ac:dyDescent="0.3">
      <c r="A12" s="244" t="s">
        <v>708</v>
      </c>
      <c r="B12" s="245"/>
      <c r="C12" s="246"/>
      <c r="Q12" s="159" t="str">
        <f>A12</f>
        <v xml:space="preserve">Talent retention is a key focus for Talent Management and the Executive team. The last 2 years have been exceptionally high in regards to attrition amongst key areas/positions across the organization. The primary drivers of turnover are 1) lack of corporate vision/direction, 2) lack of opportunity for growth and development, and 3) lack of compensation structure/opportunities. To address these issues stronger communication plans are being created to ensure employee-base remains well-informed of current and future state initiatives, management is receiving more information around development/training opportunities available to them and their teams and a corporate compensation structure is being created to offer more clarity around the alignment of performance and compensation.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[15]Sheet5!#REF!</xm:f>
          </x14:formula1>
          <xm:sqref>C2</xm:sqref>
        </x14:dataValidation>
        <x14:dataValidation type="list" allowBlank="1" showInputMessage="1" showErrorMessage="1">
          <x14:formula1>
            <xm:f>'[15]Appendix - Risks'!#REF!</xm:f>
          </x14:formula1>
          <xm:sqref>C3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pageSetUpPr fitToPage="1"/>
  </sheetPr>
  <dimension ref="A1:AA12"/>
  <sheetViews>
    <sheetView view="pageLayout" zoomScale="85" zoomScaleNormal="100" zoomScalePageLayoutView="85" workbookViewId="0">
      <selection activeCell="E3" sqref="E3:F40"/>
    </sheetView>
  </sheetViews>
  <sheetFormatPr defaultColWidth="0" defaultRowHeight="15" customHeight="1" zeroHeight="1" x14ac:dyDescent="0.25"/>
  <cols>
    <col min="1" max="1" width="66.5703125" style="160" customWidth="1"/>
    <col min="2" max="2" width="22.7109375" style="160" customWidth="1"/>
    <col min="3" max="3" width="35.7109375" style="39" customWidth="1"/>
    <col min="4" max="16" width="4.42578125" style="39" hidden="1" customWidth="1"/>
    <col min="17" max="18" width="4.42578125" style="159" hidden="1" customWidth="1"/>
    <col min="19" max="16384" width="4.42578125" style="39" hidden="1"/>
  </cols>
  <sheetData>
    <row r="1" spans="1:27" ht="29.25" customHeight="1" thickBot="1" x14ac:dyDescent="0.3">
      <c r="A1" s="251" t="s">
        <v>663</v>
      </c>
      <c r="B1" s="194"/>
      <c r="C1" s="72" t="s">
        <v>427</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427</v>
      </c>
      <c r="R3" s="42" t="str">
        <f t="shared" si="0"/>
        <v>Risk Sub Type  - The Risk Sub-Category from the SHUSA ERM Risk Taxonomy</v>
      </c>
    </row>
    <row r="4" spans="1:27" ht="31.5" customHeight="1" thickBot="1" x14ac:dyDescent="0.3">
      <c r="A4" s="247" t="s">
        <v>252</v>
      </c>
      <c r="B4" s="194"/>
      <c r="C4" s="72" t="s">
        <v>709</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45.5" customHeight="1" thickBot="1" x14ac:dyDescent="0.3">
      <c r="A9" s="258" t="s">
        <v>874</v>
      </c>
      <c r="B9" s="259"/>
      <c r="C9" s="260"/>
      <c r="Q9" s="159" t="str">
        <f>A9</f>
        <v xml:space="preserve">Key risks within this area revolve around manual entries (ad-hoc/one-offs) that could result in financial loss, regulatory violations, reputational exposure, and potential fines / penalties. Audit processes are in place to capture these entries as well as the following:
• Procedures in place to monitor, review and recommend adjustments and/or remediation of incorrect payments to employee(s)             
• Procedures in place to remediate complete or partial failure of ACH payroll process
• Procedure in place to claw-back over-payments to employee(s) initiated by business or by HR
• Multiple-party review and multi-layer approvals process in place for discretionary and non-discretionary incentives across all levels and areas of the business
• Procedures in place to handle all regulatory requirements
</v>
      </c>
    </row>
    <row r="10" spans="1:27" ht="123.6" customHeight="1" thickBot="1" x14ac:dyDescent="0.3">
      <c r="A10" s="41" t="s">
        <v>484</v>
      </c>
      <c r="B10" s="244" t="s">
        <v>710</v>
      </c>
      <c r="C10" s="257"/>
    </row>
    <row r="11" spans="1:27" ht="31.5" customHeight="1" thickBot="1" x14ac:dyDescent="0.3">
      <c r="A11" s="251" t="s">
        <v>254</v>
      </c>
      <c r="B11" s="252"/>
      <c r="C11" s="253"/>
      <c r="Q11" s="159" t="str">
        <f>A11</f>
        <v>Risk Narrative - The risk narrative should be an executive level write up touching on the nature of the risk, the expected impact, the worst one in ten year impact, the risk drivers and the adequacy of the control suite.</v>
      </c>
    </row>
    <row r="12" spans="1:27" ht="117.75" customHeight="1" thickBot="1" x14ac:dyDescent="0.3">
      <c r="A12" s="244" t="s">
        <v>711</v>
      </c>
      <c r="B12" s="245"/>
      <c r="C12" s="246"/>
      <c r="Q12" s="159" t="str">
        <f>A12</f>
        <v>Key risks within this area revolve around manual entries (ad-hoc/one-offs) that could result in financial loss, regulatory violations, reputational exposure, and potential fines / penalties. Audit processes are in place to capture these entries.  Based on an analysis performed on these processes that occurred over the last 16-months, only one event was identified and determined to be material. This item pertained to an equity entry for an exiting executive. While this was a unique event and extremely rare, audit process have been heightened to ensure future transactions of similar nature are fully mitigated.</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[16]Sheet5!#REF!</xm:f>
          </x14:formula1>
          <xm:sqref>C2</xm:sqref>
        </x14:dataValidation>
        <x14:dataValidation type="list" allowBlank="1" showInputMessage="1" showErrorMessage="1">
          <x14:formula1>
            <xm:f>'[16]Appendix - Risks'!#REF!</xm:f>
          </x14:formula1>
          <xm:sqref>C3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A12"/>
  <sheetViews>
    <sheetView zoomScale="70" zoomScaleNormal="70" workbookViewId="0">
      <selection activeCell="E3" sqref="E3:F40"/>
    </sheetView>
  </sheetViews>
  <sheetFormatPr defaultColWidth="0" defaultRowHeight="15" zeroHeight="1" x14ac:dyDescent="0.25"/>
  <cols>
    <col min="1" max="1" width="66.5703125" style="158" customWidth="1"/>
    <col min="2" max="2" width="22.7109375" style="158" customWidth="1"/>
    <col min="3" max="3" width="35.7109375" style="39" customWidth="1"/>
    <col min="4" max="16" width="4.42578125" style="39" hidden="1" customWidth="1"/>
    <col min="17" max="18" width="4.42578125" style="157" hidden="1" customWidth="1"/>
    <col min="19" max="16384" width="4.42578125" style="39" hidden="1"/>
  </cols>
  <sheetData>
    <row r="1" spans="1:27" ht="29.25" customHeight="1" thickBot="1" x14ac:dyDescent="0.3">
      <c r="A1" s="247" t="s">
        <v>483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422</v>
      </c>
      <c r="R3" s="42" t="str">
        <f t="shared" si="0"/>
        <v>Risk Sub Type  - The Risk Sub-Category from the SHUSA ERM Risk Taxonomy</v>
      </c>
    </row>
    <row r="4" spans="1:27" ht="31.5" customHeight="1" thickBot="1" x14ac:dyDescent="0.3">
      <c r="A4" s="247" t="s">
        <v>252</v>
      </c>
      <c r="B4" s="194"/>
      <c r="C4" s="72" t="s">
        <v>691</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7"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692</v>
      </c>
      <c r="B9" s="255"/>
      <c r="C9" s="256"/>
      <c r="Q9" s="157" t="str">
        <f>A9</f>
        <v xml:space="preserve">The facility concentration in the Dallas Metroplex was viewed as an emerging risk and was brought forth to the Executive Management Committee (EMC) and then subsequently to both Board Committee and Board levels over a 7 month period, each of which provided effective challenge and follow up diligence requests.  In addition, independent risk assessments were completed by the Risk Department to identify applicable risks associated with opening a new facilty. To mitigate this risk, new sites are being evaluated to minimize the concentration in the Dallas Metroplex and to replicate servicing functions.  </v>
      </c>
    </row>
    <row r="10" spans="1:27" ht="409.5" customHeight="1" thickBot="1" x14ac:dyDescent="0.3">
      <c r="A10" s="41" t="s">
        <v>484</v>
      </c>
      <c r="B10" s="244" t="s">
        <v>693</v>
      </c>
      <c r="C10" s="257"/>
    </row>
    <row r="11" spans="1:27" ht="31.5" customHeight="1" thickBot="1" x14ac:dyDescent="0.3">
      <c r="A11" s="251" t="s">
        <v>254</v>
      </c>
      <c r="B11" s="252"/>
      <c r="C11" s="253"/>
      <c r="Q11" s="157"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694</v>
      </c>
      <c r="B12" s="245"/>
      <c r="C12" s="246"/>
      <c r="Q12" s="157" t="str">
        <f>A12</f>
        <v>Concentration risk in DFW area creates a risk that a catastrophic event could disrupt business operations or result in the loss of facilities or damages to physical assets.  
Currently, there are 4 locations in the Dallas Metroplex, including our corporate facility.  Of approximately 3,000 servicing employees, a high majority are in the Dallas Metroplex area with several centralized functional areas in a single location.  As an industry best practice in Business Continuity, Risk believes that the business should have greater geographic and functional diversity in its centers.  Dallas is not appropriate for incremental site given disaster recovery objectives.  SCUSA’s servicing operation is also at capacity in its non-Dallas servicing centers as well as its vendor-based sites.
Proposed additional sites Phoenix and Puerto Rico are being considered and increasing capacity in Denver office to mitigate the concentration in the Dallas area.  In addtion, SCUSA is mitigating our concentration risk with redundant data  center sites in RIchardson, TX and Denver, CO.  We also have redundant capapities in Miami, FL  and Denver, CO.</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[1]Sheet5!#REF!</xm:f>
          </x14:formula1>
          <xm:sqref>C2</xm:sqref>
        </x14:dataValidation>
        <x14:dataValidation type="list" allowBlank="1" showInputMessage="1" showErrorMessage="1">
          <x14:formula1>
            <xm:f>'[1]Appendix - Risks'!#REF!</xm:f>
          </x14:formula1>
          <xm:sqref>C3</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E3" sqref="E3:F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t="s">
        <v>72</v>
      </c>
      <c r="Q1" s="80"/>
      <c r="R1" s="80"/>
      <c r="AA1" s="39" t="str">
        <f>C2</f>
        <v xml:space="preserve">Strategic </v>
      </c>
    </row>
    <row r="2" spans="1:27" ht="30.75" customHeight="1" thickBot="1" x14ac:dyDescent="0.3">
      <c r="A2" s="248" t="s">
        <v>255</v>
      </c>
      <c r="B2" s="249"/>
      <c r="C2" s="85" t="s">
        <v>20</v>
      </c>
      <c r="R2" s="42" t="str">
        <f t="shared" ref="R2:R7" si="0">A2</f>
        <v>Risk Type  - The Risk Type from the SHUSA ERM Risk Taxonomy</v>
      </c>
    </row>
    <row r="3" spans="1:27" ht="24" customHeight="1" thickBot="1" x14ac:dyDescent="0.3">
      <c r="A3" s="247" t="s">
        <v>251</v>
      </c>
      <c r="B3" s="194"/>
      <c r="C3" s="69" t="s">
        <v>324</v>
      </c>
      <c r="R3" s="42" t="str">
        <f t="shared" si="0"/>
        <v>Risk Sub Type  - The Risk Sub-Category from the SHUSA ERM Risk Taxonomy</v>
      </c>
    </row>
    <row r="4" spans="1:27" ht="31.5" customHeight="1" thickBot="1" x14ac:dyDescent="0.3">
      <c r="A4" s="247" t="s">
        <v>252</v>
      </c>
      <c r="B4" s="194"/>
      <c r="C4" s="72" t="s">
        <v>764</v>
      </c>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3.75" customHeight="1" thickBot="1" x14ac:dyDescent="0.3">
      <c r="A9" s="254" t="s">
        <v>897</v>
      </c>
      <c r="B9" s="255"/>
      <c r="C9" s="256"/>
      <c r="Q9" s="38" t="str">
        <f>A9</f>
        <v>SCUSA complaint monitoring - used to identify opportunities to improve business processes
Audit Findings can expose weaknesses, which help push the business to identify automated solutions to reduce the likelihood of regulatory violations
Attending conferences to learn about new and emerging technologies</v>
      </c>
    </row>
    <row r="10" spans="1:27" ht="92.25" customHeight="1" thickBot="1" x14ac:dyDescent="0.3">
      <c r="A10" s="41" t="s">
        <v>485</v>
      </c>
      <c r="B10" s="244" t="s">
        <v>765</v>
      </c>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139.5" customHeight="1" thickBot="1" x14ac:dyDescent="0.3">
      <c r="A12" s="244" t="s">
        <v>896</v>
      </c>
      <c r="B12" s="245"/>
      <c r="C12" s="246"/>
      <c r="Q12" s="38" t="str">
        <f>A12</f>
        <v>SCUSA operates in a competitive environment, and is subject to heavy regulation.  In similar industry situations, competitive pressure has resulted in revolutionary changes for companies that can exploit technology and find opportunities to revolutionize the way an industry conducts business.  For example, UBER has transformed the taxi cab industry, Netflix and Redbox have nearly eliminated brick and mortar movie rental companies, and Apple recently released their Apple Pay product.  In the past, technology has appeared that has changed the way that SCUSA operates; for example, Electronic Titles, Automated Dialers, etc.  There are several text messaging and communication tools, as well as mobile device applications which improve business.  SCUSA is just starting to enter econtracting, which has the potential to be an industry changer or moderately shift the regulatory landscape, but isn't expected to have the revolutionary impact seen in the industries mentioned above.  SCUSA needs to continue to investigate for opportunities and scan the horizon to find opportunities to capitalize on potential competitive advantages.  
Over the next 12-months, technology shifts are expected to have little impact on SCUSA.  At some point within the next 10-years a company could develop some technology or program which could have significant impacts to consumer preference, mitigating regulatory risks, and SCUSA scalability.  If such a product is adopted by consumers, it may result in changes to the competitive landscape, business economics, or market conditions requiring SCUSA to rapidly change it's business strategies potentially resulting in loss of business, or increased costs.
Estimated impacts are difficult to quantify due to the wide range of potential implications, however at a minimum, a significant project and resources would need to be assembled to adapt, and SCUSA could see a loss of market share if it finds itself in a situation where it has to adapt to catch up.  A revolutionary change could impact the business in the range of $5MM-50MM</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A12"/>
  <sheetViews>
    <sheetView zoomScale="70" zoomScaleNormal="70" workbookViewId="0">
      <selection activeCell="A9" sqref="A9:C9"/>
    </sheetView>
  </sheetViews>
  <sheetFormatPr defaultColWidth="0" defaultRowHeight="15"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47" t="s">
        <v>483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430</v>
      </c>
      <c r="R3" s="42" t="str">
        <f t="shared" si="0"/>
        <v>Risk Sub Type  - The Risk Sub-Category from the SHUSA ERM Risk Taxonomy</v>
      </c>
    </row>
    <row r="4" spans="1:27" ht="31.5" customHeight="1" thickBot="1" x14ac:dyDescent="0.3">
      <c r="A4" s="247" t="s">
        <v>252</v>
      </c>
      <c r="B4" s="194"/>
      <c r="C4" s="72" t="s">
        <v>658</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79</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80" customHeight="1" thickBot="1" x14ac:dyDescent="0.3">
      <c r="A9" s="254" t="s">
        <v>657</v>
      </c>
      <c r="B9" s="255"/>
      <c r="C9" s="256"/>
      <c r="Q9" s="155" t="str">
        <f>A9</f>
        <v>Accounting has in place standard spreadsheet controls over all spreadsheets identified as key to any financial reporting process. These standard controls represent all seven "end user computing" (EUC) categories: change control, version control, access control, input &amp; security control, logic inspection, backups/recovery, and archiving. Additionally, Accounting is implementing more advanced spreadsheet management controls using outside vendor ClusterSeven.  As all spreadsheets are prone to human error, management also conducts a manual review of the key outputs of spreadsheets for reasonableness.  In addition to spreadsheet controls, the Company has many controls around financial reporting in an effort to ensure material accuracy. These controls include automated data feeds, reconciliations, fluctuation analysis, documentation of the accounting treatment of new or unusual transactions, inquiry of executives to ensure material events are captured in the financial statements, management and various committees' review of the financial statements and disclosures, task and disclosure checklists (to ensure completeness), journal entry review, and system limitations preventing individuals from posting entries over their approval limit and preventing entries from being posted to closed periods.</v>
      </c>
    </row>
    <row r="10" spans="1:27" ht="204.75" customHeight="1" thickBot="1" x14ac:dyDescent="0.3">
      <c r="A10" s="41" t="s">
        <v>484</v>
      </c>
      <c r="B10" s="244" t="s">
        <v>656</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222" customHeight="1" thickBot="1" x14ac:dyDescent="0.3">
      <c r="A12" s="244" t="s">
        <v>655</v>
      </c>
      <c r="B12" s="245"/>
      <c r="C12" s="246"/>
      <c r="Q12" s="155" t="str">
        <f>A12</f>
        <v>Errors in financial or regulatory reporting may result in regulatory violations, reputational exposure, and potential fines / penalties.
The Company does extensive reporting to external parties (e.g., servicer certificate reporting, GAAP public financial statement reporting, regulatory reporting to the Federal Reserve, and tax returns) as well as reporting to internal parties for use in making decisions.  A financial reporting error that must be corrected through a restatement of previously issued public financial statements would likely have a large negative impact on stock price and the Company's reputation, making investors less likely to provide equity and/or debt financing in the future.  Inaccurate regulatory reporting could lead to adverse actions by the Federal Reserve such as further restrictions on activities. A tax return error could incur significant penalties and interest from the IRS or state taxing authorities.  Internal reporting errors could lead to poorly informed business investment decisions, costing the Company lost profits. Because of the potentially material consequences of a reporting error, the Company has an extensive suite of controls designed to prevent material misstatements.  Although a material weakness in internal control over financial reporting was recently assessed, there was no associated financial statement error and management believes that its controls are adequate to prevent material errors.</v>
      </c>
    </row>
  </sheetData>
  <mergeCells count="12">
    <mergeCell ref="B10:C10"/>
    <mergeCell ref="A11:C11"/>
    <mergeCell ref="A12:C12"/>
    <mergeCell ref="A1:B1"/>
    <mergeCell ref="A2:B2"/>
    <mergeCell ref="A3:B3"/>
    <mergeCell ref="A4:B4"/>
    <mergeCell ref="A5:B5"/>
    <mergeCell ref="A6:B6"/>
    <mergeCell ref="A7:B7"/>
    <mergeCell ref="A8:C8"/>
    <mergeCell ref="A9:C9"/>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'[17]Appendix - Risks'!#REF!</xm:f>
          </x14:formula1>
          <xm:sqref>C3</xm:sqref>
        </x14:dataValidation>
        <x14:dataValidation type="list" allowBlank="1" showInputMessage="1" showErrorMessage="1">
          <x14:formula1>
            <xm:f>[17]Sheet5!#REF!</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A12"/>
  <sheetViews>
    <sheetView zoomScale="55" zoomScaleNormal="55" workbookViewId="0">
      <selection activeCell="E3" sqref="E3:F40"/>
    </sheetView>
  </sheetViews>
  <sheetFormatPr defaultColWidth="0" defaultRowHeight="15"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51" t="s">
        <v>663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412</v>
      </c>
      <c r="R3" s="42" t="str">
        <f t="shared" si="0"/>
        <v>Risk Sub Type  - The Risk Sub-Category from the SHUSA ERM Risk Taxonomy</v>
      </c>
    </row>
    <row r="4" spans="1:27" ht="31.5" customHeight="1" thickBot="1" x14ac:dyDescent="0.3">
      <c r="A4" s="247" t="s">
        <v>252</v>
      </c>
      <c r="B4" s="194"/>
      <c r="C4" s="69" t="s">
        <v>662</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96.5" customHeight="1" thickBot="1" x14ac:dyDescent="0.3">
      <c r="A9" s="254" t="s">
        <v>661</v>
      </c>
      <c r="B9" s="255"/>
      <c r="C9" s="256"/>
      <c r="Q9" s="155" t="str">
        <f>A9</f>
        <v>On a monthly basis, the Tax Department reconciles the lease sales taxes booked by the system against taxes re-calculated and due on a lease level to true up accruals and adjustments (if any) are booked. Supporting documentation is attached and reconciling items are investigated. All reconciliations are reviewed and approved by the Tax Manager, Tax Director and/or VP of Tax who also reviews and approves the resulting adjusting journal entries along with supporting documentation (if applicable).  Lease property tax bills are validated, processed and paid upon receipt from the taxing authority.  Property tax on leased autos is periodically billed to the customers through a non-automated batch process.  Property tax renditions on SCUSA property (not leased autos) are prepared by third party firm specializing in property tax. The population of purchases that may be subject to self assessed use tax is reviewed, use tax is assessed and remitted monthly by the Tax Department.  The Tax Department is responsible for monitoring the 1099 reporting requirements and communicating any changes to Operations and Accounts Payable.  Operations is responsible for identifying the 1099 reportable events for customers.  Accounts Payable is responsible for identifying the 1099 reportable events for vendors and the preparation and filing of  1099s for both customers and vendors.</v>
      </c>
    </row>
    <row r="10" spans="1:27" ht="282.75" customHeight="1" thickBot="1" x14ac:dyDescent="0.3">
      <c r="A10" s="41" t="s">
        <v>484</v>
      </c>
      <c r="B10" s="244" t="s">
        <v>660</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253.5" customHeight="1" thickBot="1" x14ac:dyDescent="0.3">
      <c r="A12" s="244" t="s">
        <v>659</v>
      </c>
      <c r="B12" s="245"/>
      <c r="C12" s="246"/>
      <c r="Q12" s="155" t="str">
        <f>A12</f>
        <v>Errors in 1099 or property and sales tax processing may result in financial loss, regulatory violations, reputational exposure, customer remediation, and potential fines / penalties.
Sales and property tax on leased autos is a high volume of low dollar transactions that are passed through to the customer.  These transactions are reviewed in detail on a monthly basis and any necessary modifications are addressed in a timely manner.  It is unlikely that errors in the  area of sales and property tax on leased autos would materially impact the financial statements unless we discontinued passing these through to the customer.  Self assessed use tax and property tax (not leased autos) are typically less than $1MM a year each and unless SCUSA experienced substantial physical growth (new facility) it is unlikely that this exposure would increase substantially in coming years. The Tax Department is responsible for monitoring the 1099 reporting requirements and communicating any changes to Operations and Accounts Payable.  Operations is responsible for identifying the 1099 reportable events for customers.  Accounts Payable is responsible for identifying the 1099 reportable events for vendors and the preparation and filing of  1099s for both customers and vendors. The number of 1099s required to be filed in any year could vary dramatically; however, the penalty for filing of 1099's is capped at $6MM ($3MM for late filing of the taxpayer copy and $3MM for late filing of the IRS copy) per year in years after 2014.</v>
      </c>
    </row>
  </sheetData>
  <mergeCells count="12">
    <mergeCell ref="B10:C10"/>
    <mergeCell ref="A11:C11"/>
    <mergeCell ref="A12:C12"/>
    <mergeCell ref="A1:B1"/>
    <mergeCell ref="A2:B2"/>
    <mergeCell ref="A3:B3"/>
    <mergeCell ref="A4:B4"/>
    <mergeCell ref="A5:B5"/>
    <mergeCell ref="A6:B6"/>
    <mergeCell ref="A7:B7"/>
    <mergeCell ref="A8:C8"/>
    <mergeCell ref="A9:C9"/>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[18]Sheet5!#REF!</xm:f>
          </x14:formula1>
          <xm:sqref>C2</xm:sqref>
        </x14:dataValidation>
        <x14:dataValidation type="list" allowBlank="1" showInputMessage="1" showErrorMessage="1">
          <x14:formula1>
            <xm:f>'[18]Appendix - Risks'!#REF!</xm:f>
          </x14:formula1>
          <xm:sqref>C3</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A12"/>
  <sheetViews>
    <sheetView zoomScale="70" zoomScaleNormal="70" workbookViewId="0">
      <selection activeCell="E3" sqref="E3:F40"/>
    </sheetView>
  </sheetViews>
  <sheetFormatPr defaultColWidth="0" defaultRowHeight="0" customHeight="1"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51" t="s">
        <v>663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412</v>
      </c>
      <c r="R3" s="42" t="str">
        <f t="shared" si="0"/>
        <v>Risk Sub Type  - The Risk Sub-Category from the SHUSA ERM Risk Taxonomy</v>
      </c>
    </row>
    <row r="4" spans="1:27" ht="31.5" customHeight="1" thickBot="1" x14ac:dyDescent="0.3">
      <c r="A4" s="247" t="s">
        <v>252</v>
      </c>
      <c r="B4" s="194"/>
      <c r="C4" s="72" t="s">
        <v>664</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665</v>
      </c>
      <c r="B9" s="255"/>
      <c r="C9" s="256"/>
      <c r="Q9" s="155" t="str">
        <f>A9</f>
        <v>Federal and State income tax returns are prepared and signed by a third party.  These returns, along with the documentation supporting the calculations within, are reviewed by the Vice President of Tax and/or Director of Tax prior to being signed by the CFO and filed with the appropriate taxing authority.</v>
      </c>
    </row>
    <row r="10" spans="1:27" ht="204.75" customHeight="1" thickBot="1" x14ac:dyDescent="0.3">
      <c r="A10" s="41" t="s">
        <v>484</v>
      </c>
      <c r="B10" s="244" t="s">
        <v>666</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667</v>
      </c>
      <c r="B12" s="245"/>
      <c r="C12" s="246"/>
      <c r="Q12" s="155" t="str">
        <f>A12</f>
        <v>Errors in tax filing process may result in financial loss, regulatory violations, reputational exposure, and potential fines / penalties.
The risk that there are errors in income tax  filings that would have a material impact on the financial statements is fairly small.  Most differences between GAAP net income and taxable income are temporary in nature.   Errors related to these temporary items would result in a difference in the year in which something was reported for tax purposes vs. book purposes.  The timing of this reporting could generate penalties and interest for any given year, but throughout time, the overall tax liability would be the same.  Errors in the reporting of permanent items would have an impact on the overall tax liability.  Permanent items, exclusive of the electric vehicle tax credit, are typically less than $10MM a year pre tax ($3.7MM after tax), which would not be material to the financial statements.  Federal and state income tax returns are prepared and signed by a third party accounting firm.  These returns are reviewed by SCUSA prior to being signed by the CFO and filed with the appropriate jurisdiction.</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'[18]Appendix - Risks'!#REF!</xm:f>
          </x14:formula1>
          <xm:sqref>C3</xm:sqref>
        </x14:dataValidation>
        <x14:dataValidation type="list" allowBlank="1" showInputMessage="1" showErrorMessage="1">
          <x14:formula1>
            <xm:f>[18]Sheet5!#REF!</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A12"/>
  <sheetViews>
    <sheetView zoomScale="70" zoomScaleNormal="70" workbookViewId="0">
      <selection activeCell="E3" sqref="E3:F40"/>
    </sheetView>
  </sheetViews>
  <sheetFormatPr defaultColWidth="0" defaultRowHeight="15" customHeight="1"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51" t="s">
        <v>663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433</v>
      </c>
      <c r="R3" s="42" t="str">
        <f t="shared" si="0"/>
        <v>Risk Sub Type  - The Risk Sub-Category from the SHUSA ERM Risk Taxonomy</v>
      </c>
    </row>
    <row r="4" spans="1:27" ht="31.5" customHeight="1" thickBot="1" x14ac:dyDescent="0.3">
      <c r="A4" s="247" t="s">
        <v>252</v>
      </c>
      <c r="B4" s="194"/>
      <c r="C4" s="72" t="s">
        <v>668</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56" customHeight="1" thickBot="1" x14ac:dyDescent="0.3">
      <c r="A9" s="254" t="s">
        <v>669</v>
      </c>
      <c r="B9" s="255"/>
      <c r="C9" s="256"/>
      <c r="Q9" s="155" t="str">
        <f>A9</f>
        <v>SCUSA has a robust vendor management process and segregated department responsible for the approval of all vendors.  There are also controls in place around the Accounts Payable systems (Catalyst) including access controls, automatic payments, and approval limits (DOA), along with business and back office approval requirements and documented signoff on all check payments.  Vendor managers perform reconciliation of vendor invoices.
In regards to risk of error in securitization process, resulting in errors in distributions to issuer's noteholders resulting in a financial loss, SCUSA has automated processes and Robust review in the preparation of the servicer certificates.  those certificates are again reviewed by the Accounting team as the entries are prepared, reviewed and recorded in the General Ledger.  This is followed by subsequent review of the financial statements, not only by the accounting team, but by management and the business.  Account Reconciliations, Bank Reconciliations, and Account Analysis are all performed which would detect any significant issues as a result of Spreadsheet errors.</v>
      </c>
    </row>
    <row r="10" spans="1:27" ht="309" customHeight="1" thickBot="1" x14ac:dyDescent="0.3">
      <c r="A10" s="41" t="s">
        <v>484</v>
      </c>
      <c r="B10" s="244" t="s">
        <v>670</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671</v>
      </c>
      <c r="B12" s="245"/>
      <c r="C12" s="246"/>
      <c r="Q12" s="155" t="str">
        <f>A12</f>
        <v>Risk of loss resulting from Inadequate Management of Suppliers and Vendors is deemed to have substantial controls in place to mitigate this risk.  The controls in place include automated process, reducing amount of manual intervention, human error and fraud.  SUCSA has tiered review and approval process for all invoices, payments, vendor setup, Securitization Distributions and Journal Entries.  Significant errors or issues would also surface during the accounting close and reporting process, including account reconciliation and account analysis.  As such the annual Expected Loss is determined to be $1 - $5M and a Stressed Financial Impact of $5 - $50M would be driven by significant errors remaining undetected for an extended period of time, or thru a fraud event continuing over a longer period of time - see IR-66.</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'[19]Appendix - Risks'!#REF!</xm:f>
          </x14:formula1>
          <xm:sqref>C3</xm:sqref>
        </x14:dataValidation>
        <x14:dataValidation type="list" allowBlank="1" showInputMessage="1" showErrorMessage="1">
          <x14:formula1>
            <xm:f>[19]Sheet5!#REF!</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A12"/>
  <sheetViews>
    <sheetView zoomScale="70" zoomScaleNormal="70" workbookViewId="0">
      <selection activeCell="E3" sqref="E3:F40"/>
    </sheetView>
  </sheetViews>
  <sheetFormatPr defaultColWidth="0" defaultRowHeight="15" customHeight="1"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51" t="s">
        <v>483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427</v>
      </c>
      <c r="R3" s="42" t="str">
        <f t="shared" si="0"/>
        <v>Risk Sub Type  - The Risk Sub-Category from the SHUSA ERM Risk Taxonomy</v>
      </c>
    </row>
    <row r="4" spans="1:27" ht="31.5" customHeight="1" thickBot="1" x14ac:dyDescent="0.3">
      <c r="A4" s="247" t="s">
        <v>252</v>
      </c>
      <c r="B4" s="194"/>
      <c r="C4" s="72" t="s">
        <v>672</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79</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673</v>
      </c>
      <c r="B9" s="255"/>
      <c r="C9" s="256"/>
      <c r="Q9" s="155" t="str">
        <f>A9</f>
        <v xml:space="preserve">Financial Analytics has put in place a reporting module that mines the SCUSA database for the relevant pool and transaction information and creates the data spreadsheet, thereby minimizing the risk of human error. Because the data comes from the same system that is used in creating each monthly Servicer Report, the risk of error is greatly minimized.  The Securitization Reporting group also performs a review for data reasonableness, including a check of the summary tab back to certificates prepared by the group.  So as to reduce the amount of data being validated, all prior months' previously validated data will be locked and not recalculated, thereby only requiring the current month to be validated. Furthermore, it is expected that the implementation of the Lewtan system which includes a checks and balances process will provide system validation checks that will minimize potential human error. </v>
      </c>
    </row>
    <row r="10" spans="1:27" ht="204.75" customHeight="1" thickBot="1" x14ac:dyDescent="0.3">
      <c r="A10" s="41" t="s">
        <v>484</v>
      </c>
      <c r="B10" s="244" t="s">
        <v>674</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675</v>
      </c>
      <c r="B12" s="245"/>
      <c r="C12" s="246"/>
      <c r="Q12" s="155" t="str">
        <f>A12</f>
        <v xml:space="preserve">Errors in pool/loan level data submitted to investors may result in financial loss, regulatory violations, reputational exposure, and potential fines / penalties.
All financings require varying levels of reporting and occasionally unique data points.  Consistent reporting errors, even though corrected upon identification, could lead to a loss of confidence by investors resulting in an increase in funding costs or worse yet, a decrease in investor appetite.  For example, certain reports such as Loss and Delinquency tables are compiled on an origination channel basis. Having a full understanding of how these channels fit into our financings is critical to data being accurately prepared.  The automation of the reporting and locking down of prior period numbers are important recent advances that limit the exposure to manual error. The implementation of the Lewtan system, given the checks and balances within the system including data integrity and validation tests, also will mitigate potential reporting errors.      </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'[17]Appendix - Risks'!#REF!</xm:f>
          </x14:formula1>
          <xm:sqref>C3</xm:sqref>
        </x14:dataValidation>
        <x14:dataValidation type="list" allowBlank="1" showInputMessage="1" showErrorMessage="1">
          <x14:formula1>
            <xm:f>[17]Sheet5!#REF!</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pageSetUpPr fitToPage="1"/>
  </sheetPr>
  <dimension ref="A1:AA12"/>
  <sheetViews>
    <sheetView zoomScale="70" zoomScaleNormal="70" workbookViewId="0">
      <selection activeCell="E3" sqref="E3:F40"/>
    </sheetView>
  </sheetViews>
  <sheetFormatPr defaultColWidth="0" defaultRowHeight="0" customHeight="1" zeroHeight="1" x14ac:dyDescent="0.25"/>
  <cols>
    <col min="1" max="1" width="66.5703125" style="169" customWidth="1"/>
    <col min="2" max="2" width="22.7109375" style="169" customWidth="1"/>
    <col min="3" max="3" width="35.7109375" style="39" customWidth="1"/>
    <col min="4" max="16" width="4.42578125" style="39" hidden="1" customWidth="1"/>
    <col min="17" max="18" width="4.42578125" style="168" hidden="1" customWidth="1"/>
    <col min="19" max="16384" width="4.42578125" style="39" hidden="1"/>
  </cols>
  <sheetData>
    <row r="1" spans="1:27" ht="29.25" customHeight="1" thickBot="1" x14ac:dyDescent="0.3">
      <c r="A1" s="251" t="s">
        <v>899</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414</v>
      </c>
      <c r="R3" s="42" t="str">
        <f t="shared" si="0"/>
        <v>Risk Sub Type  - The Risk Sub-Category from the SHUSA ERM Risk Taxonomy</v>
      </c>
    </row>
    <row r="4" spans="1:27" ht="31.5" customHeight="1" thickBot="1" x14ac:dyDescent="0.3">
      <c r="A4" s="247" t="s">
        <v>252</v>
      </c>
      <c r="B4" s="194"/>
      <c r="C4" s="72" t="s">
        <v>870</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6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01.5" customHeight="1" thickBot="1" x14ac:dyDescent="0.3">
      <c r="A9" s="254" t="s">
        <v>871</v>
      </c>
      <c r="B9" s="255"/>
      <c r="C9" s="256"/>
      <c r="Q9" s="168" t="str">
        <f>A9</f>
        <v xml:space="preserve">Financial Analytics applies criteria on the SCUSA database that determines initial and continued eligibility of the assets for each financing on a loan by loan basis.  In most cases, this criteria is platform or funding specific and is based on the underlying documentation for each financing which is generally consistent across all platforms.  Should a loan no longer be eligible for a specific platform or financing, it will be identified via a monthly report issued by Financial Analytics to Treasury, Securitization Reporting and Capital Markets.  Securitization Reporting or Capital Markets performs a high level reasonableness assessment of the reasons why the loan(s) were identified and, upon its review, provides its approval to either repurchase the identified loan(s) or leave the loan(s) in the respective financing.  Since the data comes from the same system that is used to 1) identify the loans and the loan characteristics in each platform and 2) create each monthly Servicer Report, we have no reason to believe the loan population is not accurately reflected.  In addition, Capital Markets, Securitization Reporting, Treasury and Financial Analytics as well as Originations and Servicing, are working together to formalize the process for the initial and ongoing identification of the repurchase criteria, including processes that will make the identification of the repurchase requirements more robust initially at closing which will provide a better understanding of the required criteria and their respective data points amongst all departments.  This will also be reinforced via the implementation of the Lewtan system which includes a checks and balances process and compliance with Reg AB II in which we envision the process will have increased input and oversight from various SCUSA departments, including among others, Capital Markets, Securitization Reporting, Treasury, Financial Analytics, Originations, Servicing and Legal. 
Note i) identification for loans potentially subject to repurchase is reviewed at a point in time, therefore there is potential that some loans would/would not meet repurchase criteria if the review was done before or after the date the report for review was generated and ii) repurchase criteria could be subject to interpretation and/or materiality.   </v>
      </c>
    </row>
    <row r="10" spans="1:27" ht="204.75" customHeight="1" thickBot="1" x14ac:dyDescent="0.3">
      <c r="A10" s="41" t="s">
        <v>484</v>
      </c>
      <c r="B10" s="244" t="s">
        <v>872</v>
      </c>
      <c r="C10" s="257"/>
    </row>
    <row r="11" spans="1:27" ht="31.5" customHeight="1" thickBot="1" x14ac:dyDescent="0.3">
      <c r="A11" s="251" t="s">
        <v>254</v>
      </c>
      <c r="B11" s="252"/>
      <c r="C11" s="253"/>
      <c r="Q11" s="168"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898</v>
      </c>
      <c r="B12" s="245"/>
      <c r="C12" s="246"/>
      <c r="Q12" s="168" t="str">
        <f>A12</f>
        <v xml:space="preserve">The risk here is twofold: 1) we are required to buy back loans that do not meet the representations and warranties of the underlying financing identified by either a) SCUSA (aggregate average of ~$35 million per month for all financings, typically assets not originated/acquired under customary practices which could be evidenced by items including early pay defaults and vehicles missing equipment triggered by dealers 'power booking') or b) an investor (none to date) or 2) we do not properly identify the loans that should have been repurchased (to date, in aggregate, less than $1 million of roughly &gt; $30 billion of outstanding securitizations); both could pose financial and reputational risks.  
All financings include specific eligibility criteria on a loan by loan basis such as: originated or acquired in accordance with SCUSA's customary practices, maximum term or interest rate.  If a loan falls outside this criteria, it is possible that SCUSA would be required to repurchase it.  This eligibility is identified and assessed initially and on an ongoing basis.  It is essential that eligibility/repurchase criteria is properly identified at the closing and monitored ongoing.  
If we were to be found in breach of our repurchase obligations, aside from potential legal action and the requirement to repurchase assets, this could lead to a liquidity issue, a crisis of confidence by investors resulting in an increase in funding costs or a decrease in investor appetite. 
Adequate controls are currently in place to mitigate these risks and the implementation of formal policies and procedures are in process of completion.   Given increased regulatory requirements and the implementation of the Lewtan system, we expect the repurchase process will be more robust going forward. </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[17]Sheet5!#REF!</xm:f>
          </x14:formula1>
          <xm:sqref>C2</xm:sqref>
        </x14:dataValidation>
        <x14:dataValidation type="list" allowBlank="1" showInputMessage="1" showErrorMessage="1">
          <x14:formula1>
            <xm:f>'[17]Appendix - Risks'!#REF!</xm:f>
          </x14:formula1>
          <xm:sqref>C3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85" zoomScaleNormal="100" zoomScalePageLayoutView="85" workbookViewId="0">
      <selection activeCell="A12" sqref="A12:XFD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t="s">
        <v>616</v>
      </c>
      <c r="Q1" s="80"/>
      <c r="R1" s="80"/>
      <c r="AA1" s="39" t="str">
        <f>C2</f>
        <v>Liquidity</v>
      </c>
    </row>
    <row r="2" spans="1:27" ht="30.75" customHeight="1" thickBot="1" x14ac:dyDescent="0.3">
      <c r="A2" s="248" t="s">
        <v>255</v>
      </c>
      <c r="B2" s="249"/>
      <c r="C2" s="85" t="s">
        <v>15</v>
      </c>
      <c r="R2" s="42" t="str">
        <f t="shared" ref="R2:R7" si="0">A2</f>
        <v>Risk Type  - The Risk Type from the SHUSA ERM Risk Taxonomy</v>
      </c>
    </row>
    <row r="3" spans="1:27" ht="24" customHeight="1" thickBot="1" x14ac:dyDescent="0.3">
      <c r="A3" s="247" t="s">
        <v>251</v>
      </c>
      <c r="B3" s="194"/>
      <c r="C3" s="69" t="s">
        <v>384</v>
      </c>
      <c r="R3" s="42" t="str">
        <f t="shared" si="0"/>
        <v>Risk Sub Type  - The Risk Sub-Category from the SHUSA ERM Risk Taxonomy</v>
      </c>
    </row>
    <row r="4" spans="1:27" ht="31.5" customHeight="1" thickBot="1" x14ac:dyDescent="0.3">
      <c r="A4" s="247" t="s">
        <v>252</v>
      </c>
      <c r="B4" s="194"/>
      <c r="C4" s="70" t="s">
        <v>849</v>
      </c>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38.75" customHeight="1" thickBot="1" x14ac:dyDescent="0.3">
      <c r="A9" s="254" t="s">
        <v>850</v>
      </c>
      <c r="B9" s="255"/>
      <c r="C9" s="256"/>
      <c r="Q9" s="38" t="str">
        <f>A9</f>
        <v xml:space="preserve">Bank concentrations are monitored and maintained within liquidity policy guidelines.  These guidelines also establish target minimum number of external credit providers.  Bond spreads represent a KRI and under constant focus in corporate finance areas of the company.  This key market indicator is published weekly by capital markets and reflected in dashboard reporting.  Funding capacity, including flow partnerships, remains a key component of liquidity policy with minimum thresholds established and KRI’s established to alert the company to trends and pending or potential shortfall.  Facility maturities are also closely monitored to provide timing on potential commitment runoff.  
These limits and thresholds were established subsequent to the prior financial crisis when the company relied heavily on parent funding and had only limited (1 or 2) external credit providers.  The limits and KRI’s have not been tested through an actual economic downturn.
</v>
      </c>
    </row>
    <row r="10" spans="1:27" ht="245.25" customHeight="1" thickBot="1" x14ac:dyDescent="0.3">
      <c r="A10" s="41" t="s">
        <v>485</v>
      </c>
      <c r="B10" s="244" t="s">
        <v>851</v>
      </c>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44" t="s">
        <v>852</v>
      </c>
      <c r="B12" s="245"/>
      <c r="C12" s="246"/>
      <c r="Q12" s="38" t="str">
        <f>A12</f>
        <v xml:space="preserve">In order to engage in SCUSA's core business of originating and servicing loan and lease assets, SCUSA requires access to external sources of funding.  Unlike a bank, as a consumer lending company, SCUSA does not have access to core deposits.  As such, SCUSA's funding sources are primarily obtained through access to the capital markets in the form of asset-backed securities, private amortizing facilities and warehouse lines of credit.  With a limited supply to the types of funding that SCUSA is able to utilize, the potential loss of any material source of funding could result in a negative financial impact for SCUSA in the form of lost capacity to originate new assets or an increase in the cost of funds charged to SCUSA for borrowed funds.  When assessing SCUSA's funding sources, the risk of loss for a material funding source could be experienced in a number of ways including the following:  
- SCUSA is the largest issuer of ABS supported by subprime collateral as well as an issuer of prime collateral ABS.  Approximately 60% of SCUSA's business is funding through the use of securitizations.  If investor's appetite to purchase auto ABS were to dissipate, SCUSA would be need to replace a substantial source of funding.  
- At present, SCUSA is reliant on flow partners to purchase prime assets.  As these partners purchase the assets, SCUSA receives proceeds from the sales and is able to pay down other liabilities to free up funding for future originations.  If SCUSA's flow partners were to no longer want to invest in the Company's originated assets, the assets would remain on SCUSA's balance sheet and funding would not be freed up for future loan originations.  
- Outside of funding received through the securitization markets, SCUSA's other primary source of funding is banks that extend the Company secured and unsecured warehouse lines of credit.  For the secured warehouse lines of credit, SCUSA will pledge newly originated assets in order to draw down on the credit lines extended to the Company.  For unsecured warehouse lines of credit, SCUSA will draw down on the lines, without the need to pledge collateral, in order to receive incremental funding.  While SCUSA is well diversified in its warehouse lenders, it is possible that as the warehouse lines come up for renewal, the lenders may choose not to renew the lines either due to the lender's internal lending limits (e.g., lender can't be overly exposed to any single counterparty) or due to a choice not to continue the relationship with SCUSA.  Loss of either a large warehouse lenders or a variety of smaller lenders would limit SCUSA's ability to fund assets in future periods.  
- While the loss of securitization market, flow partners, or warehouse lines could be driven by internal decisions or circumstances at the various lenders, it is possible that a negative shift in the macro economic environment could also result in the loss of a material source of funding for SCUSA.  Declines in economic conditions could lead to a loss in the market risk appetite for collateral backed investments, especially those backed by subprime collateral.  Additionally stressed environments could lead to situations where creditors reduce the credit that they are willing to extend to clients or no longer have an appetite to purchase loans.  
As discussed above, the loss of a material funding source or the inability to secure new funding sources would result in the loss of future revenues, as SCUSA would be unable to originate new assets, in addition to an increase in interest expense as the Company was forced to "pay up" in the market for any new funding.  SCUSA has implemented a series of controls (discussed above) to help mitigate this risk, which include monitoring concentrations to lenders to ensure that the Company is not over reliant on any one lender as well as the Company's strategy of incurring higher expenses in order to maintain access to committed lines of credit and a large number of lenders.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pageSetUpPr fitToPage="1"/>
  </sheetPr>
  <dimension ref="A1:XFC12"/>
  <sheetViews>
    <sheetView zoomScale="70" zoomScaleNormal="70" workbookViewId="0">
      <selection activeCell="E3" sqref="E3:F40"/>
    </sheetView>
  </sheetViews>
  <sheetFormatPr defaultColWidth="0" defaultRowHeight="15" zeroHeight="1" x14ac:dyDescent="0.25"/>
  <cols>
    <col min="1" max="1" width="66.5703125" style="156" customWidth="1"/>
    <col min="2" max="2" width="22.7109375" style="156" customWidth="1"/>
    <col min="3" max="3" width="90.7109375" style="39" customWidth="1"/>
    <col min="4" max="16" width="4.42578125" style="39" hidden="1" customWidth="1"/>
    <col min="17" max="18" width="4.42578125" style="155" hidden="1" customWidth="1"/>
    <col min="19" max="16383" width="4.42578125" style="39" hidden="1"/>
    <col min="16384" max="16384" width="2.5703125" style="39" customWidth="1"/>
  </cols>
  <sheetData>
    <row r="1" spans="1:27" ht="29.25" customHeight="1" thickBot="1" x14ac:dyDescent="0.3">
      <c r="A1" s="251" t="s">
        <v>663</v>
      </c>
      <c r="B1" s="194"/>
      <c r="C1" s="72" t="s">
        <v>616</v>
      </c>
      <c r="AA1" s="39" t="str">
        <f>C2</f>
        <v>Compliance</v>
      </c>
    </row>
    <row r="2" spans="1:27" ht="30.75" customHeight="1" thickBot="1" x14ac:dyDescent="0.3">
      <c r="A2" s="248" t="s">
        <v>255</v>
      </c>
      <c r="B2" s="249"/>
      <c r="C2" s="85" t="s">
        <v>11</v>
      </c>
      <c r="R2" s="42" t="str">
        <f t="shared" ref="R2:R7" si="0">A2</f>
        <v>Risk Type  - The Risk Type from the SHUSA ERM Risk Taxonomy</v>
      </c>
    </row>
    <row r="3" spans="1:27" ht="24" customHeight="1" thickBot="1" x14ac:dyDescent="0.3">
      <c r="A3" s="247" t="s">
        <v>251</v>
      </c>
      <c r="B3" s="194"/>
      <c r="C3" s="69" t="s">
        <v>440</v>
      </c>
      <c r="R3" s="42" t="str">
        <f t="shared" si="0"/>
        <v>Risk Sub Type  - The Risk Sub-Category from the SHUSA ERM Risk Taxonomy</v>
      </c>
    </row>
    <row r="4" spans="1:27" ht="31.5" customHeight="1" thickBot="1" x14ac:dyDescent="0.3">
      <c r="A4" s="247" t="s">
        <v>252</v>
      </c>
      <c r="B4" s="194"/>
      <c r="C4" s="72" t="s">
        <v>676</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52.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4" customHeight="1" thickBot="1" x14ac:dyDescent="0.3">
      <c r="A9" s="254" t="s">
        <v>677</v>
      </c>
      <c r="B9" s="255"/>
      <c r="C9" s="256"/>
      <c r="Q9" s="155" t="str">
        <f>A9</f>
        <v xml:space="preserve">Internal controls have been implemented around the key contributing factors in the Company's annual CCAR submission including, for example, model development, forecasting and aggregations, population of reports and regulatory templates, and development of the Capital Plan.  Controls thoroughly cover review and sign-off of the financial information generated in the stress testing process and vetting of the information that is included in the Capital Plan.  Model development work is subject to SHUSA methodologies and submitted for validation to SHUSA's model risk management group.  Edit checks are performed at different stages in the forecasting process to validate numbers.  Information required to generate results as well as the actual results produced for each scenario are subject to review and approval by a series of working groups and Committees.  While SCUSA has made efforts to implement a sound control environment, due to the relative newness of CCAR at SCUSA, many of the controls are manual in nature and testing the effectiveness of the controls has been limited in some situations as the processes used to generate stress test results have continued to evolve.  As such, more work is required in the area of internal controls to more effectively assure quality and accuracy in the Company's CCAR submission. </v>
      </c>
    </row>
    <row r="10" spans="1:27" ht="409.5" customHeight="1" thickBot="1" x14ac:dyDescent="0.3">
      <c r="A10" s="41" t="s">
        <v>484</v>
      </c>
      <c r="B10" s="244" t="s">
        <v>678</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366.75" customHeight="1" thickBot="1" x14ac:dyDescent="0.3">
      <c r="A12" s="244" t="s">
        <v>679</v>
      </c>
      <c r="B12" s="245"/>
      <c r="C12" s="246"/>
      <c r="Q12" s="155" t="str">
        <f>A12</f>
        <v xml:space="preserve">The risk associated to receiving an objection to the SHUSA CCAR submission is a direct result of SCUSA's ownership structure, whereby, the Company is 70% owned by a Bank Holding Company.  Due to this ownership, SCUSA is required to provide the information necessary for SHUSA to effectively complete the annual CCAR submission.  As such, SCUSA's processes related to forecasting its financial position, including models, systems, data and controls, must meet the regulatory expectations for a CCAR BHC.  In both 2014 and 2015, the holding company has received an objection to their Capital Plan / CCAR submission, as well as a large number of regulatory concerns that require immediate attention.  As such, the current regulatory risk, as it relates to CCAR, is considered to be high for the BHC and any subsidiaries.  Based on the number of regulatory findings included in the FRB's response to last year's submission, the possibility of another objection to the BHC's capital plan remains high.   
Based on current rules / guidance from the Federal Reserve, failure of a Bank Holding Company's CCAR submission does not carry with it any direct fines or penalties.  Regulators are able to restrict or eliminate capital distributions and impose restrictions on growth.  Additionally, institutions that receive objections to their CCAR submissions are perceived as (qualitatively) riskier by market participants.  As such, failure could result in reputational impact and negative market views that can be measured in reduced market valuation caused by declines in the stock price.   This result however will not directly impact the Company's bottom line, although a large enough impairment on SCUSA stock could impact the BHC's investment in the Company.  Additionally, the CCAR objection could result in reputational damage for SCUSA.  This could impact SCUSA's ability to receive funding in the capital markets, if lenders were concerned with the CCAR results.   Impact could include loss of lenders, inability to find new lenders, or an increase in the cost of funds on SCUSA's borrowings.  While a financial impact might be realized, trying to quantify this 2nd order impact becomes difficult.      
Direct impact to earnings for the Company are generally more associated to the issues identified by regulators that require immediate attention and create the need to devote resources (staff and systems) to those items.  In 2014, severe issues with SHUSA's oversight of SCUSA and SCUSA's limited resources devoted to CCAR activities prompted the Company to build out an entire team dedicated to the BHC's CCAR efforts. Approximately 20 resources were either internally or externally sourced to fill this void.  Upon evaluation of the CCAR team in 2015, roles for an additional 3 resources directly associated to CCAR efforts were identified.  More broadly however, resources needed to address continued regulatory concerns across the Company (either directly or indirectly related to CCAR concepts) were identified in Risk Management, Finance and IT, resulting in increased salary expense for these new hires.  Outside of direct hires, additional internal resources are required to contribute to CCAR initiatives, outside of normal business activities, resulting in opportunity costs that are difficult to measure, but will clearly have an impact on losses to profitability.  In addition to staff resources, CCAR objections result in additional expenses in the form of consulting fees and system development / implementation.   
On an annual basis, the stress financial impact should not vary substantially from the base financial impact.  Failing CCAR in any year results in additional costs for staff and systems.  A one-in-ten year stress for failing CCAR may result in additional losses due to extreme deficiencies, complete system overhauls, or massive staff additions.  As such, under stress, the estimated costs for this risk could exceed $5mm, however the impact would likely remain at the lower end of the $5mm - $50mm spectrum.  </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50"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[20]Sheet5!#REF!</xm:f>
          </x14:formula1>
          <xm:sqref>C2</xm:sqref>
        </x14:dataValidation>
        <x14:dataValidation type="list" allowBlank="1" showInputMessage="1" showErrorMessage="1">
          <x14:formula1>
            <xm:f>'[20]Appendix - Risks'!#REF!</xm:f>
          </x14:formula1>
          <xm:sqref>C3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pageSetUpPr fitToPage="1"/>
  </sheetPr>
  <dimension ref="A1:AA12"/>
  <sheetViews>
    <sheetView zoomScale="70" zoomScaleNormal="70" workbookViewId="0">
      <selection activeCell="E3" sqref="E3:F40"/>
    </sheetView>
  </sheetViews>
  <sheetFormatPr defaultColWidth="0" defaultRowHeight="15" customHeight="1"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51" t="s">
        <v>663</v>
      </c>
      <c r="B1" s="194"/>
      <c r="C1" s="72" t="s">
        <v>616</v>
      </c>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393</v>
      </c>
      <c r="R3" s="42" t="str">
        <f t="shared" si="0"/>
        <v>Risk Sub Type  - The Risk Sub-Category from the SHUSA ERM Risk Taxonomy</v>
      </c>
    </row>
    <row r="4" spans="1:27" ht="31.5" customHeight="1" thickBot="1" x14ac:dyDescent="0.3">
      <c r="A4" s="247" t="s">
        <v>252</v>
      </c>
      <c r="B4" s="194"/>
      <c r="C4" s="72" t="s">
        <v>680</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681</v>
      </c>
      <c r="B9" s="255"/>
      <c r="C9" s="256"/>
      <c r="Q9" s="155" t="str">
        <f>A9</f>
        <v>Controls in place to mitigate the risk of fraud thru misappropriation of financial assets include the Approval Process for opening up new bank accounts, Segregation of Duties, Delegation of authority, vendor management and vendor approval process,  Bank Reconciliations, Account reconciliations, Journal entry review and approval, and financial statement review.  Additionally, SCUSA has developed a robust risk training program which includes fraud training.  SCUSA also provides employees with a Fraud Hotline to report any concerns.  SCUSA also has a fraud department which is dedicated to the risk of fraud from external threats.</v>
      </c>
    </row>
    <row r="10" spans="1:27" ht="322.5" customHeight="1" thickBot="1" x14ac:dyDescent="0.3">
      <c r="A10" s="41" t="s">
        <v>484</v>
      </c>
      <c r="B10" s="244" t="s">
        <v>682</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96.5" customHeight="1" thickBot="1" x14ac:dyDescent="0.3">
      <c r="A12" s="244" t="s">
        <v>683</v>
      </c>
      <c r="B12" s="245"/>
      <c r="C12" s="246"/>
      <c r="Q12" s="155" t="str">
        <f>A12</f>
        <v>Misappropriation of assets due to risk of Fraud would require the opportunity to commit the Fraud, along with Motivation and rationalization (Fraud Triangle).  The opportunity to commit Fraud within SCUSA is limited by SCUSA's preventative and detective controls.  Up front, SCUSA has processes, including automated systems and review and approval of new vendor approval, invoice approval, setting up new bank accounts and payment approvals, all of which are subject to a tiered dollar Delegation of authority.  Additionally, SCUSA has detective controls including automated processes, account reconciliation, bank reconciliation, journal entry review, account analysis and financial statement review.  Third line defenses include Internal Audit, QC and SOX.  Not to mention external audit.  The Annual Expected Loss and Stressed Financial Impact is based on the likelihood of a material impact, given that SCUSA's business consists of a high volume of low dollar transactions, thus it would require numerous repeated occurrences of fraudulent transactions going undetected.  Given the controls environment, and especially the detective controls in place, including bank reconciliations, account reconciliations, Journal Entry review, account analysis and financial statement review, the dollar threshold that would go undetected over an extended period of time would be low.</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[19]Sheet5!#REF!</xm:f>
          </x14:formula1>
          <xm:sqref>C2</xm:sqref>
        </x14:dataValidation>
        <x14:dataValidation type="list" allowBlank="1" showInputMessage="1" showErrorMessage="1">
          <x14:formula1>
            <xm:f>'[19]Appendix - Risks'!#REF!</xm:f>
          </x14:formula1>
          <xm:sqref>C3</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E3" sqref="E3:F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t="s">
        <v>616</v>
      </c>
      <c r="Q1" s="80"/>
      <c r="R1" s="80"/>
      <c r="AA1" s="39" t="str">
        <f>C2</f>
        <v>Operational</v>
      </c>
    </row>
    <row r="2" spans="1:27" ht="30.75" customHeight="1" thickBot="1" x14ac:dyDescent="0.3">
      <c r="A2" s="248" t="s">
        <v>255</v>
      </c>
      <c r="B2" s="249"/>
      <c r="C2" s="85" t="s">
        <v>31</v>
      </c>
      <c r="R2" s="42" t="str">
        <f t="shared" ref="R2:R7" si="0">A2</f>
        <v>Risk Type  - The Risk Type from the SHUSA ERM Risk Taxonomy</v>
      </c>
    </row>
    <row r="3" spans="1:27" ht="24" customHeight="1" thickBot="1" x14ac:dyDescent="0.3">
      <c r="A3" s="247" t="s">
        <v>251</v>
      </c>
      <c r="B3" s="194"/>
      <c r="C3" s="69" t="s">
        <v>427</v>
      </c>
      <c r="R3" s="42" t="str">
        <f t="shared" si="0"/>
        <v>Risk Sub Type  - The Risk Sub-Category from the SHUSA ERM Risk Taxonomy</v>
      </c>
    </row>
    <row r="4" spans="1:27" ht="31.5" customHeight="1" thickBot="1" x14ac:dyDescent="0.3">
      <c r="A4" s="247" t="s">
        <v>252</v>
      </c>
      <c r="B4" s="194"/>
      <c r="C4" s="72" t="s">
        <v>684</v>
      </c>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t="s">
        <v>79</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0.75" customHeight="1" thickBot="1" x14ac:dyDescent="0.3">
      <c r="A9" s="254" t="s">
        <v>685</v>
      </c>
      <c r="B9" s="255"/>
      <c r="C9" s="256"/>
      <c r="Q9" s="38" t="str">
        <f>A9</f>
        <v>Accounting has in place standard spreadsheet controls over all spreadsheets identified as key to any financial reporting process. These standard controls represent all seven "end user computing" (EUC) categories: change control, version control, access control, input &amp; security control, logic inspection, backups/recovery, and archiving. Additionally, Accounting is implementing more advanced spreadsheet management controls using outside vendor ClusterSeven.  As all spreadsheets are prone to human error, management also conducts a manual review of the key outputs of spreadsheets for reasonableness.</v>
      </c>
    </row>
    <row r="10" spans="1:27" ht="131.25" customHeight="1" thickBot="1" x14ac:dyDescent="0.3">
      <c r="A10" s="41" t="s">
        <v>485</v>
      </c>
      <c r="B10" s="244" t="s">
        <v>686</v>
      </c>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175.5" customHeight="1" thickBot="1" x14ac:dyDescent="0.3">
      <c r="A12" s="244" t="s">
        <v>687</v>
      </c>
      <c r="B12" s="245"/>
      <c r="C12" s="246"/>
      <c r="Q12" s="38" t="str">
        <f>A12</f>
        <v xml:space="preserve">Errors in financial, regulatory, and other reporting, which could result in regulatory violations, reputational exposure, and potential fines / penalties.
Because of the extensive use of spreadsheets for aggregating data and computing financial reporting information, the range of possible error types is broad and could impact the accuracy of reporting to external parties (e.g., servicer certificate reporting, GAAP public financial statement reporting, regulatory reporting to the Federal Reserve, and tax returns) as well as reporting to internal parties for use in making decisions.  The worst impact of an error would be an undetected material misstatement that must be corrected through a restatement, which would likely have a large negative impact on stock price and the Company's reputation. One significant input control SCUSA has in place for many (but not all) key spreadsheets is the use of automated feeds to obtain data, thereby minimizing the risk from data entry or other human error. SCUSA also limits access to the drives where key spreadsheets are maintained, and archives files after a specified period of time.  Finally, all key outputs are subject to thorough manual review for reasonableness of the results compared to expectations.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pageSetUpPr fitToPage="1"/>
  </sheetPr>
  <dimension ref="A1:AA12"/>
  <sheetViews>
    <sheetView zoomScale="70" zoomScaleNormal="70" workbookViewId="0">
      <selection activeCell="E3" sqref="E3:F40"/>
    </sheetView>
  </sheetViews>
  <sheetFormatPr defaultColWidth="0" defaultRowHeight="15" customHeight="1" zeroHeight="1" x14ac:dyDescent="0.25"/>
  <cols>
    <col min="1" max="1" width="66.5703125" style="156" customWidth="1"/>
    <col min="2" max="2" width="22.7109375" style="156" customWidth="1"/>
    <col min="3" max="3" width="35.7109375" style="39" customWidth="1"/>
    <col min="4" max="16" width="4.42578125" style="39" hidden="1" customWidth="1"/>
    <col min="17" max="18" width="4.42578125" style="155" hidden="1" customWidth="1"/>
    <col min="19" max="16384" width="4.42578125" style="39" hidden="1"/>
  </cols>
  <sheetData>
    <row r="1" spans="1:27" ht="29.25" customHeight="1" thickBot="1" x14ac:dyDescent="0.3">
      <c r="A1" s="251" t="s">
        <v>663</v>
      </c>
      <c r="B1" s="194"/>
      <c r="C1" s="72" t="s">
        <v>616</v>
      </c>
      <c r="AA1" s="39" t="str">
        <f>C2</f>
        <v>Market</v>
      </c>
    </row>
    <row r="2" spans="1:27" ht="30.75" customHeight="1" thickBot="1" x14ac:dyDescent="0.3">
      <c r="A2" s="248" t="s">
        <v>255</v>
      </c>
      <c r="B2" s="249"/>
      <c r="C2" s="85" t="s">
        <v>13</v>
      </c>
      <c r="R2" s="42" t="str">
        <f t="shared" ref="R2:R7" si="0">A2</f>
        <v>Risk Type  - The Risk Type from the SHUSA ERM Risk Taxonomy</v>
      </c>
    </row>
    <row r="3" spans="1:27" ht="24" customHeight="1" thickBot="1" x14ac:dyDescent="0.3">
      <c r="A3" s="247" t="s">
        <v>251</v>
      </c>
      <c r="B3" s="194"/>
      <c r="C3" s="69" t="s">
        <v>360</v>
      </c>
      <c r="R3" s="42" t="str">
        <f t="shared" si="0"/>
        <v>Risk Sub Type  - The Risk Sub-Category from the SHUSA ERM Risk Taxonomy</v>
      </c>
    </row>
    <row r="4" spans="1:27" ht="31.5" customHeight="1" thickBot="1" x14ac:dyDescent="0.3">
      <c r="A4" s="247" t="s">
        <v>252</v>
      </c>
      <c r="B4" s="194"/>
      <c r="C4" s="72" t="s">
        <v>862</v>
      </c>
      <c r="R4" s="42" t="str">
        <f t="shared" si="0"/>
        <v>Risk Name - The name of the risk which helps define it and differentiate it from other risks in other Business Lines with a similar Risk Category</v>
      </c>
    </row>
    <row r="5" spans="1:27" ht="39" customHeight="1" thickBot="1" x14ac:dyDescent="0.3">
      <c r="A5" s="247" t="s">
        <v>520</v>
      </c>
      <c r="B5" s="194"/>
      <c r="C5" s="70" t="s">
        <v>84</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50" t="s">
        <v>523</v>
      </c>
      <c r="B7" s="249"/>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5" customHeight="1" thickBot="1" x14ac:dyDescent="0.3">
      <c r="A9" s="254" t="s">
        <v>863</v>
      </c>
      <c r="B9" s="255"/>
      <c r="C9" s="256"/>
      <c r="Q9" s="155" t="str">
        <f>A9</f>
        <v>Key Interest rates and portfolio performance are monitored in regular dashboards and monthly reporting.  Movements would be identified well in advance.  These limits and thresholds were established subsequent to the prior financial crisis when the company relied heavily on parent funding and had only limited (1 or 2) external credit providers.  The limits and KRI’s have not been tested through an actual economic downturn.</v>
      </c>
    </row>
    <row r="10" spans="1:27" ht="85.5" customHeight="1" thickBot="1" x14ac:dyDescent="0.3">
      <c r="A10" s="41" t="s">
        <v>484</v>
      </c>
      <c r="B10" s="244" t="s">
        <v>864</v>
      </c>
      <c r="C10" s="257"/>
    </row>
    <row r="11" spans="1:27" ht="31.5" customHeight="1" thickBot="1" x14ac:dyDescent="0.3">
      <c r="A11" s="251" t="s">
        <v>254</v>
      </c>
      <c r="B11" s="252"/>
      <c r="C11" s="253"/>
      <c r="Q11" s="155"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868</v>
      </c>
      <c r="B12" s="245"/>
      <c r="C12" s="246"/>
      <c r="Q12" s="155" t="str">
        <f>A12</f>
        <v xml:space="preserve">Increased Cost of Funds
Internal or external factors cause SCUSA cost of funds to increase resulting in reduction of overall profitability.   
SCUSA forecasts for interest rate changes based on market generated forward interest rate curves and parent provided assumptions for budgeting exercises.  In the event of sudden interest rate movements, either caused by idiosyncratic drivers such as default pricing, or macroeconomic events, actual interest expense incurred would exceed projections or budget.  The variance to projections or budget would depend on the extent of the rate shock.   Default pricing in borrowing agreements - the automatic interest rates payable should SCUSA as servicer suffer a servicer termination event - is generally LIBOR plus a default spread of 200 - 250bps.  This compares unfavorably to non-default pricing of LIBOR plus a usual spread of 70  - 80 bps (or CP+; CP rates have trailed 1M LIBOR by up to 10bps over the last 5 years).    Unplanned FED rate hikes would have a similar effect on interest rate expense projections and budget if these rate increases were above and beyond expectations.                                                                        </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[17]Sheet5!#REF!</xm:f>
          </x14:formula1>
          <xm:sqref>C2</xm:sqref>
        </x14:dataValidation>
        <x14:dataValidation type="list" allowBlank="1" showInputMessage="1" showErrorMessage="1">
          <x14:formula1>
            <xm:f>'[17]Appendix - Risks'!#REF!</xm:f>
          </x14:formula1>
          <xm:sqref>C3</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8" zoomScale="85" zoomScaleNormal="100" zoomScalePageLayoutView="85" workbookViewId="0">
      <selection activeCell="E3" sqref="E3:F40"/>
    </sheetView>
  </sheetViews>
  <sheetFormatPr defaultColWidth="0" defaultRowHeight="15" customHeight="1" zeroHeight="1" x14ac:dyDescent="0.25"/>
  <cols>
    <col min="1" max="1" width="66.5703125" style="163" customWidth="1"/>
    <col min="2" max="2" width="22.7109375" style="163" customWidth="1"/>
    <col min="3" max="3" width="35.7109375" style="39" customWidth="1"/>
    <col min="4" max="16" width="4.42578125" style="39" hidden="1" customWidth="1"/>
    <col min="17" max="18" width="4.42578125" style="162" hidden="1" customWidth="1"/>
    <col min="19" max="16384" width="4.42578125" style="39" hidden="1"/>
  </cols>
  <sheetData>
    <row r="1" spans="1:27" ht="29.25" customHeight="1" thickBot="1" x14ac:dyDescent="0.3">
      <c r="A1" s="251" t="s">
        <v>480</v>
      </c>
      <c r="B1" s="194"/>
      <c r="C1" s="72" t="s">
        <v>616</v>
      </c>
      <c r="AA1" s="39" t="str">
        <f>C2</f>
        <v>Liquidity</v>
      </c>
    </row>
    <row r="2" spans="1:27" ht="30.75" customHeight="1" thickBot="1" x14ac:dyDescent="0.3">
      <c r="A2" s="248" t="s">
        <v>255</v>
      </c>
      <c r="B2" s="249"/>
      <c r="C2" s="85" t="s">
        <v>15</v>
      </c>
      <c r="R2" s="42" t="str">
        <f t="shared" ref="R2:R7" si="0">A2</f>
        <v>Risk Type  - The Risk Type from the SHUSA ERM Risk Taxonomy</v>
      </c>
    </row>
    <row r="3" spans="1:27" ht="24" customHeight="1" thickBot="1" x14ac:dyDescent="0.3">
      <c r="A3" s="247" t="s">
        <v>251</v>
      </c>
      <c r="B3" s="194"/>
      <c r="C3" s="69" t="s">
        <v>387</v>
      </c>
      <c r="R3" s="42" t="str">
        <f t="shared" si="0"/>
        <v>Risk Sub Type  - The Risk Sub-Category from the SHUSA ERM Risk Taxonomy</v>
      </c>
    </row>
    <row r="4" spans="1:27" ht="31.5" customHeight="1" thickBot="1" x14ac:dyDescent="0.3">
      <c r="A4" s="247" t="s">
        <v>252</v>
      </c>
      <c r="B4" s="194"/>
      <c r="C4" s="72" t="s">
        <v>853</v>
      </c>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6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9.25" customHeight="1" thickBot="1" x14ac:dyDescent="0.3">
      <c r="A9" s="254" t="s">
        <v>854</v>
      </c>
      <c r="B9" s="255"/>
      <c r="C9" s="256"/>
      <c r="Q9" s="162" t="str">
        <f>A9</f>
        <v xml:space="preserve">Origination and Approval levels are monitored daily.  Chrysler contract elements list requirements by both parties.  Because these are not being met, the funding liabilities to SCUSA have been mitigated.  Personal Lending (Lending Club) allows contractual reductions with notice.  Personal Lending (BlueStem) contractually allows borrowing credit approval with incremental draws, which can mitigate contingent draw expectations.
These listed controls were established subsequent to the prior financial crisis.  The limits and KRI’s have not been tested through an actual economic downturn.
</v>
      </c>
    </row>
    <row r="10" spans="1:27" ht="81.75" customHeight="1" thickBot="1" x14ac:dyDescent="0.3">
      <c r="A10" s="41" t="s">
        <v>484</v>
      </c>
      <c r="B10" s="244" t="s">
        <v>855</v>
      </c>
      <c r="C10" s="257"/>
    </row>
    <row r="11" spans="1:27" ht="31.5" customHeight="1" thickBot="1" x14ac:dyDescent="0.3">
      <c r="A11" s="251" t="s">
        <v>254</v>
      </c>
      <c r="B11" s="252"/>
      <c r="C11" s="253"/>
      <c r="Q11" s="162"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44" t="s">
        <v>856</v>
      </c>
      <c r="B12" s="245"/>
      <c r="C12" s="246"/>
      <c r="Q12" s="162" t="str">
        <f>A12</f>
        <v xml:space="preserve">As part of SCUSA's business operations, the Company provides funding for loan and lease assets associated to consumer's purchase or lease of vehicles, in addition to funding personal loans for consumers on either an installment or revolving basis.  Based on these business activities, SCUSA has entered into agreements, whereby the Company guarantees funding for certain loan and lease assets.  The guaranteed funding represents a contingent liability for SCUSA, as the Company is obligated to provide its customers the funding required on the loans or leases.  Exposure to contingent liabilities can become problematic for SCUSA in the event that the Company's funding capacity is not sufficient to cover these commitments.  If this were to occur, SCUSA would be forced to either (1) find new funding sources to make up the gap, which will result in a higher cost of funds for the company or (2) elect not to honor the Company's obligations which can result in negative impacts due to contract breaches and/or reputational repercussions  Ultimately, if the need for funding these contingent liabilities cannot be met by SCUSA's current funding capacity, the Company's earnings will be negatively impacted from the lost revenues, potential decline in market share, and reputational damage.  Details on the most material contingent liabilities for the Company are included below:  
- Unplanned origination volume:  SCUSA's Treasury Department diligently manages the Company's funding sources and funding capacity.   Based on the business expectations for future origination volume, Treasury ensures that sufficient capacity exists to fund those obligations.  In the event that new origination volumes were dramatically higher than expected/planned, SCUSA may not have the funding capacity to meet these obligations as the volumes were not included within the Company's planned funding needs.  
- Approved loan applications:  When SCUSA approves a customer's application for a loan, the approval is valid for 30 days.  Based on approved applications and estimates for which applications will ultimately require funding, SCUSA is able to generate funding plans to ensure that SCUSA will have the cash required to honor these agreements.  In general the book to approval rate is around 8%-10% for SCUSA's core portfolio and around 18%-20% for Chrysler vehicles.  As such, there is a large volume of approved applications that are not embedded within SCUSA's funding plans, but that SCUSA is contractually obligated to fund for the 30 day life of the approval.  If SCUSA were to see a dramatic spike in the book to approval rate, SCUSA would be forced to secure the funding needed for the increased volume or suffer reputational, and possible financial, damages if the approved applications were not honored.
- Contractual origination volumes obligations for personal lending partners:  As part of SCUSA's build out of its personal lending platform, the Company has entered into contractual relationships with certain partners, whereby SCUSA has committed to providing funding for an agreed to level of origination volume.  As part of SCUSA's relationship with LendingClub, SCUSA is committed to purchase at least the lesser of $30 million per month or 50% of the company’s near-prime originations through July 2017 (note the commitment can be reduced or canceled with 90 days’ notice).  As part of SCUSA's relationship with BlueStem, SCUSA has committed to purchasing new advances on BlueStem's unsecured, revolving financings along with existing balances on accounts with new advances, for an initial term ending in 2020 and renewing through 2022 at BlueStem's option.  
- Revolving lines of credit:  For SCUSA's personal lending assets with revolving lines of credit (e.g., BlueStem and NPL), each customer account generated under the agreements generally is approved with a credit limit higher than the amount of the initial purchase, with each subsequent purchase automatically approved as long as it does not cause the account to exceed its limit and the customer is in good standing.  These committed lines of credit to SCUSA's revolving customers must be funded by SCUSA as the lines are drawn down and could represent a material contingent funding need if a large volume of customers were to simultaneously draw down on these lines. 
- Chrysler contract:  As part of SCUSA's contract with Chrysler, the agreement includes certain penetration rates (funding obligations) that SCUSA must meet in order to be in compliance with the contract.  However, included within the contract language is the stipulation that SCUSA is not obligated to fund loans (to hit penetration rates) that do not meet minimum return hurdle rates.  Additionally, the higher penetration rates in the contract would require CCAP to board a high number of loans using special rate financing options on prime retail credits.  Those incentives are controlled by Chrysler and are typically higher credit quality with better loan performance.  Those loans are prime for flow arrangements to banks and other 3rd parties given loss characteristics.  As history has shown, as overall credit markets seize up, automotive sales deteriorate and therefore act as a natural hedge against volumes that can’t be funded off balance sheet.  As such, while there is a contingent funding liability for SCUSA implied within the Chrysler contract, that funding obligation is conditional on a variety of factors that lessen any possible exposure or risk that SCUSA would be in breach of the contract if penetration rates are not reached.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85" zoomScaleNormal="100" zoomScalePageLayoutView="85" workbookViewId="0">
      <selection activeCell="E3" sqref="E3:F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t="s">
        <v>616</v>
      </c>
      <c r="Q1" s="80"/>
      <c r="R1" s="80"/>
      <c r="AA1" s="39" t="str">
        <f>C2</f>
        <v>Liquidity</v>
      </c>
    </row>
    <row r="2" spans="1:27" ht="30.75" customHeight="1" thickBot="1" x14ac:dyDescent="0.3">
      <c r="A2" s="248" t="s">
        <v>255</v>
      </c>
      <c r="B2" s="249"/>
      <c r="C2" s="85" t="s">
        <v>15</v>
      </c>
      <c r="R2" s="42" t="str">
        <f t="shared" ref="R2:R7" si="0">A2</f>
        <v>Risk Type  - The Risk Type from the SHUSA ERM Risk Taxonomy</v>
      </c>
    </row>
    <row r="3" spans="1:27" ht="24" customHeight="1" thickBot="1" x14ac:dyDescent="0.3">
      <c r="A3" s="247" t="s">
        <v>251</v>
      </c>
      <c r="B3" s="194"/>
      <c r="C3" s="69" t="s">
        <v>380</v>
      </c>
      <c r="R3" s="42" t="str">
        <f t="shared" si="0"/>
        <v>Risk Sub Type  - The Risk Sub-Category from the SHUSA ERM Risk Taxonomy</v>
      </c>
    </row>
    <row r="4" spans="1:27" ht="31.5" customHeight="1" thickBot="1" x14ac:dyDescent="0.3">
      <c r="A4" s="247" t="s">
        <v>252</v>
      </c>
      <c r="B4" s="194"/>
      <c r="C4" s="72" t="s">
        <v>858</v>
      </c>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3.75" customHeight="1" thickBot="1" x14ac:dyDescent="0.3">
      <c r="A9" s="254" t="s">
        <v>859</v>
      </c>
      <c r="B9" s="255"/>
      <c r="C9" s="256"/>
      <c r="Q9" s="38" t="str">
        <f>A9</f>
        <v xml:space="preserve">Cash forecast of sources and uses is reviewed by management daily to determine anticipated funding requirements and available cash.  The forecast is reviewed by the Treasurer, and presented weekly to the Contingency Liquidity Committee weekly, which enables consideration of upcoming significant cash flow items within the forecast. Liquidity metrics are monitored daily/weekly/monthly by treasury to assess whether the company is approaching or in a liquidity stress event.
</v>
      </c>
    </row>
    <row r="10" spans="1:27" ht="226.5" customHeight="1" thickBot="1" x14ac:dyDescent="0.3">
      <c r="A10" s="41" t="s">
        <v>485</v>
      </c>
      <c r="B10" s="244" t="s">
        <v>860</v>
      </c>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44" t="s">
        <v>861</v>
      </c>
      <c r="B12" s="245"/>
      <c r="C12" s="246"/>
      <c r="Q12" s="38" t="str">
        <f>A12</f>
        <v>While SCUSA diligently manages the cash/liquidity needs of the Company, situations may arise that create an immediate or accelerated need for additional liquidity.  When the acceleration of liquidity requirements occurs, it can create a strain on SCUSA's liquidity and funding position and put pressure on SCUSA to quickly generate cash to cover these obligations.  This situation can impair SCUSA's ability to fund future origination, as liquidity has been reallocated for other purpose, or reduce profitability when the Company is forced to pay a higher cost to obtain access to the needed liquidity.  In an effort to manage the Company's liquidity position, SCUSA generates daily, weekly, and monthly cash flow forecasts  that provide details on all the cash inflows and outflows over a period of time.  However, unexpected events, caused by either internal or external factors, that are not embedded within these forecasts can push SCUSA's liquidity position out of balance.  Examples of events that may create the immediate or accelerated need for liquidity can include the following:  
- Loss of like kind exchange:  On certain asset sales to third parties, where the assets are moved off of the balance sheet, sold assets may be classified as a like kind exchange.  This classification requires that SCUSA utilize the proceeds from the assets sales only for the purchase of similar assets.  While restricting the use of these proceeds limits what SCUSA can do with the cash, the Company receives favorable tax treatment on the assets and is able to delay  payment cash outflows for taxes until future periods.  SCUSA must fulfill a number of requirement in order to maintain the like kind exchange classification and favorable tax treatment.  In the event that SCUSA is unable to uphold these requirements, SCUSA would incur an  requirement to immediately pay the taxes due on these assets, which would result in the need for a substantial amount of unplanned liquidity in the near-term.  
- Unexpected expenses:  Although there generally isn't a lot of volatility in SCUSA's expenses, there may be times when unexpected expenses arise that impact the Company's short-term liquidity needs.  Examples of such expenses could include regulatory fines or penalties or legal settlements.  The unexpected expenses would have to be sizable to generate any sort of liquidity disruption, but it is possible that an unexpected, sizable expense could create a liquidity problem for the Company. 
- Trigger event causing asset repurchases: In connection with the sale of retail installment contracts through securitizations and other sales, SCUSA has made standard representations and warranties customary to the consumer finance industry.  Violations of these representations and warranties may require SCUSA to repurchase loans previously sold to on- or off-balance sheet trusts or other third parties. The stipulation for asset repurchases is generally driven by collateral that performs worse than expected.  The requirement to repurchase these assets will impact the Company's short-term liquidity, as the assets will require funding that was otherwise unanticipated.  
- Declines in pledged asset values:  In the event that assets pledged to warehouse lines or utilized in securitization transactions decline in value due to negative performance of the collateral, SCUSA may be required to either pledge additional assets to the warehouses to offset the loss, or increase the over collateralization requirements on securitized bonds to ensure that payments to investors are not disrupted.  The immediate requirement for this liquidity would encumber new assets and make these additional assets unavailable for funding needs.  
- Trigger event affecting repayment of liabilities:  Covenants and triggers may exist with the structured bonds for SCUSA's securitization deals.  In the event that covenants are breached or triggers are hit, an early amortization clause may be enacted.  This clause accelerates the payment to bond holders by immediately amortizing down the outstanding balances of the liabilities.  The early amortization would result in substantial liquidity requirements for SCUSA as bond holders would be receiving payback on their investment placing SCUSA last in the payment order waterfall and disrupting planned residual distributions.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85" zoomScaleNormal="100" zoomScalePageLayoutView="85" workbookViewId="0">
      <selection activeCell="E3" sqref="E3:F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t="s">
        <v>616</v>
      </c>
      <c r="Q1" s="80"/>
      <c r="R1" s="80"/>
      <c r="AA1" s="39" t="str">
        <f>C2</f>
        <v>Liquidity</v>
      </c>
    </row>
    <row r="2" spans="1:27" ht="30.75" customHeight="1" thickBot="1" x14ac:dyDescent="0.3">
      <c r="A2" s="248" t="s">
        <v>255</v>
      </c>
      <c r="B2" s="249"/>
      <c r="C2" s="85" t="s">
        <v>15</v>
      </c>
      <c r="R2" s="42" t="str">
        <f t="shared" ref="R2:R7" si="0">A2</f>
        <v>Risk Type  - The Risk Type from the SHUSA ERM Risk Taxonomy</v>
      </c>
    </row>
    <row r="3" spans="1:27" ht="24" customHeight="1" thickBot="1" x14ac:dyDescent="0.3">
      <c r="A3" s="247" t="s">
        <v>251</v>
      </c>
      <c r="B3" s="194"/>
      <c r="C3" s="69" t="s">
        <v>313</v>
      </c>
      <c r="R3" s="42" t="str">
        <f t="shared" si="0"/>
        <v>Risk Sub Type  - The Risk Sub-Category from the SHUSA ERM Risk Taxonomy</v>
      </c>
    </row>
    <row r="4" spans="1:27" ht="31.5" customHeight="1" thickBot="1" x14ac:dyDescent="0.3">
      <c r="A4" s="247" t="s">
        <v>252</v>
      </c>
      <c r="B4" s="194"/>
      <c r="C4" s="72" t="s">
        <v>865</v>
      </c>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92.75" customHeight="1" thickBot="1" x14ac:dyDescent="0.3">
      <c r="A9" s="254" t="s">
        <v>866</v>
      </c>
      <c r="B9" s="255"/>
      <c r="C9" s="256"/>
      <c r="Q9" s="38" t="str">
        <f>A9</f>
        <v>SCUSA's liquidity management practices require that the Company maintain a diversified set of funding sources, such that over reliance on any one source of funding does not exist.  SCUSA has implemented strategies to help ensure diversification of funding, but as a capital markets funded company, the pool of potential funding sources for SCUSA is more limited than those available to a traditional bank.  Concentrations are monitored and maintained within liquidity policy guidelines.  These guidelines also establish target minimum number of external credit providers.  Bond spreads represent a KRI and under constant focus in corporate finance areas of the company.  This key market indicator is published weekly by capital markets and reflected in dashboard reporting.  Funding capacity, including flow partnerships, remains a key component of liquidity policy with minimum thresholds established and KRI’s established to alert the company to trends and pending or potential shortfall.  Treasury monitors for potential liquidity stress events through a series of liquidity risk reports, and daily/weekly/monthly monitoring of a suite of KRIs (i.e., Intragroup warehouse funding, OIS spread, TED spread, 2-10yr. Treasury yield spread, Self-Funding Ratio, etc.).   Treasury reports liquidity position to the Contingent Liquidity Committee weekly, and to the ALCO monthly. Reports provided to the ALCO includes macroeconomic trends, market and liquidity results, funding overview and liquidity forecast and Risk Tolerance Statements.</v>
      </c>
    </row>
    <row r="10" spans="1:27" ht="72"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399.75" customHeight="1" thickBot="1" x14ac:dyDescent="0.3">
      <c r="A12" s="244" t="s">
        <v>867</v>
      </c>
      <c r="B12" s="245"/>
      <c r="C12" s="246"/>
      <c r="Q12" s="38" t="str">
        <f>A12</f>
        <v xml:space="preserve">SCUSA's liquidity management practices require that the Company maintain a diversified set of funding sources, such that over reliance on any one source of funding does not exist.  SCUSA has implemented strategies to help ensure diversification of funding, but as a capital markets funded company, the pool of potential funding sources for SCUSA is more limited than those available to a traditional bank.  Being overly concentrated on any single funding source creates some exposure for the Company as it is possible that funding source might not be available in the future, resulting in declines in SCUSA's ability to fund future originations and reduction to overall profitability.  Based on SCUSA's current funding profile, the Company has potential exposure to concentration risk in the following areas:  
- Securitization Markets:  A large portion of the Company's funding is derived from the issuance of asset backed securities within the capital markets.  As demonstrated during the crisis, accessing the capital markets during periods of economic stress can become problematic as the market appetite for bonds backed by collateral experiencing losses dissipates or the deals require a rate of return so high that the economics of the deal no longer work.  Even under normal operating conditions, investor appetite for structured products is not unlimited.     
- Intragroup warehouse lines of credit:  The use of secured warehouse lines of credit do not provide dollar-for-dollar funding for pledged assets.  Assets pledged to these lines are pledged at a predetermined advance rate whereby $100 of pledged assets will receive cash back at a value below the $100.  To make up for this difference, SCUSA must maintain access to unsecured lines of credit that can be drawn down without pledging any collateral.  At present, all of SCUSA's unsecured borrowing capacity is obtained through warehouse lines with the Santander parent, which may result in an over reliance on the Company's parent.  
- Asset sale flow partners:  Part of SCUSA's current strategic direction is to focus on the Company's "serviced for others" platform, where SCUSA originates and sells loans to third parties, but maintains the right to service the assets (for a fee).  The sale of these assets moves them off of SCUSA's balance sheet and frees up funding for future originations.  SCUSA has identified two major flow partners who purchase assets from the Company on a monthly basis.  With only two primary flow partners identified, SCUSA may experience some concentration risk on this funding source if the funding need from off-balance sheet sales continue to grow or one of the flow partners were to no longer have an appetite to purchase the loans.  
SCUSA manages and monitors the Company's funding sources and the utilization / concentration on each.  SCUSA is constantly seeking new opportunities to expand the funding options available to the Company, but must weigh the trade-off between the additional liquidity obtained and the cost of that liquidity. </v>
      </c>
    </row>
  </sheetData>
  <sheetProtection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480</v>
      </c>
      <c r="B1" s="194"/>
      <c r="C1" s="72"/>
      <c r="Q1" s="80"/>
      <c r="R1" s="80"/>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7"/>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4" width="4.42578125" style="39" hidden="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2" customWidth="1"/>
    <col min="2" max="2" width="22.7109375" style="82" customWidth="1"/>
    <col min="3" max="3" width="35.7109375" style="39" customWidth="1"/>
    <col min="4" max="16" width="4.42578125" style="39" hidden="1" customWidth="1"/>
    <col min="17" max="18" width="4.42578125" style="81"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51" t="s">
        <v>480</v>
      </c>
      <c r="B1" s="194"/>
      <c r="C1" s="72"/>
      <c r="AA1" s="39">
        <f>C2</f>
        <v>0</v>
      </c>
    </row>
    <row r="2" spans="1:27" ht="30.75" customHeight="1" thickBot="1" x14ac:dyDescent="0.3">
      <c r="A2" s="248" t="s">
        <v>255</v>
      </c>
      <c r="B2" s="249"/>
      <c r="C2" s="85"/>
      <c r="R2" s="42" t="str">
        <f t="shared" ref="R2:R7" si="0">A2</f>
        <v>Risk Type  - The Risk Type from the SHUSA ERM Risk Taxonomy</v>
      </c>
    </row>
    <row r="3" spans="1:27" ht="24" customHeight="1" thickBot="1" x14ac:dyDescent="0.3">
      <c r="A3" s="247" t="s">
        <v>251</v>
      </c>
      <c r="B3" s="194"/>
      <c r="C3" s="69"/>
      <c r="R3" s="42" t="str">
        <f t="shared" si="0"/>
        <v>Risk Sub Type  - The Risk Sub-Category from the SHUSA ERM Risk Taxonomy</v>
      </c>
    </row>
    <row r="4" spans="1:27" ht="31.5" customHeight="1" thickBot="1" x14ac:dyDescent="0.3">
      <c r="A4" s="247" t="s">
        <v>252</v>
      </c>
      <c r="B4" s="194"/>
      <c r="C4" s="72"/>
      <c r="R4" s="42" t="str">
        <f t="shared" si="0"/>
        <v>Risk Name - The name of the risk which helps define it and differentiate it from other risks in other Business Lines with a similar Risk Category</v>
      </c>
    </row>
    <row r="5" spans="1:27" ht="39" customHeight="1" thickBot="1" x14ac:dyDescent="0.3">
      <c r="A5" s="247" t="s">
        <v>521</v>
      </c>
      <c r="B5" s="194"/>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7" t="s">
        <v>524</v>
      </c>
      <c r="B6" s="194"/>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50" t="s">
        <v>523</v>
      </c>
      <c r="B7" s="249"/>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8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81">
        <f>A9</f>
        <v>0</v>
      </c>
    </row>
    <row r="10" spans="1:27" ht="81.75" customHeight="1" thickBot="1" x14ac:dyDescent="0.3">
      <c r="A10" s="41" t="s">
        <v>484</v>
      </c>
      <c r="B10" s="244"/>
      <c r="C10" s="257"/>
    </row>
    <row r="11" spans="1:27" ht="31.5" customHeight="1" thickBot="1" x14ac:dyDescent="0.3">
      <c r="A11" s="251" t="s">
        <v>254</v>
      </c>
      <c r="B11" s="252"/>
      <c r="C11" s="253"/>
      <c r="Q11" s="81"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81">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145" workbookViewId="0">
      <selection activeCell="E3" sqref="E3:F40"/>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69" t="s">
        <v>330</v>
      </c>
      <c r="B1" s="270"/>
      <c r="C1" s="270"/>
    </row>
    <row r="2" spans="1:3" ht="15.75" thickBot="1" x14ac:dyDescent="0.3">
      <c r="A2" s="73" t="s">
        <v>226</v>
      </c>
      <c r="B2" s="74" t="s">
        <v>307</v>
      </c>
      <c r="C2" s="74" t="s">
        <v>308</v>
      </c>
    </row>
    <row r="3" spans="1:3" ht="15.75" thickBot="1" x14ac:dyDescent="0.3">
      <c r="A3" s="261" t="s">
        <v>146</v>
      </c>
      <c r="B3" s="261" t="s">
        <v>309</v>
      </c>
      <c r="C3" s="54" t="s">
        <v>310</v>
      </c>
    </row>
    <row r="4" spans="1:3" ht="15.75" thickBot="1" x14ac:dyDescent="0.3">
      <c r="A4" s="262"/>
      <c r="B4" s="262"/>
      <c r="C4" s="54" t="s">
        <v>311</v>
      </c>
    </row>
    <row r="5" spans="1:3" ht="15.75" thickBot="1" x14ac:dyDescent="0.3">
      <c r="A5" s="262"/>
      <c r="B5" s="262"/>
      <c r="C5" s="54" t="s">
        <v>312</v>
      </c>
    </row>
    <row r="6" spans="1:3" ht="15.75" thickBot="1" x14ac:dyDescent="0.3">
      <c r="A6" s="262"/>
      <c r="B6" s="262"/>
      <c r="C6" s="54" t="s">
        <v>313</v>
      </c>
    </row>
    <row r="7" spans="1:3" ht="15.75" thickBot="1" x14ac:dyDescent="0.3">
      <c r="A7" s="262"/>
      <c r="B7" s="262"/>
      <c r="C7" s="54" t="s">
        <v>314</v>
      </c>
    </row>
    <row r="8" spans="1:3" ht="15.75" thickBot="1" x14ac:dyDescent="0.3">
      <c r="A8" s="263"/>
      <c r="B8" s="263"/>
      <c r="C8" s="54" t="s">
        <v>315</v>
      </c>
    </row>
    <row r="9" spans="1:3" ht="15.75" thickBot="1" x14ac:dyDescent="0.3">
      <c r="A9" s="261" t="s">
        <v>23</v>
      </c>
      <c r="B9" s="261" t="s">
        <v>316</v>
      </c>
      <c r="C9" s="54" t="s">
        <v>317</v>
      </c>
    </row>
    <row r="10" spans="1:3" ht="15.75" thickBot="1" x14ac:dyDescent="0.3">
      <c r="A10" s="262"/>
      <c r="B10" s="262"/>
      <c r="C10" s="54" t="s">
        <v>318</v>
      </c>
    </row>
    <row r="11" spans="1:3" ht="15.75" thickBot="1" x14ac:dyDescent="0.3">
      <c r="A11" s="262"/>
      <c r="B11" s="262"/>
      <c r="C11" s="54" t="s">
        <v>319</v>
      </c>
    </row>
    <row r="12" spans="1:3" ht="15.75" thickBot="1" x14ac:dyDescent="0.3">
      <c r="A12" s="263"/>
      <c r="B12" s="263"/>
      <c r="C12" s="54" t="s">
        <v>320</v>
      </c>
    </row>
    <row r="13" spans="1:3" ht="30.75" thickBot="1" x14ac:dyDescent="0.3">
      <c r="A13" s="46" t="s">
        <v>213</v>
      </c>
      <c r="B13" s="54" t="s">
        <v>213</v>
      </c>
      <c r="C13" s="54" t="s">
        <v>213</v>
      </c>
    </row>
    <row r="14" spans="1:3" ht="15.75" thickBot="1" x14ac:dyDescent="0.3">
      <c r="A14" s="261" t="s">
        <v>10</v>
      </c>
      <c r="B14" s="261" t="s">
        <v>331</v>
      </c>
      <c r="C14" s="54" t="s">
        <v>321</v>
      </c>
    </row>
    <row r="15" spans="1:3" ht="15.75" thickBot="1" x14ac:dyDescent="0.3">
      <c r="A15" s="262"/>
      <c r="B15" s="262"/>
      <c r="C15" s="54" t="s">
        <v>322</v>
      </c>
    </row>
    <row r="16" spans="1:3" ht="15.75" thickBot="1" x14ac:dyDescent="0.3">
      <c r="A16" s="262"/>
      <c r="B16" s="262"/>
      <c r="C16" s="54" t="s">
        <v>323</v>
      </c>
    </row>
    <row r="17" spans="1:3" ht="15.75" thickBot="1" x14ac:dyDescent="0.3">
      <c r="A17" s="263"/>
      <c r="B17" s="263"/>
      <c r="C17" s="54" t="s">
        <v>324</v>
      </c>
    </row>
    <row r="18" spans="1:3" ht="15.75" thickBot="1" x14ac:dyDescent="0.3">
      <c r="A18" s="261" t="s">
        <v>22</v>
      </c>
      <c r="B18" s="261" t="s">
        <v>325</v>
      </c>
      <c r="C18" s="54" t="s">
        <v>326</v>
      </c>
    </row>
    <row r="19" spans="1:3" ht="15.75" thickBot="1" x14ac:dyDescent="0.3">
      <c r="A19" s="262"/>
      <c r="B19" s="262"/>
      <c r="C19" s="54" t="s">
        <v>327</v>
      </c>
    </row>
    <row r="20" spans="1:3" ht="15.75" thickBot="1" x14ac:dyDescent="0.3">
      <c r="A20" s="262"/>
      <c r="B20" s="262"/>
      <c r="C20" s="54" t="s">
        <v>328</v>
      </c>
    </row>
    <row r="21" spans="1:3" ht="15.75" thickBot="1" x14ac:dyDescent="0.3">
      <c r="A21" s="263"/>
      <c r="B21" s="263"/>
      <c r="C21" s="54" t="s">
        <v>332</v>
      </c>
    </row>
    <row r="22" spans="1:3" ht="15.75" thickBot="1" x14ac:dyDescent="0.3">
      <c r="A22" s="46" t="s">
        <v>222</v>
      </c>
      <c r="B22" s="54" t="s">
        <v>329</v>
      </c>
      <c r="C22" s="54" t="s">
        <v>222</v>
      </c>
    </row>
    <row r="23" spans="1:3" x14ac:dyDescent="0.25">
      <c r="A23" s="79"/>
      <c r="B23" s="79"/>
      <c r="C23" s="79"/>
    </row>
    <row r="24" spans="1:3" ht="45.75" customHeight="1" x14ac:dyDescent="0.25">
      <c r="A24" s="267" t="s">
        <v>333</v>
      </c>
      <c r="B24" s="268"/>
      <c r="C24" s="268"/>
    </row>
    <row r="25" spans="1:3" ht="16.5" thickBot="1" x14ac:dyDescent="0.3">
      <c r="A25" s="76"/>
      <c r="B25"/>
      <c r="C25"/>
    </row>
    <row r="26" spans="1:3" ht="15.75" thickBot="1" x14ac:dyDescent="0.3">
      <c r="A26" s="73" t="s">
        <v>226</v>
      </c>
      <c r="B26" s="74" t="s">
        <v>307</v>
      </c>
      <c r="C26" s="74" t="s">
        <v>308</v>
      </c>
    </row>
    <row r="27" spans="1:3" ht="15.75" thickBot="1" x14ac:dyDescent="0.3">
      <c r="A27" s="261" t="s">
        <v>145</v>
      </c>
      <c r="B27" s="261" t="s">
        <v>334</v>
      </c>
      <c r="C27" s="54" t="s">
        <v>335</v>
      </c>
    </row>
    <row r="28" spans="1:3" ht="15.75" thickBot="1" x14ac:dyDescent="0.3">
      <c r="A28" s="262"/>
      <c r="B28" s="262"/>
      <c r="C28" s="54" t="s">
        <v>336</v>
      </c>
    </row>
    <row r="29" spans="1:3" ht="15.75" thickBot="1" x14ac:dyDescent="0.3">
      <c r="A29" s="262"/>
      <c r="B29" s="262"/>
      <c r="C29" s="54" t="s">
        <v>337</v>
      </c>
    </row>
    <row r="30" spans="1:3" ht="15.75" thickBot="1" x14ac:dyDescent="0.3">
      <c r="A30" s="262"/>
      <c r="B30" s="262"/>
      <c r="C30" s="54" t="s">
        <v>28</v>
      </c>
    </row>
    <row r="31" spans="1:3" ht="15.75" thickBot="1" x14ac:dyDescent="0.3">
      <c r="A31" s="262"/>
      <c r="B31" s="262"/>
      <c r="C31" s="54" t="s">
        <v>26</v>
      </c>
    </row>
    <row r="32" spans="1:3" ht="15.75" thickBot="1" x14ac:dyDescent="0.3">
      <c r="A32" s="263"/>
      <c r="B32" s="263"/>
      <c r="C32" s="54" t="s">
        <v>338</v>
      </c>
    </row>
    <row r="33" spans="1:3" ht="15.75" x14ac:dyDescent="0.25">
      <c r="A33" s="76"/>
      <c r="B33"/>
      <c r="C33"/>
    </row>
    <row r="34" spans="1:3" ht="42" customHeight="1" x14ac:dyDescent="0.25">
      <c r="A34" s="267" t="s">
        <v>339</v>
      </c>
      <c r="B34" s="268"/>
      <c r="C34" s="268"/>
    </row>
    <row r="35" spans="1:3" ht="15.75" thickBot="1" x14ac:dyDescent="0.3">
      <c r="A35" s="44"/>
      <c r="B35"/>
      <c r="C35"/>
    </row>
    <row r="36" spans="1:3" ht="15.75" thickBot="1" x14ac:dyDescent="0.3">
      <c r="A36" s="73" t="s">
        <v>226</v>
      </c>
      <c r="B36" s="74" t="s">
        <v>307</v>
      </c>
      <c r="C36" s="74" t="s">
        <v>308</v>
      </c>
    </row>
    <row r="37" spans="1:3" ht="30.75" thickBot="1" x14ac:dyDescent="0.3">
      <c r="A37" s="46" t="s">
        <v>53</v>
      </c>
      <c r="B37" s="54" t="s">
        <v>340</v>
      </c>
      <c r="C37" s="54" t="s">
        <v>53</v>
      </c>
    </row>
    <row r="38" spans="1:3" ht="75" x14ac:dyDescent="0.25">
      <c r="A38" s="261" t="s">
        <v>64</v>
      </c>
      <c r="B38" s="75" t="s">
        <v>341</v>
      </c>
      <c r="C38" s="261" t="s">
        <v>64</v>
      </c>
    </row>
    <row r="39" spans="1:3" ht="30" x14ac:dyDescent="0.25">
      <c r="A39" s="262"/>
      <c r="B39" s="75" t="s">
        <v>342</v>
      </c>
      <c r="C39" s="262"/>
    </row>
    <row r="40" spans="1:3" ht="30" x14ac:dyDescent="0.25">
      <c r="A40" s="262"/>
      <c r="B40" s="75" t="s">
        <v>343</v>
      </c>
      <c r="C40" s="262"/>
    </row>
    <row r="41" spans="1:3" x14ac:dyDescent="0.25">
      <c r="A41" s="262"/>
      <c r="B41" s="75" t="s">
        <v>344</v>
      </c>
      <c r="C41" s="262"/>
    </row>
    <row r="42" spans="1:3" ht="15.75" thickBot="1" x14ac:dyDescent="0.3">
      <c r="A42" s="263"/>
      <c r="B42" s="54" t="s">
        <v>345</v>
      </c>
      <c r="C42" s="263"/>
    </row>
    <row r="43" spans="1:3" ht="135.75" thickBot="1" x14ac:dyDescent="0.3">
      <c r="A43" s="46" t="s">
        <v>56</v>
      </c>
      <c r="B43" s="54" t="s">
        <v>346</v>
      </c>
      <c r="C43" s="54" t="s">
        <v>56</v>
      </c>
    </row>
    <row r="44" spans="1:3" ht="75.75" thickBot="1" x14ac:dyDescent="0.3">
      <c r="A44" s="46" t="s">
        <v>138</v>
      </c>
      <c r="B44" s="54" t="s">
        <v>347</v>
      </c>
      <c r="C44" s="54" t="s">
        <v>138</v>
      </c>
    </row>
    <row r="45" spans="1:3" ht="15.75" thickBot="1" x14ac:dyDescent="0.3">
      <c r="A45" s="261" t="s">
        <v>57</v>
      </c>
      <c r="B45" s="261" t="s">
        <v>348</v>
      </c>
      <c r="C45" s="54" t="s">
        <v>349</v>
      </c>
    </row>
    <row r="46" spans="1:3" ht="15.75" thickBot="1" x14ac:dyDescent="0.3">
      <c r="A46" s="262"/>
      <c r="B46" s="262"/>
      <c r="C46" s="54" t="s">
        <v>322</v>
      </c>
    </row>
    <row r="47" spans="1:3" ht="15.75" thickBot="1" x14ac:dyDescent="0.3">
      <c r="A47" s="262"/>
      <c r="B47" s="262"/>
      <c r="C47" s="54" t="s">
        <v>317</v>
      </c>
    </row>
    <row r="48" spans="1:3" ht="15.75" thickBot="1" x14ac:dyDescent="0.3">
      <c r="A48" s="262"/>
      <c r="B48" s="262"/>
      <c r="C48" s="54" t="s">
        <v>350</v>
      </c>
    </row>
    <row r="49" spans="1:3" ht="15.75" thickBot="1" x14ac:dyDescent="0.3">
      <c r="A49" s="263"/>
      <c r="B49" s="263"/>
      <c r="C49" s="54" t="s">
        <v>351</v>
      </c>
    </row>
    <row r="50" spans="1:3" ht="60.75" thickBot="1" x14ac:dyDescent="0.3">
      <c r="A50" s="46" t="s">
        <v>55</v>
      </c>
      <c r="B50" s="54" t="s">
        <v>352</v>
      </c>
      <c r="C50" s="54" t="s">
        <v>55</v>
      </c>
    </row>
    <row r="51" spans="1:3" ht="30" x14ac:dyDescent="0.25">
      <c r="A51" s="261" t="s">
        <v>52</v>
      </c>
      <c r="B51" s="75" t="s">
        <v>353</v>
      </c>
      <c r="C51" s="261" t="s">
        <v>52</v>
      </c>
    </row>
    <row r="52" spans="1:3" ht="45.75" thickBot="1" x14ac:dyDescent="0.3">
      <c r="A52" s="263"/>
      <c r="B52" s="54" t="s">
        <v>354</v>
      </c>
      <c r="C52" s="263"/>
    </row>
    <row r="53" spans="1:3" ht="45.75" thickBot="1" x14ac:dyDescent="0.3">
      <c r="A53" s="46" t="s">
        <v>18</v>
      </c>
      <c r="B53" s="54" t="s">
        <v>355</v>
      </c>
      <c r="C53" s="54" t="s">
        <v>18</v>
      </c>
    </row>
    <row r="54" spans="1:3" ht="30.75" thickBot="1" x14ac:dyDescent="0.3">
      <c r="A54" s="46" t="s">
        <v>144</v>
      </c>
      <c r="B54" s="54" t="s">
        <v>356</v>
      </c>
      <c r="C54" s="54" t="s">
        <v>357</v>
      </c>
    </row>
    <row r="55" spans="1:3" ht="15.75" x14ac:dyDescent="0.25">
      <c r="A55" s="76"/>
      <c r="B55"/>
      <c r="C55"/>
    </row>
    <row r="56" spans="1:3" ht="39" customHeight="1" x14ac:dyDescent="0.25">
      <c r="A56" s="267" t="s">
        <v>358</v>
      </c>
      <c r="B56" s="268"/>
      <c r="C56" s="268"/>
    </row>
    <row r="57" spans="1:3" ht="16.5" thickBot="1" x14ac:dyDescent="0.3">
      <c r="A57" s="76"/>
      <c r="B57"/>
      <c r="C57"/>
    </row>
    <row r="58" spans="1:3" ht="15.75" thickBot="1" x14ac:dyDescent="0.3">
      <c r="A58" s="73" t="s">
        <v>226</v>
      </c>
      <c r="B58" s="74" t="s">
        <v>307</v>
      </c>
      <c r="C58" s="74" t="s">
        <v>308</v>
      </c>
    </row>
    <row r="59" spans="1:3" ht="15.75" thickBot="1" x14ac:dyDescent="0.3">
      <c r="A59" s="46" t="s">
        <v>158</v>
      </c>
      <c r="B59" s="54" t="s">
        <v>359</v>
      </c>
      <c r="C59" s="54" t="s">
        <v>360</v>
      </c>
    </row>
    <row r="60" spans="1:3" ht="30" x14ac:dyDescent="0.25">
      <c r="A60" s="261" t="s">
        <v>45</v>
      </c>
      <c r="B60" s="75" t="s">
        <v>361</v>
      </c>
      <c r="C60" s="261" t="s">
        <v>368</v>
      </c>
    </row>
    <row r="61" spans="1:3" x14ac:dyDescent="0.25">
      <c r="A61" s="262"/>
      <c r="B61" s="75" t="s">
        <v>362</v>
      </c>
      <c r="C61" s="262"/>
    </row>
    <row r="62" spans="1:3" x14ac:dyDescent="0.25">
      <c r="A62" s="262"/>
      <c r="B62" s="75" t="s">
        <v>363</v>
      </c>
      <c r="C62" s="262"/>
    </row>
    <row r="63" spans="1:3" ht="15.75" thickBot="1" x14ac:dyDescent="0.3">
      <c r="A63" s="262"/>
      <c r="B63" s="75" t="s">
        <v>364</v>
      </c>
      <c r="C63" s="263"/>
    </row>
    <row r="64" spans="1:3" ht="15.75" thickBot="1" x14ac:dyDescent="0.3">
      <c r="A64" s="262"/>
      <c r="B64" s="75" t="s">
        <v>365</v>
      </c>
      <c r="C64" s="54" t="s">
        <v>369</v>
      </c>
    </row>
    <row r="65" spans="1:3" ht="30.75" thickBot="1" x14ac:dyDescent="0.3">
      <c r="A65" s="262"/>
      <c r="B65" s="75" t="s">
        <v>366</v>
      </c>
      <c r="C65" s="54" t="s">
        <v>370</v>
      </c>
    </row>
    <row r="66" spans="1:3" ht="75.75" thickBot="1" x14ac:dyDescent="0.3">
      <c r="A66" s="263"/>
      <c r="B66" s="54" t="s">
        <v>367</v>
      </c>
      <c r="C66" s="54" t="s">
        <v>371</v>
      </c>
    </row>
    <row r="67" spans="1:3" ht="90.75" thickBot="1" x14ac:dyDescent="0.3">
      <c r="A67" s="46" t="s">
        <v>48</v>
      </c>
      <c r="B67" s="54" t="s">
        <v>372</v>
      </c>
      <c r="C67" s="54" t="s">
        <v>48</v>
      </c>
    </row>
    <row r="68" spans="1:3" ht="30.75" thickBot="1" x14ac:dyDescent="0.3">
      <c r="A68" s="46" t="s">
        <v>163</v>
      </c>
      <c r="B68" s="54" t="s">
        <v>373</v>
      </c>
      <c r="C68" s="54" t="s">
        <v>163</v>
      </c>
    </row>
    <row r="69" spans="1:3" ht="15.75" thickBot="1" x14ac:dyDescent="0.3">
      <c r="A69" s="261" t="s">
        <v>46</v>
      </c>
      <c r="B69" s="75" t="s">
        <v>374</v>
      </c>
      <c r="C69" s="54" t="s">
        <v>376</v>
      </c>
    </row>
    <row r="70" spans="1:3" ht="90.75" thickBot="1" x14ac:dyDescent="0.3">
      <c r="A70" s="263"/>
      <c r="B70" s="54" t="s">
        <v>375</v>
      </c>
      <c r="C70" s="54" t="s">
        <v>377</v>
      </c>
    </row>
    <row r="71" spans="1:3" ht="15.75" x14ac:dyDescent="0.25">
      <c r="A71" s="76"/>
      <c r="B71"/>
      <c r="C71"/>
    </row>
    <row r="72" spans="1:3" ht="53.25" customHeight="1" x14ac:dyDescent="0.25">
      <c r="A72" s="267" t="s">
        <v>378</v>
      </c>
      <c r="B72" s="268"/>
      <c r="C72" s="268"/>
    </row>
    <row r="73" spans="1:3" ht="16.5" thickBot="1" x14ac:dyDescent="0.3">
      <c r="A73" s="76"/>
      <c r="B73"/>
      <c r="C73"/>
    </row>
    <row r="74" spans="1:3" ht="15.75" thickBot="1" x14ac:dyDescent="0.3">
      <c r="A74" s="73" t="s">
        <v>226</v>
      </c>
      <c r="B74" s="77" t="s">
        <v>307</v>
      </c>
      <c r="C74" s="74" t="s">
        <v>308</v>
      </c>
    </row>
    <row r="75" spans="1:3" ht="15.75" thickBot="1" x14ac:dyDescent="0.3">
      <c r="A75" s="261" t="s">
        <v>49</v>
      </c>
      <c r="B75" s="264" t="s">
        <v>379</v>
      </c>
      <c r="C75" s="54" t="s">
        <v>380</v>
      </c>
    </row>
    <row r="76" spans="1:3" ht="15.75" thickBot="1" x14ac:dyDescent="0.3">
      <c r="A76" s="262"/>
      <c r="B76" s="265"/>
      <c r="C76" s="54" t="s">
        <v>381</v>
      </c>
    </row>
    <row r="77" spans="1:3" ht="15.75" thickBot="1" x14ac:dyDescent="0.3">
      <c r="A77" s="262"/>
      <c r="B77" s="265"/>
      <c r="C77" s="54" t="s">
        <v>10</v>
      </c>
    </row>
    <row r="78" spans="1:3" ht="15.75" thickBot="1" x14ac:dyDescent="0.3">
      <c r="A78" s="263"/>
      <c r="B78" s="266"/>
      <c r="C78" s="54" t="s">
        <v>382</v>
      </c>
    </row>
    <row r="79" spans="1:3" ht="15.75" thickBot="1" x14ac:dyDescent="0.3">
      <c r="A79" s="261" t="s">
        <v>50</v>
      </c>
      <c r="B79" s="264" t="s">
        <v>383</v>
      </c>
      <c r="C79" s="54" t="s">
        <v>384</v>
      </c>
    </row>
    <row r="80" spans="1:3" ht="15.75" thickBot="1" x14ac:dyDescent="0.3">
      <c r="A80" s="262"/>
      <c r="B80" s="265"/>
      <c r="C80" s="54" t="s">
        <v>385</v>
      </c>
    </row>
    <row r="81" spans="1:3" ht="15.75" thickBot="1" x14ac:dyDescent="0.3">
      <c r="A81" s="263"/>
      <c r="B81" s="266"/>
      <c r="C81" s="54" t="s">
        <v>313</v>
      </c>
    </row>
    <row r="82" spans="1:3" ht="15.75" thickBot="1" x14ac:dyDescent="0.3">
      <c r="A82" s="261" t="s">
        <v>16</v>
      </c>
      <c r="B82" s="264" t="s">
        <v>386</v>
      </c>
      <c r="C82" s="54" t="s">
        <v>387</v>
      </c>
    </row>
    <row r="83" spans="1:3" ht="15.75" thickBot="1" x14ac:dyDescent="0.3">
      <c r="A83" s="262"/>
      <c r="B83" s="265"/>
      <c r="C83" s="54" t="s">
        <v>388</v>
      </c>
    </row>
    <row r="84" spans="1:3" ht="15.75" thickBot="1" x14ac:dyDescent="0.3">
      <c r="A84" s="262"/>
      <c r="B84" s="265"/>
      <c r="C84" s="54" t="s">
        <v>389</v>
      </c>
    </row>
    <row r="85" spans="1:3" ht="15.75" thickBot="1" x14ac:dyDescent="0.3">
      <c r="A85" s="263"/>
      <c r="B85" s="266"/>
      <c r="C85" s="54" t="s">
        <v>390</v>
      </c>
    </row>
    <row r="86" spans="1:3" ht="15.75" x14ac:dyDescent="0.25">
      <c r="A86" s="76"/>
      <c r="B86"/>
      <c r="C86"/>
    </row>
    <row r="87" spans="1:3" ht="22.5" customHeight="1" x14ac:dyDescent="0.25">
      <c r="A87" s="267" t="s">
        <v>391</v>
      </c>
      <c r="B87" s="268"/>
      <c r="C87" s="268"/>
    </row>
    <row r="88" spans="1:3" ht="16.5" thickBot="1" x14ac:dyDescent="0.3">
      <c r="A88" s="76"/>
      <c r="B88"/>
      <c r="C88"/>
    </row>
    <row r="89" spans="1:3" ht="15.75" thickBot="1" x14ac:dyDescent="0.3">
      <c r="A89" s="73" t="s">
        <v>226</v>
      </c>
      <c r="B89" s="74" t="s">
        <v>307</v>
      </c>
      <c r="C89" s="74" t="s">
        <v>308</v>
      </c>
    </row>
    <row r="90" spans="1:3" ht="30.75" thickBot="1" x14ac:dyDescent="0.3">
      <c r="A90" s="261" t="s">
        <v>30</v>
      </c>
      <c r="B90" s="261" t="s">
        <v>392</v>
      </c>
      <c r="C90" s="54" t="s">
        <v>393</v>
      </c>
    </row>
    <row r="91" spans="1:3" ht="15.75" thickBot="1" x14ac:dyDescent="0.3">
      <c r="A91" s="262"/>
      <c r="B91" s="262"/>
      <c r="C91" s="54" t="s">
        <v>394</v>
      </c>
    </row>
    <row r="92" spans="1:3" ht="15.75" thickBot="1" x14ac:dyDescent="0.3">
      <c r="A92" s="262"/>
      <c r="B92" s="262"/>
      <c r="C92" s="54" t="s">
        <v>395</v>
      </c>
    </row>
    <row r="93" spans="1:3" ht="15.75" thickBot="1" x14ac:dyDescent="0.3">
      <c r="A93" s="262"/>
      <c r="B93" s="262"/>
      <c r="C93" s="54" t="s">
        <v>396</v>
      </c>
    </row>
    <row r="94" spans="1:3" ht="15.75" thickBot="1" x14ac:dyDescent="0.3">
      <c r="A94" s="263"/>
      <c r="B94" s="263"/>
      <c r="C94" s="54" t="s">
        <v>397</v>
      </c>
    </row>
    <row r="95" spans="1:3" ht="15.75" thickBot="1" x14ac:dyDescent="0.3">
      <c r="A95" s="261" t="s">
        <v>32</v>
      </c>
      <c r="B95" s="261" t="s">
        <v>398</v>
      </c>
      <c r="C95" s="54" t="s">
        <v>399</v>
      </c>
    </row>
    <row r="96" spans="1:3" ht="15.75" thickBot="1" x14ac:dyDescent="0.3">
      <c r="A96" s="262"/>
      <c r="B96" s="262"/>
      <c r="C96" s="54" t="s">
        <v>400</v>
      </c>
    </row>
    <row r="97" spans="1:3" ht="15.75" thickBot="1" x14ac:dyDescent="0.3">
      <c r="A97" s="262"/>
      <c r="B97" s="262"/>
      <c r="C97" s="78" t="s">
        <v>401</v>
      </c>
    </row>
    <row r="98" spans="1:3" ht="15.75" thickBot="1" x14ac:dyDescent="0.3">
      <c r="A98" s="263"/>
      <c r="B98" s="263"/>
      <c r="C98" s="54" t="s">
        <v>402</v>
      </c>
    </row>
    <row r="99" spans="1:3" ht="15.75" thickBot="1" x14ac:dyDescent="0.3">
      <c r="A99" s="261" t="s">
        <v>34</v>
      </c>
      <c r="B99" s="261" t="s">
        <v>403</v>
      </c>
      <c r="C99" s="54" t="s">
        <v>404</v>
      </c>
    </row>
    <row r="100" spans="1:3" ht="27" customHeight="1" thickBot="1" x14ac:dyDescent="0.3">
      <c r="A100" s="262"/>
      <c r="B100" s="262"/>
      <c r="C100" s="54" t="s">
        <v>405</v>
      </c>
    </row>
    <row r="101" spans="1:3" ht="40.5" customHeight="1" thickBot="1" x14ac:dyDescent="0.3">
      <c r="A101" s="263"/>
      <c r="B101" s="263"/>
      <c r="C101" s="54" t="s">
        <v>406</v>
      </c>
    </row>
    <row r="102" spans="1:3" ht="45.75" thickBot="1" x14ac:dyDescent="0.3">
      <c r="A102" s="261" t="s">
        <v>38</v>
      </c>
      <c r="B102" s="261" t="s">
        <v>407</v>
      </c>
      <c r="C102" s="54" t="s">
        <v>408</v>
      </c>
    </row>
    <row r="103" spans="1:3" ht="15.75" thickBot="1" x14ac:dyDescent="0.3">
      <c r="A103" s="262"/>
      <c r="B103" s="262"/>
      <c r="C103" s="54" t="s">
        <v>409</v>
      </c>
    </row>
    <row r="104" spans="1:3" ht="30.75" thickBot="1" x14ac:dyDescent="0.3">
      <c r="A104" s="262"/>
      <c r="B104" s="262"/>
      <c r="C104" s="54" t="s">
        <v>410</v>
      </c>
    </row>
    <row r="105" spans="1:3" ht="15.75" thickBot="1" x14ac:dyDescent="0.3">
      <c r="A105" s="262"/>
      <c r="B105" s="262"/>
      <c r="C105" s="54" t="s">
        <v>411</v>
      </c>
    </row>
    <row r="106" spans="1:3" ht="15.75" thickBot="1" x14ac:dyDescent="0.3">
      <c r="A106" s="262"/>
      <c r="B106" s="262"/>
      <c r="C106" s="54" t="s">
        <v>412</v>
      </c>
    </row>
    <row r="107" spans="1:3" ht="15.75" thickBot="1" x14ac:dyDescent="0.3">
      <c r="A107" s="262"/>
      <c r="B107" s="262"/>
      <c r="C107" s="54" t="s">
        <v>413</v>
      </c>
    </row>
    <row r="108" spans="1:3" ht="15.75" thickBot="1" x14ac:dyDescent="0.3">
      <c r="A108" s="262"/>
      <c r="B108" s="262"/>
      <c r="C108" s="54" t="s">
        <v>414</v>
      </c>
    </row>
    <row r="109" spans="1:3" ht="30.75" thickBot="1" x14ac:dyDescent="0.3">
      <c r="A109" s="263"/>
      <c r="B109" s="263"/>
      <c r="C109" s="54" t="s">
        <v>415</v>
      </c>
    </row>
    <row r="110" spans="1:3" ht="15.75" thickBot="1" x14ac:dyDescent="0.3">
      <c r="A110" s="261" t="s">
        <v>37</v>
      </c>
      <c r="B110" s="261" t="s">
        <v>416</v>
      </c>
      <c r="C110" s="54" t="s">
        <v>417</v>
      </c>
    </row>
    <row r="111" spans="1:3" ht="15.75" thickBot="1" x14ac:dyDescent="0.3">
      <c r="A111" s="262"/>
      <c r="B111" s="262"/>
      <c r="C111" s="54" t="s">
        <v>418</v>
      </c>
    </row>
    <row r="112" spans="1:3" ht="15.75" thickBot="1" x14ac:dyDescent="0.3">
      <c r="A112" s="263"/>
      <c r="B112" s="263"/>
      <c r="C112" s="54" t="s">
        <v>419</v>
      </c>
    </row>
    <row r="113" spans="1:3" ht="15.75" thickBot="1" x14ac:dyDescent="0.3">
      <c r="A113" s="261" t="s">
        <v>39</v>
      </c>
      <c r="B113" s="261" t="s">
        <v>420</v>
      </c>
      <c r="C113" s="54" t="s">
        <v>421</v>
      </c>
    </row>
    <row r="114" spans="1:3" ht="15.75" thickBot="1" x14ac:dyDescent="0.3">
      <c r="A114" s="262"/>
      <c r="B114" s="262"/>
      <c r="C114" s="54" t="s">
        <v>422</v>
      </c>
    </row>
    <row r="115" spans="1:3" ht="15.75" thickBot="1" x14ac:dyDescent="0.3">
      <c r="A115" s="262"/>
      <c r="B115" s="262"/>
      <c r="C115" s="54" t="s">
        <v>423</v>
      </c>
    </row>
    <row r="116" spans="1:3" ht="15.75" thickBot="1" x14ac:dyDescent="0.3">
      <c r="A116" s="263"/>
      <c r="B116" s="263"/>
      <c r="C116" s="54" t="s">
        <v>424</v>
      </c>
    </row>
    <row r="117" spans="1:3" ht="15.75" thickBot="1" x14ac:dyDescent="0.3">
      <c r="A117" s="261" t="s">
        <v>33</v>
      </c>
      <c r="B117" s="261" t="s">
        <v>425</v>
      </c>
      <c r="C117" s="54" t="s">
        <v>426</v>
      </c>
    </row>
    <row r="118" spans="1:3" ht="15.75" thickBot="1" x14ac:dyDescent="0.3">
      <c r="A118" s="262"/>
      <c r="B118" s="262"/>
      <c r="C118" s="54" t="s">
        <v>427</v>
      </c>
    </row>
    <row r="119" spans="1:3" ht="15.75" thickBot="1" x14ac:dyDescent="0.3">
      <c r="A119" s="262"/>
      <c r="B119" s="262"/>
      <c r="C119" s="54" t="s">
        <v>428</v>
      </c>
    </row>
    <row r="120" spans="1:3" ht="15.75" thickBot="1" x14ac:dyDescent="0.3">
      <c r="A120" s="262"/>
      <c r="B120" s="262"/>
      <c r="C120" s="54" t="s">
        <v>429</v>
      </c>
    </row>
    <row r="121" spans="1:3" ht="15.75" thickBot="1" x14ac:dyDescent="0.3">
      <c r="A121" s="262"/>
      <c r="B121" s="262"/>
      <c r="C121" s="54" t="s">
        <v>430</v>
      </c>
    </row>
    <row r="122" spans="1:3" x14ac:dyDescent="0.25">
      <c r="A122" s="262"/>
      <c r="B122" s="262"/>
      <c r="C122" s="75" t="s">
        <v>431</v>
      </c>
    </row>
    <row r="123" spans="1:3" ht="15.75" thickBot="1" x14ac:dyDescent="0.3">
      <c r="A123" s="262"/>
      <c r="B123" s="262"/>
      <c r="C123" s="54" t="s">
        <v>432</v>
      </c>
    </row>
    <row r="124" spans="1:3" ht="15.75" thickBot="1" x14ac:dyDescent="0.3">
      <c r="A124" s="263"/>
      <c r="B124" s="263"/>
      <c r="C124" s="54" t="s">
        <v>433</v>
      </c>
    </row>
    <row r="125" spans="1:3" x14ac:dyDescent="0.25">
      <c r="A125" s="79"/>
      <c r="B125" s="79"/>
      <c r="C125" s="79"/>
    </row>
    <row r="126" spans="1:3" ht="50.25" customHeight="1" x14ac:dyDescent="0.25">
      <c r="A126" s="267" t="s">
        <v>434</v>
      </c>
      <c r="B126" s="268"/>
      <c r="C126" s="268"/>
    </row>
    <row r="127" spans="1:3" ht="16.5" thickBot="1" x14ac:dyDescent="0.3">
      <c r="A127" s="76"/>
      <c r="B127"/>
      <c r="C127"/>
    </row>
    <row r="128" spans="1:3" ht="15.75" thickBot="1" x14ac:dyDescent="0.3">
      <c r="A128" s="73" t="s">
        <v>226</v>
      </c>
      <c r="B128" s="74" t="s">
        <v>307</v>
      </c>
      <c r="C128" s="74" t="s">
        <v>308</v>
      </c>
    </row>
    <row r="129" spans="1:3" ht="15.75" thickBot="1" x14ac:dyDescent="0.3">
      <c r="A129" s="261" t="s">
        <v>60</v>
      </c>
      <c r="B129" s="261" t="s">
        <v>435</v>
      </c>
      <c r="C129" s="54" t="s">
        <v>436</v>
      </c>
    </row>
    <row r="130" spans="1:3" ht="15.75" thickBot="1" x14ac:dyDescent="0.3">
      <c r="A130" s="262"/>
      <c r="B130" s="262"/>
      <c r="C130" s="54" t="s">
        <v>437</v>
      </c>
    </row>
    <row r="131" spans="1:3" ht="15.75" thickBot="1" x14ac:dyDescent="0.3">
      <c r="A131" s="262"/>
      <c r="B131" s="262"/>
      <c r="C131" s="54" t="s">
        <v>438</v>
      </c>
    </row>
    <row r="132" spans="1:3" ht="15.75" thickBot="1" x14ac:dyDescent="0.3">
      <c r="A132" s="262"/>
      <c r="B132" s="262"/>
      <c r="C132" s="54" t="s">
        <v>439</v>
      </c>
    </row>
    <row r="133" spans="1:3" ht="30.75" thickBot="1" x14ac:dyDescent="0.3">
      <c r="A133" s="263"/>
      <c r="B133" s="263"/>
      <c r="C133" s="54" t="s">
        <v>440</v>
      </c>
    </row>
    <row r="134" spans="1:3" ht="15.75" thickBot="1" x14ac:dyDescent="0.3">
      <c r="A134" s="261" t="s">
        <v>62</v>
      </c>
      <c r="B134" s="261" t="s">
        <v>441</v>
      </c>
      <c r="C134" s="54" t="s">
        <v>442</v>
      </c>
    </row>
    <row r="135" spans="1:3" ht="15.75" thickBot="1" x14ac:dyDescent="0.3">
      <c r="A135" s="262"/>
      <c r="B135" s="262"/>
      <c r="C135" s="54" t="s">
        <v>443</v>
      </c>
    </row>
    <row r="136" spans="1:3" ht="15.75" thickBot="1" x14ac:dyDescent="0.3">
      <c r="A136" s="262"/>
      <c r="B136" s="262"/>
      <c r="C136" s="54" t="s">
        <v>444</v>
      </c>
    </row>
    <row r="137" spans="1:3" ht="15.75" thickBot="1" x14ac:dyDescent="0.3">
      <c r="A137" s="262"/>
      <c r="B137" s="262"/>
      <c r="C137" s="54" t="s">
        <v>445</v>
      </c>
    </row>
    <row r="138" spans="1:3" ht="15.75" thickBot="1" x14ac:dyDescent="0.3">
      <c r="A138" s="262"/>
      <c r="B138" s="262"/>
      <c r="C138" s="54" t="s">
        <v>446</v>
      </c>
    </row>
    <row r="139" spans="1:3" ht="15.75" thickBot="1" x14ac:dyDescent="0.3">
      <c r="A139" s="262"/>
      <c r="B139" s="262"/>
      <c r="C139" s="54" t="s">
        <v>447</v>
      </c>
    </row>
    <row r="140" spans="1:3" ht="15.75" thickBot="1" x14ac:dyDescent="0.3">
      <c r="A140" s="262"/>
      <c r="B140" s="262"/>
      <c r="C140" s="54" t="s">
        <v>448</v>
      </c>
    </row>
    <row r="141" spans="1:3" ht="15.75" thickBot="1" x14ac:dyDescent="0.3">
      <c r="A141" s="262"/>
      <c r="B141" s="262"/>
      <c r="C141" s="54" t="s">
        <v>449</v>
      </c>
    </row>
    <row r="142" spans="1:3" ht="15.75" thickBot="1" x14ac:dyDescent="0.3">
      <c r="A142" s="263"/>
      <c r="B142" s="263"/>
      <c r="C142" s="54" t="s">
        <v>450</v>
      </c>
    </row>
    <row r="143" spans="1:3" ht="15.75" thickBot="1" x14ac:dyDescent="0.3">
      <c r="A143" s="261" t="s">
        <v>63</v>
      </c>
      <c r="B143" s="261" t="s">
        <v>451</v>
      </c>
      <c r="C143" s="54" t="s">
        <v>452</v>
      </c>
    </row>
    <row r="144" spans="1:3" ht="15.75" thickBot="1" x14ac:dyDescent="0.3">
      <c r="A144" s="262"/>
      <c r="B144" s="262"/>
      <c r="C144" s="54" t="s">
        <v>453</v>
      </c>
    </row>
    <row r="145" spans="1:3" ht="15.75" thickBot="1" x14ac:dyDescent="0.3">
      <c r="A145" s="262"/>
      <c r="B145" s="262"/>
      <c r="C145" s="54" t="s">
        <v>454</v>
      </c>
    </row>
    <row r="146" spans="1:3" ht="15.75" thickBot="1" x14ac:dyDescent="0.3">
      <c r="A146" s="262"/>
      <c r="B146" s="262"/>
      <c r="C146" s="54" t="s">
        <v>455</v>
      </c>
    </row>
    <row r="147" spans="1:3" ht="15.75" thickBot="1" x14ac:dyDescent="0.3">
      <c r="A147" s="262"/>
      <c r="B147" s="262"/>
      <c r="C147" s="54" t="s">
        <v>456</v>
      </c>
    </row>
    <row r="148" spans="1:3" ht="15.75" thickBot="1" x14ac:dyDescent="0.3">
      <c r="A148" s="262"/>
      <c r="B148" s="262"/>
      <c r="C148" s="54" t="s">
        <v>457</v>
      </c>
    </row>
    <row r="149" spans="1:3" ht="15.75" thickBot="1" x14ac:dyDescent="0.3">
      <c r="A149" s="262"/>
      <c r="B149" s="262"/>
      <c r="C149" s="54" t="s">
        <v>458</v>
      </c>
    </row>
    <row r="150" spans="1:3" ht="15.75" thickBot="1" x14ac:dyDescent="0.3">
      <c r="A150" s="262"/>
      <c r="B150" s="262"/>
      <c r="C150" s="54" t="s">
        <v>459</v>
      </c>
    </row>
    <row r="151" spans="1:3" ht="15.75" thickBot="1" x14ac:dyDescent="0.3">
      <c r="A151" s="263"/>
      <c r="B151" s="263"/>
      <c r="C151" s="54" t="s">
        <v>40</v>
      </c>
    </row>
    <row r="152" spans="1:3" ht="15.75" thickBot="1" x14ac:dyDescent="0.3">
      <c r="A152" s="261" t="s">
        <v>59</v>
      </c>
      <c r="B152" s="261" t="s">
        <v>460</v>
      </c>
      <c r="C152" s="54" t="s">
        <v>461</v>
      </c>
    </row>
    <row r="153" spans="1:3" ht="15.75" thickBot="1" x14ac:dyDescent="0.3">
      <c r="A153" s="262"/>
      <c r="B153" s="262"/>
      <c r="C153" s="54" t="s">
        <v>462</v>
      </c>
    </row>
    <row r="154" spans="1:3" ht="15.75" thickBot="1" x14ac:dyDescent="0.3">
      <c r="A154" s="263"/>
      <c r="B154" s="263"/>
      <c r="C154" s="54" t="s">
        <v>463</v>
      </c>
    </row>
    <row r="155" spans="1:3" ht="15.75" thickBot="1" x14ac:dyDescent="0.3">
      <c r="A155" s="261" t="s">
        <v>61</v>
      </c>
      <c r="B155" s="261" t="s">
        <v>464</v>
      </c>
      <c r="C155" s="54" t="s">
        <v>465</v>
      </c>
    </row>
    <row r="156" spans="1:3" ht="15.75" thickBot="1" x14ac:dyDescent="0.3">
      <c r="A156" s="263"/>
      <c r="B156" s="263"/>
      <c r="C156" s="54" t="s">
        <v>466</v>
      </c>
    </row>
    <row r="157" spans="1:3" ht="30.75" thickBot="1" x14ac:dyDescent="0.3">
      <c r="A157" s="46" t="s">
        <v>58</v>
      </c>
      <c r="B157" s="54" t="s">
        <v>467</v>
      </c>
      <c r="C157" s="54" t="s">
        <v>58</v>
      </c>
    </row>
    <row r="158" spans="1:3" ht="15.75" thickBot="1" x14ac:dyDescent="0.3">
      <c r="A158" s="46" t="s">
        <v>12</v>
      </c>
      <c r="B158" s="54" t="s">
        <v>468</v>
      </c>
      <c r="C158" s="54" t="s">
        <v>12</v>
      </c>
    </row>
    <row r="159" spans="1:3" ht="15.75" x14ac:dyDescent="0.25">
      <c r="A159" s="76"/>
      <c r="B159"/>
      <c r="C159"/>
    </row>
    <row r="160" spans="1:3" ht="36.75" customHeight="1" x14ac:dyDescent="0.25">
      <c r="A160" s="267" t="s">
        <v>469</v>
      </c>
      <c r="B160" s="268"/>
      <c r="C160" s="268"/>
    </row>
    <row r="161" spans="1:3" ht="16.5" thickBot="1" x14ac:dyDescent="0.3">
      <c r="A161" s="76"/>
      <c r="B161"/>
      <c r="C161"/>
    </row>
    <row r="162" spans="1:3" ht="15.75" thickBot="1" x14ac:dyDescent="0.3">
      <c r="A162" s="73" t="s">
        <v>226</v>
      </c>
      <c r="B162" s="74" t="s">
        <v>307</v>
      </c>
      <c r="C162" s="74" t="s">
        <v>308</v>
      </c>
    </row>
    <row r="163" spans="1:3" ht="30.75" thickBot="1" x14ac:dyDescent="0.3">
      <c r="A163" s="46" t="s">
        <v>44</v>
      </c>
      <c r="B163" s="54" t="s">
        <v>470</v>
      </c>
      <c r="C163" s="54" t="s">
        <v>44</v>
      </c>
    </row>
    <row r="164" spans="1:3" ht="30.75" thickBot="1" x14ac:dyDescent="0.3">
      <c r="A164" s="46" t="s">
        <v>42</v>
      </c>
      <c r="B164" s="54" t="s">
        <v>471</v>
      </c>
      <c r="C164" s="54" t="s">
        <v>42</v>
      </c>
    </row>
    <row r="165" spans="1:3" ht="15.75" thickBot="1" x14ac:dyDescent="0.3">
      <c r="A165" s="46" t="s">
        <v>41</v>
      </c>
      <c r="B165" s="54" t="s">
        <v>472</v>
      </c>
      <c r="C165" s="54" t="s">
        <v>41</v>
      </c>
    </row>
    <row r="166" spans="1:3" ht="15.75" thickBot="1" x14ac:dyDescent="0.3">
      <c r="A166" s="46" t="s">
        <v>43</v>
      </c>
      <c r="B166" s="54" t="s">
        <v>473</v>
      </c>
      <c r="C166" s="54" t="s">
        <v>43</v>
      </c>
    </row>
    <row r="167" spans="1:3" ht="30.75" thickBot="1" x14ac:dyDescent="0.3">
      <c r="A167" s="46" t="s">
        <v>40</v>
      </c>
      <c r="B167" s="54" t="s">
        <v>474</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64</vt:i4>
      </vt:variant>
    </vt:vector>
  </HeadingPairs>
  <TitlesOfParts>
    <vt:vector size="137"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MR-10</vt:lpstr>
      <vt:lpstr>MR-11</vt:lpstr>
      <vt:lpstr>MR-21</vt:lpstr>
      <vt:lpstr>MR-22</vt:lpstr>
      <vt:lpstr>MR-23</vt:lpstr>
      <vt:lpstr>MR-24</vt:lpstr>
      <vt:lpstr>MR-25</vt:lpstr>
      <vt:lpstr>MR-26</vt:lpstr>
      <vt:lpstr>MR-27</vt:lpstr>
      <vt:lpstr>MR-28</vt:lpstr>
      <vt:lpstr>MR-29</vt:lpstr>
      <vt:lpstr>MR-30</vt:lpstr>
      <vt:lpstr>MR-31</vt:lpstr>
      <vt:lpstr>MR-32</vt:lpstr>
      <vt:lpstr>MR-33</vt:lpstr>
      <vt:lpstr>MR-34</vt:lpstr>
      <vt:lpstr>MR-35</vt:lpstr>
      <vt:lpstr>MR-36</vt:lpstr>
      <vt:lpstr>MR-37</vt:lpstr>
      <vt:lpstr>MR-38</vt:lpstr>
      <vt:lpstr>MR-39</vt:lpstr>
      <vt:lpstr>MR-40</vt:lpstr>
      <vt:lpstr>MR-41</vt:lpstr>
      <vt:lpstr>MR-42</vt:lpstr>
      <vt:lpstr>MR-43</vt:lpstr>
      <vt:lpstr>MR-44</vt:lpstr>
      <vt:lpstr>MR-45</vt:lpstr>
      <vt:lpstr>MR-46</vt:lpstr>
      <vt:lpstr>MR-47</vt:lpstr>
      <vt:lpstr>MR-48</vt:lpstr>
      <vt:lpstr>MR-49</vt:lpstr>
      <vt:lpstr>MR-50</vt:lpstr>
      <vt:lpstr>MR-51</vt:lpstr>
      <vt:lpstr>MR-52</vt:lpstr>
      <vt:lpstr>MR-53</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'18'!Print_Area</vt:lpstr>
      <vt:lpstr>'19'!Print_Area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'30'!Print_Area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'MR-21'!Print_Area</vt:lpstr>
      <vt:lpstr>'MR-22'!Print_Area</vt:lpstr>
      <vt:lpstr>'MR-24'!Print_Area</vt:lpstr>
      <vt:lpstr>'MR-25'!Print_Area</vt:lpstr>
      <vt:lpstr>'MR-26'!Print_Area</vt:lpstr>
      <vt:lpstr>'MR-27'!Print_Area</vt:lpstr>
      <vt:lpstr>'MR-28'!Print_Area</vt:lpstr>
      <vt:lpstr>'MR-29'!Print_Area</vt:lpstr>
      <vt:lpstr>'MR-30'!Print_Area</vt:lpstr>
      <vt:lpstr>'MR-31'!Print_Area</vt:lpstr>
      <vt:lpstr>'MR-32'!Print_Area</vt:lpstr>
      <vt:lpstr>'MR-33'!Print_Area</vt:lpstr>
      <vt:lpstr>'MR-34'!Print_Area</vt:lpstr>
      <vt:lpstr>'MR-35'!Print_Area</vt:lpstr>
      <vt:lpstr>'MR-36'!Print_Area</vt:lpstr>
      <vt:lpstr>'MR-37'!Print_Area</vt:lpstr>
      <vt:lpstr>'MR-39'!Print_Area</vt:lpstr>
      <vt:lpstr>'MR-46'!Print_Area</vt:lpstr>
      <vt:lpstr>'MR-49'!Print_Area</vt:lpstr>
      <vt:lpstr>'MR-51'!Print_Area</vt:lpstr>
      <vt:lpstr>'MR-52'!Print_Area</vt:lpstr>
      <vt:lpstr>'MR-53'!Print_Area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Justin Smith</cp:lastModifiedBy>
  <cp:lastPrinted>2015-08-27T15:36:26Z</cp:lastPrinted>
  <dcterms:created xsi:type="dcterms:W3CDTF">2015-03-19T18:31:05Z</dcterms:created>
  <dcterms:modified xsi:type="dcterms:W3CDTF">2015-08-27T18:43:17Z</dcterms:modified>
</cp:coreProperties>
</file>