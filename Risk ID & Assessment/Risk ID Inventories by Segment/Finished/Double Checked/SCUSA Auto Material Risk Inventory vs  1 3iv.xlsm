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updateLinks="never" codeName="ThisWorkbook" defaultThemeVersion="124226"/>
  <workbookProtection workbookPassword="CDE2" lockStructure="1"/>
  <bookViews>
    <workbookView xWindow="0" yWindow="0" windowWidth="19200" windowHeight="7620" tabRatio="894" activeTab="13"/>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r:id="rId14"/>
    <sheet name="MR-1" sheetId="8" r:id="rId15"/>
    <sheet name="MR-2" sheetId="72" r:id="rId16"/>
    <sheet name="MR-3" sheetId="73" r:id="rId17"/>
    <sheet name="MR-4" sheetId="74" r:id="rId18"/>
    <sheet name="MR-5" sheetId="88" r:id="rId19"/>
    <sheet name="MR-6" sheetId="10" r:id="rId20"/>
    <sheet name="MR-7" sheetId="75" r:id="rId21"/>
    <sheet name="MR-8" sheetId="76" r:id="rId22"/>
    <sheet name="MR-9" sheetId="82" r:id="rId23"/>
    <sheet name="MR-12" sheetId="89" r:id="rId24"/>
    <sheet name="MR-13" sheetId="85" r:id="rId25"/>
    <sheet name="MR-14" sheetId="86" r:id="rId26"/>
    <sheet name="MR-15" sheetId="87" r:id="rId27"/>
    <sheet name="5" sheetId="12" r:id="rId28"/>
    <sheet name="6" sheetId="13" r:id="rId29"/>
    <sheet name="7" sheetId="14" r:id="rId30"/>
    <sheet name="8" sheetId="15" r:id="rId31"/>
    <sheet name="9" sheetId="16" r:id="rId32"/>
    <sheet name="10" sheetId="17" r:id="rId33"/>
    <sheet name="11" sheetId="18" r:id="rId34"/>
    <sheet name="12" sheetId="19" r:id="rId35"/>
    <sheet name="13" sheetId="20" r:id="rId36"/>
    <sheet name="14" sheetId="21" r:id="rId37"/>
    <sheet name="15" sheetId="22" r:id="rId38"/>
    <sheet name="Appendix - Risks" sheetId="56" r:id="rId39"/>
  </sheets>
  <externalReferences>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s>
  <definedNames>
    <definedName name="_xlnm._FilterDatabase" localSheetId="10" hidden="1">Sheet5!$A$16:$B$164</definedName>
    <definedName name="_Toc415665089" localSheetId="6">'Emerging and Loss Data'!$A$34</definedName>
    <definedName name="_Toc415665090" localSheetId="7">'Audit Findings'!$A$2</definedName>
    <definedName name="Assumptions" localSheetId="23">[1]Sheet5!#REF!</definedName>
    <definedName name="Assumptions" localSheetId="24">[2]Sheet5!#REF!</definedName>
    <definedName name="Assumptions" localSheetId="25">[3]Sheet5!#REF!</definedName>
    <definedName name="Assumptions" localSheetId="26">[4]Sheet5!#REF!</definedName>
    <definedName name="Assumptions" localSheetId="15">[5]Sheet5!#REF!</definedName>
    <definedName name="Assumptions" localSheetId="16">[6]Sheet5!#REF!</definedName>
    <definedName name="Assumptions" localSheetId="17">[7]Sheet5!#REF!</definedName>
    <definedName name="Assumptions" localSheetId="18">[8]Sheet5!#REF!</definedName>
    <definedName name="Assumptions" localSheetId="20">[9]Sheet5!#REF!</definedName>
    <definedName name="Assumptions" localSheetId="21">[5]Sheet5!#REF!</definedName>
    <definedName name="Assumptions" localSheetId="22">[5]Sheet5!#REF!</definedName>
    <definedName name="Assumptions">Sheet5!#REF!</definedName>
    <definedName name="BasisRisk" localSheetId="23">[1]Sheet5!#REF!</definedName>
    <definedName name="BasisRisk" localSheetId="24">[2]Sheet5!#REF!</definedName>
    <definedName name="BasisRisk" localSheetId="25">[3]Sheet5!#REF!</definedName>
    <definedName name="BasisRisk" localSheetId="26">[4]Sheet5!#REF!</definedName>
    <definedName name="BasisRisk" localSheetId="15">[5]Sheet5!#REF!</definedName>
    <definedName name="BasisRisk" localSheetId="16">[6]Sheet5!#REF!</definedName>
    <definedName name="BasisRisk" localSheetId="17">[7]Sheet5!#REF!</definedName>
    <definedName name="BasisRisk" localSheetId="18">[8]Sheet5!#REF!</definedName>
    <definedName name="BasisRisk" localSheetId="20">[9]Sheet5!#REF!</definedName>
    <definedName name="BasisRisk" localSheetId="21">[5]Sheet5!#REF!</definedName>
    <definedName name="BasisRisk" localSheetId="22">[5]Sheet5!#REF!</definedName>
    <definedName name="BasisRisk">Sheet5!#REF!</definedName>
    <definedName name="BEntity" localSheetId="23">[1]Dropdowns!$C$2:$C$6</definedName>
    <definedName name="BEntity" localSheetId="24">[2]Dropdowns!$C$2:$C$6</definedName>
    <definedName name="BEntity" localSheetId="25">[3]Dropdowns!$C$2:$C$6</definedName>
    <definedName name="BEntity" localSheetId="26">[4]Dropdowns!$C$2:$C$6</definedName>
    <definedName name="BEntity" localSheetId="15">[5]Dropdowns!$C$2:$C$6</definedName>
    <definedName name="BEntity" localSheetId="16">[6]Dropdowns!$C$2:$C$6</definedName>
    <definedName name="BEntity" localSheetId="17">[7]Dropdowns!$C$2:$C$6</definedName>
    <definedName name="BEntity" localSheetId="18">[8]Dropdowns!$C$2:$C$6</definedName>
    <definedName name="BEntity" localSheetId="20">[9]Dropdowns!$C$2:$C$6</definedName>
    <definedName name="BEntity" localSheetId="21">[5]Dropdowns!$C$2:$C$6</definedName>
    <definedName name="BEntity" localSheetId="22">[5]Dropdowns!$C$2:$C$6</definedName>
    <definedName name="BEntity">Dropdowns!$C$2:$C$6</definedName>
    <definedName name="BrandImageCustomersExperience" localSheetId="23">[1]Sheet5!#REF!</definedName>
    <definedName name="BrandImageCustomersExperience" localSheetId="24">[2]Sheet5!#REF!</definedName>
    <definedName name="BrandImageCustomersExperience" localSheetId="25">[3]Sheet5!#REF!</definedName>
    <definedName name="BrandImageCustomersExperience" localSheetId="26">[4]Sheet5!#REF!</definedName>
    <definedName name="BrandImageCustomersExperience" localSheetId="15">[5]Sheet5!#REF!</definedName>
    <definedName name="BrandImageCustomersExperience" localSheetId="16">[6]Sheet5!#REF!</definedName>
    <definedName name="BrandImageCustomersExperience" localSheetId="17">[7]Sheet5!#REF!</definedName>
    <definedName name="BrandImageCustomersExperience" localSheetId="18">[8]Sheet5!#REF!</definedName>
    <definedName name="BrandImageCustomersExperience" localSheetId="20">[9]Sheet5!#REF!</definedName>
    <definedName name="BrandImageCustomersExperience" localSheetId="21">[5]Sheet5!#REF!</definedName>
    <definedName name="BrandImageCustomersExperience" localSheetId="22">[5]Sheet5!#REF!</definedName>
    <definedName name="BrandImageCustomersExperience">Sheet5!#REF!</definedName>
    <definedName name="BSAAMLOFAC" localSheetId="23">[1]Sheet5!#REF!</definedName>
    <definedName name="BSAAMLOFAC" localSheetId="24">[2]Sheet5!#REF!</definedName>
    <definedName name="BSAAMLOFAC" localSheetId="25">[3]Sheet5!#REF!</definedName>
    <definedName name="BSAAMLOFAC" localSheetId="26">[4]Sheet5!#REF!</definedName>
    <definedName name="BSAAMLOFAC" localSheetId="15">[5]Sheet5!#REF!</definedName>
    <definedName name="BSAAMLOFAC" localSheetId="16">[6]Sheet5!#REF!</definedName>
    <definedName name="BSAAMLOFAC" localSheetId="17">[7]Sheet5!#REF!</definedName>
    <definedName name="BSAAMLOFAC" localSheetId="18">[8]Sheet5!#REF!</definedName>
    <definedName name="BSAAMLOFAC" localSheetId="20">[9]Sheet5!#REF!</definedName>
    <definedName name="BSAAMLOFAC" localSheetId="21">[5]Sheet5!#REF!</definedName>
    <definedName name="BSAAMLOFAC" localSheetId="22">[5]Sheet5!#REF!</definedName>
    <definedName name="BSAAMLOFAC">Sheet5!#REF!</definedName>
    <definedName name="BusinessDisruptionandSystemFailures" localSheetId="23">[1]Sheet5!#REF!</definedName>
    <definedName name="BusinessDisruptionandSystemFailures" localSheetId="24">[2]Sheet5!#REF!</definedName>
    <definedName name="BusinessDisruptionandSystemFailures" localSheetId="25">[3]Sheet5!#REF!</definedName>
    <definedName name="BusinessDisruptionandSystemFailures" localSheetId="26">[4]Sheet5!#REF!</definedName>
    <definedName name="BusinessDisruptionandSystemFailures" localSheetId="15">[5]Sheet5!#REF!</definedName>
    <definedName name="BusinessDisruptionandSystemFailures" localSheetId="16">[6]Sheet5!#REF!</definedName>
    <definedName name="BusinessDisruptionandSystemFailures" localSheetId="17">[7]Sheet5!#REF!</definedName>
    <definedName name="BusinessDisruptionandSystemFailures" localSheetId="18">[8]Sheet5!#REF!</definedName>
    <definedName name="BusinessDisruptionandSystemFailures" localSheetId="20">[9]Sheet5!#REF!</definedName>
    <definedName name="BusinessDisruptionandSystemFailures" localSheetId="21">[5]Sheet5!#REF!</definedName>
    <definedName name="BusinessDisruptionandSystemFailures" localSheetId="22">[5]Sheet5!#REF!</definedName>
    <definedName name="BusinessDisruptionandSystemFailures">Sheet5!#REF!</definedName>
    <definedName name="ClientsProductsandBusinessPractices" localSheetId="23">[1]Sheet5!#REF!</definedName>
    <definedName name="ClientsProductsandBusinessPractices" localSheetId="24">[2]Sheet5!#REF!</definedName>
    <definedName name="ClientsProductsandBusinessPractices" localSheetId="25">[3]Sheet5!#REF!</definedName>
    <definedName name="ClientsProductsandBusinessPractices" localSheetId="26">[4]Sheet5!#REF!</definedName>
    <definedName name="ClientsProductsandBusinessPractices" localSheetId="15">[5]Sheet5!#REF!</definedName>
    <definedName name="ClientsProductsandBusinessPractices" localSheetId="16">[6]Sheet5!#REF!</definedName>
    <definedName name="ClientsProductsandBusinessPractices" localSheetId="17">[7]Sheet5!#REF!</definedName>
    <definedName name="ClientsProductsandBusinessPractices" localSheetId="18">[8]Sheet5!#REF!</definedName>
    <definedName name="ClientsProductsandBusinessPractices" localSheetId="20">[9]Sheet5!#REF!</definedName>
    <definedName name="ClientsProductsandBusinessPractices" localSheetId="21">[5]Sheet5!#REF!</definedName>
    <definedName name="ClientsProductsandBusinessPractices" localSheetId="22">[5]Sheet5!#REF!</definedName>
    <definedName name="ClientsProductsandBusinessPractices">Sheet5!#REF!</definedName>
    <definedName name="Collateral" localSheetId="23">[1]Sheet5!#REF!</definedName>
    <definedName name="Collateral" localSheetId="24">[2]Sheet5!#REF!</definedName>
    <definedName name="Collateral" localSheetId="25">[3]Sheet5!#REF!</definedName>
    <definedName name="Collateral" localSheetId="26">[4]Sheet5!#REF!</definedName>
    <definedName name="Collateral" localSheetId="15">[5]Sheet5!#REF!</definedName>
    <definedName name="Collateral" localSheetId="16">[6]Sheet5!#REF!</definedName>
    <definedName name="Collateral" localSheetId="17">[7]Sheet5!#REF!</definedName>
    <definedName name="Collateral" localSheetId="18">[8]Sheet5!#REF!</definedName>
    <definedName name="Collateral" localSheetId="20">[9]Sheet5!#REF!</definedName>
    <definedName name="Collateral" localSheetId="21">[5]Sheet5!#REF!</definedName>
    <definedName name="Collateral" localSheetId="22">[5]Sheet5!#REF!</definedName>
    <definedName name="Collateral">Sheet5!#REF!</definedName>
    <definedName name="Complaints" localSheetId="23">[1]Sheet5!#REF!</definedName>
    <definedName name="Complaints" localSheetId="24">[2]Sheet5!#REF!</definedName>
    <definedName name="Complaints" localSheetId="25">[3]Sheet5!#REF!</definedName>
    <definedName name="Complaints" localSheetId="26">[4]Sheet5!#REF!</definedName>
    <definedName name="Complaints" localSheetId="15">[5]Sheet5!#REF!</definedName>
    <definedName name="Complaints" localSheetId="16">[6]Sheet5!#REF!</definedName>
    <definedName name="Complaints" localSheetId="17">[7]Sheet5!#REF!</definedName>
    <definedName name="Complaints" localSheetId="18">[8]Sheet5!#REF!</definedName>
    <definedName name="Complaints" localSheetId="20">[9]Sheet5!#REF!</definedName>
    <definedName name="Complaints" localSheetId="21">[5]Sheet5!#REF!</definedName>
    <definedName name="Complaints" localSheetId="22">[5]Sheet5!#REF!</definedName>
    <definedName name="Complaints">Sheet5!#REF!</definedName>
    <definedName name="Compliance">Sheet5!$B$1:$B$34</definedName>
    <definedName name="Concentration" localSheetId="23">[1]Sheet5!#REF!</definedName>
    <definedName name="Concentration" localSheetId="24">[2]Sheet5!#REF!</definedName>
    <definedName name="Concentration" localSheetId="25">[3]Sheet5!#REF!</definedName>
    <definedName name="Concentration" localSheetId="26">[4]Sheet5!#REF!</definedName>
    <definedName name="Concentration" localSheetId="15">[5]Sheet5!#REF!</definedName>
    <definedName name="Concentration" localSheetId="16">[6]Sheet5!#REF!</definedName>
    <definedName name="Concentration" localSheetId="17">[7]Sheet5!#REF!</definedName>
    <definedName name="Concentration" localSheetId="18">[8]Sheet5!#REF!</definedName>
    <definedName name="Concentration" localSheetId="20">[9]Sheet5!#REF!</definedName>
    <definedName name="Concentration" localSheetId="21">[5]Sheet5!#REF!</definedName>
    <definedName name="Concentration" localSheetId="22">[5]Sheet5!#REF!</definedName>
    <definedName name="Concentration">Sheet5!#REF!</definedName>
    <definedName name="ContingentLiquidity" localSheetId="23">[1]Sheet5!#REF!</definedName>
    <definedName name="ContingentLiquidity" localSheetId="24">[2]Sheet5!#REF!</definedName>
    <definedName name="ContingentLiquidity" localSheetId="25">[3]Sheet5!#REF!</definedName>
    <definedName name="ContingentLiquidity" localSheetId="26">[4]Sheet5!#REF!</definedName>
    <definedName name="ContingentLiquidity" localSheetId="15">[5]Sheet5!#REF!</definedName>
    <definedName name="ContingentLiquidity" localSheetId="16">[6]Sheet5!#REF!</definedName>
    <definedName name="ContingentLiquidity" localSheetId="17">[7]Sheet5!#REF!</definedName>
    <definedName name="ContingentLiquidity" localSheetId="18">[8]Sheet5!#REF!</definedName>
    <definedName name="ContingentLiquidity" localSheetId="20">[9]Sheet5!#REF!</definedName>
    <definedName name="ContingentLiquidity" localSheetId="21">[5]Sheet5!#REF!</definedName>
    <definedName name="ContingentLiquidity" localSheetId="22">[5]Sheet5!#REF!</definedName>
    <definedName name="ContingentLiquidity">Sheet5!#REF!</definedName>
    <definedName name="Control1" localSheetId="23">[10]Sheet2!$Q$3:$Q$10</definedName>
    <definedName name="Control1" localSheetId="24">[10]Sheet2!$Q$3:$Q$10</definedName>
    <definedName name="Control1" localSheetId="25">[10]Sheet2!$Q$3:$Q$10</definedName>
    <definedName name="Control1" localSheetId="26">[10]Sheet2!$Q$3:$Q$10</definedName>
    <definedName name="Control1" localSheetId="15">[10]Sheet2!$Q$3:$Q$10</definedName>
    <definedName name="Control1" localSheetId="16">[10]Sheet2!$Q$3:$Q$10</definedName>
    <definedName name="Control1" localSheetId="17">[10]Sheet2!$Q$3:$Q$10</definedName>
    <definedName name="Control1" localSheetId="20">[10]Sheet2!$Q$3:$Q$10</definedName>
    <definedName name="Control1" localSheetId="21">[10]Sheet2!$Q$3:$Q$10</definedName>
    <definedName name="Control1" localSheetId="22">[10]Sheet2!$Q$3:$Q$10</definedName>
    <definedName name="Control1">[10]Sheet2!$Q$3:$Q$10</definedName>
    <definedName name="ControlSuite">Dropdowns!$D$2:$D$6</definedName>
    <definedName name="ControlSystems" localSheetId="23">[1]Sheet5!#REF!</definedName>
    <definedName name="ControlSystems" localSheetId="24">[2]Sheet5!#REF!</definedName>
    <definedName name="ControlSystems" localSheetId="25">[3]Sheet5!#REF!</definedName>
    <definedName name="ControlSystems" localSheetId="26">[4]Sheet5!#REF!</definedName>
    <definedName name="ControlSystems" localSheetId="15">[5]Sheet5!#REF!</definedName>
    <definedName name="ControlSystems" localSheetId="16">[6]Sheet5!#REF!</definedName>
    <definedName name="ControlSystems" localSheetId="17">[7]Sheet5!#REF!</definedName>
    <definedName name="ControlSystems" localSheetId="18">[8]Sheet5!#REF!</definedName>
    <definedName name="ControlSystems" localSheetId="20">[9]Sheet5!#REF!</definedName>
    <definedName name="ControlSystems" localSheetId="21">[5]Sheet5!#REF!</definedName>
    <definedName name="ControlSystems" localSheetId="22">[5]Sheet5!#REF!</definedName>
    <definedName name="ControlSystems">Sheet5!#REF!</definedName>
    <definedName name="CoreBankingandFairLending" localSheetId="23">[1]Sheet5!#REF!</definedName>
    <definedName name="CoreBankingandFairLending" localSheetId="24">[2]Sheet5!#REF!</definedName>
    <definedName name="CoreBankingandFairLending" localSheetId="25">[3]Sheet5!#REF!</definedName>
    <definedName name="CoreBankingandFairLending" localSheetId="26">[4]Sheet5!#REF!</definedName>
    <definedName name="CoreBankingandFairLending" localSheetId="15">[5]Sheet5!#REF!</definedName>
    <definedName name="CoreBankingandFairLending" localSheetId="16">[6]Sheet5!#REF!</definedName>
    <definedName name="CoreBankingandFairLending" localSheetId="17">[7]Sheet5!#REF!</definedName>
    <definedName name="CoreBankingandFairLending" localSheetId="18">[8]Sheet5!#REF!</definedName>
    <definedName name="CoreBankingandFairLending" localSheetId="20">[9]Sheet5!#REF!</definedName>
    <definedName name="CoreBankingandFairLending" localSheetId="21">[5]Sheet5!#REF!</definedName>
    <definedName name="CoreBankingandFairLending" localSheetId="22">[5]Sheet5!#REF!</definedName>
    <definedName name="CoreBankingandFairLending">Sheet5!#REF!</definedName>
    <definedName name="Counterparty" localSheetId="23">[1]Sheet5!#REF!</definedName>
    <definedName name="Counterparty" localSheetId="24">[2]Sheet5!#REF!</definedName>
    <definedName name="Counterparty" localSheetId="25">[3]Sheet5!#REF!</definedName>
    <definedName name="Counterparty" localSheetId="26">[4]Sheet5!#REF!</definedName>
    <definedName name="Counterparty" localSheetId="15">[5]Sheet5!#REF!</definedName>
    <definedName name="Counterparty" localSheetId="16">[6]Sheet5!#REF!</definedName>
    <definedName name="Counterparty" localSheetId="17">[7]Sheet5!#REF!</definedName>
    <definedName name="Counterparty" localSheetId="18">[8]Sheet5!#REF!</definedName>
    <definedName name="Counterparty" localSheetId="20">[9]Sheet5!#REF!</definedName>
    <definedName name="Counterparty" localSheetId="21">[5]Sheet5!#REF!</definedName>
    <definedName name="Counterparty" localSheetId="22">[5]Sheet5!#REF!</definedName>
    <definedName name="Counterparty">Sheet5!#REF!</definedName>
    <definedName name="Country" localSheetId="23">[1]Sheet5!#REF!</definedName>
    <definedName name="Country" localSheetId="24">[2]Sheet5!#REF!</definedName>
    <definedName name="Country" localSheetId="25">[3]Sheet5!#REF!</definedName>
    <definedName name="Country" localSheetId="26">[4]Sheet5!#REF!</definedName>
    <definedName name="Country" localSheetId="15">[5]Sheet5!#REF!</definedName>
    <definedName name="Country" localSheetId="16">[6]Sheet5!#REF!</definedName>
    <definedName name="Country" localSheetId="17">[7]Sheet5!#REF!</definedName>
    <definedName name="Country" localSheetId="18">[8]Sheet5!#REF!</definedName>
    <definedName name="Country" localSheetId="20">[9]Sheet5!#REF!</definedName>
    <definedName name="Country" localSheetId="21">[5]Sheet5!#REF!</definedName>
    <definedName name="Country" localSheetId="22">[5]Sheet5!#REF!</definedName>
    <definedName name="Country">Sheet5!#REF!</definedName>
    <definedName name="Credit">Sheet5!$B$35:$B$48</definedName>
    <definedName name="CRR" localSheetId="11">#REF!</definedName>
    <definedName name="CRR" localSheetId="23">#REF!</definedName>
    <definedName name="CRR" localSheetId="24">#REF!</definedName>
    <definedName name="CRR" localSheetId="25">#REF!</definedName>
    <definedName name="CRR" localSheetId="26">#REF!</definedName>
    <definedName name="CRR" localSheetId="15">#REF!</definedName>
    <definedName name="CRR" localSheetId="16">#REF!</definedName>
    <definedName name="CRR" localSheetId="17">#REF!</definedName>
    <definedName name="CRR" localSheetId="18">#REF!</definedName>
    <definedName name="CRR" localSheetId="20">#REF!</definedName>
    <definedName name="CRR" localSheetId="21">#REF!</definedName>
    <definedName name="CRR" localSheetId="22">#REF!</definedName>
    <definedName name="CRR">#REF!</definedName>
    <definedName name="DamagetoPhysicalAssets" localSheetId="23">[1]Sheet5!#REF!</definedName>
    <definedName name="DamagetoPhysicalAssets" localSheetId="24">[2]Sheet5!#REF!</definedName>
    <definedName name="DamagetoPhysicalAssets" localSheetId="25">[3]Sheet5!#REF!</definedName>
    <definedName name="DamagetoPhysicalAssets" localSheetId="26">[4]Sheet5!#REF!</definedName>
    <definedName name="DamagetoPhysicalAssets" localSheetId="15">[5]Sheet5!#REF!</definedName>
    <definedName name="DamagetoPhysicalAssets" localSheetId="16">[6]Sheet5!#REF!</definedName>
    <definedName name="DamagetoPhysicalAssets" localSheetId="17">[7]Sheet5!#REF!</definedName>
    <definedName name="DamagetoPhysicalAssets" localSheetId="18">[8]Sheet5!#REF!</definedName>
    <definedName name="DamagetoPhysicalAssets" localSheetId="20">[9]Sheet5!#REF!</definedName>
    <definedName name="DamagetoPhysicalAssets" localSheetId="21">[5]Sheet5!#REF!</definedName>
    <definedName name="DamagetoPhysicalAssets" localSheetId="22">[5]Sheet5!#REF!</definedName>
    <definedName name="DamagetoPhysicalAssets">Sheet5!#REF!</definedName>
    <definedName name="DataAvailability" localSheetId="23">[1]Sheet5!#REF!</definedName>
    <definedName name="DataAvailability" localSheetId="24">[2]Sheet5!#REF!</definedName>
    <definedName name="DataAvailability" localSheetId="25">[3]Sheet5!#REF!</definedName>
    <definedName name="DataAvailability" localSheetId="26">[4]Sheet5!#REF!</definedName>
    <definedName name="DataAvailability" localSheetId="15">[5]Sheet5!#REF!</definedName>
    <definedName name="DataAvailability" localSheetId="16">[6]Sheet5!#REF!</definedName>
    <definedName name="DataAvailability" localSheetId="17">[7]Sheet5!#REF!</definedName>
    <definedName name="DataAvailability" localSheetId="18">[8]Sheet5!#REF!</definedName>
    <definedName name="DataAvailability" localSheetId="20">[9]Sheet5!#REF!</definedName>
    <definedName name="DataAvailability" localSheetId="21">[5]Sheet5!#REF!</definedName>
    <definedName name="DataAvailability" localSheetId="22">[5]Sheet5!#REF!</definedName>
    <definedName name="DataAvailability">Sheet5!#REF!</definedName>
    <definedName name="DataReportingFramework" localSheetId="23">[1]Sheet5!#REF!</definedName>
    <definedName name="DataReportingFramework" localSheetId="24">[2]Sheet5!#REF!</definedName>
    <definedName name="DataReportingFramework" localSheetId="25">[3]Sheet5!#REF!</definedName>
    <definedName name="DataReportingFramework" localSheetId="26">[4]Sheet5!#REF!</definedName>
    <definedName name="DataReportingFramework" localSheetId="15">[5]Sheet5!#REF!</definedName>
    <definedName name="DataReportingFramework" localSheetId="16">[6]Sheet5!#REF!</definedName>
    <definedName name="DataReportingFramework" localSheetId="17">[7]Sheet5!#REF!</definedName>
    <definedName name="DataReportingFramework" localSheetId="18">[8]Sheet5!#REF!</definedName>
    <definedName name="DataReportingFramework" localSheetId="20">[9]Sheet5!#REF!</definedName>
    <definedName name="DataReportingFramework" localSheetId="21">[5]Sheet5!#REF!</definedName>
    <definedName name="DataReportingFramework" localSheetId="22">[5]Sheet5!#REF!</definedName>
    <definedName name="DataReportingFramework">Sheet5!#REF!</definedName>
    <definedName name="DataRiskAggregationCapabilities" localSheetId="23">[1]Sheet5!#REF!</definedName>
    <definedName name="DataRiskAggregationCapabilities" localSheetId="24">[2]Sheet5!#REF!</definedName>
    <definedName name="DataRiskAggregationCapabilities" localSheetId="25">[3]Sheet5!#REF!</definedName>
    <definedName name="DataRiskAggregationCapabilities" localSheetId="26">[4]Sheet5!#REF!</definedName>
    <definedName name="DataRiskAggregationCapabilities" localSheetId="15">[5]Sheet5!#REF!</definedName>
    <definedName name="DataRiskAggregationCapabilities" localSheetId="16">[6]Sheet5!#REF!</definedName>
    <definedName name="DataRiskAggregationCapabilities" localSheetId="17">[7]Sheet5!#REF!</definedName>
    <definedName name="DataRiskAggregationCapabilities" localSheetId="18">[8]Sheet5!#REF!</definedName>
    <definedName name="DataRiskAggregationCapabilities" localSheetId="20">[9]Sheet5!#REF!</definedName>
    <definedName name="DataRiskAggregationCapabilities" localSheetId="21">[5]Sheet5!#REF!</definedName>
    <definedName name="DataRiskAggregationCapabilities" localSheetId="22">[5]Sheet5!#REF!</definedName>
    <definedName name="DataRiskAggregationCapabilities">Sheet5!#REF!</definedName>
    <definedName name="Decision" localSheetId="23">[1]Dropdowns!#REF!</definedName>
    <definedName name="Decision" localSheetId="24">[2]Dropdowns!#REF!</definedName>
    <definedName name="Decision" localSheetId="25">[3]Dropdowns!#REF!</definedName>
    <definedName name="Decision" localSheetId="26">[4]Dropdowns!#REF!</definedName>
    <definedName name="Decision" localSheetId="15">[5]Dropdowns!#REF!</definedName>
    <definedName name="Decision" localSheetId="16">[6]Dropdowns!#REF!</definedName>
    <definedName name="Decision" localSheetId="17">[7]Dropdowns!#REF!</definedName>
    <definedName name="Decision" localSheetId="18">[8]Dropdowns!#REF!</definedName>
    <definedName name="Decision" localSheetId="20">[9]Dropdowns!#REF!</definedName>
    <definedName name="Decision" localSheetId="21">[5]Dropdowns!#REF!</definedName>
    <definedName name="Decision" localSheetId="22">[5]Dropdowns!#REF!</definedName>
    <definedName name="Decision">Dropdowns!#REF!</definedName>
    <definedName name="Deterioration" localSheetId="23">[1]Sheet5!#REF!</definedName>
    <definedName name="Deterioration" localSheetId="24">[2]Sheet5!#REF!</definedName>
    <definedName name="Deterioration" localSheetId="25">[3]Sheet5!#REF!</definedName>
    <definedName name="Deterioration" localSheetId="26">[4]Sheet5!#REF!</definedName>
    <definedName name="Deterioration" localSheetId="15">[5]Sheet5!#REF!</definedName>
    <definedName name="Deterioration" localSheetId="16">[6]Sheet5!#REF!</definedName>
    <definedName name="Deterioration" localSheetId="17">[7]Sheet5!#REF!</definedName>
    <definedName name="Deterioration" localSheetId="18">[8]Sheet5!#REF!</definedName>
    <definedName name="Deterioration" localSheetId="20">[9]Sheet5!#REF!</definedName>
    <definedName name="Deterioration" localSheetId="21">[5]Sheet5!#REF!</definedName>
    <definedName name="Deterioration" localSheetId="22">[5]Sheet5!#REF!</definedName>
    <definedName name="Deterioration">Sheet5!#REF!</definedName>
    <definedName name="Drivers" localSheetId="23">[1]Dropdowns!$B$2:$B$28</definedName>
    <definedName name="Drivers" localSheetId="24">[2]Dropdowns!$B$2:$B$28</definedName>
    <definedName name="Drivers" localSheetId="25">[3]Dropdowns!$B$2:$B$28</definedName>
    <definedName name="Drivers" localSheetId="26">[4]Dropdowns!$B$2:$B$28</definedName>
    <definedName name="Drivers" localSheetId="15">[5]Dropdowns!$B$2:$B$28</definedName>
    <definedName name="Drivers" localSheetId="16">[6]Dropdowns!$B$2:$B$28</definedName>
    <definedName name="Drivers" localSheetId="17">[7]Dropdowns!$B$2:$B$28</definedName>
    <definedName name="Drivers" localSheetId="18">[8]Dropdowns!$B$2:$B$28</definedName>
    <definedName name="Drivers" localSheetId="20">[9]Dropdowns!$B$2:$B$28</definedName>
    <definedName name="Drivers" localSheetId="21">[5]Dropdowns!$B$2:$B$28</definedName>
    <definedName name="Drivers" localSheetId="22">[5]Dropdowns!$B$2:$B$28</definedName>
    <definedName name="Drivers">Dropdowns!$B$2:$B$28</definedName>
    <definedName name="EmploymentPracticesWorkplaceSafety" localSheetId="23">[1]Sheet5!#REF!</definedName>
    <definedName name="EmploymentPracticesWorkplaceSafety" localSheetId="24">[2]Sheet5!#REF!</definedName>
    <definedName name="EmploymentPracticesWorkplaceSafety" localSheetId="25">[3]Sheet5!#REF!</definedName>
    <definedName name="EmploymentPracticesWorkplaceSafety" localSheetId="26">[4]Sheet5!#REF!</definedName>
    <definedName name="EmploymentPracticesWorkplaceSafety" localSheetId="15">[5]Sheet5!#REF!</definedName>
    <definedName name="EmploymentPracticesWorkplaceSafety" localSheetId="16">[6]Sheet5!#REF!</definedName>
    <definedName name="EmploymentPracticesWorkplaceSafety" localSheetId="17">[7]Sheet5!#REF!</definedName>
    <definedName name="EmploymentPracticesWorkplaceSafety" localSheetId="18">[8]Sheet5!#REF!</definedName>
    <definedName name="EmploymentPracticesWorkplaceSafety" localSheetId="20">[9]Sheet5!#REF!</definedName>
    <definedName name="EmploymentPracticesWorkplaceSafety" localSheetId="21">[5]Sheet5!#REF!</definedName>
    <definedName name="EmploymentPracticesWorkplaceSafety" localSheetId="22">[5]Sheet5!#REF!</definedName>
    <definedName name="EmploymentPracticesWorkplaceSafety">Sheet5!#REF!</definedName>
    <definedName name="ExecutionDeliveryandProcessManagement" localSheetId="23">[1]Sheet5!#REF!</definedName>
    <definedName name="ExecutionDeliveryandProcessManagement" localSheetId="24">[2]Sheet5!#REF!</definedName>
    <definedName name="ExecutionDeliveryandProcessManagement" localSheetId="25">[3]Sheet5!#REF!</definedName>
    <definedName name="ExecutionDeliveryandProcessManagement" localSheetId="26">[4]Sheet5!#REF!</definedName>
    <definedName name="ExecutionDeliveryandProcessManagement" localSheetId="15">[5]Sheet5!#REF!</definedName>
    <definedName name="ExecutionDeliveryandProcessManagement" localSheetId="16">[6]Sheet5!#REF!</definedName>
    <definedName name="ExecutionDeliveryandProcessManagement" localSheetId="17">[7]Sheet5!#REF!</definedName>
    <definedName name="ExecutionDeliveryandProcessManagement" localSheetId="18">[8]Sheet5!#REF!</definedName>
    <definedName name="ExecutionDeliveryandProcessManagement" localSheetId="20">[9]Sheet5!#REF!</definedName>
    <definedName name="ExecutionDeliveryandProcessManagement" localSheetId="21">[5]Sheet5!#REF!</definedName>
    <definedName name="ExecutionDeliveryandProcessManagement" localSheetId="22">[5]Sheet5!#REF!</definedName>
    <definedName name="ExecutionDeliveryandProcessManagement">Sheet5!#REF!</definedName>
    <definedName name="ExpansionRisk" localSheetId="23">[1]Sheet5!#REF!</definedName>
    <definedName name="ExpansionRisk" localSheetId="24">[2]Sheet5!#REF!</definedName>
    <definedName name="ExpansionRisk" localSheetId="25">[3]Sheet5!#REF!</definedName>
    <definedName name="ExpansionRisk" localSheetId="26">[4]Sheet5!#REF!</definedName>
    <definedName name="ExpansionRisk" localSheetId="15">[5]Sheet5!#REF!</definedName>
    <definedName name="ExpansionRisk" localSheetId="16">[6]Sheet5!#REF!</definedName>
    <definedName name="ExpansionRisk" localSheetId="17">[7]Sheet5!#REF!</definedName>
    <definedName name="ExpansionRisk" localSheetId="18">[8]Sheet5!#REF!</definedName>
    <definedName name="ExpansionRisk" localSheetId="20">[9]Sheet5!#REF!</definedName>
    <definedName name="ExpansionRisk" localSheetId="21">[5]Sheet5!#REF!</definedName>
    <definedName name="ExpansionRisk" localSheetId="22">[5]Sheet5!#REF!</definedName>
    <definedName name="ExpansionRisk">Sheet5!#REF!</definedName>
    <definedName name="ExternalFactors" localSheetId="23">[1]Sheet5!#REF!</definedName>
    <definedName name="ExternalFactors" localSheetId="24">[2]Sheet5!#REF!</definedName>
    <definedName name="ExternalFactors" localSheetId="25">[3]Sheet5!#REF!</definedName>
    <definedName name="ExternalFactors" localSheetId="26">[4]Sheet5!#REF!</definedName>
    <definedName name="ExternalFactors" localSheetId="15">[5]Sheet5!#REF!</definedName>
    <definedName name="ExternalFactors" localSheetId="16">[6]Sheet5!#REF!</definedName>
    <definedName name="ExternalFactors" localSheetId="17">[7]Sheet5!#REF!</definedName>
    <definedName name="ExternalFactors" localSheetId="18">[8]Sheet5!#REF!</definedName>
    <definedName name="ExternalFactors" localSheetId="20">[9]Sheet5!#REF!</definedName>
    <definedName name="ExternalFactors" localSheetId="21">[5]Sheet5!#REF!</definedName>
    <definedName name="ExternalFactors" localSheetId="22">[5]Sheet5!#REF!</definedName>
    <definedName name="ExternalFactors">Sheet5!#REF!</definedName>
    <definedName name="ExternalFraud" localSheetId="23">[1]Sheet5!#REF!</definedName>
    <definedName name="ExternalFraud" localSheetId="24">[2]Sheet5!#REF!</definedName>
    <definedName name="ExternalFraud" localSheetId="25">[3]Sheet5!#REF!</definedName>
    <definedName name="ExternalFraud" localSheetId="26">[4]Sheet5!#REF!</definedName>
    <definedName name="ExternalFraud" localSheetId="15">[5]Sheet5!#REF!</definedName>
    <definedName name="ExternalFraud" localSheetId="16">[6]Sheet5!#REF!</definedName>
    <definedName name="ExternalFraud" localSheetId="17">[7]Sheet5!#REF!</definedName>
    <definedName name="ExternalFraud" localSheetId="18">[8]Sheet5!#REF!</definedName>
    <definedName name="ExternalFraud" localSheetId="20">[9]Sheet5!#REF!</definedName>
    <definedName name="ExternalFraud" localSheetId="21">[5]Sheet5!#REF!</definedName>
    <definedName name="ExternalFraud" localSheetId="22">[5]Sheet5!#REF!</definedName>
    <definedName name="ExternalFraud">Sheet5!#REF!</definedName>
    <definedName name="FundingLiquidity" localSheetId="23">[1]Sheet5!#REF!</definedName>
    <definedName name="FundingLiquidity" localSheetId="24">[2]Sheet5!#REF!</definedName>
    <definedName name="FundingLiquidity" localSheetId="25">[3]Sheet5!#REF!</definedName>
    <definedName name="FundingLiquidity" localSheetId="26">[4]Sheet5!#REF!</definedName>
    <definedName name="FundingLiquidity" localSheetId="15">[5]Sheet5!#REF!</definedName>
    <definedName name="FundingLiquidity" localSheetId="16">[6]Sheet5!#REF!</definedName>
    <definedName name="FundingLiquidity" localSheetId="17">[7]Sheet5!#REF!</definedName>
    <definedName name="FundingLiquidity" localSheetId="18">[8]Sheet5!#REF!</definedName>
    <definedName name="FundingLiquidity" localSheetId="20">[9]Sheet5!#REF!</definedName>
    <definedName name="FundingLiquidity" localSheetId="21">[5]Sheet5!#REF!</definedName>
    <definedName name="FundingLiquidity" localSheetId="22">[5]Sheet5!#REF!</definedName>
    <definedName name="FundingLiquidity">Sheet5!#REF!</definedName>
    <definedName name="Governance" localSheetId="23">[1]Sheet5!#REF!</definedName>
    <definedName name="Governance" localSheetId="24">[2]Sheet5!#REF!</definedName>
    <definedName name="Governance" localSheetId="25">[3]Sheet5!#REF!</definedName>
    <definedName name="Governance" localSheetId="26">[4]Sheet5!#REF!</definedName>
    <definedName name="Governance" localSheetId="15">[5]Sheet5!#REF!</definedName>
    <definedName name="Governance" localSheetId="16">[6]Sheet5!#REF!</definedName>
    <definedName name="Governance" localSheetId="17">[7]Sheet5!#REF!</definedName>
    <definedName name="Governance" localSheetId="18">[8]Sheet5!#REF!</definedName>
    <definedName name="Governance" localSheetId="20">[9]Sheet5!#REF!</definedName>
    <definedName name="Governance" localSheetId="21">[5]Sheet5!#REF!</definedName>
    <definedName name="Governance" localSheetId="22">[5]Sheet5!#REF!</definedName>
    <definedName name="Governance">Sheet5!#REF!</definedName>
    <definedName name="Impact" localSheetId="23">[1]Dropdowns!#REF!</definedName>
    <definedName name="Impact" localSheetId="24">[2]Dropdowns!#REF!</definedName>
    <definedName name="Impact" localSheetId="25">[3]Dropdowns!#REF!</definedName>
    <definedName name="Impact" localSheetId="26">[4]Dropdowns!#REF!</definedName>
    <definedName name="Impact" localSheetId="15">[5]Dropdowns!#REF!</definedName>
    <definedName name="Impact" localSheetId="16">[6]Dropdowns!#REF!</definedName>
    <definedName name="Impact" localSheetId="17">[7]Dropdowns!#REF!</definedName>
    <definedName name="Impact" localSheetId="18">[8]Dropdowns!#REF!</definedName>
    <definedName name="Impact" localSheetId="20">[9]Dropdowns!#REF!</definedName>
    <definedName name="Impact" localSheetId="21">[5]Dropdowns!#REF!</definedName>
    <definedName name="Impact" localSheetId="22">[5]Dropdowns!#REF!</definedName>
    <definedName name="Impact">Dropdowns!#REF!</definedName>
    <definedName name="Impact2" localSheetId="23">[1]Dropdowns!#REF!</definedName>
    <definedName name="Impact2" localSheetId="24">[2]Dropdowns!#REF!</definedName>
    <definedName name="Impact2" localSheetId="25">[3]Dropdowns!#REF!</definedName>
    <definedName name="Impact2" localSheetId="26">[4]Dropdowns!#REF!</definedName>
    <definedName name="Impact2" localSheetId="15">[5]Dropdowns!#REF!</definedName>
    <definedName name="Impact2" localSheetId="16">[6]Dropdowns!#REF!</definedName>
    <definedName name="Impact2" localSheetId="17">[7]Dropdowns!#REF!</definedName>
    <definedName name="Impact2" localSheetId="18">[8]Dropdowns!#REF!</definedName>
    <definedName name="Impact2" localSheetId="20">[9]Dropdowns!#REF!</definedName>
    <definedName name="Impact2" localSheetId="21">[5]Dropdowns!#REF!</definedName>
    <definedName name="Impact2" localSheetId="22">[5]Dropdowns!#REF!</definedName>
    <definedName name="Impact2">Dropdowns!#REF!</definedName>
    <definedName name="Impacts" localSheetId="23">[1]Dropdowns!#REF!</definedName>
    <definedName name="Impacts" localSheetId="24">[2]Dropdowns!#REF!</definedName>
    <definedName name="Impacts" localSheetId="25">[3]Dropdowns!#REF!</definedName>
    <definedName name="Impacts" localSheetId="26">[4]Dropdowns!#REF!</definedName>
    <definedName name="Impacts" localSheetId="15">[5]Dropdowns!#REF!</definedName>
    <definedName name="Impacts" localSheetId="16">[6]Dropdowns!#REF!</definedName>
    <definedName name="Impacts" localSheetId="17">[7]Dropdowns!#REF!</definedName>
    <definedName name="Impacts" localSheetId="18">[8]Dropdowns!#REF!</definedName>
    <definedName name="Impacts" localSheetId="20">[9]Dropdowns!#REF!</definedName>
    <definedName name="Impacts" localSheetId="21">[5]Dropdowns!#REF!</definedName>
    <definedName name="Impacts" localSheetId="22">[5]Dropdowns!#REF!</definedName>
    <definedName name="Impacts">Dropdowns!#REF!</definedName>
    <definedName name="Indicator" localSheetId="23">[1]Dropdowns!#REF!</definedName>
    <definedName name="Indicator" localSheetId="24">[2]Dropdowns!#REF!</definedName>
    <definedName name="Indicator" localSheetId="25">[3]Dropdowns!#REF!</definedName>
    <definedName name="Indicator" localSheetId="26">[4]Dropdowns!#REF!</definedName>
    <definedName name="Indicator" localSheetId="15">[5]Dropdowns!#REF!</definedName>
    <definedName name="Indicator" localSheetId="16">[6]Dropdowns!#REF!</definedName>
    <definedName name="Indicator" localSheetId="17">[7]Dropdowns!#REF!</definedName>
    <definedName name="Indicator" localSheetId="18">[8]Dropdowns!#REF!</definedName>
    <definedName name="Indicator" localSheetId="20">[9]Dropdowns!#REF!</definedName>
    <definedName name="Indicator" localSheetId="21">[5]Dropdowns!#REF!</definedName>
    <definedName name="Indicator" localSheetId="22">[5]Dropdowns!#REF!</definedName>
    <definedName name="Indicator">Dropdowns!#REF!</definedName>
    <definedName name="InternalFraud" localSheetId="23">[1]Sheet5!#REF!</definedName>
    <definedName name="InternalFraud" localSheetId="24">[2]Sheet5!#REF!</definedName>
    <definedName name="InternalFraud" localSheetId="25">[3]Sheet5!#REF!</definedName>
    <definedName name="InternalFraud" localSheetId="26">[4]Sheet5!#REF!</definedName>
    <definedName name="InternalFraud" localSheetId="15">[5]Sheet5!#REF!</definedName>
    <definedName name="InternalFraud" localSheetId="16">[6]Sheet5!#REF!</definedName>
    <definedName name="InternalFraud" localSheetId="17">[7]Sheet5!#REF!</definedName>
    <definedName name="InternalFraud" localSheetId="18">[8]Sheet5!#REF!</definedName>
    <definedName name="InternalFraud" localSheetId="20">[9]Sheet5!#REF!</definedName>
    <definedName name="InternalFraud" localSheetId="21">[5]Sheet5!#REF!</definedName>
    <definedName name="InternalFraud" localSheetId="22">[5]Sheet5!#REF!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 localSheetId="23">[1]Dropdowns!$A$2:$A$6</definedName>
    <definedName name="IR" localSheetId="24">[2]Dropdowns!$A$2:$A$6</definedName>
    <definedName name="IR" localSheetId="25">[3]Dropdowns!$A$2:$A$6</definedName>
    <definedName name="IR" localSheetId="26">[4]Dropdowns!$A$2:$A$6</definedName>
    <definedName name="IR" localSheetId="15">[5]Dropdowns!$A$2:$A$6</definedName>
    <definedName name="IR" localSheetId="16">[6]Dropdowns!$A$2:$A$6</definedName>
    <definedName name="IR" localSheetId="17">[7]Dropdowns!$A$2:$A$6</definedName>
    <definedName name="IR" localSheetId="18">[8]Dropdowns!$A$2:$A$6</definedName>
    <definedName name="IR" localSheetId="20">[9]Dropdowns!$A$2:$A$6</definedName>
    <definedName name="IR" localSheetId="21">[5]Dropdowns!$A$2:$A$6</definedName>
    <definedName name="IR" localSheetId="22">[5]Dropdowns!$A$2:$A$6</definedName>
    <definedName name="IR">Dropdowns!$A$2:$A$6</definedName>
    <definedName name="IRR" localSheetId="11">#REF!</definedName>
    <definedName name="IRR" localSheetId="23">#REF!</definedName>
    <definedName name="IRR" localSheetId="24">#REF!</definedName>
    <definedName name="IRR" localSheetId="25">#REF!</definedName>
    <definedName name="IRR" localSheetId="26">#REF!</definedName>
    <definedName name="IRR" localSheetId="15">#REF!</definedName>
    <definedName name="IRR" localSheetId="16">#REF!</definedName>
    <definedName name="IRR" localSheetId="17">#REF!</definedName>
    <definedName name="IRR" localSheetId="18">#REF!</definedName>
    <definedName name="IRR" localSheetId="20">#REF!</definedName>
    <definedName name="IRR" localSheetId="21">#REF!</definedName>
    <definedName name="IRR" localSheetId="22">#REF!</definedName>
    <definedName name="IRR">#REF!</definedName>
    <definedName name="IssuerBorrower" localSheetId="23">[1]Sheet5!#REF!</definedName>
    <definedName name="IssuerBorrower" localSheetId="24">[2]Sheet5!#REF!</definedName>
    <definedName name="IssuerBorrower" localSheetId="25">[3]Sheet5!#REF!</definedName>
    <definedName name="IssuerBorrower" localSheetId="26">[4]Sheet5!#REF!</definedName>
    <definedName name="IssuerBorrower" localSheetId="15">[5]Sheet5!#REF!</definedName>
    <definedName name="IssuerBorrower" localSheetId="16">[6]Sheet5!#REF!</definedName>
    <definedName name="IssuerBorrower" localSheetId="17">[7]Sheet5!#REF!</definedName>
    <definedName name="IssuerBorrower" localSheetId="18">[8]Sheet5!#REF!</definedName>
    <definedName name="IssuerBorrower" localSheetId="20">[9]Sheet5!#REF!</definedName>
    <definedName name="IssuerBorrower" localSheetId="21">[5]Sheet5!#REF!</definedName>
    <definedName name="IssuerBorrower" localSheetId="22">[5]Sheet5!#REF!</definedName>
    <definedName name="IssuerBorrower">Sheet5!#REF!</definedName>
    <definedName name="Legal" localSheetId="23">[1]Sheet5!#REF!</definedName>
    <definedName name="Legal" localSheetId="24">[2]Sheet5!#REF!</definedName>
    <definedName name="Legal" localSheetId="25">[3]Sheet5!#REF!</definedName>
    <definedName name="Legal" localSheetId="26">[4]Sheet5!#REF!</definedName>
    <definedName name="Legal" localSheetId="15">[5]Sheet5!#REF!</definedName>
    <definedName name="Legal" localSheetId="16">[6]Sheet5!#REF!</definedName>
    <definedName name="Legal" localSheetId="17">[7]Sheet5!#REF!</definedName>
    <definedName name="Legal" localSheetId="18">[8]Sheet5!#REF!</definedName>
    <definedName name="Legal" localSheetId="20">[9]Sheet5!#REF!</definedName>
    <definedName name="Legal" localSheetId="21">[5]Sheet5!#REF!</definedName>
    <definedName name="Legal" localSheetId="22">[5]Sheet5!#REF!</definedName>
    <definedName name="Legal">Sheet5!#REF!</definedName>
    <definedName name="Likelihood" localSheetId="23">[1]Dropdowns!#REF!</definedName>
    <definedName name="Likelihood" localSheetId="24">[2]Dropdowns!#REF!</definedName>
    <definedName name="Likelihood" localSheetId="25">[3]Dropdowns!#REF!</definedName>
    <definedName name="Likelihood" localSheetId="26">[4]Dropdowns!#REF!</definedName>
    <definedName name="Likelihood" localSheetId="15">[5]Dropdowns!#REF!</definedName>
    <definedName name="Likelihood" localSheetId="16">[6]Dropdowns!#REF!</definedName>
    <definedName name="Likelihood" localSheetId="17">[7]Dropdowns!#REF!</definedName>
    <definedName name="Likelihood" localSheetId="18">[8]Dropdowns!#REF!</definedName>
    <definedName name="Likelihood" localSheetId="20">[9]Dropdowns!#REF!</definedName>
    <definedName name="Likelihood" localSheetId="21">[5]Dropdowns!#REF!</definedName>
    <definedName name="Likelihood" localSheetId="22">[5]Dropdowns!#REF!</definedName>
    <definedName name="Likelihood">Dropdowns!#REF!</definedName>
    <definedName name="Limit" localSheetId="23">[1]Dropdowns!#REF!</definedName>
    <definedName name="Limit" localSheetId="24">[2]Dropdowns!#REF!</definedName>
    <definedName name="Limit" localSheetId="25">[3]Dropdowns!#REF!</definedName>
    <definedName name="Limit" localSheetId="26">[4]Dropdowns!#REF!</definedName>
    <definedName name="Limit" localSheetId="15">[5]Dropdowns!#REF!</definedName>
    <definedName name="Limit" localSheetId="16">[6]Dropdowns!#REF!</definedName>
    <definedName name="Limit" localSheetId="17">[7]Dropdowns!#REF!</definedName>
    <definedName name="Limit" localSheetId="18">[8]Dropdowns!#REF!</definedName>
    <definedName name="Limit" localSheetId="20">[9]Dropdowns!#REF!</definedName>
    <definedName name="Limit" localSheetId="21">[5]Dropdowns!#REF!</definedName>
    <definedName name="Limit" localSheetId="22">[5]Dropdowns!#REF!</definedName>
    <definedName name="Limit">Dropdowns!#REF!</definedName>
    <definedName name="Liquidity">Sheet5!$B$49:$B$62</definedName>
    <definedName name="Litigations" localSheetId="23">[1]Sheet5!#REF!</definedName>
    <definedName name="Litigations" localSheetId="24">[2]Sheet5!#REF!</definedName>
    <definedName name="Litigations" localSheetId="25">[3]Sheet5!#REF!</definedName>
    <definedName name="Litigations" localSheetId="26">[4]Sheet5!#REF!</definedName>
    <definedName name="Litigations" localSheetId="15">[5]Sheet5!#REF!</definedName>
    <definedName name="Litigations" localSheetId="16">[6]Sheet5!#REF!</definedName>
    <definedName name="Litigations" localSheetId="17">[7]Sheet5!#REF!</definedName>
    <definedName name="Litigations" localSheetId="18">[8]Sheet5!#REF!</definedName>
    <definedName name="Litigations" localSheetId="20">[9]Sheet5!#REF!</definedName>
    <definedName name="Litigations" localSheetId="21">[5]Sheet5!#REF!</definedName>
    <definedName name="Litigations" localSheetId="22">[5]Sheet5!#REF!</definedName>
    <definedName name="Litigations">Sheet5!#REF!</definedName>
    <definedName name="LOB" localSheetId="23">[1]Dropdowns!#REF!</definedName>
    <definedName name="LOB" localSheetId="24">[2]Dropdowns!#REF!</definedName>
    <definedName name="LOB" localSheetId="25">[3]Dropdowns!#REF!</definedName>
    <definedName name="LOB" localSheetId="26">[4]Dropdowns!#REF!</definedName>
    <definedName name="LOB" localSheetId="15">[5]Dropdowns!#REF!</definedName>
    <definedName name="LOB" localSheetId="16">[6]Dropdowns!#REF!</definedName>
    <definedName name="LOB" localSheetId="17">[7]Dropdowns!#REF!</definedName>
    <definedName name="LOB" localSheetId="18">[8]Dropdowns!#REF!</definedName>
    <definedName name="LOB" localSheetId="20">[9]Dropdowns!#REF!</definedName>
    <definedName name="LOB" localSheetId="21">[5]Dropdowns!#REF!</definedName>
    <definedName name="LOB" localSheetId="22">[5]Dropdowns!#REF!</definedName>
    <definedName name="LOB">Dropdowns!#REF!</definedName>
    <definedName name="ManagementandOtherPersonnel" localSheetId="23">[1]Sheet5!#REF!</definedName>
    <definedName name="ManagementandOtherPersonnel" localSheetId="24">[2]Sheet5!#REF!</definedName>
    <definedName name="ManagementandOtherPersonnel" localSheetId="25">[3]Sheet5!#REF!</definedName>
    <definedName name="ManagementandOtherPersonnel" localSheetId="26">[4]Sheet5!#REF!</definedName>
    <definedName name="ManagementandOtherPersonnel" localSheetId="15">[5]Sheet5!#REF!</definedName>
    <definedName name="ManagementandOtherPersonnel" localSheetId="16">[6]Sheet5!#REF!</definedName>
    <definedName name="ManagementandOtherPersonnel" localSheetId="17">[7]Sheet5!#REF!</definedName>
    <definedName name="ManagementandOtherPersonnel" localSheetId="18">[8]Sheet5!#REF!</definedName>
    <definedName name="ManagementandOtherPersonnel" localSheetId="20">[9]Sheet5!#REF!</definedName>
    <definedName name="ManagementandOtherPersonnel" localSheetId="21">[5]Sheet5!#REF!</definedName>
    <definedName name="ManagementandOtherPersonnel" localSheetId="22">[5]Sheet5!#REF!</definedName>
    <definedName name="ManagementandOtherPersonnel">Sheet5!#REF!</definedName>
    <definedName name="ManagementInformationSystems" localSheetId="23">[1]Sheet5!#REF!</definedName>
    <definedName name="ManagementInformationSystems" localSheetId="24">[2]Sheet5!#REF!</definedName>
    <definedName name="ManagementInformationSystems" localSheetId="25">[3]Sheet5!#REF!</definedName>
    <definedName name="ManagementInformationSystems" localSheetId="26">[4]Sheet5!#REF!</definedName>
    <definedName name="ManagementInformationSystems" localSheetId="15">[5]Sheet5!#REF!</definedName>
    <definedName name="ManagementInformationSystems" localSheetId="16">[6]Sheet5!#REF!</definedName>
    <definedName name="ManagementInformationSystems" localSheetId="17">[7]Sheet5!#REF!</definedName>
    <definedName name="ManagementInformationSystems" localSheetId="18">[8]Sheet5!#REF!</definedName>
    <definedName name="ManagementInformationSystems" localSheetId="20">[9]Sheet5!#REF!</definedName>
    <definedName name="ManagementInformationSystems" localSheetId="21">[5]Sheet5!#REF!</definedName>
    <definedName name="ManagementInformationSystems" localSheetId="22">[5]Sheet5!#REF!</definedName>
    <definedName name="ManagementInformationSystems">Sheet5!#REF!</definedName>
    <definedName name="Market">Sheet5!$B$63:$B$73</definedName>
    <definedName name="MarketBasisRisk" localSheetId="23">[1]Sheet5!#REF!</definedName>
    <definedName name="MarketBasisRisk" localSheetId="24">[2]Sheet5!#REF!</definedName>
    <definedName name="MarketBasisRisk" localSheetId="25">[3]Sheet5!#REF!</definedName>
    <definedName name="MarketBasisRisk" localSheetId="26">[4]Sheet5!#REF!</definedName>
    <definedName name="MarketBasisRisk" localSheetId="15">[5]Sheet5!#REF!</definedName>
    <definedName name="MarketBasisRisk" localSheetId="16">[6]Sheet5!#REF!</definedName>
    <definedName name="MarketBasisRisk" localSheetId="17">[7]Sheet5!#REF!</definedName>
    <definedName name="MarketBasisRisk" localSheetId="18">[8]Sheet5!#REF!</definedName>
    <definedName name="MarketBasisRisk" localSheetId="20">[9]Sheet5!#REF!</definedName>
    <definedName name="MarketBasisRisk" localSheetId="21">[5]Sheet5!#REF!</definedName>
    <definedName name="MarketBasisRisk" localSheetId="22">[5]Sheet5!#REF!</definedName>
    <definedName name="MarketBasisRisk">Sheet5!#REF!</definedName>
    <definedName name="MarketCorrelationRisk" localSheetId="23">[1]Sheet5!#REF!</definedName>
    <definedName name="MarketCorrelationRisk" localSheetId="24">[2]Sheet5!#REF!</definedName>
    <definedName name="MarketCorrelationRisk" localSheetId="25">[3]Sheet5!#REF!</definedName>
    <definedName name="MarketCorrelationRisk" localSheetId="26">[4]Sheet5!#REF!</definedName>
    <definedName name="MarketCorrelationRisk" localSheetId="15">[5]Sheet5!#REF!</definedName>
    <definedName name="MarketCorrelationRisk" localSheetId="16">[6]Sheet5!#REF!</definedName>
    <definedName name="MarketCorrelationRisk" localSheetId="17">[7]Sheet5!#REF!</definedName>
    <definedName name="MarketCorrelationRisk" localSheetId="18">[8]Sheet5!#REF!</definedName>
    <definedName name="MarketCorrelationRisk" localSheetId="20">[9]Sheet5!#REF!</definedName>
    <definedName name="MarketCorrelationRisk" localSheetId="21">[5]Sheet5!#REF!</definedName>
    <definedName name="MarketCorrelationRisk" localSheetId="22">[5]Sheet5!#REF!</definedName>
    <definedName name="MarketCorrelationRisk">Sheet5!#REF!</definedName>
    <definedName name="MarketExternalFactors" localSheetId="23">[1]Sheet5!#REF!</definedName>
    <definedName name="MarketExternalFactors" localSheetId="24">[2]Sheet5!#REF!</definedName>
    <definedName name="MarketExternalFactors" localSheetId="25">[3]Sheet5!#REF!</definedName>
    <definedName name="MarketExternalFactors" localSheetId="26">[4]Sheet5!#REF!</definedName>
    <definedName name="MarketExternalFactors" localSheetId="15">[5]Sheet5!#REF!</definedName>
    <definedName name="MarketExternalFactors" localSheetId="16">[6]Sheet5!#REF!</definedName>
    <definedName name="MarketExternalFactors" localSheetId="17">[7]Sheet5!#REF!</definedName>
    <definedName name="MarketExternalFactors" localSheetId="18">[8]Sheet5!#REF!</definedName>
    <definedName name="MarketExternalFactors" localSheetId="20">[9]Sheet5!#REF!</definedName>
    <definedName name="MarketExternalFactors" localSheetId="21">[5]Sheet5!#REF!</definedName>
    <definedName name="MarketExternalFactors" localSheetId="22">[5]Sheet5!#REF!</definedName>
    <definedName name="MarketExternalFactors">Sheet5!#REF!</definedName>
    <definedName name="MarketLiquidity" localSheetId="23">[1]Sheet5!#REF!</definedName>
    <definedName name="MarketLiquidity" localSheetId="24">[2]Sheet5!#REF!</definedName>
    <definedName name="MarketLiquidity" localSheetId="25">[3]Sheet5!#REF!</definedName>
    <definedName name="MarketLiquidity" localSheetId="26">[4]Sheet5!#REF!</definedName>
    <definedName name="MarketLiquidity" localSheetId="15">[5]Sheet5!#REF!</definedName>
    <definedName name="MarketLiquidity" localSheetId="16">[6]Sheet5!#REF!</definedName>
    <definedName name="MarketLiquidity" localSheetId="17">[7]Sheet5!#REF!</definedName>
    <definedName name="MarketLiquidity" localSheetId="18">[8]Sheet5!#REF!</definedName>
    <definedName name="MarketLiquidity" localSheetId="20">[9]Sheet5!#REF!</definedName>
    <definedName name="MarketLiquidity" localSheetId="21">[5]Sheet5!#REF!</definedName>
    <definedName name="MarketLiquidity" localSheetId="22">[5]Sheet5!#REF!</definedName>
    <definedName name="MarketLiquidity">Sheet5!#REF!</definedName>
    <definedName name="Misuse" localSheetId="23">[1]Sheet5!#REF!</definedName>
    <definedName name="Misuse" localSheetId="24">[2]Sheet5!#REF!</definedName>
    <definedName name="Misuse" localSheetId="25">[3]Sheet5!#REF!</definedName>
    <definedName name="Misuse" localSheetId="26">[4]Sheet5!#REF!</definedName>
    <definedName name="Misuse" localSheetId="15">[5]Sheet5!#REF!</definedName>
    <definedName name="Misuse" localSheetId="16">[6]Sheet5!#REF!</definedName>
    <definedName name="Misuse" localSheetId="17">[7]Sheet5!#REF!</definedName>
    <definedName name="Misuse" localSheetId="18">[8]Sheet5!#REF!</definedName>
    <definedName name="Misuse" localSheetId="20">[9]Sheet5!#REF!</definedName>
    <definedName name="Misuse" localSheetId="21">[5]Sheet5!#REF!</definedName>
    <definedName name="Misuse" localSheetId="22">[5]Sheet5!#REF!</definedName>
    <definedName name="Misuse">Sheet5!#REF!</definedName>
    <definedName name="Model">Sheet5!$B$74:$B$78</definedName>
    <definedName name="ModelTraining" localSheetId="23">[1]Sheet5!#REF!</definedName>
    <definedName name="ModelTraining" localSheetId="24">[2]Sheet5!#REF!</definedName>
    <definedName name="ModelTraining" localSheetId="25">[3]Sheet5!#REF!</definedName>
    <definedName name="ModelTraining" localSheetId="26">[4]Sheet5!#REF!</definedName>
    <definedName name="ModelTraining" localSheetId="15">[5]Sheet5!#REF!</definedName>
    <definedName name="ModelTraining" localSheetId="16">[6]Sheet5!#REF!</definedName>
    <definedName name="ModelTraining" localSheetId="17">[7]Sheet5!#REF!</definedName>
    <definedName name="ModelTraining" localSheetId="18">[8]Sheet5!#REF!</definedName>
    <definedName name="ModelTraining" localSheetId="20">[9]Sheet5!#REF!</definedName>
    <definedName name="ModelTraining" localSheetId="21">[5]Sheet5!#REF!</definedName>
    <definedName name="ModelTraining" localSheetId="22">[5]Sheet5!#REF!</definedName>
    <definedName name="ModelTraining">Sheet5!#REF!</definedName>
    <definedName name="MT" localSheetId="23">[1]Dropdowns!#REF!</definedName>
    <definedName name="MT" localSheetId="24">[2]Dropdowns!#REF!</definedName>
    <definedName name="MT" localSheetId="25">[3]Dropdowns!#REF!</definedName>
    <definedName name="MT" localSheetId="26">[4]Dropdowns!#REF!</definedName>
    <definedName name="MT" localSheetId="15">[5]Dropdowns!#REF!</definedName>
    <definedName name="MT" localSheetId="16">[6]Dropdowns!#REF!</definedName>
    <definedName name="MT" localSheetId="17">[7]Dropdowns!#REF!</definedName>
    <definedName name="MT" localSheetId="18">[8]Dropdowns!#REF!</definedName>
    <definedName name="MT" localSheetId="20">[9]Dropdowns!#REF!</definedName>
    <definedName name="MT" localSheetId="21">[5]Dropdowns!#REF!</definedName>
    <definedName name="MT" localSheetId="22">[5]Dropdowns!#REF!</definedName>
    <definedName name="MT">Dropdowns!#REF!</definedName>
    <definedName name="NonLinearRisk" localSheetId="23">[1]Sheet5!#REF!</definedName>
    <definedName name="NonLinearRisk" localSheetId="24">[2]Sheet5!#REF!</definedName>
    <definedName name="NonLinearRisk" localSheetId="25">[3]Sheet5!#REF!</definedName>
    <definedName name="NonLinearRisk" localSheetId="26">[4]Sheet5!#REF!</definedName>
    <definedName name="NonLinearRisk" localSheetId="15">[5]Sheet5!#REF!</definedName>
    <definedName name="NonLinearRisk" localSheetId="16">[6]Sheet5!#REF!</definedName>
    <definedName name="NonLinearRisk" localSheetId="17">[7]Sheet5!#REF!</definedName>
    <definedName name="NonLinearRisk" localSheetId="18">[8]Sheet5!#REF!</definedName>
    <definedName name="NonLinearRisk" localSheetId="20">[9]Sheet5!#REF!</definedName>
    <definedName name="NonLinearRisk" localSheetId="21">[5]Sheet5!#REF!</definedName>
    <definedName name="NonLinearRisk" localSheetId="22">[5]Sheet5!#REF!</definedName>
    <definedName name="NonLinearRisk">Sheet5!#REF!</definedName>
    <definedName name="OCE" localSheetId="11">#REF!</definedName>
    <definedName name="OCE" localSheetId="23">#REF!</definedName>
    <definedName name="OCE" localSheetId="24">#REF!</definedName>
    <definedName name="OCE" localSheetId="25">#REF!</definedName>
    <definedName name="OCE" localSheetId="26">#REF!</definedName>
    <definedName name="OCE" localSheetId="15">#REF!</definedName>
    <definedName name="OCE" localSheetId="16">#REF!</definedName>
    <definedName name="OCE" localSheetId="17">#REF!</definedName>
    <definedName name="OCE" localSheetId="18">#REF!</definedName>
    <definedName name="OCE" localSheetId="20">#REF!</definedName>
    <definedName name="OCE" localSheetId="21">#REF!</definedName>
    <definedName name="OCE" localSheetId="22">#REF!</definedName>
    <definedName name="OCE">#REF!</definedName>
    <definedName name="Operational">Sheet5!$B$79:$B$118</definedName>
    <definedName name="OW" localSheetId="23">[1]Dropdowns!#REF!</definedName>
    <definedName name="OW" localSheetId="24">[2]Dropdowns!#REF!</definedName>
    <definedName name="OW" localSheetId="25">[3]Dropdowns!#REF!</definedName>
    <definedName name="OW" localSheetId="26">[4]Dropdowns!#REF!</definedName>
    <definedName name="OW" localSheetId="15">[5]Dropdowns!#REF!</definedName>
    <definedName name="OW" localSheetId="16">[6]Dropdowns!#REF!</definedName>
    <definedName name="OW" localSheetId="17">[7]Dropdowns!#REF!</definedName>
    <definedName name="OW" localSheetId="18">[8]Dropdowns!#REF!</definedName>
    <definedName name="OW" localSheetId="20">[9]Dropdowns!#REF!</definedName>
    <definedName name="OW" localSheetId="21">[5]Dropdowns!#REF!</definedName>
    <definedName name="OW" localSheetId="22">[5]Dropdowns!#REF!</definedName>
    <definedName name="OW">Dropdowns!#REF!</definedName>
    <definedName name="PriceRisk" localSheetId="23">[1]Sheet5!#REF!</definedName>
    <definedName name="PriceRisk" localSheetId="24">[2]Sheet5!#REF!</definedName>
    <definedName name="PriceRisk" localSheetId="25">[3]Sheet5!#REF!</definedName>
    <definedName name="PriceRisk" localSheetId="26">[4]Sheet5!#REF!</definedName>
    <definedName name="PriceRisk" localSheetId="15">[5]Sheet5!#REF!</definedName>
    <definedName name="PriceRisk" localSheetId="16">[6]Sheet5!#REF!</definedName>
    <definedName name="PriceRisk" localSheetId="17">[7]Sheet5!#REF!</definedName>
    <definedName name="PriceRisk" localSheetId="18">[8]Sheet5!#REF!</definedName>
    <definedName name="PriceRisk" localSheetId="20">[9]Sheet5!#REF!</definedName>
    <definedName name="PriceRisk" localSheetId="21">[5]Sheet5!#REF!</definedName>
    <definedName name="PriceRisk" localSheetId="22">[5]Sheet5!#REF!</definedName>
    <definedName name="PriceRisk">Sheet5!#REF!</definedName>
    <definedName name="Primary" localSheetId="23">[1]Dropdowns!#REF!</definedName>
    <definedName name="Primary" localSheetId="24">[2]Dropdowns!#REF!</definedName>
    <definedName name="Primary" localSheetId="25">[3]Dropdowns!#REF!</definedName>
    <definedName name="Primary" localSheetId="26">[4]Dropdowns!#REF!</definedName>
    <definedName name="Primary" localSheetId="15">[5]Dropdowns!#REF!</definedName>
    <definedName name="Primary" localSheetId="16">[6]Dropdowns!#REF!</definedName>
    <definedName name="Primary" localSheetId="17">[7]Dropdowns!#REF!</definedName>
    <definedName name="Primary" localSheetId="18">[8]Dropdowns!#REF!</definedName>
    <definedName name="Primary" localSheetId="20">[9]Dropdowns!#REF!</definedName>
    <definedName name="Primary" localSheetId="21">[5]Dropdowns!#REF!</definedName>
    <definedName name="Primary" localSheetId="22">[5]Dropdowns!#REF!</definedName>
    <definedName name="Primary">Dropdowns!#REF!</definedName>
    <definedName name="_xlnm.Print_Area" localSheetId="32">'10'!$A$2:$C$12</definedName>
    <definedName name="_xlnm.Print_Area" localSheetId="33">'11'!$A$2:$C$12</definedName>
    <definedName name="_xlnm.Print_Area" localSheetId="34">'12'!$A$2:$C$12</definedName>
    <definedName name="_xlnm.Print_Area" localSheetId="35">'13'!$A$1:$C$12</definedName>
    <definedName name="_xlnm.Print_Area" localSheetId="36">'14'!$A$2:$C$12</definedName>
    <definedName name="_xlnm.Print_Area" localSheetId="37">'15'!$A$1:$C$12</definedName>
    <definedName name="_xlnm.Print_Area" localSheetId="27">'5'!$A$2:$C$12</definedName>
    <definedName name="_xlnm.Print_Area" localSheetId="28">'6'!$A$2:$C$12</definedName>
    <definedName name="_xlnm.Print_Area" localSheetId="29">'7'!$A$2:$C$12</definedName>
    <definedName name="_xlnm.Print_Area" localSheetId="30">'8'!$A$2:$C$12</definedName>
    <definedName name="_xlnm.Print_Area" localSheetId="31">'9'!$A$2:$C$12</definedName>
    <definedName name="_xlnm.Print_Area" localSheetId="38">'Appendix - Risks'!$A$1:$C$167</definedName>
    <definedName name="_xlnm.Print_Area" localSheetId="2">'Approval and Documentation'!$1:$20</definedName>
    <definedName name="_xlnm.Print_Area" localSheetId="8">Assessments!$A$1:$C$44</definedName>
    <definedName name="_xlnm.Print_Area" localSheetId="7">'Audit Findings'!$A$1:$F$17</definedName>
    <definedName name="_xlnm.Print_Area" localSheetId="6">'Emerging and Loss Data'!$A$1:$D$36</definedName>
    <definedName name="_xlnm.Print_Area" localSheetId="12">'Entity Material Risk Inventory'!$A$1:$O$302</definedName>
    <definedName name="_xlnm.Print_Area" localSheetId="0">Instructions!$A$1:$F$40</definedName>
    <definedName name="_xlnm.Print_Area" localSheetId="9">Metrics!$A$1:$S$62</definedName>
    <definedName name="_xlnm.Print_Area" localSheetId="14">'MR-1'!$A$2:$C$12</definedName>
    <definedName name="_xlnm.Print_Area" localSheetId="23">'MR-12'!$A$2:$C$12</definedName>
    <definedName name="_xlnm.Print_Area" localSheetId="24">'MR-13'!$A$2:$C$12</definedName>
    <definedName name="_xlnm.Print_Area" localSheetId="25">'MR-14'!$A:$C</definedName>
    <definedName name="_xlnm.Print_Area" localSheetId="26">'MR-15'!$A$1:$C$12</definedName>
    <definedName name="_xlnm.Print_Area" localSheetId="16">'MR-3'!$A$2:$C$12</definedName>
    <definedName name="_xlnm.Print_Area" localSheetId="17">'MR-4'!$A$2:$C$12</definedName>
    <definedName name="_xlnm.Print_Area" localSheetId="18">'MR-5'!$A$1:$C$12</definedName>
    <definedName name="_xlnm.Print_Area" localSheetId="19">'MR-6'!$A$2:$C$12</definedName>
    <definedName name="_xlnm.Print_Area" localSheetId="20">'MR-7'!$A$2:$C$12</definedName>
    <definedName name="_xlnm.Print_Area" localSheetId="22">'MR-9'!$A$1:$C$12</definedName>
    <definedName name="_xlnm.Print_Area" localSheetId="4">'New Products'!$A$1:$F$16</definedName>
    <definedName name="_xlnm.Print_Area" localSheetId="5">'Off-Balance Sheet'!$A$1:$A$12</definedName>
    <definedName name="_xlnm.Print_Area" localSheetId="13">'Risk Inventory'!$A$1:$N$17</definedName>
    <definedName name="_xlnm.Print_Area" localSheetId="1">'Title Page'!$A$1:$J$40</definedName>
    <definedName name="Prob" localSheetId="23">[1]Dropdowns!#REF!</definedName>
    <definedName name="Prob" localSheetId="24">[2]Dropdowns!#REF!</definedName>
    <definedName name="Prob" localSheetId="25">[3]Dropdowns!#REF!</definedName>
    <definedName name="Prob" localSheetId="26">[4]Dropdowns!#REF!</definedName>
    <definedName name="Prob" localSheetId="15">[5]Dropdowns!#REF!</definedName>
    <definedName name="Prob" localSheetId="16">[6]Dropdowns!#REF!</definedName>
    <definedName name="Prob" localSheetId="17">[7]Dropdowns!#REF!</definedName>
    <definedName name="Prob" localSheetId="18">[8]Dropdowns!#REF!</definedName>
    <definedName name="Prob" localSheetId="20">[9]Dropdowns!#REF!</definedName>
    <definedName name="Prob" localSheetId="21">[5]Dropdowns!#REF!</definedName>
    <definedName name="Prob" localSheetId="22">[5]Dropdowns!#REF!</definedName>
    <definedName name="Prob">Dropdowns!#REF!</definedName>
    <definedName name="QRM">Dropdowns!$B$2:$B$12</definedName>
    <definedName name="QRMr" localSheetId="11">#REF!</definedName>
    <definedName name="QRMr" localSheetId="23">#REF!</definedName>
    <definedName name="QRMr" localSheetId="24">#REF!</definedName>
    <definedName name="QRMr" localSheetId="25">#REF!</definedName>
    <definedName name="QRMr" localSheetId="26">#REF!</definedName>
    <definedName name="QRMr" localSheetId="15">#REF!</definedName>
    <definedName name="QRMr" localSheetId="16">#REF!</definedName>
    <definedName name="QRMr" localSheetId="17">#REF!</definedName>
    <definedName name="QRMr" localSheetId="18">#REF!</definedName>
    <definedName name="QRMr" localSheetId="20">#REF!</definedName>
    <definedName name="QRMr" localSheetId="21">#REF!</definedName>
    <definedName name="QRMr" localSheetId="22">#REF!</definedName>
    <definedName name="QRMr">#REF!</definedName>
    <definedName name="RatingMigration" localSheetId="23">[1]Sheet5!#REF!</definedName>
    <definedName name="RatingMigration" localSheetId="24">[2]Sheet5!#REF!</definedName>
    <definedName name="RatingMigration" localSheetId="25">[3]Sheet5!#REF!</definedName>
    <definedName name="RatingMigration" localSheetId="26">[4]Sheet5!#REF!</definedName>
    <definedName name="RatingMigration" localSheetId="15">[5]Sheet5!#REF!</definedName>
    <definedName name="RatingMigration" localSheetId="16">[6]Sheet5!#REF!</definedName>
    <definedName name="RatingMigration" localSheetId="17">[7]Sheet5!#REF!</definedName>
    <definedName name="RatingMigration" localSheetId="18">[8]Sheet5!#REF!</definedName>
    <definedName name="RatingMigration" localSheetId="20">[9]Sheet5!#REF!</definedName>
    <definedName name="RatingMigration" localSheetId="21">[5]Sheet5!#REF!</definedName>
    <definedName name="RatingMigration" localSheetId="22">[5]Sheet5!#REF!</definedName>
    <definedName name="RatingMigration">Sheet5!#REF!</definedName>
    <definedName name="RegulatoryCompliance" localSheetId="23">[1]Sheet5!#REF!</definedName>
    <definedName name="RegulatoryCompliance" localSheetId="24">[2]Sheet5!#REF!</definedName>
    <definedName name="RegulatoryCompliance" localSheetId="25">[3]Sheet5!#REF!</definedName>
    <definedName name="RegulatoryCompliance" localSheetId="26">[4]Sheet5!#REF!</definedName>
    <definedName name="RegulatoryCompliance" localSheetId="15">[5]Sheet5!#REF!</definedName>
    <definedName name="RegulatoryCompliance" localSheetId="16">[6]Sheet5!#REF!</definedName>
    <definedName name="RegulatoryCompliance" localSheetId="17">[7]Sheet5!#REF!</definedName>
    <definedName name="RegulatoryCompliance" localSheetId="18">[8]Sheet5!#REF!</definedName>
    <definedName name="RegulatoryCompliance" localSheetId="20">[9]Sheet5!#REF!</definedName>
    <definedName name="RegulatoryCompliance" localSheetId="21">[5]Sheet5!#REF!</definedName>
    <definedName name="RegulatoryCompliance" localSheetId="22">[5]Sheet5!#REF!</definedName>
    <definedName name="RegulatoryCompliance">Sheet5!#REF!</definedName>
    <definedName name="RegulatoryPrograms" localSheetId="23">[1]Sheet5!#REF!</definedName>
    <definedName name="RegulatoryPrograms" localSheetId="24">[2]Sheet5!#REF!</definedName>
    <definedName name="RegulatoryPrograms" localSheetId="25">[3]Sheet5!#REF!</definedName>
    <definedName name="RegulatoryPrograms" localSheetId="26">[4]Sheet5!#REF!</definedName>
    <definedName name="RegulatoryPrograms" localSheetId="15">[5]Sheet5!#REF!</definedName>
    <definedName name="RegulatoryPrograms" localSheetId="16">[6]Sheet5!#REF!</definedName>
    <definedName name="RegulatoryPrograms" localSheetId="17">[7]Sheet5!#REF!</definedName>
    <definedName name="RegulatoryPrograms" localSheetId="18">[8]Sheet5!#REF!</definedName>
    <definedName name="RegulatoryPrograms" localSheetId="20">[9]Sheet5!#REF!</definedName>
    <definedName name="RegulatoryPrograms" localSheetId="21">[5]Sheet5!#REF!</definedName>
    <definedName name="RegulatoryPrograms" localSheetId="22">[5]Sheet5!#REF!</definedName>
    <definedName name="RegulatoryPrograms">Sheet5!#REF!</definedName>
    <definedName name="Reporting" localSheetId="23">[1]Sheet5!#REF!</definedName>
    <definedName name="Reporting" localSheetId="24">[2]Sheet5!#REF!</definedName>
    <definedName name="Reporting" localSheetId="25">[3]Sheet5!#REF!</definedName>
    <definedName name="Reporting" localSheetId="26">[4]Sheet5!#REF!</definedName>
    <definedName name="Reporting" localSheetId="15">[5]Sheet5!#REF!</definedName>
    <definedName name="Reporting" localSheetId="16">[6]Sheet5!#REF!</definedName>
    <definedName name="Reporting" localSheetId="17">[7]Sheet5!#REF!</definedName>
    <definedName name="Reporting" localSheetId="18">[8]Sheet5!#REF!</definedName>
    <definedName name="Reporting" localSheetId="20">[9]Sheet5!#REF!</definedName>
    <definedName name="Reporting" localSheetId="21">[5]Sheet5!#REF!</definedName>
    <definedName name="Reporting" localSheetId="22">[5]Sheet5!#REF!</definedName>
    <definedName name="Reporting">Sheet5!#REF!</definedName>
    <definedName name="Reputational">Sheet5!$B$209:$B$217</definedName>
    <definedName name="ReputationalExternalFactors" localSheetId="23">[1]Sheet5!#REF!</definedName>
    <definedName name="ReputationalExternalFactors" localSheetId="24">[2]Sheet5!#REF!</definedName>
    <definedName name="ReputationalExternalFactors" localSheetId="25">[3]Sheet5!#REF!</definedName>
    <definedName name="ReputationalExternalFactors" localSheetId="26">[4]Sheet5!#REF!</definedName>
    <definedName name="ReputationalExternalFactors" localSheetId="15">[5]Sheet5!#REF!</definedName>
    <definedName name="ReputationalExternalFactors" localSheetId="16">[6]Sheet5!#REF!</definedName>
    <definedName name="ReputationalExternalFactors" localSheetId="17">[7]Sheet5!#REF!</definedName>
    <definedName name="ReputationalExternalFactors" localSheetId="18">[8]Sheet5!#REF!</definedName>
    <definedName name="ReputationalExternalFactors" localSheetId="20">[9]Sheet5!#REF!</definedName>
    <definedName name="ReputationalExternalFactors" localSheetId="21">[5]Sheet5!#REF!</definedName>
    <definedName name="ReputationalExternalFactors" localSheetId="22">[5]Sheet5!#REF!</definedName>
    <definedName name="ReputationalExternalFactors">Sheet5!#REF!</definedName>
    <definedName name="Risk" localSheetId="11">[10]Sheet5!$A$6:$A$13</definedName>
    <definedName name="Risk">Sheet5!$A$5:$A$12</definedName>
    <definedName name="Risk2">Sheet5!$B$170:$B$222</definedName>
    <definedName name="Risk3" localSheetId="23">[1]Sheet5!#REF!</definedName>
    <definedName name="Risk3" localSheetId="24">[2]Sheet5!#REF!</definedName>
    <definedName name="Risk3" localSheetId="25">[3]Sheet5!#REF!</definedName>
    <definedName name="Risk3" localSheetId="26">[4]Sheet5!#REF!</definedName>
    <definedName name="Risk3" localSheetId="15">[5]Sheet5!#REF!</definedName>
    <definedName name="Risk3" localSheetId="16">[6]Sheet5!#REF!</definedName>
    <definedName name="Risk3" localSheetId="17">[7]Sheet5!#REF!</definedName>
    <definedName name="Risk3" localSheetId="18">[8]Sheet5!#REF!</definedName>
    <definedName name="Risk3" localSheetId="20">[9]Sheet5!#REF!</definedName>
    <definedName name="Risk3" localSheetId="21">[5]Sheet5!#REF!</definedName>
    <definedName name="Risk3" localSheetId="22">[5]Sheet5!#REF!</definedName>
    <definedName name="Risk3">Sheet5!#REF!</definedName>
    <definedName name="RT" localSheetId="23">[1]Dropdowns!#REF!</definedName>
    <definedName name="RT" localSheetId="24">[2]Dropdowns!#REF!</definedName>
    <definedName name="RT" localSheetId="25">[3]Dropdowns!#REF!</definedName>
    <definedName name="RT" localSheetId="26">[4]Dropdowns!#REF!</definedName>
    <definedName name="RT" localSheetId="15">[5]Dropdowns!#REF!</definedName>
    <definedName name="RT" localSheetId="16">[6]Dropdowns!#REF!</definedName>
    <definedName name="RT" localSheetId="17">[7]Dropdowns!#REF!</definedName>
    <definedName name="RT" localSheetId="18">[8]Dropdowns!#REF!</definedName>
    <definedName name="RT" localSheetId="20">[9]Dropdowns!#REF!</definedName>
    <definedName name="RT" localSheetId="21">[5]Dropdowns!#REF!</definedName>
    <definedName name="RT" localSheetId="22">[5]Dropdowns!#REF!</definedName>
    <definedName name="RT">Dropdowns!#REF!</definedName>
    <definedName name="Settlement" localSheetId="23">[1]Sheet5!#REF!</definedName>
    <definedName name="Settlement" localSheetId="24">[2]Sheet5!#REF!</definedName>
    <definedName name="Settlement" localSheetId="25">[3]Sheet5!#REF!</definedName>
    <definedName name="Settlement" localSheetId="26">[4]Sheet5!#REF!</definedName>
    <definedName name="Settlement" localSheetId="15">[5]Sheet5!#REF!</definedName>
    <definedName name="Settlement" localSheetId="16">[6]Sheet5!#REF!</definedName>
    <definedName name="Settlement" localSheetId="17">[7]Sheet5!#REF!</definedName>
    <definedName name="Settlement" localSheetId="18">[8]Sheet5!#REF!</definedName>
    <definedName name="Settlement" localSheetId="20">[9]Sheet5!#REF!</definedName>
    <definedName name="Settlement" localSheetId="21">[5]Sheet5!#REF!</definedName>
    <definedName name="Settlement" localSheetId="22">[5]Sheet5!#REF!</definedName>
    <definedName name="Settlement">Sheet5!#REF!</definedName>
    <definedName name="Strategic">Sheet5!$B$126:$B$149</definedName>
    <definedName name="StrategicExpansionRisk" localSheetId="23">[1]Sheet5!#REF!</definedName>
    <definedName name="StrategicExpansionRisk" localSheetId="24">[2]Sheet5!#REF!</definedName>
    <definedName name="StrategicExpansionRisk" localSheetId="25">[3]Sheet5!#REF!</definedName>
    <definedName name="StrategicExpansionRisk" localSheetId="26">[4]Sheet5!#REF!</definedName>
    <definedName name="StrategicExpansionRisk" localSheetId="15">[5]Sheet5!#REF!</definedName>
    <definedName name="StrategicExpansionRisk" localSheetId="16">[6]Sheet5!#REF!</definedName>
    <definedName name="StrategicExpansionRisk" localSheetId="17">[7]Sheet5!#REF!</definedName>
    <definedName name="StrategicExpansionRisk" localSheetId="18">[8]Sheet5!#REF!</definedName>
    <definedName name="StrategicExpansionRisk" localSheetId="20">[9]Sheet5!#REF!</definedName>
    <definedName name="StrategicExpansionRisk" localSheetId="21">[5]Sheet5!#REF!</definedName>
    <definedName name="StrategicExpansionRisk" localSheetId="22">[5]Sheet5!#REF!</definedName>
    <definedName name="StrategicExpansionRisk">Sheet5!#REF!</definedName>
    <definedName name="StrategicExternalFactors" localSheetId="23">[1]Sheet5!#REF!</definedName>
    <definedName name="StrategicExternalFactors" localSheetId="24">[2]Sheet5!#REF!</definedName>
    <definedName name="StrategicExternalFactors" localSheetId="25">[3]Sheet5!#REF!</definedName>
    <definedName name="StrategicExternalFactors" localSheetId="26">[4]Sheet5!#REF!</definedName>
    <definedName name="StrategicExternalFactors" localSheetId="15">[5]Sheet5!#REF!</definedName>
    <definedName name="StrategicExternalFactors" localSheetId="16">[6]Sheet5!#REF!</definedName>
    <definedName name="StrategicExternalFactors" localSheetId="17">[7]Sheet5!#REF!</definedName>
    <definedName name="StrategicExternalFactors" localSheetId="18">[8]Sheet5!#REF!</definedName>
    <definedName name="StrategicExternalFactors" localSheetId="20">[9]Sheet5!#REF!</definedName>
    <definedName name="StrategicExternalFactors" localSheetId="21">[5]Sheet5!#REF!</definedName>
    <definedName name="StrategicExternalFactors" localSheetId="22">[5]Sheet5!#REF!</definedName>
    <definedName name="StrategicExternalFactors">Sheet5!#REF!</definedName>
    <definedName name="Strategicfactors" localSheetId="23">[1]Sheet5!#REF!</definedName>
    <definedName name="Strategicfactors" localSheetId="24">[2]Sheet5!#REF!</definedName>
    <definedName name="Strategicfactors" localSheetId="25">[3]Sheet5!#REF!</definedName>
    <definedName name="Strategicfactors" localSheetId="26">[4]Sheet5!#REF!</definedName>
    <definedName name="Strategicfactors" localSheetId="15">[5]Sheet5!#REF!</definedName>
    <definedName name="Strategicfactors" localSheetId="16">[6]Sheet5!#REF!</definedName>
    <definedName name="Strategicfactors" localSheetId="17">[7]Sheet5!#REF!</definedName>
    <definedName name="Strategicfactors" localSheetId="18">[8]Sheet5!#REF!</definedName>
    <definedName name="Strategicfactors" localSheetId="20">[9]Sheet5!#REF!</definedName>
    <definedName name="Strategicfactors" localSheetId="21">[5]Sheet5!#REF!</definedName>
    <definedName name="Strategicfactors" localSheetId="22">[5]Sheet5!#REF!</definedName>
    <definedName name="Strategicfactors">Sheet5!#REF!</definedName>
    <definedName name="StrategicManagementandOtherPersonnel" localSheetId="23">[1]Sheet5!#REF!</definedName>
    <definedName name="StrategicManagementandOtherPersonnel" localSheetId="24">[2]Sheet5!#REF!</definedName>
    <definedName name="StrategicManagementandOtherPersonnel" localSheetId="25">[3]Sheet5!#REF!</definedName>
    <definedName name="StrategicManagementandOtherPersonnel" localSheetId="26">[4]Sheet5!#REF!</definedName>
    <definedName name="StrategicManagementandOtherPersonnel" localSheetId="15">[5]Sheet5!#REF!</definedName>
    <definedName name="StrategicManagementandOtherPersonnel" localSheetId="16">[6]Sheet5!#REF!</definedName>
    <definedName name="StrategicManagementandOtherPersonnel" localSheetId="17">[7]Sheet5!#REF!</definedName>
    <definedName name="StrategicManagementandOtherPersonnel" localSheetId="18">[8]Sheet5!#REF!</definedName>
    <definedName name="StrategicManagementandOtherPersonnel" localSheetId="20">[9]Sheet5!#REF!</definedName>
    <definedName name="StrategicManagementandOtherPersonnel" localSheetId="21">[5]Sheet5!#REF!</definedName>
    <definedName name="StrategicManagementandOtherPersonnel" localSheetId="22">[5]Sheet5!#REF!</definedName>
    <definedName name="StrategicManagementandOtherPersonnel">Sheet5!#REF!</definedName>
    <definedName name="StrategicManagementInformationSystems" localSheetId="23">[1]Sheet5!#REF!</definedName>
    <definedName name="StrategicManagementInformationSystems" localSheetId="24">[2]Sheet5!#REF!</definedName>
    <definedName name="StrategicManagementInformationSystems" localSheetId="25">[3]Sheet5!#REF!</definedName>
    <definedName name="StrategicManagementInformationSystems" localSheetId="26">[4]Sheet5!#REF!</definedName>
    <definedName name="StrategicManagementInformationSystems" localSheetId="15">[5]Sheet5!#REF!</definedName>
    <definedName name="StrategicManagementInformationSystems" localSheetId="16">[6]Sheet5!#REF!</definedName>
    <definedName name="StrategicManagementInformationSystems" localSheetId="17">[7]Sheet5!#REF!</definedName>
    <definedName name="StrategicManagementInformationSystems" localSheetId="18">[8]Sheet5!#REF!</definedName>
    <definedName name="StrategicManagementInformationSystems" localSheetId="20">[9]Sheet5!#REF!</definedName>
    <definedName name="StrategicManagementInformationSystems" localSheetId="21">[5]Sheet5!#REF!</definedName>
    <definedName name="StrategicManagementInformationSystems" localSheetId="22">[5]Sheet5!#REF!</definedName>
    <definedName name="StrategicManagementInformationSystems">Sheet5!#REF!</definedName>
    <definedName name="StrategicObjectives" localSheetId="23">[1]Sheet5!#REF!</definedName>
    <definedName name="StrategicObjectives" localSheetId="24">[2]Sheet5!#REF!</definedName>
    <definedName name="StrategicObjectives" localSheetId="25">[3]Sheet5!#REF!</definedName>
    <definedName name="StrategicObjectives" localSheetId="26">[4]Sheet5!#REF!</definedName>
    <definedName name="StrategicObjectives" localSheetId="15">[5]Sheet5!#REF!</definedName>
    <definedName name="StrategicObjectives" localSheetId="16">[6]Sheet5!#REF!</definedName>
    <definedName name="StrategicObjectives" localSheetId="17">[7]Sheet5!#REF!</definedName>
    <definedName name="StrategicObjectives" localSheetId="18">[8]Sheet5!#REF!</definedName>
    <definedName name="StrategicObjectives" localSheetId="20">[9]Sheet5!#REF!</definedName>
    <definedName name="StrategicObjectives" localSheetId="21">[5]Sheet5!#REF!</definedName>
    <definedName name="StrategicObjectives" localSheetId="22">[5]Sheet5!#REF!</definedName>
    <definedName name="StrategicObjectives">Sheet5!#REF!</definedName>
    <definedName name="Tolerance" localSheetId="23">[1]Dropdowns!#REF!</definedName>
    <definedName name="Tolerance" localSheetId="24">[2]Dropdowns!#REF!</definedName>
    <definedName name="Tolerance" localSheetId="25">[3]Dropdowns!#REF!</definedName>
    <definedName name="Tolerance" localSheetId="26">[4]Dropdowns!#REF!</definedName>
    <definedName name="Tolerance" localSheetId="15">[5]Dropdowns!#REF!</definedName>
    <definedName name="Tolerance" localSheetId="16">[6]Dropdowns!#REF!</definedName>
    <definedName name="Tolerance" localSheetId="17">[7]Dropdowns!#REF!</definedName>
    <definedName name="Tolerance" localSheetId="18">[8]Dropdowns!#REF!</definedName>
    <definedName name="Tolerance" localSheetId="20">[9]Dropdowns!#REF!</definedName>
    <definedName name="Tolerance" localSheetId="21">[5]Dropdowns!#REF!</definedName>
    <definedName name="Tolerance" localSheetId="22">[5]Dropdowns!#REF!</definedName>
    <definedName name="Tolerance">Dropdowns!#REF!</definedName>
    <definedName name="Training" localSheetId="23">[1]Sheet5!#REF!</definedName>
    <definedName name="Training" localSheetId="24">[2]Sheet5!#REF!</definedName>
    <definedName name="Training" localSheetId="25">[3]Sheet5!#REF!</definedName>
    <definedName name="Training" localSheetId="26">[4]Sheet5!#REF!</definedName>
    <definedName name="Training" localSheetId="15">[5]Sheet5!#REF!</definedName>
    <definedName name="Training" localSheetId="16">[6]Sheet5!#REF!</definedName>
    <definedName name="Training" localSheetId="17">[7]Sheet5!#REF!</definedName>
    <definedName name="Training" localSheetId="18">[8]Sheet5!#REF!</definedName>
    <definedName name="Training" localSheetId="20">[9]Sheet5!#REF!</definedName>
    <definedName name="Training" localSheetId="21">[5]Sheet5!#REF!</definedName>
    <definedName name="Training" localSheetId="22">[5]Sheet5!#REF!</definedName>
    <definedName name="Training">Sheet5!#REF!</definedName>
    <definedName name="Trend" localSheetId="23">[1]Dropdowns!#REF!</definedName>
    <definedName name="Trend" localSheetId="24">[2]Dropdowns!#REF!</definedName>
    <definedName name="Trend" localSheetId="25">[3]Dropdowns!#REF!</definedName>
    <definedName name="Trend" localSheetId="26">[4]Dropdowns!#REF!</definedName>
    <definedName name="Trend" localSheetId="15">[5]Dropdowns!#REF!</definedName>
    <definedName name="Trend" localSheetId="16">[6]Dropdowns!#REF!</definedName>
    <definedName name="Trend" localSheetId="17">[7]Dropdowns!#REF!</definedName>
    <definedName name="Trend" localSheetId="18">[8]Dropdowns!#REF!</definedName>
    <definedName name="Trend" localSheetId="20">[9]Dropdowns!#REF!</definedName>
    <definedName name="Trend" localSheetId="21">[5]Dropdowns!#REF!</definedName>
    <definedName name="Trend" localSheetId="22">[5]Dropdowns!#REF!</definedName>
    <definedName name="Trend">Dropdowns!#REF!</definedName>
    <definedName name="Unit" localSheetId="23">[1]Dropdowns!#REF!</definedName>
    <definedName name="Unit" localSheetId="24">[2]Dropdowns!#REF!</definedName>
    <definedName name="Unit" localSheetId="25">[3]Dropdowns!#REF!</definedName>
    <definedName name="Unit" localSheetId="26">[4]Dropdowns!#REF!</definedName>
    <definedName name="Unit" localSheetId="15">[5]Dropdowns!#REF!</definedName>
    <definedName name="Unit" localSheetId="16">[6]Dropdowns!#REF!</definedName>
    <definedName name="Unit" localSheetId="17">[7]Dropdowns!#REF!</definedName>
    <definedName name="Unit" localSheetId="18">[8]Dropdowns!#REF!</definedName>
    <definedName name="Unit" localSheetId="20">[9]Dropdowns!#REF!</definedName>
    <definedName name="Unit" localSheetId="21">[5]Dropdowns!#REF!</definedName>
    <definedName name="Unit" localSheetId="22">[5]Dropdowns!#REF!</definedName>
    <definedName name="Unit">Dropdowns!#REF!</definedName>
    <definedName name="ValidationRange" localSheetId="23">'[10]Risk ID - Template'!$J$7:$J$2000</definedName>
    <definedName name="ValidationRange" localSheetId="24">'[10]Risk ID - Template'!$J$7:$J$2000</definedName>
    <definedName name="ValidationRange" localSheetId="25">'[10]Risk ID - Template'!$J$7:$J$2000</definedName>
    <definedName name="ValidationRange" localSheetId="26">'[10]Risk ID - Template'!$J$7:$J$2000</definedName>
    <definedName name="ValidationRange" localSheetId="15">'[10]Risk ID - Template'!$J$7:$J$2000</definedName>
    <definedName name="ValidationRange" localSheetId="16">'[10]Risk ID - Template'!$J$7:$J$2000</definedName>
    <definedName name="ValidationRange" localSheetId="17">'[10]Risk ID - Template'!$J$7:$J$2000</definedName>
    <definedName name="ValidationRange" localSheetId="20">'[10]Risk ID - Template'!$J$7:$J$2000</definedName>
    <definedName name="ValidationRange" localSheetId="21">'[10]Risk ID - Template'!$J$7:$J$2000</definedName>
    <definedName name="ValidationRange" localSheetId="22">'[10]Risk ID - Template'!$J$7:$J$2000</definedName>
    <definedName name="ValidationRange">'[10]Risk ID - Template'!$J$7:$J$2000</definedName>
    <definedName name="ValidationRange14" localSheetId="23">'[10]Risk ID - Template'!$D$7:$D$2000</definedName>
    <definedName name="ValidationRange14" localSheetId="24">'[10]Risk ID - Template'!$D$7:$D$2000</definedName>
    <definedName name="ValidationRange14" localSheetId="25">'[10]Risk ID - Template'!$D$7:$D$2000</definedName>
    <definedName name="ValidationRange14" localSheetId="26">'[10]Risk ID - Template'!$D$7:$D$2000</definedName>
    <definedName name="ValidationRange14" localSheetId="15">'[10]Risk ID - Template'!$D$7:$D$2000</definedName>
    <definedName name="ValidationRange14" localSheetId="16">'[10]Risk ID - Template'!$D$7:$D$2000</definedName>
    <definedName name="ValidationRange14" localSheetId="17">'[10]Risk ID - Template'!$D$7:$D$2000</definedName>
    <definedName name="ValidationRange14" localSheetId="20">'[10]Risk ID - Template'!$D$7:$D$2000</definedName>
    <definedName name="ValidationRange14" localSheetId="21">'[10]Risk ID - Template'!$D$7:$D$2000</definedName>
    <definedName name="ValidationRange14" localSheetId="22">'[10]Risk ID - Template'!$D$7:$D$2000</definedName>
    <definedName name="ValidationRange14">'[10]Risk ID - Template'!$D$7:$D$2000</definedName>
    <definedName name="ValidationRange15" localSheetId="23">'[10]Risk ID - Template'!$E$7:$E$2000</definedName>
    <definedName name="ValidationRange15" localSheetId="24">'[10]Risk ID - Template'!$E$7:$E$2000</definedName>
    <definedName name="ValidationRange15" localSheetId="25">'[10]Risk ID - Template'!$E$7:$E$2000</definedName>
    <definedName name="ValidationRange15" localSheetId="26">'[10]Risk ID - Template'!$E$7:$E$2000</definedName>
    <definedName name="ValidationRange15" localSheetId="15">'[10]Risk ID - Template'!$E$7:$E$2000</definedName>
    <definedName name="ValidationRange15" localSheetId="16">'[10]Risk ID - Template'!$E$7:$E$2000</definedName>
    <definedName name="ValidationRange15" localSheetId="17">'[10]Risk ID - Template'!$E$7:$E$2000</definedName>
    <definedName name="ValidationRange15" localSheetId="20">'[10]Risk ID - Template'!$E$7:$E$2000</definedName>
    <definedName name="ValidationRange15" localSheetId="21">'[10]Risk ID - Template'!$E$7:$E$2000</definedName>
    <definedName name="ValidationRange15" localSheetId="22">'[10]Risk ID - Template'!$E$7:$E$2000</definedName>
    <definedName name="ValidationRange15">'[10]Risk ID - Template'!$E$7:$E$2000</definedName>
    <definedName name="ValidationRange16" localSheetId="23">'[10]Risk ID - Template'!$F$7:$F$2000</definedName>
    <definedName name="ValidationRange16" localSheetId="24">'[10]Risk ID - Template'!$F$7:$F$2000</definedName>
    <definedName name="ValidationRange16" localSheetId="25">'[10]Risk ID - Template'!$F$7:$F$2000</definedName>
    <definedName name="ValidationRange16" localSheetId="26">'[10]Risk ID - Template'!$F$7:$F$2000</definedName>
    <definedName name="ValidationRange16" localSheetId="15">'[10]Risk ID - Template'!$F$7:$F$2000</definedName>
    <definedName name="ValidationRange16" localSheetId="16">'[10]Risk ID - Template'!$F$7:$F$2000</definedName>
    <definedName name="ValidationRange16" localSheetId="17">'[10]Risk ID - Template'!$F$7:$F$2000</definedName>
    <definedName name="ValidationRange16" localSheetId="20">'[10]Risk ID - Template'!$F$7:$F$2000</definedName>
    <definedName name="ValidationRange16" localSheetId="21">'[10]Risk ID - Template'!$F$7:$F$2000</definedName>
    <definedName name="ValidationRange16" localSheetId="22">'[10]Risk ID - Template'!$F$7:$F$2000</definedName>
    <definedName name="ValidationRange16">'[10]Risk ID - Template'!$F$7:$F$2000</definedName>
    <definedName name="ValidationRange17" localSheetId="23">'[10]Risk ID - Template'!$Q$7:$Q$2000</definedName>
    <definedName name="ValidationRange17" localSheetId="24">'[10]Risk ID - Template'!$Q$7:$Q$2000</definedName>
    <definedName name="ValidationRange17" localSheetId="25">'[10]Risk ID - Template'!$Q$7:$Q$2000</definedName>
    <definedName name="ValidationRange17" localSheetId="26">'[10]Risk ID - Template'!$Q$7:$Q$2000</definedName>
    <definedName name="ValidationRange17" localSheetId="15">'[10]Risk ID - Template'!$Q$7:$Q$2000</definedName>
    <definedName name="ValidationRange17" localSheetId="16">'[10]Risk ID - Template'!$Q$7:$Q$2000</definedName>
    <definedName name="ValidationRange17" localSheetId="17">'[10]Risk ID - Template'!$Q$7:$Q$2000</definedName>
    <definedName name="ValidationRange17" localSheetId="20">'[10]Risk ID - Template'!$Q$7:$Q$2000</definedName>
    <definedName name="ValidationRange17" localSheetId="21">'[10]Risk ID - Template'!$Q$7:$Q$2000</definedName>
    <definedName name="ValidationRange17" localSheetId="22">'[10]Risk ID - Template'!$Q$7:$Q$2000</definedName>
    <definedName name="ValidationRange17">'[10]Risk ID - Template'!$Q$7:$Q$2000</definedName>
    <definedName name="ValidationRange2" localSheetId="23">'[10]Risk ID - Template'!$H$7:$H$2000</definedName>
    <definedName name="ValidationRange2" localSheetId="24">'[10]Risk ID - Template'!$H$7:$H$2000</definedName>
    <definedName name="ValidationRange2" localSheetId="25">'[10]Risk ID - Template'!$H$7:$H$2000</definedName>
    <definedName name="ValidationRange2" localSheetId="26">'[10]Risk ID - Template'!$H$7:$H$2000</definedName>
    <definedName name="ValidationRange2" localSheetId="15">'[10]Risk ID - Template'!$H$7:$H$2000</definedName>
    <definedName name="ValidationRange2" localSheetId="16">'[10]Risk ID - Template'!$H$7:$H$2000</definedName>
    <definedName name="ValidationRange2" localSheetId="17">'[10]Risk ID - Template'!$H$7:$H$2000</definedName>
    <definedName name="ValidationRange2" localSheetId="20">'[10]Risk ID - Template'!$H$7:$H$2000</definedName>
    <definedName name="ValidationRange2" localSheetId="21">'[10]Risk ID - Template'!$H$7:$H$2000</definedName>
    <definedName name="ValidationRange2" localSheetId="22">'[10]Risk ID - Template'!$H$7:$H$2000</definedName>
    <definedName name="ValidationRange2">'[10]Risk ID - Template'!$H$7:$H$2000</definedName>
    <definedName name="ValidationRange6" localSheetId="23">'[10]Risk ID - Template'!$P$7:$P$2000</definedName>
    <definedName name="ValidationRange6" localSheetId="24">'[10]Risk ID - Template'!$P$7:$P$2000</definedName>
    <definedName name="ValidationRange6" localSheetId="25">'[10]Risk ID - Template'!$P$7:$P$2000</definedName>
    <definedName name="ValidationRange6" localSheetId="26">'[10]Risk ID - Template'!$P$7:$P$2000</definedName>
    <definedName name="ValidationRange6" localSheetId="15">'[10]Risk ID - Template'!$P$7:$P$2000</definedName>
    <definedName name="ValidationRange6" localSheetId="16">'[10]Risk ID - Template'!$P$7:$P$2000</definedName>
    <definedName name="ValidationRange6" localSheetId="17">'[10]Risk ID - Template'!$P$7:$P$2000</definedName>
    <definedName name="ValidationRange6" localSheetId="20">'[10]Risk ID - Template'!$P$7:$P$2000</definedName>
    <definedName name="ValidationRange6" localSheetId="21">'[10]Risk ID - Template'!$P$7:$P$2000</definedName>
    <definedName name="ValidationRange6" localSheetId="22">'[10]Risk ID - Template'!$P$7:$P$2000</definedName>
    <definedName name="ValidationRange6">'[10]Risk ID - Template'!$P$7:$P$2000</definedName>
    <definedName name="VolumesandTypesofAssets" localSheetId="23">[1]Sheet5!#REF!</definedName>
    <definedName name="VolumesandTypesofAssets" localSheetId="24">[2]Sheet5!#REF!</definedName>
    <definedName name="VolumesandTypesofAssets" localSheetId="25">[3]Sheet5!#REF!</definedName>
    <definedName name="VolumesandTypesofAssets" localSheetId="26">[4]Sheet5!#REF!</definedName>
    <definedName name="VolumesandTypesofAssets" localSheetId="15">[5]Sheet5!#REF!</definedName>
    <definedName name="VolumesandTypesofAssets" localSheetId="16">[6]Sheet5!#REF!</definedName>
    <definedName name="VolumesandTypesofAssets" localSheetId="17">[7]Sheet5!#REF!</definedName>
    <definedName name="VolumesandTypesofAssets" localSheetId="18">[8]Sheet5!#REF!</definedName>
    <definedName name="VolumesandTypesofAssets" localSheetId="20">[9]Sheet5!#REF!</definedName>
    <definedName name="VolumesandTypesofAssets" localSheetId="21">[5]Sheet5!#REF!</definedName>
    <definedName name="VolumesandTypesofAssets" localSheetId="22">[5]Sheet5!#REF!</definedName>
    <definedName name="VolumesandTypesofAssets">Sheet5!#REF!</definedName>
  </definedNames>
  <calcPr calcId="152511"/>
</workbook>
</file>

<file path=xl/calcChain.xml><?xml version="1.0" encoding="utf-8"?>
<calcChain xmlns="http://schemas.openxmlformats.org/spreadsheetml/2006/main">
  <c r="N17" i="1" l="1"/>
  <c r="M17" i="1"/>
  <c r="L17" i="1"/>
  <c r="K17" i="1"/>
  <c r="J17" i="1"/>
  <c r="I17" i="1"/>
  <c r="H17" i="1"/>
  <c r="G17" i="1"/>
  <c r="F17" i="1"/>
  <c r="N16" i="1"/>
  <c r="M16" i="1"/>
  <c r="L16" i="1"/>
  <c r="K16" i="1"/>
  <c r="J16" i="1"/>
  <c r="I16" i="1"/>
  <c r="H16" i="1"/>
  <c r="G16" i="1"/>
  <c r="F16" i="1"/>
  <c r="N15" i="1"/>
  <c r="M15" i="1"/>
  <c r="L15" i="1"/>
  <c r="K15" i="1"/>
  <c r="J15" i="1"/>
  <c r="I15" i="1"/>
  <c r="H15" i="1"/>
  <c r="G15" i="1"/>
  <c r="F15" i="1"/>
  <c r="N14" i="1"/>
  <c r="M14" i="1"/>
  <c r="L14" i="1"/>
  <c r="K14" i="1"/>
  <c r="J14" i="1"/>
  <c r="I14" i="1"/>
  <c r="H14" i="1"/>
  <c r="G14" i="1"/>
  <c r="F14" i="1"/>
  <c r="N11" i="1"/>
  <c r="M11" i="1"/>
  <c r="L11" i="1"/>
  <c r="K11" i="1"/>
  <c r="J11" i="1"/>
  <c r="I11" i="1"/>
  <c r="H11" i="1"/>
  <c r="G11" i="1"/>
  <c r="F11" i="1"/>
  <c r="N10" i="1"/>
  <c r="M10" i="1"/>
  <c r="L10" i="1"/>
  <c r="K10" i="1"/>
  <c r="J10" i="1"/>
  <c r="I10" i="1"/>
  <c r="H10" i="1"/>
  <c r="G10" i="1"/>
  <c r="F10" i="1"/>
  <c r="N9" i="1"/>
  <c r="M9" i="1"/>
  <c r="L9" i="1"/>
  <c r="K9" i="1"/>
  <c r="J9" i="1"/>
  <c r="I9" i="1"/>
  <c r="H9" i="1"/>
  <c r="G9" i="1"/>
  <c r="F9" i="1"/>
  <c r="N8" i="1"/>
  <c r="M8" i="1"/>
  <c r="L8" i="1"/>
  <c r="K8" i="1"/>
  <c r="J8" i="1"/>
  <c r="I8" i="1"/>
  <c r="H8" i="1"/>
  <c r="G8" i="1"/>
  <c r="F8" i="1"/>
  <c r="N7" i="1"/>
  <c r="M7" i="1"/>
  <c r="L7" i="1"/>
  <c r="K7" i="1"/>
  <c r="J7" i="1"/>
  <c r="I7" i="1"/>
  <c r="H7" i="1"/>
  <c r="G7" i="1"/>
  <c r="F7" i="1"/>
  <c r="N6" i="1"/>
  <c r="M6" i="1"/>
  <c r="L6" i="1"/>
  <c r="K6" i="1"/>
  <c r="J6" i="1"/>
  <c r="I6" i="1"/>
  <c r="H6" i="1"/>
  <c r="G6" i="1"/>
  <c r="F6" i="1"/>
  <c r="N5" i="1"/>
  <c r="M5" i="1"/>
  <c r="L5" i="1"/>
  <c r="K5" i="1"/>
  <c r="J5" i="1"/>
  <c r="I5" i="1"/>
  <c r="H5" i="1"/>
  <c r="G5" i="1"/>
  <c r="F5" i="1"/>
  <c r="D5" i="1"/>
  <c r="N4" i="1"/>
  <c r="M4" i="1"/>
  <c r="L4" i="1"/>
  <c r="K4" i="1"/>
  <c r="J4" i="1"/>
  <c r="I4" i="1"/>
  <c r="H4" i="1"/>
  <c r="G4" i="1"/>
  <c r="F4" i="1"/>
  <c r="D4" i="1"/>
  <c r="D6" i="1"/>
  <c r="D7" i="1"/>
  <c r="D8" i="1"/>
  <c r="D9" i="1"/>
  <c r="D10" i="1"/>
  <c r="D11" i="1"/>
  <c r="D12" i="1"/>
  <c r="D13" i="1"/>
  <c r="D14" i="1"/>
  <c r="D15" i="1"/>
  <c r="D16" i="1"/>
  <c r="D17" i="1"/>
  <c r="AA1" i="89"/>
  <c r="R2" i="89"/>
  <c r="R3" i="89"/>
  <c r="R4" i="89"/>
  <c r="R5" i="89"/>
  <c r="R6" i="89"/>
  <c r="R7" i="89"/>
  <c r="Q8" i="89"/>
  <c r="Q9" i="89"/>
  <c r="Q11" i="89"/>
  <c r="Q12" i="89"/>
  <c r="AA1" i="88"/>
  <c r="R2" i="88"/>
  <c r="R3" i="88"/>
  <c r="R4" i="88"/>
  <c r="R5" i="88"/>
  <c r="R6" i="88"/>
  <c r="R7" i="88"/>
  <c r="Q8" i="88"/>
  <c r="Q9" i="88"/>
  <c r="Q11" i="88"/>
  <c r="Q12" i="88"/>
  <c r="Q12" i="87"/>
  <c r="Q11" i="87"/>
  <c r="Q9" i="87"/>
  <c r="Q8" i="87"/>
  <c r="R7" i="87"/>
  <c r="R6" i="87"/>
  <c r="R5" i="87"/>
  <c r="R4" i="87"/>
  <c r="R3" i="87"/>
  <c r="R2" i="87"/>
  <c r="AA1" i="87"/>
  <c r="AA1" i="86"/>
  <c r="R2" i="86"/>
  <c r="R3" i="86"/>
  <c r="R4" i="86"/>
  <c r="R5" i="86"/>
  <c r="R6" i="86"/>
  <c r="R7" i="86"/>
  <c r="Q8" i="86"/>
  <c r="Q9" i="86"/>
  <c r="Q11" i="86"/>
  <c r="Q12" i="86"/>
  <c r="Q12" i="85"/>
  <c r="Q11" i="85"/>
  <c r="Q9" i="85"/>
  <c r="Q8" i="85"/>
  <c r="R7" i="85"/>
  <c r="R6" i="85"/>
  <c r="R5" i="85"/>
  <c r="R4" i="85"/>
  <c r="R3" i="85"/>
  <c r="R2" i="85"/>
  <c r="AA1" i="85"/>
  <c r="AA1" i="82"/>
  <c r="R2" i="82"/>
  <c r="R3" i="82"/>
  <c r="R4" i="82"/>
  <c r="R5" i="82"/>
  <c r="R6" i="82"/>
  <c r="R7" i="82"/>
  <c r="Q8" i="82"/>
  <c r="Q9" i="82"/>
  <c r="Q11" i="82"/>
  <c r="Q12" i="82"/>
  <c r="Q12" i="76"/>
  <c r="Q11" i="76"/>
  <c r="Q9" i="76"/>
  <c r="Q8" i="76"/>
  <c r="R7" i="76"/>
  <c r="R6" i="76"/>
  <c r="R5" i="76"/>
  <c r="R4" i="76"/>
  <c r="R3" i="76"/>
  <c r="R2" i="76"/>
  <c r="AA1" i="76"/>
  <c r="Q12" i="75"/>
  <c r="Q11" i="75"/>
  <c r="Q9" i="75"/>
  <c r="Q8" i="75"/>
  <c r="R7" i="75"/>
  <c r="R6" i="75"/>
  <c r="R5" i="75"/>
  <c r="R4" i="75"/>
  <c r="R3" i="75"/>
  <c r="R2" i="75"/>
  <c r="AA1" i="75"/>
  <c r="Q12" i="74"/>
  <c r="Q11" i="74"/>
  <c r="Q9" i="74"/>
  <c r="Q8" i="74"/>
  <c r="R7" i="74"/>
  <c r="R6" i="74"/>
  <c r="R5" i="74"/>
  <c r="R4" i="74"/>
  <c r="R3" i="74"/>
  <c r="R2" i="74"/>
  <c r="AA1" i="74"/>
  <c r="Q12" i="73"/>
  <c r="Q11" i="73"/>
  <c r="Q9" i="73"/>
  <c r="Q8" i="73"/>
  <c r="R7" i="73"/>
  <c r="R6" i="73"/>
  <c r="R5" i="73"/>
  <c r="R4" i="73"/>
  <c r="R3" i="73"/>
  <c r="R2" i="73"/>
  <c r="AA1" i="73"/>
  <c r="AA1" i="72"/>
  <c r="R2" i="72"/>
  <c r="R3" i="72"/>
  <c r="R4" i="72"/>
  <c r="R5" i="72"/>
  <c r="R6" i="72"/>
  <c r="R7" i="72"/>
  <c r="Q8" i="72"/>
  <c r="Q9" i="72"/>
  <c r="Q11" i="72"/>
  <c r="Q12" i="72"/>
  <c r="Q12" i="8"/>
  <c r="Q11" i="8"/>
  <c r="Q9" i="8"/>
  <c r="Q8" i="8"/>
  <c r="R7" i="8"/>
  <c r="R6" i="8"/>
  <c r="R5" i="8"/>
  <c r="R4" i="8"/>
  <c r="R3" i="8"/>
  <c r="R2" i="8"/>
  <c r="AA1" i="8"/>
  <c r="C7" i="29"/>
  <c r="K42" i="1"/>
  <c r="K41" i="1"/>
  <c r="K40" i="1"/>
  <c r="K39" i="1"/>
  <c r="K38" i="1"/>
  <c r="K37" i="1"/>
  <c r="K36" i="1"/>
  <c r="K35" i="1"/>
  <c r="K34" i="1"/>
  <c r="K33" i="1"/>
  <c r="K32" i="1"/>
  <c r="K31" i="1"/>
  <c r="K30" i="1"/>
  <c r="K29" i="1"/>
  <c r="K28" i="1"/>
  <c r="K27" i="1"/>
  <c r="K26" i="1"/>
  <c r="K25" i="1"/>
  <c r="K24" i="1"/>
  <c r="K23" i="1"/>
  <c r="K22" i="1"/>
  <c r="K21" i="1"/>
  <c r="K20" i="1"/>
  <c r="K19" i="1"/>
  <c r="K18" i="1"/>
  <c r="K3" i="1"/>
  <c r="N42" i="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10"/>
  <c r="AA1" i="12"/>
  <c r="AA1" i="13"/>
  <c r="AA1" i="14"/>
  <c r="AA1" i="15"/>
  <c r="AA1" i="16"/>
  <c r="AA1" i="17"/>
  <c r="AA1" i="18"/>
  <c r="AA1" i="19"/>
  <c r="AA1" i="20"/>
  <c r="AA1" i="21"/>
  <c r="AA1" i="22"/>
  <c r="D32" i="1"/>
  <c r="D31" i="1"/>
  <c r="D30" i="1"/>
  <c r="D29" i="1"/>
  <c r="D28" i="1"/>
  <c r="D27" i="1"/>
  <c r="D26" i="1"/>
  <c r="D25" i="1"/>
  <c r="D24" i="1"/>
  <c r="D23" i="1"/>
  <c r="D22" i="1"/>
  <c r="D21" i="1"/>
  <c r="D20" i="1"/>
  <c r="D19" i="1"/>
  <c r="D18" i="1"/>
  <c r="D3" i="1"/>
  <c r="N32" i="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2"/>
  <c r="Q9" i="22"/>
  <c r="Q12" i="21"/>
  <c r="Q9" i="21"/>
  <c r="Q12" i="20"/>
  <c r="Q12" i="19"/>
  <c r="Q12" i="18"/>
  <c r="Q12" i="17"/>
  <c r="Q9" i="17"/>
  <c r="Q12" i="16"/>
  <c r="Q9" i="16"/>
  <c r="Q12" i="15"/>
  <c r="Q9" i="15"/>
  <c r="Q12" i="14"/>
  <c r="Q9" i="14"/>
  <c r="Q12" i="13"/>
  <c r="Q9" i="13"/>
  <c r="Q12" i="12"/>
  <c r="Q9" i="12"/>
  <c r="Q12" i="10"/>
  <c r="Q9" i="10"/>
  <c r="Q11" i="10"/>
  <c r="Q8" i="10"/>
  <c r="R7" i="10"/>
  <c r="R6" i="10"/>
  <c r="R5" i="10"/>
  <c r="R4" i="10"/>
  <c r="R3" i="10"/>
  <c r="R2" i="10"/>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C126" i="4"/>
  <c r="C119" i="4"/>
  <c r="C79" i="4"/>
  <c r="C74" i="4"/>
  <c r="C63" i="4"/>
  <c r="C49" i="4"/>
  <c r="C35" i="4"/>
  <c r="C1" i="4"/>
  <c r="AL11" i="5"/>
  <c r="AM11" i="5"/>
  <c r="AL12" i="5"/>
  <c r="AM12" i="5"/>
  <c r="AK13" i="5"/>
  <c r="AL13" i="5"/>
  <c r="AM13" i="5"/>
  <c r="AK14" i="5"/>
  <c r="AL14" i="5"/>
  <c r="AM14" i="5"/>
  <c r="AK15" i="5"/>
  <c r="AL15" i="5"/>
  <c r="AM15" i="5"/>
  <c r="AK16" i="5"/>
  <c r="AL16" i="5"/>
  <c r="AM16" i="5"/>
  <c r="AK17" i="5"/>
  <c r="AL17" i="5"/>
  <c r="AM17" i="5"/>
  <c r="AK18" i="5"/>
  <c r="AL18" i="5"/>
  <c r="AM18" i="5"/>
  <c r="AK19" i="5"/>
  <c r="AL19" i="5"/>
  <c r="AM19" i="5"/>
</calcChain>
</file>

<file path=xl/comments1.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2.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3.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4.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5.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6.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7.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8.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9.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From business area indicated in intermediate risk file</t>
        </r>
        <r>
          <rPr>
            <sz val="9"/>
            <color indexed="81"/>
            <rFont val="Tahoma"/>
            <family val="2"/>
          </rPr>
          <t xml:space="preserve">
</t>
        </r>
      </text>
    </comment>
  </commentList>
</comments>
</file>

<file path=xl/comments10.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11.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comments12.xml><?xml version="1.0" encoding="utf-8"?>
<comments xmlns="http://schemas.openxmlformats.org/spreadsheetml/2006/main">
  <authors>
    <author>Justin Smith</author>
  </authors>
  <commentList>
    <comment ref="C1" authorId="0">
      <text>
        <r>
          <rPr>
            <b/>
            <sz val="9"/>
            <color indexed="81"/>
            <rFont val="Tahoma"/>
            <family val="2"/>
          </rPr>
          <t>From business area indicated in intermediate risk file</t>
        </r>
        <r>
          <rPr>
            <sz val="9"/>
            <color indexed="81"/>
            <rFont val="Tahoma"/>
            <family val="2"/>
          </rPr>
          <t xml:space="preserve">
</t>
        </r>
      </text>
    </comment>
    <comment ref="C2" authorId="0">
      <text>
        <r>
          <rPr>
            <b/>
            <sz val="9"/>
            <color indexed="81"/>
            <rFont val="Tahoma"/>
            <family val="2"/>
          </rPr>
          <t>See Appendix for detail</t>
        </r>
      </text>
    </comment>
    <comment ref="C3" authorId="0">
      <text>
        <r>
          <rPr>
            <b/>
            <sz val="9"/>
            <color indexed="81"/>
            <rFont val="Tahoma"/>
            <family val="2"/>
          </rPr>
          <t>See Appendix for details (Sub Type should be associated with Risk Type indicated above)</t>
        </r>
      </text>
    </comment>
    <comment ref="C4" authorId="0">
      <text>
        <r>
          <rPr>
            <b/>
            <sz val="9"/>
            <color indexed="81"/>
            <rFont val="Tahoma"/>
            <family val="2"/>
          </rPr>
          <t>Short name - please align with Intermediate Risk file</t>
        </r>
      </text>
    </comment>
  </commentList>
</comments>
</file>

<file path=xl/sharedStrings.xml><?xml version="1.0" encoding="utf-8"?>
<sst xmlns="http://schemas.openxmlformats.org/spreadsheetml/2006/main" count="1475" uniqueCount="740">
  <si>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</si>
  <si>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</si>
  <si>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</si>
  <si>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</si>
  <si>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</si>
  <si>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</si>
  <si>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</si>
  <si>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</si>
  <si>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</si>
  <si>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</si>
  <si>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</si>
  <si>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</si>
  <si>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</si>
  <si>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</si>
  <si>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</si>
  <si>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</si>
  <si>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</si>
  <si>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</si>
  <si>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</si>
  <si>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</si>
  <si>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</si>
  <si>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</si>
  <si>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</si>
  <si>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</si>
  <si>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</si>
  <si>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</si>
  <si>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</si>
  <si>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</si>
  <si>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</si>
  <si>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</si>
  <si>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</si>
  <si>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</si>
  <si>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</si>
  <si>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</si>
  <si>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</si>
  <si>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</si>
  <si>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</si>
  <si>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</si>
  <si>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</si>
  <si>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</si>
  <si>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</si>
  <si>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</si>
  <si>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</si>
  <si>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</si>
  <si>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</si>
  <si>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</si>
  <si>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</si>
  <si>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</si>
  <si>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</si>
  <si>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</si>
  <si>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</si>
  <si>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</si>
  <si>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</si>
  <si>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</si>
  <si>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</si>
  <si>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</si>
  <si>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</si>
  <si>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</si>
  <si>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</si>
  <si>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</si>
  <si>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</si>
  <si>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</si>
  <si>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</si>
  <si>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</si>
  <si>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</si>
  <si>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</si>
  <si>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</si>
  <si>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</si>
  <si>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</si>
  <si>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</si>
  <si>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</si>
  <si>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</si>
  <si>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</si>
  <si>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</si>
  <si>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</si>
  <si>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</si>
  <si>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</si>
  <si>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</si>
  <si>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</si>
  <si>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</si>
  <si>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</si>
  <si>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</si>
  <si>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</si>
  <si>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</si>
  <si>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</si>
  <si>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</si>
  <si>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</si>
  <si>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</si>
  <si>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</si>
  <si>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</si>
  <si>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</si>
  <si>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</si>
  <si>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</si>
  <si>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</si>
  <si>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</si>
  <si>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</si>
  <si>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</si>
  <si>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</si>
  <si>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</si>
  <si>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</si>
  <si>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</si>
  <si>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</si>
  <si>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</si>
  <si>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</si>
  <si>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</si>
  <si>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</si>
  <si>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</si>
  <si>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</si>
  <si>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</si>
  <si>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</si>
  <si>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</si>
  <si>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</si>
  <si>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</si>
  <si>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</si>
  <si>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</si>
  <si>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</si>
  <si>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</si>
  <si>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</si>
  <si>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</si>
  <si>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</si>
  <si>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</si>
  <si>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</si>
  <si>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</si>
  <si>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</si>
  <si>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</si>
  <si>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</si>
  <si>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</si>
  <si>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</si>
  <si>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</si>
  <si>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</si>
  <si>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</si>
  <si>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</si>
  <si>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</si>
  <si>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</si>
  <si>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</si>
  <si>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</si>
  <si>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</si>
  <si>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</si>
  <si>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</si>
  <si>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</si>
  <si>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</si>
  <si>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</si>
  <si>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</si>
  <si>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</si>
  <si>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</si>
  <si>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</si>
  <si>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</si>
  <si>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</si>
  <si>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</si>
  <si>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</si>
  <si>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</si>
  <si>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</si>
  <si>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</si>
  <si>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</si>
  <si>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</si>
  <si>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</si>
  <si>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</si>
  <si>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</si>
  <si>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</si>
  <si>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</si>
  <si>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</si>
  <si>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</si>
  <si>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</si>
  <si>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</si>
  <si>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</si>
  <si>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</si>
  <si>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</si>
  <si>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</si>
  <si>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</si>
  <si>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</si>
  <si>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</si>
  <si>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</si>
  <si>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</si>
  <si>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</si>
  <si>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</si>
  <si>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</si>
  <si>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</si>
  <si>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</si>
  <si>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</si>
  <si>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</si>
  <si>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</si>
  <si>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</si>
  <si>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</si>
  <si>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</si>
  <si>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</si>
  <si>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</si>
  <si>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</si>
  <si>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</si>
  <si>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</si>
  <si>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</si>
  <si>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</si>
  <si>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</si>
  <si>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</si>
  <si>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</si>
  <si>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</si>
  <si>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</si>
  <si>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</si>
  <si>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</si>
  <si>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</si>
  <si>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</si>
  <si>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</si>
  <si>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</si>
  <si>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</si>
  <si>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</si>
  <si>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</si>
  <si>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</si>
  <si>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</si>
  <si>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</si>
  <si>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</si>
  <si>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</si>
  <si>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</si>
  <si>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</si>
  <si>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</si>
  <si>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</si>
  <si>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</si>
  <si>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</si>
  <si>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</si>
  <si>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</si>
  <si>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</si>
  <si>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</si>
  <si>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</si>
  <si>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</si>
  <si>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</si>
  <si>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</si>
  <si>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</si>
  <si>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</si>
  <si>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</si>
  <si>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</si>
  <si>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</si>
  <si>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</si>
  <si>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</si>
  <si>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</si>
  <si>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</si>
  <si>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</si>
  <si>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</si>
  <si>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</si>
  <si>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</si>
  <si>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</si>
  <si>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</si>
  <si>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</si>
  <si>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</si>
  <si>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</si>
  <si>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</si>
  <si>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</si>
  <si>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</si>
  <si>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</si>
  <si>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</si>
  <si>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</si>
  <si>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</si>
  <si>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</si>
  <si>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</si>
  <si>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</si>
  <si>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</si>
  <si>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</si>
  <si>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</si>
  <si>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</si>
  <si>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</si>
  <si>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</si>
  <si>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</si>
  <si>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</si>
  <si>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</si>
  <si>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</si>
  <si>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</si>
  <si>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</si>
  <si>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</si>
  <si>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</si>
  <si>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</si>
  <si>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</si>
  <si>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</si>
  <si>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</si>
  <si>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</si>
  <si>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</si>
  <si>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</si>
  <si>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</si>
  <si>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</si>
  <si>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</si>
  <si>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</si>
  <si>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</si>
  <si>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</si>
  <si>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</si>
  <si>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</si>
  <si>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</si>
  <si>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</si>
  <si>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</si>
  <si>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</si>
  <si>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</si>
  <si>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</si>
  <si>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</si>
  <si>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</si>
  <si>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</si>
  <si>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</si>
  <si>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</si>
  <si>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</si>
  <si>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</si>
  <si>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</si>
  <si>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</si>
  <si>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</si>
  <si>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</si>
  <si>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</si>
  <si>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</si>
  <si>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</si>
  <si>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</si>
  <si>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</si>
  <si>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</si>
  <si>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</si>
  <si>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</si>
  <si>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</si>
  <si>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</si>
  <si>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</si>
  <si>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</si>
  <si>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</si>
  <si>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</si>
  <si>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</si>
  <si>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</si>
  <si>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</si>
  <si>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</si>
  <si>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</si>
  <si>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</si>
  <si>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</si>
  <si>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</si>
  <si>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</si>
  <si>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</si>
  <si>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</si>
  <si>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</si>
  <si>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</si>
  <si>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</si>
  <si>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</si>
  <si>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</si>
  <si>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</si>
  <si>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</si>
  <si>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</si>
  <si>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</si>
  <si>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</si>
  <si>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</si>
  <si>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</si>
  <si>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</si>
  <si>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</si>
  <si>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</si>
  <si>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</si>
  <si>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</si>
  <si>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</si>
  <si>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</si>
  <si>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</si>
  <si>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</si>
  <si>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</si>
  <si>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</si>
  <si>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</si>
  <si>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</si>
  <si>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</si>
  <si>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</si>
  <si>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</si>
  <si>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</si>
  <si>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</si>
  <si>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</si>
  <si>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</si>
  <si>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</si>
  <si>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</si>
  <si>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</si>
  <si>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</si>
  <si>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</si>
  <si>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</si>
  <si>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</si>
  <si>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</si>
  <si>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</si>
  <si>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</si>
  <si>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</si>
  <si>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</si>
  <si>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</si>
  <si>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</si>
  <si>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</si>
  <si>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</si>
  <si>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</si>
  <si>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</si>
  <si>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</si>
  <si>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</si>
  <si>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</si>
  <si>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</si>
  <si>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</si>
  <si>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</si>
  <si>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</si>
  <si>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</si>
  <si>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</si>
  <si>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</si>
  <si>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</si>
  <si>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</si>
  <si>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</si>
  <si>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</si>
  <si>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</si>
  <si>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</si>
  <si>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</si>
  <si>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</si>
  <si>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</si>
  <si>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</si>
  <si>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</si>
  <si>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</si>
  <si>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</si>
  <si>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</si>
  <si>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</si>
  <si>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</si>
  <si>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</si>
  <si>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</si>
  <si>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</si>
  <si>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</si>
  <si>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</si>
  <si>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</si>
  <si>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</si>
  <si>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</si>
  <si>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</si>
  <si>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</si>
  <si>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</si>
  <si>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</si>
  <si>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</si>
  <si>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</si>
  <si>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</si>
  <si>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</si>
  <si>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</si>
  <si>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</si>
  <si>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</si>
  <si>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</si>
  <si>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</si>
  <si>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</si>
  <si>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</si>
  <si>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</si>
  <si>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</si>
  <si>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</si>
  <si>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</si>
  <si>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</si>
  <si>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</si>
  <si>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</si>
  <si>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</si>
  <si>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</si>
  <si>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</si>
  <si>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</si>
  <si>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</si>
  <si>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</si>
  <si>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</si>
  <si>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</si>
  <si>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</si>
  <si>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</si>
  <si>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</si>
  <si>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</si>
  <si>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</si>
  <si>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</si>
  <si>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</si>
  <si>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</si>
  <si>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</si>
  <si>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</si>
  <si>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</si>
  <si>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</si>
  <si>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</si>
  <si>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</si>
  <si>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</si>
  <si>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</si>
  <si>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</si>
  <si>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</si>
  <si>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</si>
  <si>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</si>
  <si>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</si>
  <si>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</si>
  <si>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</si>
  <si>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</si>
  <si>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</si>
  <si>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</si>
  <si>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</si>
  <si>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</si>
  <si>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</si>
  <si>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</si>
  <si>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</si>
  <si>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</si>
  <si>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</si>
  <si>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</si>
  <si>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</si>
  <si>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</si>
  <si>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</si>
  <si>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</si>
  <si>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</si>
  <si>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</si>
  <si>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</si>
  <si>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</si>
  <si>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</si>
  <si>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</si>
  <si>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</si>
  <si>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</si>
  <si>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</si>
  <si>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</si>
  <si>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</si>
  <si>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</si>
  <si>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</si>
  <si>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</si>
  <si>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</si>
  <si>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</si>
  <si>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</si>
  <si>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</si>
  <si>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</si>
  <si>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</si>
  <si>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</si>
  <si>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</si>
  <si>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</si>
  <si>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</si>
  <si>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</si>
  <si>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</si>
  <si>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</si>
  <si>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</si>
  <si>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</si>
  <si>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</si>
  <si>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</si>
  <si>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</si>
  <si>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</si>
  <si>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</si>
  <si>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</si>
  <si>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</si>
  <si>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</si>
  <si>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</si>
  <si>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</si>
  <si>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</si>
  <si>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</si>
  <si>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</si>
  <si>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</si>
  <si>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</si>
  <si>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</si>
  <si>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</si>
  <si>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</si>
  <si>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</si>
  <si>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</si>
  <si>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</si>
  <si>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</si>
  <si>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Auto Finance</t>
  </si>
  <si>
    <t xml:space="preserve">There have been no significant business continuity failures or events over the past 12 months.  The business continuity process is currently being enhanced to establish Recovery Time Objectives (RTOs) which include recovery strategies, resource needs (technology &amp; non technology), internal &amp; external dependencies, and tasks to recover the process based on the results of a Business Impact Analysis.  
</t>
  </si>
  <si>
    <t>SCUSA Auto Finance</t>
  </si>
  <si>
    <t>6/11 Executive Meeting and Training; 6/16 Customer Service; 6/18 Credit &amp; Funding; 6/22 Collections &amp; Recovery; 6/25 Asset Remarketing; 7/1 Marketing &amp; Sales; 7/28 Executive Session - Auto; 8/03 Executive Session - Auto; includes Sales/Marketing and Pricing &amp; Analytics</t>
  </si>
  <si>
    <t>5. New Business Activities or New Products</t>
  </si>
  <si>
    <t xml:space="preserve">Potential Loss Amount24204371
Value of Loss Recovery (IMPRECDIR) - Direct24204371
Actual Loss Amount0
Near Miss Amount0
</t>
  </si>
  <si>
    <t>4/1/2014</t>
  </si>
  <si>
    <t xml:space="preserve">Potential Loss Amount22198126.91
Value of Loss Recovery (IMPRECDIR) - Direct17114115.28
Actual Loss Amount5084011.63
Near Miss Amount0
</t>
  </si>
  <si>
    <t xml:space="preserve">Vehicles greater than 1 ton issue
During a Bank of America on-site review in May 2014, it was identified that SCUSA sold loans to Bank of America that exceeded the "vehicles greater than 1 ton" requirement per the executed agreement.  When the initial agreement was executed, SCUSA did not have a mechanism in place to identify loans that exceeded the defined parameter. BOA was aware of this at the time of the sale. Also, there was no evidence of a detailed review performed by SCUSA to ensure that all requirements in the agreement are being adhered to.  _x000D_
 An SQL query was prepared and ran by Joe Youngblood, Director Financial Analytic identified 539 vehicles greater than 1 ton were sold to Bank of America, and the total amount financed was $22,198,126.91. (Please see a copy of SQL Query Logic in Event folder on Shared Drive). Per J. Youngblood, the query was pulled from the following databases (Standards, Finance, DW_AccountingTreasuryMart, Dw_Shawstore). Per J. Youngblood, the query logic and output  was reviewed by David Kaufman (VP Partner Relations), Brad Martin (EVP Servicing), and James Hart (SVP Operational Quality) at SCUSA and was also reviewed by David Hollodick at Bank of America. The logic was provided to J. Youngblood by Brandon Dry (VP Origination Strategies) as to how to identify vehicles &gt; 1 ton (used Chrome ID’s and Model exclusions)._x000D_
 Based on an update meeting operational risk had with the Business on 11/13/2014, it was brought to our attention that BofA reviewed, approved and signed-off on all pools and were aware of the inclusion of these vehicles at the time of the sale._x000D_
 Root Cause:_x000D_
 SCUSA did not have a mechanism in place to identify loans that exceeded the defined parameter. In addition, SCUSA did not have processes in place to ensure we are confirming with sales agreements. _x000D_
 These loans were repurchased on 10/31/14 @ $17,114,115.28 ._x000D_
  </t>
  </si>
  <si>
    <t>1/1/2010</t>
  </si>
  <si>
    <t xml:space="preserve">Potential Loss Amount10377000
Value of Loss Recovery (IMPRECDIR) - Direct  
Actual Loss Amount10377000
Near Miss Amount0
</t>
  </si>
  <si>
    <t>2/17/2015</t>
  </si>
  <si>
    <t xml:space="preserve">Potential Loss Amount9350000
Value of Loss Recovery (IMPRECDIR) - Direct0
Actual Loss Amount9350000
Near Miss Amount0
</t>
  </si>
  <si>
    <t>US DOJ SCRA investigation
The US Department of Justice had been examining SCUSA’s Compliance with the Servicemember’s Civil Relief Act (“SCRA”) since January 2013.  The examination includes a review of accounts from January 2008 through January 2013.  SCUSA was notified on 2/17/15 from the Legal Department of the Civil Rights Division of the Department of Justice that they were looking in lieu of litigation to settle with SCUSA regarding alleged SCUSA SCRA violations by repossessing cars from certain SCRA covered accounts without a court order and tried to collect on accounts where repossession was processed by a prior account holder.  Specifically, they alleged that SCUSA unlawfully repossessed 760 SCUSA -originated contracts and conducted deficiency collection on 352 accounts unlawfully repossessed by Citi and HSBC. They did not find any violation of interest rate and fee provisions. The current settlement demand number at that time was $9,415,000 broken down as follows: (i) $10,000 for each alleged unlawful repossession; (ii) $5,000 for each HSBC/Citi account; and (iii) a $55,000 statutory penalty.   The DOJ was looking to settle within three days.  SCUSA Legal worked with Operations to validate the accounts they could during the timeframe given.  There were 4 accounts that were removed.  It is the DOJ’s position that lenders must confirm that borrowers are not protected by the SCRA before repossession.  In 2011 SCUSA implemented a manual process to identify accounts possibly eligible for protection.  In early 2012, we implemented an automated scrub whereby 3-5 days prior to an account being made eligible for repossession a search is run through the DMDC website.  Positive hits are routed to the SCUSA SCRA team and excluded from assignment until they can be verified.  To further strengthen our controls, we are currently working on a process to scrub all accounts through the DMDC website every 7 days using the Record Search process on the DMDC website.  This process will allow 50 files per day of up to 250,000 records per file.    We expect to have the process in place by the end of the second quarter of 2015.  Additionally, Compliance and Internal Audit perform annual monitoring of SCRA accounts.   Of the 760 alleged repossession violations, only 18 occurred after we implemented the scrub process.  _x000D_
 The SCUSA Board reviewed the DOJ request on 2/24/15.  The majority of the accounts found objectionable by the DOJ involved repossessions prior to 2012 and approximately one third were accounts from other financial institutions that were converted to SCUSA accounts at a later date.  Even though there was a possibility to recoup the one third, for reputational risk, the SCUSA Board and approved a settlement of $9.3M. The DOJ published the consent order on 2/25/15.  http://www.justice.gov/opa/pr/justice-department-reaches-settlement-santander-consumer-usa-resolve-allegations-concerning_x000D_
 On the evening of 2/26/15 the US District Court for the Northern District of Texas formally approved the DOJ Consent Order. It was also identified there were third party accounts that were affected: SBNA – Total of 68 accounts affected.  There were 41 accounts the DOJ found where SBNA wrongfully repossessed prior to conversion.  There were 27 that SCUSA wrongfully repossessed.  GE – Total of 2 accounts affected.  _x000D_
 Root Cause:  It is the DOJ’s position that lenders must confirm that borrowers are not protected by the SCRA before repossession.  SCUSA had SCRA violations by repossessing cars from certain SCRA covered accounts without a court order and tried to collect on accounts where repossession was processed by a prior account holder.  How it was identified:  SCUSA was notified by the DOJ.</t>
  </si>
  <si>
    <t>1/31/2005</t>
  </si>
  <si>
    <t xml:space="preserve">Potential Loss Amount5677400
Value of Loss Recovery (IMPRECDIR) - Direct  
Actual Loss Amount5677400
Near Miss Amount  
</t>
  </si>
  <si>
    <t xml:space="preserve">Incomplete Identification and Issuance of 1099-C
Earlier in 2015, while gathering the information necessary to prepare and file the 2014 1099-Cs, it was discovered that the query used to pull the population did not include: a)      Negotiated settlements (triggering event 6) for the months of January through November for a select group of borrowers (Origination Type 18). b)      Negotiated settlements (triggering event 6) between $600 and $10,000. c)       Commercial Bankruptcy (triggering event 1) d)      36-month rule (triggering event 8)._x000D_
 Chronology: The event begin date is TBD but appears to have been 2005 as that is when the requirements regarding these unidentified triggering events went into effect by the IRS.  The first exception was discovered in late January 2015, with additional exceptions discovered over the intervening period.  Accounting is still trying to finalize the total population and what remediation actions need to be taken and has been working with Brad Martin, Mark Smith and Erica Barton to identify the historical population of accounts that should have received a 1099-C but did not.  _x000D_
 Impact: Currently, there is a $100 penalty for failing to provide a borrower with a Form 1099-C by the due date and a  separate $100 penalty for failing to timely file with the IRS.  Based on one method, still under review, it is estimated that a little over 28.4k Form 1099-Cs were not filed.  An accrual for potential penalties of $5.7MM was booked in April.  This is Accounting's best estimate of a potential penalty with the information available as of April 30th.  No penalty has been assessed to-date and they are continuing to evaluate the potential population.  Accounting anticipates addressing the historical non-filing issue during our 2012 Federal audit._x000D_
  _x000D_
 The event was escalated on 6/3/15. </t>
  </si>
  <si>
    <t>9/19/2014</t>
  </si>
  <si>
    <t xml:space="preserve">Potential Loss Amount1462227.37
Value of Loss Recovery (IMPRECDIR) - Direct0
Actual Loss Amount1462227.37
Near Miss Amount0
</t>
  </si>
  <si>
    <t>Ineligible Loans Sold to Bank of America (BANA) &amp; RBS Citizens
Event Description:_x000D_
 On December 22, 2014, changes were made in CARS that moved two financing products (Tire/Wheel &amp; Maintenance Contracts) from one line to another, and the related fields were created in the CARS system. Prior to this change being implemented, no impact assessment was performed to identify stakeholders and downstream impact. The Financial Analytics department was a key stakeholder as the original fields were used to determine eligible loans for sale to BANA and RBS Citizens. Financial Analytics determined that 57 accounts that would have been classified as ineligible were sold; 49 to BANA for $1.3MM and 8 to RBS Citizens for $162K. As of March month end, the pool criteria logic has been updated to include the two financing products.　_x000D_
 Root Cause(s):_x000D_
 Change management process did not identify stakeholders and downstream impact of change.　　　_x000D_
 How it was identified:_x000D_
 VP, Profitability Analysis identified this during a routine review._x000D_
 Note: All accounts sold were related to Chrysler Capital - Retail.</t>
  </si>
  <si>
    <t>Various</t>
  </si>
  <si>
    <t xml:space="preserve">Potential Loss Amount3823538
Value of Loss Recovery (IMPRECDIR) - Direct3823538
Actual Loss Amount0
Near Miss Amount  
</t>
  </si>
  <si>
    <t xml:space="preserve">Potential Loss Amount13313462.98
Value of Loss Recovery (IMPRECDIR) - Direct0
Actual Loss Amount13313462.98
Near Miss Amount0
</t>
  </si>
  <si>
    <t xml:space="preserve">Potential Loss Amount1220069.05
Value of Loss Recovery (IMPRECDIR) - Direct
Actual Loss Amount1220069.05
Near Miss Amount
</t>
  </si>
  <si>
    <t>3/5/2014</t>
  </si>
  <si>
    <t xml:space="preserve">Potential Loss Amount
Value of Loss Recovery (IMPRECDIR) - Direct
Actual Loss Amount
Near Miss Amount69530874.57
</t>
  </si>
  <si>
    <t xml:space="preserve">Overstated Incomes
It was discovered through the early payment default (EPD) process that overstated incomes and proof of down payment issues are at much higher volumes than normal for the Chrysler Capital business. Initially, Chrysler Capital loans did not require proof of income and down payment at the time of funding, which began resulting in false declarations of income and ultimately non-payment by the customer. _x000D_
 The potential loss associated with this issue is the total of all loans financed by these dealers, if all had had inflated incomes - $69,530,874.57. </t>
  </si>
  <si>
    <t>1/9/2015</t>
  </si>
  <si>
    <t xml:space="preserve">Potential Loss Amount
Value of Loss Recovery (IMPRECDIR) - Direct
Actual Loss Amount
Near Miss Amount1662072
</t>
  </si>
  <si>
    <t xml:space="preserve">Multiple Loss Events for Errors in Dealer Payments
</t>
  </si>
  <si>
    <t xml:space="preserve">Multiple Events Related to Fraud Losses 
</t>
  </si>
  <si>
    <t xml:space="preserve">Multiple Events for Legal Settlements related to Collections Practices
</t>
  </si>
  <si>
    <t xml:space="preserve">Operational Risk is notified of Evolving  Risks through monitoring of various reports, including, but not limited to, IT Change Management, Major Incidents, Quality Control Reviews and Fraud Losses. Additionally, Operational Risk is notified by the business area either directly through self-reporting or during monthly meetings that are held with each business area.  These risks are recorded and tracked in the system of record, Archer. Operational Risk then performs root cause analysis and develops action plans with the risk owner and track through to completion. 
</t>
  </si>
  <si>
    <t>1.1 Pre-Provision Net Revenue (PPNR) deviation vs. budget</t>
  </si>
  <si>
    <t>1.2 Profits Before Taxes (PBT) deviation vs. budget</t>
  </si>
  <si>
    <t>1.3 Return on risk-weighted assets (pre-tax and unweighted)</t>
  </si>
  <si>
    <t xml:space="preserve">1.4 Loss Absorption Ratio </t>
  </si>
  <si>
    <t xml:space="preserve">1.5.Retail Customer Satisfaction </t>
  </si>
  <si>
    <t xml:space="preserve">1.6. Risk Balance </t>
  </si>
  <si>
    <t xml:space="preserve">2.1. Non regulatory single event with an equivalent impact of $5mm in losses </t>
  </si>
  <si>
    <t>2.1. Non regulatory single event with an equivalent impact of $5mm in losses (MONTHLY)</t>
  </si>
  <si>
    <t>2.2.Total customer complaints received from regulatory agencies and government officials (only CFPB, excludes states)</t>
  </si>
  <si>
    <t>2.2 Total customer complaints received from regulatory agencies &amp; government officials (includes all regulatory complaints)</t>
  </si>
  <si>
    <t xml:space="preserve">2.3 Total complaints over portfolio count </t>
  </si>
  <si>
    <t xml:space="preserve">3.1.Total reserves against 12-month projected credit losses </t>
  </si>
  <si>
    <t>3.2.Total reserves against 12-month projected credit losses under stress conditions</t>
  </si>
  <si>
    <t>3.3 Total Dealership Exposure (CRE + Owner Occupied) **</t>
  </si>
  <si>
    <t>3.4 Auto brand concentration to retail portfolio</t>
  </si>
  <si>
    <t>3.5 State concentration to retail portfolio</t>
  </si>
  <si>
    <t>3.6 Auto Finance Losses/Tier 1 + ACL</t>
  </si>
  <si>
    <t>3.7 Unsecured Losses/Tier 1 +ACL</t>
  </si>
  <si>
    <t xml:space="preserve">4.1.Forecasted mark to market losses under VAR scenarios </t>
  </si>
  <si>
    <t xml:space="preserve">4.1 a) Forecasted mark to market losses under VAR scenarios </t>
  </si>
  <si>
    <t>4.1 QTD Losses</t>
  </si>
  <si>
    <t>4.1 b) Cumulative QTD Trading IRS Losses/Gains</t>
  </si>
  <si>
    <t>4.2.ALM:  Net interest income (NII) (+/-100bps)</t>
  </si>
  <si>
    <t xml:space="preserve">4.3.ALM:  Market value of equity (MVE) (+/-200bps) </t>
  </si>
  <si>
    <t>5.1 Structural Liquidity Ratio (SLR)</t>
  </si>
  <si>
    <t>5.2 Self Funding</t>
  </si>
  <si>
    <t>5.3% Outstanding Balance  of Warehouse and Intergroup Funding Lines, maturing in next 45 days</t>
  </si>
  <si>
    <t xml:space="preserve">6.1.Total operational losses (defined management internal loss data) as a percent of PPNR </t>
  </si>
  <si>
    <t xml:space="preserve">6.1 Total potential losses (defined as operational risk internal loss data) as a percent of Gross Income calculated on a 3 month rolling average.  </t>
  </si>
  <si>
    <t xml:space="preserve">6.2.Employee Voluntary Attrition to Average Number of Employees </t>
  </si>
  <si>
    <t>7.1.Percentage of employees who have completed the compliance training program on a yearly basis</t>
  </si>
  <si>
    <t xml:space="preserve">
100%</t>
  </si>
  <si>
    <t>7.2.Past due remediation plans to supervisory findings</t>
  </si>
  <si>
    <t>8.1. Material models put into production/used without the appropriate approval (as defined in the MRM Policy)</t>
  </si>
  <si>
    <t>9.1 Tier 1 Common</t>
  </si>
  <si>
    <t>9.2 Tier 1 Leverage</t>
  </si>
  <si>
    <t>9.3 Tier 1 Risk-Based Capital</t>
  </si>
  <si>
    <t>9.4Total Risk-Based Capital</t>
  </si>
  <si>
    <t>9.5 Tangible Common Equity Ratio</t>
  </si>
  <si>
    <r>
      <t xml:space="preserve">2014 Metrics were measured using 2014 limits, EWI and calculations.
</t>
    </r>
    <r>
      <rPr>
        <u/>
        <sz val="11"/>
        <color theme="1"/>
        <rFont val="Calibri"/>
        <family val="2"/>
        <scheme val="minor"/>
      </rPr>
      <t>2015 changes in metrics:</t>
    </r>
    <r>
      <rPr>
        <sz val="11"/>
        <color theme="1"/>
        <rFont val="Calibri"/>
        <family val="2"/>
        <scheme val="minor"/>
      </rPr>
      <t xml:space="preserve">
Metric 1.3 - 2014 methodology equals Monthly PBT (Annualized) / Assets.  2015 methodology equals YTD PBT (Annualized) / Assets.   Annualized PBT is more appropriate of performance due to less volatility to monthly  income.
Metric 2.1 - Shifted from annual cumulative total, to a monthly single event total.  
Metric 2.3 - The numbers reported for 2014 are inquiries and complaints. Beginning in January 2015, we only report complaints. 
Metric 3.6 - For 2015 SCUSA utilizes the auto finance 12 month projected credit losses under stress conditions (Severely Adverse Scenario). 
Metric 3.7 - 2015 metric uses the unsecured exposure 12 month projected credit loses under stress conditions (Severely Adverse Scenario). NCLs are projected to increase in 2015 while the reserve build occurred earlier in the life of this portfolio. 
Metric 6.1 - The rationale for changing from PPNR to Gross Income is because Gross Income is larger and typically more stable than PPNR, which can be impacted by expenses and accounting items.  Gross Income is in line with what is used for the Basic Indicator Approach (BIA) and The Standardized Approach (TSA) as described in the Basel II Capital Accord.  
</t>
    </r>
    <r>
      <rPr>
        <u/>
        <sz val="11"/>
        <color theme="1"/>
        <rFont val="Calibri"/>
        <family val="2"/>
        <scheme val="minor"/>
      </rPr>
      <t xml:space="preserve">New 2015 Metrics: </t>
    </r>
    <r>
      <rPr>
        <sz val="11"/>
        <color theme="1"/>
        <rFont val="Calibri"/>
        <family val="2"/>
        <scheme val="minor"/>
      </rPr>
      <t xml:space="preserve">
Metric 3.8 - New metric added in 2015 to track 61+ day delinquencies at the Total Portfolio level.  
Metric 3.9 - New metric added to monitor the lease balance limit.
RTS 3.10 -  This metric calculates the potential stressed residual loss  as a percentage of lifetime profit.   
RTS 3.11 – These metrics express our worst potential loss as a percentage of Tier 1 Capital for the firm overall as well as the worst potential loss excluding our counterparty exposure.  
Metric 5.4 and 5.5: Cumulative Liquidity Gap reflects the percentage of (3 Months and 12 Months) asset cash flows divided by the liability cash flows (based on current methodology for Liquidity Gap Cash Flows). 
Metric 8.2: Model Risk Management covers the full model lifecycle; the 13 key controls which make up the MRM framework are designed to help mitigate model risk throughout the life of a model. 
Metric 9.6: CET1 (Common Equity Tier 1 Ratio) added in 2015 under new Basel III requirements.
</t>
    </r>
  </si>
  <si>
    <t>Credit, Funding, Decision Science</t>
  </si>
  <si>
    <t>Pricing / Decisioning Risk</t>
  </si>
  <si>
    <t>Risk Type  - The Risk Type from the SHUSA ERM Risk Taxonomy</t>
  </si>
  <si>
    <t>Risk Sub Type  - The Risk Sub-Category from the SHUSA ERM Risk Taxonomy</t>
  </si>
  <si>
    <t>Risk Name - The name of the risk which helps define it and differentiate it from other risks in other Business Lines with a similar Risk Category</t>
  </si>
  <si>
    <t>Risk Driver - The economic, business or regulatory force(s) leading to the potential increase(s) in the Risk profile as capture under the 'Stressed Financial Impact'. Drivers(s) must be supported in the 'Financial Impact Rationale'.</t>
  </si>
  <si>
    <t xml:space="preserve">Annual Expected Loss (Base) - A reasonable expectation of a negative impact to revenues/expenses within the next 12 month period in baseline conditions. This considers the amount at risk along with the current control environment both the design and effectiveness.
</t>
  </si>
  <si>
    <t xml:space="preserve">Stressed Financial Impact - An annual expected loss that considers a severe combination of circumstances that could reasonably be expected to occur in one annual period out of ten.  </t>
  </si>
  <si>
    <t>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</si>
  <si>
    <t>Financial Impact Analysis - Explanation on the analysis and data utilized to determine the annual and stressed impact bands selected and forward assumptions (Firm specific events and Risk Driver(s) selected).</t>
  </si>
  <si>
    <t>Risk Narrative - The risk narrative should be an executive level write up touching on the nature of the risk, the expected impact, the worst one in ten year impact, the risk drivers and the adequacy of the control suite.</t>
  </si>
  <si>
    <t xml:space="preserve">Noncompliance with Consumer Regulations  may result in regulatory violations, reputational exposure, and financial impacts, including potential fines / penalties.
SCUSA operates in a highly scrutinized financial industry that must comply with state and federal laws.  With exposure to consumer credit information, SCUSA has oversight from multiple regulatory agencies including OCC, CFPB, Fed, and individual states. SCUSA must also comply with applicable regulatory standards such as OFAC, BSA, AML, Fair Lending, FCRA, SCRA, FDCPA, and TCPA.  While every effort is made to systemically control any potential violations, due to the manual nature of the business and volume impacts residual risks still exists.
</t>
  </si>
  <si>
    <t>Based on past financial impact and recent competitor fines regarding regulatory non-compliance (DOJ $9.3m, Honda Finance $24m).</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</si>
  <si>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</si>
  <si>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t>Consumer Regulations</t>
  </si>
  <si>
    <t>Auto</t>
  </si>
  <si>
    <t>Credit, Funding, Servicing</t>
  </si>
  <si>
    <t>Dealer or Customer Fraud</t>
  </si>
  <si>
    <t>Credit, loan Funding, Servicing</t>
  </si>
  <si>
    <t>Fair Lending</t>
  </si>
  <si>
    <t xml:space="preserve">SCUSA policy and procedures are designed and implemented to comply with regulatory requirements essential for preventing and detecting Fair Lending violations.  SCUSA has a 100% systemic loan approval process.    Compliance also completes quarterly fair lending reviews on originations and servicing.  A Fair Lending complaint review process is also in place.  A loan contract review process is in place to ensure compliance with applicable laws and disclosures.  </t>
  </si>
  <si>
    <t xml:space="preserve">Recent settlements of competitors, Ally $95MM CFPB settlement and  Honda $24MM CFPB settlement are the justification for the potential annual expected loss and that of a stressed financial impact. </t>
  </si>
  <si>
    <t>Credit, Funding Servicing</t>
  </si>
  <si>
    <t>State Lending Laws</t>
  </si>
  <si>
    <t>Auto: Errors in collection strategy may result in sub-optimal collection results and financial loss.
Failure to recognize trends in originations volume, delinquency, roll rates, early pay defaults, tool utilization, or potential loss account volume could impact gross charge off amounts.  Trends must be identified to insure appropriate staffing and treatment of accounts including effort driven statistics  to maintain set standards and service levels.</t>
  </si>
  <si>
    <t>The average gross loss on our balance sheet accounts is ~$300m per month, a mistake resulting in missing loss objectives by a single basis point would equate to $28m financial impact month.</t>
  </si>
  <si>
    <t>Reporting is key with oversight by management to recognize trends or deficiencies.   Staffing is measured against capacity plans that take origination volume, seasonal delinquency trends, actual delinquency, call handle time, and inbound volume to determine adequate staffing numbers per department.   Account level detail is provided by delinquency level (current, potential, and vintage) for all areas including collections, titles, insurance, impounds, bankruptcy, SCRA, and cease and desist.</t>
  </si>
  <si>
    <t>Auto: Collections Strategy</t>
  </si>
  <si>
    <t>Auto; Personal Lending</t>
  </si>
  <si>
    <t>New Business Initiatives</t>
  </si>
  <si>
    <t xml:space="preserve">Any new business initiative must be presented to the SCUSA Executive Management Committee (EMC) for consideration and decision as to whether the prospective product, program or initiative is considered 'new' for the purpose of governance approval requirements.  If deemed 'new', the product, program or initiative is required to be presented through other committees, including at SHUSA, and ultimately to the Fed prior to any implementation. If not deemed 'new' by the EMC, the product, program or initiative is directed to another committee within SCUSA for consideration to be prioritized.  In some cases, the product, program or initiative is not prioritized, even if the EMC doesn't consider to be 'new' due to higher priority projects or other resource or timing constraints.  In those cases, the product, program or initiative is tabled for future discussion.  The current process ensures adherence to the governance requirement that SCUSA will not unilaterally engage in new activities. </t>
  </si>
  <si>
    <t>Given the Key Controls outlined in the document, we do not believe the residual risk would result in a material risk as defined, even in a worst in ten year impact review.  SCUSA is not engaging in any new activities as defined above.</t>
  </si>
  <si>
    <t xml:space="preserve">The loss of Chrysler as a business partner could result in SCUSA experiencing significant losses. The impact on SCUSA would differ based on whether the relationship was lost due to Chrysler terminating the contract (because SCUSA was unable to meet the contractual obligations of the agreement) or lost due to a Chrysler bankruptcy event.  While Chrysler’s current performance is strong with favorable trends in sales during recent periods, Chrysler has a history of bankruptcy events and went through a chapter 11 bankruptcy as recently as 2009.  While management of the new business is completely different and Chrysler now has the support of the Fiat parent, possibility for a bankruptcy in the future does still exist and as discussed in the controls section, SCUSA is unable to implement controls that could safeguard the Company against a possible Chrysler bankruptcy.  When considering the loss of Chrysler due to contractual breaches by SCUSA, management deems this risk to be lower, since SCUSA can implement controls to help ensure the Company is meeting its contractual obligations.       
Termination of the Chrysler relationship, either through contractual breach or bankruptcy, would lead to financial losses on SCUSA’s financials.  This financial impact would differ depending on the reason behind the termination of the contract.  
In the event of termination of the Chrysler contract due to SCUSA breaching contract terms or bankruptcy, SCUSA would be impacted by the following items:
-          At present, SCUSA is amortizing the upfront fee ($150mm) paid to Chrysler to enter the contract over the life of the agreement (10 years).  In the event that the relationship was abolished, SCUSA would be forced to immediately recognize the unamortized portion of this expense.  
-          Termination of the Chrysler relationship would result in the loss of all future lease origination volumes and substantial reduction in the volume of Chrysler loan originations.  The loss of this future business would result in lower revenues from reduction in net interest income on the loans, servicing fees and any gain on sale for sold assets.    
-          SCUSA also receives referral fees for any loans to Chrysler dealerships (e.g., floor plans or real estate) made by SBNA.  In the event of a terminated agreement, SCUSA would no longer receive any revenue from these referral fees.   
-          Some component of SCUSA’s market valuation is based on the future proceeds and growth that the Company will realize as a result of the Chrysler relationship.  Should this relationship be terminated, the market would react negatively to the event and drive down the stock price, thereby reducing SCUSA’s market value.  While this event will not directly impact SCUSA’s bottom line, it may result in negative market perceptions, not easily quantified, that lead to loss of lending relationships or increased cost of funds for SCUSA’s borrowings.   
In the event of termination of the Chrysler contract due to bankruptcy, SCUSA would also be impacted by the following items:
-          In bankruptcy, the risk sharing arrangement currently in place for leases would be compromised.  The risk sharing agreement provides protection to SCUSA for any larger than expected declines in residual value on the lease vehicle assets.  Any losses incurred due to declines in these residual values are shared with Chrysler (although any gains to SCUSA from higher than expected residual values is shared with Chrysler).  
-          In the event of a Chrysler bankruptcy, it is possible that the resale value for all Chrysler vehicles could decline in value.  As a result, SCUSA would experience increased losses as the recovery value of vehicles sold at auction would be reduced.  Reduction in these values results in higher net credit losses for the Company which leads to higher provision expenses and reduced earnings.
In the event that the relationship was terminated, a series of factors exist that would help mitigate the loss experienced by SCUSA.  
-          SCUSA maintains other partnerships and is constantly working on generating new business that could be used to offset the impact of losing Chrysler as a partner.  Additionally, due to terms of the Chrysler agreement, there are some business opportunities that SCUSA is currently unable to pursue as they would conflict with the Chrysler relationship.  Should this relationship be terminated (due to contractual breach or Chrysler BK), SCUSA would be able to pursue these opportunities to help replace some Chrysler volume.  
-          Any unwarranted termination by Chrysler would cause SCUSA’s current revenue sharing payments made to Chrysler to cease, resulting in higher retained income for SCUSA.
-          Lower origination volumes would lessen the Company’s funding needs, thereby allowing SCUSA to target the least costly funding options, lowering the cost of funds for the loans and increasing net interest margin.  
-          Extensive residual value analysis that quantifies the risk of losing the Chrysler relationship has been completed.  Analysis helps management understand SCUSA’s potential exposure to Chrysler not fulfilling their counterparty obligations in addition to how lower recovery / residual values might impact SCUSA’s book of loans / leases.  
</t>
  </si>
  <si>
    <t xml:space="preserve">While there would be a market value impact caused by decline in the Company's stock price due to the loss of the relationship, the impact would not directly impact the Company's earnings.  
Direct impacts to earnings would include the following: 
- Immediate recognition of the upfront fee paid to Chrysler that is currently amortizing at $1.25mm per month.  Currently outstanding balance of the amortizing expense is $117.5mm, which would be recognized as soon as the relationship was terminated and would be the same in base or stress.  
- Without the Chrysler agreement, the current earnings streams generated through this relationship would be forfeited.  In 2015, the projected earnings from Chrysler loans and leases is projected to be approximately $300mm, which includes referral fees received from SBNA's dealer lending originations.  In a base scenario, the full earnings would not be lost as SCUSA would still maintain relationships with Chrysler dealers and the Company could pursue additional opportunities that are currently on hold to avoid any conflict of interest.  As such, in a base scenario, SCUSA would likely only forego $150mm in future earnings.  In stress, the Company would assume that the full $300mm would be lost. 
- At present, the projected residual values on Chrysler vehicles result in a revenue share from SCUSA, as opposed to a loss share payment from Chrysler.  As such, if the contract were to terminate, SCUSA currently doesn't have any estimated exposure to changes in residual value.  Instead, it would forgo the payment to Chrysler of $71mm.  However, because residual values fluctuate, SCUSA could incur losses for any given year. 
- Auction values:  SCUSA has performed analysis to try and determine what impact the Chrysler bankruptcy in 2009 had on residual value for Chrysler vehicles.  Based on auction sales values realized on Chrysler vehicles, while a decline in auction proceeds for Chrysler vehicles occurred during the crisis, auction proceeds rose from January 1, 2009 up until the point when Chrysler filed for bankruptcy.  After the bankruptcy, proceeds from auction sales on Chrysler vehicles did not show any decline, but continued the general trend of increases in proceeds from the auction sales.
- Despite the analysis that supports that SCUSA currently would not incur a loss due to retention of residual value risk on Chrysler vehicles and that the value of Chrysler vehicles did not exhibit declines upon Chrysler filing for bankruptcy, the Company has performed additional scenario analysis to estimate potential losses caused by retention of residual value risk and possible declines in the value of Chrysler vehicles.  The only scenario that resulted in a loss was when no mitigates existed and Chrysler went bankrupt.  This scenario demonstrated a loss of $541mm pre-tax, which could be included in a stressed financial impact.  
</t>
  </si>
  <si>
    <t xml:space="preserve">SCUSA’s relationship with Chrysler is based on a contractual agreement, whereby both parties are subject to the terms and conditions of the relationship.  SCUSA is not able to implement any controls that could prevent the loss of this relationship due to a Chrysler bankruptcy (i.e., SCUSA has no control over Chrysler’s business operations, vehicle production, marketing efforts, expense management, etc.). However, SCUSA is able to implement controls that help ensure that the Company is able to uphold SCUSA’s contractual obligations, thereby reducing the likelihood that Chrysler could terminate the relationship.  Examples of these controls include the following:  
- SCUSA has implemented roles at the Company that are dedicated to managing the relationship with Chrysler.  These resources are embedded within the OEM regions and work with the OEM to implement incentive programs and products in a mutually beneficial way. This focus both helps Chrysler sell incremental vehicles and positions SCUSA as the sole or preferred funding entity for those vehicles. 
- SCUSA monitors performance against all metrics included within the Chrysler agreement.  Results of the analysis are reviewed in monthly operational committees with senior management from SCUSA and the OEM.  Additionally, quarterly Steering Committee meetings are held where these targets and performance are reviewed and discussed.  These forums allow all parties to understand the extent to which SCUSA is meeting its obligations as well as being presented with rationale for why some performance metrics may have been missed.  
- SCUSA has implemented a flexible platform for originations that allows for dynamic changes in the volume of assets that are originated / funded by the Company.  In the event that funding becomes constrained, SCUSA can quickly update pricing on selected product tiers in order to reduce volume of non-Chrysler assets such that Chrysler loans receive priority and Chrysler funding commitments can continue to be met.
Based on the controls implemented above, management believes that the Company is able to sufficiently manage the relationship with Chrysler and substantially reduce any risk that the relationship would be terminated due to SCUSA’s non-compliance with the contractual obligations.  As described above, SCUSA is not able to control for a potential loss in the Chrysler relationship that would result from a Chrysler bankruptcy. 
</t>
  </si>
  <si>
    <t>Loss of Chrysler relationship</t>
  </si>
  <si>
    <t>Chrysler Capital Lease</t>
  </si>
  <si>
    <t>Residual Value Risk</t>
  </si>
  <si>
    <t>We based the analysis on the most recent 12-years of actual used car market vs. ALG for our portfolio mix so us based on actual historical stresses.  That said, concerning econometric research that explained these stresses, the worst year in 2008 was largely impacted by the sever credit crunch and spike in gas prices based on our statistical econometric modeling.  Used vehicle supply is also a typical driver of the wholesale market.  Our model documentation includes stressed impacts for the top leased vehicles that collectively encompass majority of our lease originations for each variable at its worst point during last 10 years.  Also, the 12-year study is available for reference as needed.  Worst 12-month period from the 12-year study would have yielded only a 0.83% ROA with a $219MM residual value detriment netted from net yield.</t>
  </si>
  <si>
    <t xml:space="preserve">Lease residual values risk is expected to be only moderate for the coming year as tapered gas prices continue to hold used vehicle prices at a healthy level.  Over the past 10 years, the worst year was in 2008 and was driven largely by the credit crunch and the spike in gas prices, as well as consumer confidence drop based on statistical significance.  Supply is often an important driver as well.  The worst year would have shown a -4.36% of Net Cap Cost residual value impact compared to the industry benchmark to which we are tethered, but only on the vehicles maturing that year, not on whole portfolio.  However, the lease gross yield as well as risk-sharing, early terminations, alternative advantageous disposition channels would have collectively yielded a +1.85% lifetime lease ROA (or approx +0.83% lease ROA annualized) due to -$219MM residual value detriment netted from net yield) even over this worst year on these leases.  Gross yield from rents, fees, etc cannot be separated from the residual values risk piece of a lease and therefore the importance of relying on total ROA of lease during worst period rather than simply the residual value piece alone that is inseparable.  </t>
  </si>
  <si>
    <t>Fiat Chrysler Automobiles (FCA) provides subvention to Chrysler Capital for new vehicle sales and leases. This is based on incentivized rates they set at a Year/Make/Model/Trim level in each business center (BC). Based on the penetration of incentivized lease &amp; retail sales, this accounts for a significant amount of revenue for the company (100MM+ a month).  As such, various aspects, outlined above, are validated prior to processing. 
Once applications are funded, claims for the subvention dollars are created, based on the incentivized rate.  These claims are transmitted to FCA twice a month.  Any applications that do not have claims are reviewed to ensure there was not a processing error.  Any rejected payments from FCA are reviewed to ensure the claims are valid.  If they are valid, the rejections are disputed with supporting documentation (i.e. contract date verification, address information, etc).</t>
  </si>
  <si>
    <t>Model Year Input files:
High level validations done to insure files will not fail due to invalid data by Analyst processing the files
Overview by Senior Manager or above to confirm file dates, names and similar high level overview is done before files are processed
Includes: Verifying all Money Factor rates above 0%, Business Center numbers are correct per tab/file, no hidden tabs are present, lease &amp; retail start dates are consistent and accurate
Risk validation is completed by Credit Risk group prior to final load into production
Claims:
Daily Reporting to review claims not created
Daily Reporting for Vehicle Identification numbers not in inventory (can cause lack of claim)
Review of rejected claims or unprocessed claims; confirming validity of claim and providing documentation to Fiat Chrysler Automobiles for payment</t>
  </si>
  <si>
    <t>Errors in Incentives Program Implementation and Processing</t>
  </si>
  <si>
    <t xml:space="preserve">Over the past year, the Credit Risk department has been involved in several efforts (including increases to Credit Risk staffing levels, expansion of existing policies/governance, enhancements to Credit Risk MIS reporting and an overhaul of SCUSA’s ALLL methodology) launched in order to build a robust second line of defense that can provide ongoing and effective challenge to the business line.  In many cases, these projects included gap assessments performed either by Credit Risk or by third party consultants in order to identify instances in which SCUSA’s practices were outside of either industry norm or regulatory guidance.  The results of these assessments were considered when establishing and reviewing the Material Risk inventory.  While these remediation efforts were completed in order to address matters and recommendations issued by the Federal Reserve and Internal Audit, respectively, it is anticipated that similar credit assessments will be completed by SHUSA’s credit/loan review function once it is fully established.
</t>
  </si>
  <si>
    <t xml:space="preserve">SCUSA is subject to inspections, examinations, supervision, and regulation by the Securities and Exchange Commission ("SEC" or "Commission"), the CFPB, the Federal Trade Commission ("FTC"), the Department of Justice ("DOJ") and by regulatory agencies in each state in which we are licensed.  Adverse outcomes to current and future litigation against us may negatively impact our financial position, liquidity, and results of operations.  DOJ and other federal and state regulator inquiries or subpoenas may result in customer remediation, reputational exposure, financial impacts, and / or fines and penalties.
Based on industry data and information to-date from regulators and previous exposure over the years, as well as heightened regulatory scrutiny.  For example, the Ally and Honda CFPB fines were $80-98MM ad $24-25MM and the DOJ consent order for SCRA in the amount of $9.3MM.  Based on current discussions with regulators, SCUSA has set aside $5MM in legal reserves for CFPB Fair Lending Issues.  Expected losses in the next year would be $5-$50MM.  For the worst year in the next ten, stressed impact could potentially be in the lower end of the $50-$250MM range.
We've seen continuous scrutiny related to operating in the subprime space, and several news articles related to a potential "subprime bubble."     
In July 2014, the DOJ commenced an investigation of SCUSA for documentation related to non-prime underwriting and securitization, which could result in regulatory enforcement action, negative investor opinions (liquidity), reputational impacts, and additional fines and penalties.
</t>
  </si>
  <si>
    <t>For annual expected loss, SCUSA has paid out $9.3MM for SCRA, and has reserved $5MM in legal reserves for the CFPB Fair Lending investigation.  SCUSA estimates that our expected losses in the next year would be on the low end of $5-$50MM.
For Stressed Financial Impact, we based our assumed loss on industry data and information to-date from regulators, incorporating experience from previous exposure over the years.  For example, the Ally and Honda CFPB fines were $80-98MM ad $24-25MM.  For the worst year in the next ten, Stressed Impact could potentially be in the lower end of the $50-$250MM range.</t>
  </si>
  <si>
    <t xml:space="preserve">* Compliance &amp; Internal Audit reviews for Fair Lending and SCRA
* Revised Policies and Procedures for SCRA 
* Annual reviews of compliance related policies and procedures with internal Compliance and Legal (internal and outside counsel)
*Automated controls for underwriting and servicing
</t>
  </si>
  <si>
    <t>Regulator Inquiries</t>
  </si>
  <si>
    <r>
      <rPr>
        <b/>
        <sz val="11"/>
        <color theme="1"/>
        <rFont val="Calibri"/>
        <family val="2"/>
        <scheme val="minor"/>
      </rPr>
      <t>Aggregation:</t>
    </r>
    <r>
      <rPr>
        <sz val="11"/>
        <color theme="1"/>
        <rFont val="Calibri"/>
        <family val="2"/>
        <scheme val="minor"/>
      </rPr>
      <t xml:space="preserve"> This Risk was derived from the following Lines of Business or Segments (not required for Line of Business Inventories)</t>
    </r>
  </si>
  <si>
    <t xml:space="preserve">SCUSA follows a  new business activity process through its approved policies and procedures.  Over the last 12 months we have reviewed a number of proposed initiatives, but at this time we do not have any activities that would fit the definition of new products or business activities.  </t>
  </si>
  <si>
    <t>N/A - see below</t>
  </si>
  <si>
    <r>
      <rPr>
        <b/>
        <sz val="11"/>
        <color theme="1"/>
        <rFont val="Calibri"/>
        <family val="2"/>
        <scheme val="minor"/>
      </rPr>
      <t>Project Background and Scope:</t>
    </r>
    <r>
      <rPr>
        <sz val="11"/>
        <color theme="1"/>
        <rFont val="Calibri"/>
        <family val="2"/>
        <scheme val="minor"/>
      </rPr>
      <t xml:space="preserve">
SCUSA is progressing toward a stronger 2nd Line of Defense.  As such, SCUSA is in the initial stages of implementing an RCSA program; however the results from RCSA were not available for use in the Material Risk Program.  Consequently, as a starting point to the Material Risk Program (MRP), SCUSA used the output from the Functional Unit Risk Assessment Project, which documented the process flows, risks and controls for SCUSA products and processes, including those in the following functional areas:  Originations and Decision Sciences, Personal Lending, Servicing Operations, Accounting and Finance, Information Technology, Corporate Support (Legal, HR, etc.), and Vendor Oversight.  The project included the following objectives:  a) obtain an understanding of the business products and processes; b) identify and document the process flows; c) identify and document the population of risks and controls; d) evaluate the inherent risks, control effectiveness and residual risks; e) obtain and map all SOX, SOC2, Compliance, QC/QA and other testing to identify any primary controls requiring additional evaluation.  The methodology followed for the Functional Unit Risk Assessments complied with the ISO 3100 risk assessment framework and allows for a repeatable process with a bottoms up approach to risk assessment.  A secondary project to test primary controls identified in the gap assessment (letter “e.” above) was initiated in August 2015 and the results were considered for the Material Risk Program deliverables.
The Functional Unit Risk Assessment project included key considerations to ensure the project not only identified all of the 1st line of defense business, product and process owners, but also assessed the risk exposure in each area.  SCUSA utilized the organizational chart to identify all line managers responsible for functional units/products/processes.  Each of these managers were interviewed to gain understanding of their area, key processes, etc.  These areas/processes were then risk ranked.  Any rated as high or moderate ranked areas/processes were included in the Functional Unit project.  Low risk areas/processes were evaluated to gain an understanding of the area/process and rationale for not including in the functional unit assessment project was documented.
SCUSA ensured that the key resources and Subject Matter Experts (SMEs) from the 1st Line of Defense (1LOD) and the corresponding Risk Managers in the 2nd Line of Defense (2LOD) who participated in the Functional Unit Risk Assessment project received training.  Each working session included discussions and live commentary to fully explain the objectives, methodology, and process that would be followed. In addition, ERM identified trained resources within the Risk Team to assist with the completion of the Functional Unit Risk Assessments, augmented with contracted expert resources.  
</t>
    </r>
    <r>
      <rPr>
        <b/>
        <sz val="11"/>
        <color theme="1"/>
        <rFont val="Calibri"/>
        <family val="2"/>
        <scheme val="minor"/>
      </rPr>
      <t>Functional Unit Risk Identification and Assessment:</t>
    </r>
    <r>
      <rPr>
        <sz val="11"/>
        <color theme="1"/>
        <rFont val="Calibri"/>
        <family val="2"/>
        <scheme val="minor"/>
      </rPr>
      <t xml:space="preserve">
Based on the project’s scope, multiple meetings were held with each moderate and high risk area to discuss their risks and corresponding controls.  Foundational materials such as internal audit findings, MRA/MRA’S, and Operational Loss Events were used to more fully formulate the risks within each process/product.  Risks and controls and updated process flows were documented using a consistent format based on these discussions.  The SMEs/1st LOD were responsible for reviewing the risks, controls, and assigned risk and control ratings for accuracy and comprehensiveness.  Senior leadership within each area reviewed the final functional unit assessments to ensure that the risks and controls were accurately captured for their areas.  
</t>
    </r>
    <r>
      <rPr>
        <b/>
        <sz val="11"/>
        <color theme="1"/>
        <rFont val="Calibri"/>
        <family val="2"/>
        <scheme val="minor"/>
      </rPr>
      <t>Review, Enrichment &amp; Challenge:</t>
    </r>
    <r>
      <rPr>
        <sz val="11"/>
        <color theme="1"/>
        <rFont val="Calibri"/>
        <family val="2"/>
        <scheme val="minor"/>
      </rPr>
      <t xml:space="preserve">
The Functional Unit Risk Assessments were reviewed by the 2nd LOD/Risk Managers to provide challenge and enrichment.  Changes suggested were then discussed with the 1LOD and included in the assessment, as appropriate.  
For quality purposes, the ERM team performed a two level review at the Senior Manager and Director levels of each functional unit risk assessment.  The reviews were to provide additional enrichment and challenge to the process, and to help ensure that the risks and controls were comprehensive, risk ratings were applied consistently, and consideration for any low/moderate risks that could be aggregated to create a material risk were included in the assessments. 
</t>
    </r>
  </si>
  <si>
    <t>MR1</t>
  </si>
  <si>
    <t>MR2</t>
  </si>
  <si>
    <t>MR3</t>
  </si>
  <si>
    <t>MR4</t>
  </si>
  <si>
    <t>MR5</t>
  </si>
  <si>
    <t>MR6</t>
  </si>
  <si>
    <t>MR7</t>
  </si>
  <si>
    <t>MR8</t>
  </si>
  <si>
    <t>MR9</t>
  </si>
  <si>
    <t>MR12</t>
  </si>
  <si>
    <t>MR13</t>
  </si>
  <si>
    <t>MR14</t>
  </si>
  <si>
    <t>MR15</t>
  </si>
  <si>
    <t>RAP (Priority Attention)</t>
  </si>
  <si>
    <t>IMPLEMENTED</t>
  </si>
  <si>
    <t>10.16.2014</t>
  </si>
  <si>
    <t>2.10.2015</t>
  </si>
  <si>
    <t>Servicing</t>
  </si>
  <si>
    <t>To establish controls to ensure that repairs performed during the legal reinstatement period without the customer consent are not being charged onto customers when reinstating the debt.</t>
  </si>
  <si>
    <t>Originations</t>
  </si>
  <si>
    <t>To deter the practice of funding loans coming from dealers for which there is not a complete due diligence analysis performed and for which there is not a dealer agreement signed; and to establish controls to avoid reoccurrence.</t>
  </si>
  <si>
    <t>RAI (Immediate Attention)</t>
  </si>
  <si>
    <t>11.07.2014</t>
  </si>
  <si>
    <t>PARTIAL 50%</t>
  </si>
  <si>
    <t>To reinforce the process of identifying and rating high risk dealers by taking into consideration all the different components that currently are independently used (HRD list, scorecard, complaints, litigations, etc.) formally defining the actions to take with them</t>
  </si>
  <si>
    <t xml:space="preserve">To include in the dealer procedures a formal guidance for determining in which cases deal stipulations of applications coming from dealers in the HRD list can be waived, and to implement controls to guarantee that these cases are formally justified and properly identified and monitored.  </t>
  </si>
  <si>
    <t>To implement controls to ensure governance over the state specific rule requirements for NSF and Late fee amounts are properly considered.</t>
  </si>
  <si>
    <t>6.13.2014</t>
  </si>
  <si>
    <t>To implement an effective process and controls to ensure written consumer consent is obtained to use a cell phone for collection efforts before adding the number to the auto-dialer system</t>
  </si>
  <si>
    <t xml:space="preserve">Regarding fleet lending customer information contained in the systems:_x000D_
_x000D_
-To implement controls to ensure that manual modifications/updates made to fleet lending account information (i.e. address, social security number, date of birth, etc.) are completed in all accounts owned by the business and have a proper client request._x000D_
-To ensure that the information contained in the servicing system matches with the contracts signed by the customer to ensure appropriate collection management_x000D_
</t>
  </si>
  <si>
    <t>9.05.2014</t>
  </si>
  <si>
    <t xml:space="preserve">In regards to small fleet lending servicing:_x000D_
_x000D_
-To implement the necessary procedures to ensure that a comprehensive and documented analysis of the borrower's financial condition, repayment capacity and support provided by guarantors is conducted in order to determine the most suitable strategy for collecting the debt from the fleet lending customers._x000D_
-To develop an independent policy for servicing the fleet lending portfolio._x000D_
</t>
  </si>
  <si>
    <t>To implement control mechanisms to ensure that the small fleet lending originations do not interfere with the loan servicing actions/strategies by granting new loans/leases while the customer has others in delinquency. Any exceptions should be justified by leaving formal evidence.</t>
  </si>
  <si>
    <t>To implement controls to ensure that all Commercial borrowers who exceed USD 250 thousand before a formal line of credit has been properly justify or approved by the appropriate parties per the Small Business Commercial Credit Policy.</t>
  </si>
  <si>
    <t xml:space="preserve">To implement controls to ensure that the proof of income is required when a material change in this item has occurred during the decision process, either by the buyer or the dealer. _x000D_
_x000D_
Additionally, establish a close monitoring over the dealers that change the income when submitting are application, in order to ensure the quality of the data provided, taking into consideration the rating assigned in the dealer monitoring._x000D_
</t>
  </si>
  <si>
    <t>Managing Business vs. Committees and Meetings</t>
  </si>
  <si>
    <t xml:space="preserve">SCUSA is continuously evaluating the effectiveness of committee and meeting content, frequency, duration, and attendees.  </t>
  </si>
  <si>
    <t>While difficult to quantify, there is a direct cost associated with management time spent in meetings, however the larger impact is in potential lost opportunities or in potential inefficiencies associated with spending time away from operations.  Estimated financial impact in both a non-stressed and stressed situation is between $1M-5M</t>
  </si>
  <si>
    <t xml:space="preserve">Competing time commitments with key management personnel may make it difficult to apply both appropriate focus on running the business and attend / digest governance committee meeting materials, which could result in poor strategic and tactical decisions, potentially resulting in financial loss, or risk of errors or misrepresentation in committee material.
Historically, SCUSA’s culture was largely entrepreneurially rooted, which meant its executive management team was heavily involved in day-to-day operations and associates were focused on project completion, speed to market and moving from one opportunity to the next – much like a start-up company. In addition, this environment allowed SCUSA to quickly execute and implement strategy changes.
As SCUSA grew into its next phase as a public company, so did its need to improve internal/external communications, as well as analyzing and documenting strategy changes prior to execution. While these best practices are imperative for any large public company, they also introduce the risk of “paralysis by analysis."  The perceived need to conduct frequent “meetings,” if pervasive, can choke the innovation out of a company. What’s more, excessive time spent in meetings can cause executive management to become detached from the operations, which frequently leads to financial loss and missed opportunities.
</t>
  </si>
  <si>
    <t>Audit/Regulatory commentaries:</t>
  </si>
  <si>
    <t xml:space="preserve">For 2014 and through YTD 2015, SCUSA has received 242 plaintiff lawsuits.  Of those, 103 have closed with settlements of approximately $600K.   If the remaining lawsuits are settled or go to court, the settlement or dollars awarded could reach the $5MM limit.   </t>
  </si>
  <si>
    <t>Jason Grubb</t>
  </si>
  <si>
    <t xml:space="preserve">Jason Grubb, President </t>
  </si>
  <si>
    <t>N/A</t>
  </si>
  <si>
    <t>MVE/NIM Stress Testing</t>
  </si>
  <si>
    <t xml:space="preserve">Liquidity Stress Testing, ALCO Presentations </t>
  </si>
  <si>
    <t>2015 Compliance Risk Assessments, Internal Audit Findings, MRAs, MRIAs, SOX Testing, QC Testing</t>
  </si>
  <si>
    <t>Loss Events from 1/1/2014 - 8/13/15, QC Testing</t>
  </si>
  <si>
    <t>10-K, 10-Q, Strategic Plan, RAS Metrics</t>
  </si>
  <si>
    <t>Historical Financial Statements, Loss Events from 1/1/2014 - 8/13/15, Media Monitoring Reports</t>
  </si>
  <si>
    <t>ALCO Presentations</t>
  </si>
  <si>
    <t xml:space="preserve">External sources include: media monitoring reports, CFPB regulatory guidance, ALG data, and other public sources. 
</t>
  </si>
  <si>
    <t xml:space="preserve">SCUSA is in the process of remediating all audit and regulatory findings.  
</t>
  </si>
  <si>
    <t xml:space="preserve">N/A.
</t>
  </si>
  <si>
    <r>
      <rPr>
        <b/>
        <sz val="11"/>
        <color theme="1"/>
        <rFont val="Calibri"/>
        <family val="2"/>
        <scheme val="minor"/>
      </rPr>
      <t>Purpose</t>
    </r>
    <r>
      <rPr>
        <sz val="11"/>
        <color theme="1"/>
        <rFont val="Calibri"/>
        <family val="2"/>
        <scheme val="minor"/>
      </rPr>
      <t xml:space="preserve">
The purpose of the Consolidated Consumer Risk Assessment and the Personal Lending Risk Assessment collectively referred to herein as “Compliance Risk Assessments” is to provide Santander Consumer USA Inc. (“SCUSA”) a proactive tool which provides strategic insight to more efficiently and effectively manage the risks affecting the Compliance Program.  Additionally, the risk assessment is utilized to guide the direction of the compliance program and to provide a tool that assists management to make strategic decisions related to business opportunities and potential expansion, products and services and business relationships, in addition to the strategic development and evolution of the compliance program.  The SCUSA Compliance Risk Assessment process is consistent with SAN-US Holdings Inc. “SAN-US” Risk Assessment guidance and standards.   The results of the Compliance Risk Assessment provides the foundation upon which management can: (a) make more informed decisions regarding risk, (b) allocate resources more efficiently to address priority risk issues, and (c) implement proportionate measures and controls commensurate with the risks presented to mitigate Residual Risk.  
</t>
    </r>
    <r>
      <rPr>
        <b/>
        <sz val="11"/>
        <color theme="1"/>
        <rFont val="Calibri"/>
        <family val="2"/>
        <scheme val="minor"/>
      </rPr>
      <t xml:space="preserve">
Conclusion</t>
    </r>
    <r>
      <rPr>
        <sz val="11"/>
        <color theme="1"/>
        <rFont val="Calibri"/>
        <family val="2"/>
        <scheme val="minor"/>
      </rPr>
      <t xml:space="preserve">
The results of the Compliance Risk Assessment identified a lower residual risk rating based on the effective strength of the mitigating controls. The aggregated residual risk profile is rated Moderate.  SCUSA identified opportunities for improvement that will require management review and decision regarding whether to implement a risk mitigation plan, reduce, transfer or accept the resulting risk.  The decisions made by management will be retained, tracked and reported to ensure that all recommendations which require a risk mitigation plan are being addressed in a timely manner to further reduce the risk exposure.  While opportunities for improvement currently exist, the mitigating controls in place reduce the residual risk to an overall acceptable risk level.  SCUSA will continue to promote a culture of compliance as a top priority to Executive Management, Senior Management, Employees, Business Partners, Dealers, Temporary Resources and other applicable Business Partner Relationships.  SCUSA is committed to and place a high priority on managing risk strategically, systemically and in compliance with regulatory requirements.   
</t>
    </r>
  </si>
  <si>
    <t xml:space="preserve">Overpayment of Uber funds
On September 3rd, 2014, a dealer contact SCUSA to advise that a payment made for Uber leases was distributed in the incorrect amount. Upon investigation, it was determined that a manual keying error made by Accounts Payable resulted in a payment of $24.2 million being made instead of $24.2 thousand (Note: the 3 is near the decimal point on the 10-key). The dealer and their bank authorized a reversal in the amount of the overpayment. The amount was also flagged and brought to their attention in the daily reconciliation but was deemed to not require further investigation based discussion with Accounting. _x000D_
 Root Cause:_x000D_
 Human Error due to Manual process for processing Uber payments. The separate reviewer/approver failed to notice the typo. (There was a separate corrective action put in place to reduce the likelihood that this control will fail again.)  At that time reviewer/approvers had the ability to approve manual vouchers up to an unlimited amount, because it was only an approval of the setup was captured in PeopleSoft._x000D_
 Other Long Term Initiatives:_x000D_
 The Accounting Department will review approval limits on a periodic basis to ensure that employees have the correct limits. The Financial Reporting Compliance team would be responsible for this review. The review is expected to be on a quarterly basis beginning with Q4 2014 (12/31/2014)._x000D_
 SCUSA is also working on a Project to automate the processes with this particular vendor/business partner. As with other vendors, payments are processed thought batch processing. Once this initiative is completed Uber payments will be processed in a similar manner with the applicable reconciliations. </t>
  </si>
  <si>
    <t>Financial Statement Deferred Tax Error related to 2009 Triad Acquisition
Based on a Memo on Errors in Q2’14 financial statements provided to the SCUSA Board of Directors from Jennifer Popp, SCUSA Chief Accounting Officer the following errors were noted in Q2 Financial Statements. _x000D_
  _x000D_
 The purpose of this memo is to evaluate, in accordance with ASC 250, Accounting Changes and Error Corrections (Topic 1‐M, Materiality, formerly SEC Staff Accounting Bulletin No. 99), the materiality of various errors identified in SCUSA’s consolidated financial statements as of and for the three and six months ended June 30, 2014. An error is considered material if it would impact the decisions of users of the financial statements._x000D_
  _x000D_
 The following was classified as a Deficiency._x000D_
  _x000D_
 2010 Purchase Accounting‐ Due to a misunderstanding of the tax impacts of purchase accounting, the Company did not properly account for certain deferred tax items when finalizing the accounting for the 2009 Triad acquisition in 2010. A deferred tax asset of $10,377k related to the difference between Triad book and tax bases and a $5,155k deferred tax liability related to a Triad purchased derivative remained on the books in 2014 but should no longer be recorded as the related._x000D_
  _x000D_
 Root Cause:_x000D_
  _x000D_
 During 2010, an error was made in the Financial Statements related to purchase accounting for the 2009 Triad acquisition. The reconciling items were identified through a scrub of the deferred tax inventory. During 2009 to 2013, the Company was a private entity and did not have SOX controls in place that were designed at a precise enough level for the nature and significance of the risk. Additionally, the controls intended to ensure proper tax balances were not being performed by individuals with the appropriate competence and authority to identify an error of this nature. In the current control environment, we believe there are proper controls in place that would detect similar errors. The operation of these proper controls, by appropriately skilled and experienced individuals, resulted in the identification and correction of the errors in Q3’14._x000D_
 Control Deficiency: Taxes 8: The Tax Director and Chief Accounting Officer or CFO review the final Tax Returns and the supporting documentation. The CFO (or designee) signs the final Tax Return as evidence of review.</t>
  </si>
  <si>
    <t xml:space="preserve">Errors with Pricing/Discount Updates
On January 7, 2015, while reviewing applications, the Chrysler business group discovered that a new pricing policy that was implemented on December 24, 2014 (CHG59582), for revision to base rates did not update all pricing groups. Mass buy rate updates applied across all DS80 pricing group, however, the Buy Rate was not updated to the Base Chrysler Capital (CC) pricing group. As a result, discount values were not given for the Flex A/B vehicle pricing group. The issues affect dealership fees discount for both Southeast (SE) and Southwest (SW) business groups; the Dart SE did not receive the right pricing because the "Base Buy Rate" and the "Other Discount" columns in the spreadsheet were not updated (Base Discount of 9.84% with a Base Rate of 21.48% was maintained as Base Discount of 2.93 with a Base Rate of 24.82). The issue was resolved with an updated Buy Rate script which was deployed on January 9, 2015 (CHG59745). _x000D_
 Root Cause:_x000D_
_x000D_
 Business was not specific of the programs that needed to be updated_x000D_
 No awareness of the pricing groups found in segmentation_x000D_
 Peer review is not standardized along with pricing group updates_x000D_
</t>
  </si>
  <si>
    <t>To formally document the Dealer Council (composition, functions, frequency, etc.) and escalate adequately the decisions taken in the meetings.</t>
  </si>
  <si>
    <t>Pricing and decisioning is managed at SCUSA within Decision Science and is executed systemically (fully automated). Many controls and limits have been established to ensure accuracy in pricing and decisioning including a risk-based, cost-plus approach to base pricing to ensure profitability per our Pricing Policy. These values are then adjusted based on market attributes such as FICO and deal structure to ensure competitiveness. Return on Asset (ROA) targets are established and monitoring is performed to ensure profitability goals are met. Capture targets are also established and monitored to ensure market competitiveness. All pricing changes are governed by the Pricing Committee and Pricing Policy. The Credit Risk Department is the primary second line of defense and internal audit is the third line of defense. Roles and Responsibilities are defined in the Pricing Policy. Pricing Procedures further define the pricing process and controls.</t>
  </si>
  <si>
    <t>The financial risk of incorrect pricing is primarily driven by the risk to the loss forecast and will mirror the loss forecast risk. See Overall Credit Default Risk.</t>
  </si>
  <si>
    <t>As an auto finance company, SCUSA offers financial products to consumers (loan, lease, lines of credit). These products are priced at the transaction level to account for expected costs and returns. Since the majority of the pricing components (expenses, cost of funds and returns) are known values at the time of origination, the majority of the pricing risk is derived from incorrect loss forecasts. Market conditions, competitive pressure, pricing, changes in underwriting parameters, or pricing deterioration may not capture opportunities or could result in increased defaults leading to negative profitability or lost business. The auto finance competitive environment is currently stable, however as competition increases, we are could experience reduced capture rates and / or actual losses higher than expected. 
SCUSA mitigates the exposure by maintaining a disciplined approach to pricing and decisioning.</t>
  </si>
  <si>
    <t>Aggregation: This Risk was derived from the following Lines of Business or Segments (not required for Line of Business Inventories)</t>
  </si>
  <si>
    <t>Systemic controls include potential consumer database scrubs through OFAC, customer scrubs include BK and SCRA to inform SCUSA of customers who have filed BK or are in the military.  From a dialing perspective, imbedded controls limit contact with consumers outside of allowed calling hours and frequency.  SCUSA utilizes voice analytic software to assist in monitoring potential compliance and regulatory issues along with a QA department that manually listens to random phone calls of all call center associates.  Our QC department conducts approximately 300 tests monthly including BK, modifications, extensions, dealer mark ups, calling times, cease and desist, and letter compliance.</t>
  </si>
  <si>
    <t>Lexis Nexis, Bureau alerts, quality control reviews, Dealer Council, dealer receivables collection process to recover $'s, front line sales force to alert of any potential issues, verification processes in funding department.</t>
  </si>
  <si>
    <t>A review of operational loss events indicated that SCUSA has had multiple events related to dealer or customer fraud totaling $13MM in actual losses, some of which may still be recovered in the future.  In a stressed economy, some dealerships may go out of business, which may impact SCUSAs ability to recover funds, however when the economy is stressed, SCUSA would reduce volume, limiting exposure even if dealerships go out of business, which would offset any increases.</t>
  </si>
  <si>
    <t xml:space="preserve">As an auto finance company, SCUSA is exposed to potential fraud losses from a variety of sources, such as dealer fraud, misrepresentation and consumer fraud.  Powerbooking, misrepresentation of the application by dealer or consumer, identity theft, and forgery are inherent in the auto finance business. Over the past year, SCUSA has become aware of several fraud rings associated with dealerships, and has taken action against dealerships to cut-off future business, increase stipulation requirements on applications, and claw back funds.    
SCUSA mitigates the exposure by running applications through systematic and manual checks to ensure that we verify the identity of the consumer, quality control(1st line) reviews of applicant information and process to identify missing equipment.  All the dealer information is reviewed monthly in a Dealer Council to ensure that SCUSA is taking appropriate action.  </t>
  </si>
  <si>
    <t>Impact was based on two operational risk events that have been opened around the incentives/claims process.  The first, 215471, centered around special incentives that were offered.  There were $263K in claims submitted after the issue (incomplete incentive information loaded into the system) was identified.  The second, open risk event, centers around a policy change that was made which caused us to miss approximately $2.6MM in claims initially.  We are working to claim the original missed claims while waiting for a change in credit that will eliminate the issue going forward.  Both occurrences caused a delay in claim, not an actual loss long term.</t>
  </si>
  <si>
    <t>Improper identification or failure to follow BSA/AML and OFAC regulation could subject SCUSA to regulatory fines.  
Since 2012, several institutions have received large fines and penalties associated with BSA/AML/OFAC, however those large fines came from business SCUSA does not operate in.</t>
  </si>
  <si>
    <t xml:space="preserve">Failure to comply with the Bank Secrecy Act and implementing regulations can have serious consequences. Violations involve regulatory enforcement actions, civil and criminal prosecution, and monetary fines and penalties. The severity of the penalty depends on whether the violation is willful or negligent.  Covered institutions and associates can be liable for criminal penalties/fines or imprisonment. Civil money penalties associated with BSA/AML violations have ranged from thousands into the billions of dollars.  SCUSA has not been fined for a violation; however, the risk exist.  In analyzing historical fines for other companies and based on SCUSA's business the fines could range in the 1 to 5 million dollar range.  
Violations of the BSA/AML laws can be cited on any one or more of the four required pillars of an AML program.  The four pillars are (1) designated party/responsible for compliance program and definitions of responsibility of the board and leadership team; (2) ensuring a system of internal controls; (3) providing adequate training; and (4) independent testing.  In addition, a comprehensive customer due diligence program and account opening procedures are further critical components of an effective BSA/AML program and plays a critical role in helping to identify suspicious and unusual transaction activity and determining whether filing a suspicious activity report is appropriate.    
</t>
  </si>
  <si>
    <t xml:space="preserve">SCUSA policy and procedures are designed and implemented to comply with regulatory requirements essential for preventing and detecting fraud, money laundering, terrorist financing and sanctioned parties.  Controls exist from the point of application and throughout the onboarding process.  Onboarding and servicing workflows include automated as well as manual controls.  The controls include: collection of regulatory required customer identification (as required by CIP), enhanced due diligence information (related to occupation, residence, income, etc.), and processes exist to identify and remediate identity theft red flags.  A variety of internally developed controls as well as resources are utilized including those provided through third party risk solution providers (for example Lexis Nexis, Experian, Equifax, and other risk solution partners).  The line of business has implemented quality assurance and quality controls to ensure processes and controls are working as designed.  In addition, the line of business is tested by Compliance.  As issues arise, recommendations are prioritized and implemented to ensure corrective action is taken.  </t>
  </si>
  <si>
    <t>Systemic controls are imbedded within the account management system that limit contact with consumers outside of allowed calling hours and frequency at the state level for states where laws are more restrictive than FDCPA guidelines.  Title/lien release are systemically done in accordance to individual state requirements and monitored by our QC testing. RTC and NOI letters are systemically sent with correct templates for the varying states required additional information and tested by our QC department monthly.   SCUSA utilizes voice analytic software to assist in monitoring potential compliance and regulatory issues along with a QA department that manually listens to random phone calls of all call center associates.  Our QC department conducts approximately 300 tests monthly including BK, modifications, extensions, dealer mark ups, calling times, cease and desist, and letter compliance.</t>
  </si>
  <si>
    <t xml:space="preserve">Noncompliance with State Lending Laws may result in regulatory compliance violations, reputational exposure, and financial impacts, including potential fines / penalties.
SCUSA conducts business in all 50 states and is responsible for compliance of any state laws that are more restrictive or differ from federal laws.  These laws include compliance with consumer contact frequency and location of contact, letter notification for rights to cure accounts and notice of intent of vehicle disposition after repossession, varying time frames for release of titles or vehicle sales, interest rates maximums, and fee assessments.   Noncompliance with these laws could result in regulatory compliance violations, reputational exposure and financial impacts. </t>
  </si>
  <si>
    <t>New business initiatives, segments or products where SCUSA has limited or no prior experience may result in financial losses due to execution risk, unintended regulatory violations, or difficulty in accurately forecasting financial performance through market cycles.  Given the Key Controls outlined in the document, we do not believe the residual risk would result in a material risk as defined, even in a worst in ten year impact review.  SCUSA is not engaging in any new activities as defined above.</t>
  </si>
  <si>
    <t xml:space="preserve">Some of the key mitigants to residual value risk are that half of all leases are turned in PRIOR to full maturity data, thusly allowing us to liquidate the vehicle asset with less actual value depreciation than was expected at origination.  In addition, Chrysler risk-sharing agreements greatly decrease our risk in the even of a strong down-turn in used vehicle market.  We charge disposition fees to customers to cover costs associated with auction liquidation charges/transportation fees.  We also have alternative disposition channels we've implemented besides physical auction which lessens our risks (for example, we remarket to the lessees themselves to persuade them to buy their off-lease vehicle for original residual value so that there is no risk + $350 purchase fee to us. Also we sell to dealers via the online dealer-direct channel which quickens our liquidation timeframe and saves on COF, and reduces our auction transportation expenses since grounding dealer can buy the cars, etc.) </t>
  </si>
  <si>
    <t xml:space="preserve">Noncompliance with Fair Lending may result in regulatory compliance violations, reputational exposure, and financial impacts, including potential fines / penalties.
Failure to comply with Fair Lending Laws and implementing regulations can have serious consequences. Violations involve regulatory enforcement actions, civil and criminal prosecution, and monetary fines and penalties. The severity of the penalty depends on whether the violation is willful or negligent.  Civil money penalties associated with fair lending violations have ranged from thousands into the hundreds of millions.  SCUSA has not been fined for a violation; however, the risk exist especially with the CFPB around dealer markup which most likely will impact SCUSA.  Ally and Honda have both have  multimillion $'s settlements with the CFPB around dealer markup.  In addition, a comprehensive customer Fair Lending analysis program is in place in the compliance group to identify any issues.  
</t>
  </si>
  <si>
    <t xml:space="preserve">Santander Consumer USA Inc. is a specialized consumer finance company focused on vehicle finance and personal lending products. The Company’s primary business is the indirect origination of retail installment contracts principally through manufacturer franchised dealers in connection with their sale of new and used vehicles to retail consumers.
As such, the Material Risks (13) for the Auto Finance segment were made up of Operational risks related to execution delivery, process management and internal/external fraud  (2), Compliance risks associated with potential violations of OFAC / BSA / AML, federal and state regulatory requirements (5), Strategic risks related to the Chrysler relationship, Expertise, and Corporate Governance (3), Credit risks covering default and product exposure (2), and Model risks over lease residual values (1).
</t>
  </si>
  <si>
    <t>Within the past 12 months SCUSA has engaged third parties to assess and test our Internet-facing environment on three separate occasions. Specifically, penetration testing has been performed on the external facing network, wireless  infrastructure, and “MyAccount” web applications. Zero high and five medium &amp; low vulnerabilities were detected. All five are being tracked for remediation via ServiceNow support tickets.
SCUSA has had zero significant events that have resulted in known loss of company confidential or regulated data.</t>
  </si>
  <si>
    <r>
      <t xml:space="preserve">Anthony Kutiper- EVP Loan Originations; Brent Huisman- EVP Asset Remarketing; Bryan Magstadt- SVP Corporate Risk and Capital Planning; Cheri Hotman- VP Govern Strategic Oversight; Colin Davis- SVP Client Services CC; Dana Hartman- Director Capital Markets; George Schmelzel – EVP Personal Lending; Jeff Vanderbilt- VP Accounting Policy; Lana Johnson- EVP Decision Sciences; Mark McCastlain- SVP and Treasurer; Mark Smith- EVP Strategic Ops; Mark Sun- VP Capital Markets; Matt Fitzgerald- EVP Sales Marketing; Tamika Carr- SVP Enterprise Program and Project Management; Tony Kutiper- EVP Loan Originations; Troy Miller- EVP Customer Service; Wayne Nightengale- EVP Collections Loss Recovery
</t>
    </r>
    <r>
      <rPr>
        <b/>
        <sz val="10"/>
        <color theme="1"/>
        <rFont val="Calibri"/>
        <family val="2"/>
        <scheme val="minor"/>
      </rPr>
      <t>C Suite Executives:</t>
    </r>
    <r>
      <rPr>
        <sz val="10"/>
        <color theme="1"/>
        <rFont val="Calibri"/>
        <family val="2"/>
        <scheme val="minor"/>
      </rPr>
      <t xml:space="preserve"> Ankush Chawla- Chief Credit Officer; Brad Martin- Chief Operating Officer; Eldridge Burns- Chief Legal Officer; James Fugitt - Chief Technology Officer; Jason Grubb- President and Chief Operating Officer; Jason Kulas - Chief Executive Officer; Michele Rodgers- Chief Compliance Officer; Jennifer Davis- Chief Accounting Officer; Michelle Whatley- Chief Human Resources Officer; Peter Moenickheim - Chief Risk Officer; Richard Morrin - EVP New Business; Don Goin- Chief Information Officer
</t>
    </r>
  </si>
  <si>
    <r>
      <rPr>
        <b/>
        <sz val="11"/>
        <color theme="1"/>
        <rFont val="Calibri"/>
        <family val="2"/>
        <scheme val="minor"/>
      </rPr>
      <t>Vehicle Finance</t>
    </r>
    <r>
      <rPr>
        <sz val="11"/>
        <color theme="1"/>
        <rFont val="Calibri"/>
        <family val="2"/>
        <scheme val="minor"/>
      </rPr>
      <t xml:space="preserve">
Santander Consumer USA's primary business is the indirect origination of retail installment contracts principally through manufacturer-franchised dealers in connection with their sale of new and used vehicles to retail consumers. In conjunction with the Chrysler Agreement, a ten -year private label financing agreement with Chrysler Group that became effective May 1, 2013, the company offers a full spectrum of auto financing products and services to Chrysler customers and dealers under the Chrysler Capital brand.  The Company also originates vehicle loans through a web-based direct lending program, purchases vehicle retail installment contracts from other lenders, and services automobile and recreational and marine vehicle portfolios for other lenders. 
</t>
    </r>
    <r>
      <rPr>
        <b/>
        <sz val="11"/>
        <color theme="1"/>
        <rFont val="Calibri"/>
        <family val="2"/>
        <scheme val="minor"/>
      </rPr>
      <t>Consumer Vehicle Loan</t>
    </r>
    <r>
      <rPr>
        <sz val="11"/>
        <color theme="1"/>
        <rFont val="Calibri"/>
        <family val="2"/>
        <scheme val="minor"/>
      </rPr>
      <t>s
Our primary business is to indirectly originate vehicle loans through automotive dealerships throughout the United States. We currently do business with over 17,000 dealers, Chrysler Capital and SCUSA combined. Over 95 percent of our dealers are manufacturer-affiliated and the remainder are select reputable independent dealers</t>
    </r>
    <r>
      <rPr>
        <sz val="11"/>
        <rFont val="Calibri"/>
        <family val="2"/>
        <scheme val="minor"/>
      </rPr>
      <t xml:space="preserve">. We use our risk-adjusted methodology to determine the price we pay the automotive dealer for the loan, which may be above or below the principal amount of the loan depending on characteristics such as the contractual APR, the borrower’s credit profile and the tenor of the loan. The consumer is obligated to make payments in an amount equal to the principal amount of the loan plus interest at the APR negotiated with the dealer. In addition, the consumer is also responsible for charges related to past-due payments. Dealers may retain some portion of the finance charge as income. Our agreements with dealers place a limit on the amount of the finance charges they are entitled to retain. </t>
    </r>
    <r>
      <rPr>
        <sz val="11"/>
        <color theme="1"/>
        <rFont val="Calibri"/>
        <family val="2"/>
        <scheme val="minor"/>
      </rPr>
      <t xml:space="preserve">Although we do not own the vehicles we finance through loans, we hold a perfected security interest in those vehicles. Loans with below-market APRs are frequently offered through manufacturer incentive programs. The manufacturer will compensate the originator of these loans for the amount of the below market financing rate. These payments are called rate subvention. We are entitled to receive rate subvention payments as Chrysler’s preferred provider through the Chrysler Agreement.
In April 2014, we executed an application transfer agreement with Nissan, whereby we provide nonprime retail auto financing through a turn-down program for new and used vehicles for Nissan’s customers and dealers in the United States. As of December 31, 2014, approximately $383 million had been originated under this agreement and a predecessor pilot arrangement.  Since 2008, we also have directly originated loans through our branded online RoadLoans.com platform, and we also periodically acquire large portfolios of loans. The loans acquired in bulk acquisitions have primarily been collateralized by automobiles. However, a small amount of such loans have been collateralized by marine and RVs. We generate revenue on these loans through finance charges.
</t>
    </r>
    <r>
      <rPr>
        <b/>
        <sz val="11"/>
        <color theme="1"/>
        <rFont val="Calibri"/>
        <family val="2"/>
        <scheme val="minor"/>
      </rPr>
      <t>Vehicle Leases</t>
    </r>
    <r>
      <rPr>
        <sz val="11"/>
        <color theme="1"/>
        <rFont val="Calibri"/>
        <family val="2"/>
        <scheme val="minor"/>
      </rPr>
      <t xml:space="preserve">
We acquire leases primarily from Chrysler-affiliated automotive dealers and, as a result, become the titleholder for the leased car. The acquisition cost for these leases is based on the underlying value of the vehicle, the contractual lease payments and the residual value, which is the expected value of the vehicle at the time of the lease termination. We use projected residual values that are estimated by third parties, such as ALG. The residual value we use to determine lease payments, or the contractual residual value, may be adjusted upwardly as part of marketing incentives provided by the manufacturer of the vehicle. When a contractual residual value is written up, the lease payments we offer may become more attractive to consumers. The marketing incentive payment that manufacturers pay us is equal to the expected difference between the projected ALG residual value and the contractual residual value. This residual support payment is a form of subvention. We are a preferred provider of subvented leases through Chrysler Capital. The consumer, or lessee, is responsible for the contractual lease payments and any excessive mileage or wear and tear on the car that results in a lower residual value of the car at the time of the lease’s termination. In addition, the consumer is also generally responsible for charges related to past due payments. Our leases are primarily closed-ended, meaning the consumer does not bear the residual risk.
We generate revenue on leases through monthly lease payments and fees, and, depending on the market value of the off-lease vehicle, we may recognize a gain or loss upon remarketing. Our agreement with Chrysler requires us to share any residual gains or losses over a threshold, determined on an individual lease basis, with Chrysler.  During the period from the May 1, 2013 launch of the Chrysler Capital business through December 31, 2014, we originated approximately $19.1 billion of Chrysler Capital retail installment contracts and $6.8 billion of Chrysler Capital vehicle leases, and facilitated the origination of more than $2.4 billion in leases and dealer loans for an affiliate.
</t>
    </r>
    <r>
      <rPr>
        <b/>
        <sz val="11"/>
        <rFont val="Calibri"/>
        <family val="2"/>
        <scheme val="minor"/>
      </rPr>
      <t xml:space="preserve">Dealer Loans </t>
    </r>
    <r>
      <rPr>
        <sz val="11"/>
        <rFont val="Calibri"/>
        <family val="2"/>
        <scheme val="minor"/>
      </rPr>
      <t xml:space="preserve">
In June 2013, we entered into a flow agreement with SBNA, whereby we provided the bank with the first right to review and assess dealer lending opportunities and, if the bank elected, to provide the proposed financing. We provided servicing on all loans originated under this arrangement. The Company received a $9,000M referral fee in June 2013 in connection with this arrangement and was amortizing the fee into income over the ten-year term of agreement. We also received or paid a servicer performance payment if it yielded, net of credit losses, on the loans are higher or lower respectively, than expected at origination. The agreement was terminated on October 1, 2014 and replaced with a revised arrangement. Under the revised terms, the servicing of all Chrysler Capital receivables from dealers, including receivables held by SBNA and by the Company, was transferred to SBNA. The agreement executed in connection with this transfer requires the Company to permit SBNA first right to review and assess Chrysler Capital dealer lending opportunities and requires SBNA to pay the Company a relationship management fee based upon the performance and yields of Chrysler Capital dealer loans held by SBNA. The remaining balance of the referral fee SBNA paid to SCUSA in connection with the original sourcing and servicing agreement is now considered a referral fee in connection with the new agreements, and will continue to be amortized into income through the July 1, 2023 termination date of the new agreements.</t>
    </r>
    <r>
      <rPr>
        <sz val="11"/>
        <color theme="1"/>
        <rFont val="Calibri"/>
        <family val="2"/>
        <scheme val="minor"/>
      </rPr>
      <t xml:space="preserve">
</t>
    </r>
    <r>
      <rPr>
        <b/>
        <sz val="11"/>
        <color theme="1"/>
        <rFont val="Calibri"/>
        <family val="2"/>
        <scheme val="minor"/>
      </rPr>
      <t>Servicing for Others</t>
    </r>
    <r>
      <rPr>
        <sz val="11"/>
        <color theme="1"/>
        <rFont val="Calibri"/>
        <family val="2"/>
        <scheme val="minor"/>
      </rPr>
      <t xml:space="preserve">
Historically we've had flow agreements in place with Bank of America and Citizens Bank of Pennsylvania for Chrysler Capital retail installment contracts and with SBNA for Chrysler Capital consumer vehicle leases. These various flow agreements in connection with our Chrysler relationship led to the continued build out of our servicing platform and serviced for others platform. These assets provide a steady stream of servicing income and may provide a gain on sale. Additionally, our unsecured lending business provides fee income, which we monitor as an input to return on the unsecured portfolio. We expect to continue to enhance our servicing platform due to our current and anticipated flow agreements.
</t>
    </r>
  </si>
  <si>
    <r>
      <t xml:space="preserve">SCUSA has a number of off-balance sheet considerations, contingent liabilities or other commitments that are not directly within the Company’s finacials because they represent future obligations that may or may not actually be realized.  Over time, SCUSA may be required to uphold these agreements, which would impact assets, liabilities or earnings at some point in the future.  A description of the primary off-balance sheet exposures is included below.   
- Under terms of the agreement with Chrysler, SCUSA must make revenue sharing payments to Chrysler and also must make gain-sharing payments when residual gains on leased vehicles exceed a specified threshold.
- Contained within the Chrysler Agreement are certain penetration rates on the volume of Chrysler loans and leases that SCUSA is required to fund in order to stay in compliance with the contract.  Failure to meet these requirements gives Chrysler the right to terminate the agreement and keep SCUSA’s up-front payment.  SCUSA’s requirements to meet penetration rates included within the contract are conditional on Chrysler treating SCUSA as a true, captive OEM (generally evidenced through the volume of subvented dollars, bonus cash and other incentives  provided to a captive) in order to help SCUSA obtain the required returns to fund the contractual loan volumes.  
</t>
    </r>
    <r>
      <rPr>
        <sz val="11"/>
        <rFont val="Calibri"/>
        <family val="2"/>
        <scheme val="minor"/>
      </rPr>
      <t xml:space="preserve">- The Company has extended one $150,000 revolving lines of credit to an auto dealers. Under this arrangement, the Company is committed to lend up to the dealer’s established credit limit.
</t>
    </r>
    <r>
      <rPr>
        <sz val="11"/>
        <color theme="1"/>
        <rFont val="Calibri"/>
        <family val="2"/>
        <scheme val="minor"/>
      </rPr>
      <t xml:space="preserve">
- In connection with the sale of retail installment contracts through securitizations and other sales, SCUSA has made standard representations and warranties customary to the consumer finance industry. Violations of these representations and warranties may require SCUSA to repurchase loans previously sold to on- or off-balance sheet trusts or other third parties, which can impact SCUSA’s liquidity / funding position.    
</t>
    </r>
    <r>
      <rPr>
        <sz val="11"/>
        <rFont val="Calibri"/>
        <family val="2"/>
        <scheme val="minor"/>
      </rPr>
      <t>- SCUSA has a flow agreement with Bank of America whereby the Company is committed to sell up to $300,000 of eligible loans to the bank each month through May 2018. The Company retains servicing on all sold loans and may receive or pay a servicer performance payment based on an agreed-upon formula if performance on the sold loans is better or worse, respectively, than expected performance at time of sale.</t>
    </r>
    <r>
      <rPr>
        <sz val="11"/>
        <color theme="1"/>
        <rFont val="Calibri"/>
        <family val="2"/>
        <scheme val="minor"/>
      </rPr>
      <t xml:space="preserve">
- SCUSA sold loans to CBP in 2014 under terms of a flow agreement and predecessor sale agreements. SCUSA retains servicing on the sold loans and will owe CBP a loss-sharing payment capped at 0.5% of the original pool balance if losses exceed a specified threshold, established on a pool-by-pool basis.
- For certain third party sales of lease assets (e.g., to Credigy), SCUSA maintains limited residual value risk exposure on the vehicles, subject to a portfolio level deductible.  As such, upon termination of the lease, if the residual values realized on the sold portfolio are lower than anticipated, and that loss is in excess of the buyer’s deductible, SCUSA may incur limited losses.  The potential liability is limited to a maximum of 9.9% of the fair market value of each lease, defined as allocated purchase price.  SCUSA currently reserves for the expected potential exposure as a contingent liability, but does not reserve for the maximum 9.9%, thereby creating some risk in the event that losses exceed expectations.
</t>
    </r>
  </si>
  <si>
    <r>
      <t xml:space="preserve">It is the policy of SCUSA to offer its products and services and conduct its activities in compliance with all applicable laws and regulations that apply to Third Party risk management.  When a SCUSA Business Unit engages a Third Party, whether a subsidiary, affiliate or non-affiliate, it is the policy of SCUSA that the Third Party will comply with all applicable laws and regulations for the activities conducted on behalf of SCUSA and its Subsidiaries. If the Third Party is an affiliate relationship, SCUSA is subject to federal regulations, therefore the relationship and its terms in their entirety must comply with such laws and regulations.  SCUSA’s management of Third Parties shall be risk-based reflecting the complexity of activities undertaken by the Third Party and the inherent risks of those activities. Third Party relationships comprised of Critical Activities are subject to comprehensive risk planning, oversight and reporting. 
SCUSA’s Third Party Risk Management Program and process follows a continuous life cycle for all relationships and incorporates the phases below.  A failure within any of these critical phases could have negative reputational impact, as well as negative legal and compliance implications. • Strategic Planning and Selection • Risk Classification • Due Diligence Assessment • Contract Facilitation and Negotiation• Incentive Compensation Review • Business Continuity and Contingency Planning • Ongoing Monitoring and Oversight • Documentation and Reporting • Independent Reviews  • Training and Awareness • Termination and Exit Planning
</t>
    </r>
    <r>
      <rPr>
        <b/>
        <sz val="11"/>
        <color theme="1"/>
        <rFont val="Calibri"/>
        <family val="2"/>
        <scheme val="minor"/>
      </rPr>
      <t xml:space="preserve">
Significant Events:</t>
    </r>
    <r>
      <rPr>
        <sz val="11"/>
        <color theme="1"/>
        <rFont val="Calibri"/>
        <family val="2"/>
        <scheme val="minor"/>
      </rPr>
      <t xml:space="preserve">
• </t>
    </r>
    <r>
      <rPr>
        <b/>
        <sz val="11"/>
        <color theme="1"/>
        <rFont val="Calibri"/>
        <family val="2"/>
        <scheme val="minor"/>
      </rPr>
      <t xml:space="preserve">Xerox Production Issue Impacting Collateral Expense Posting on Chrysler Accounts </t>
    </r>
    <r>
      <rPr>
        <sz val="11"/>
        <color theme="1"/>
        <rFont val="Calibri"/>
        <family val="2"/>
        <scheme val="minor"/>
      </rPr>
      <t xml:space="preserve">- XEROX Incident Ticket # INC788614 -  Repossession related expenses from customers whose vehicles were repossessed and sold, had stopped between January 14, 2015 and February 4, 2015. The issue resulted from a change implemented by the processing vendor, Xerox, for the payment engine. The change impacted the Xerox job which processes data sets containing collateral expenses for a specific batch file (Region C). This event only impacted Batch 990 (C/Chrysler) while the other Batch 300 (SCUSA and C/Citi) processed as expected.  Details of the files indicate that 5,605 customer accounts that were presented for processing were missing repossession expenses totaling $497,514. Xerox resolved the issue on February 6, 2015. All missing collateral expense records were reloaded on the system, and were validated by Accounting.   Root Cause(s): Vendor Execution Failure – Data sets were omitted when the payment engine redesign project was deployed by Xerox.  How it was identified: An Accounting Analyst noticed the missing expenses on investor certificates on February 5, 2015.
• </t>
    </r>
    <r>
      <rPr>
        <b/>
        <sz val="11"/>
        <color theme="1"/>
        <rFont val="Calibri"/>
        <family val="2"/>
        <scheme val="minor"/>
      </rPr>
      <t>BancTec Physical Security Outage and Processing Delay</t>
    </r>
    <r>
      <rPr>
        <sz val="11"/>
        <color theme="1"/>
        <rFont val="Calibri"/>
        <family val="2"/>
        <scheme val="minor"/>
      </rPr>
      <t xml:space="preserve"> - The BancTec facility experienced a lightning strike on March 26, 2015 that caused a mass power outage at the facility and a delay in processing payments. The strike impacted the physical security badge reader and security cameras.  Power to the badge reader and cameras/recording was restored on March 31, 2015. The camera/DVR system is on battery back-up but should be wired to the generator to ensure continued security during future events. BancTec initiated disaster recovery procedures on March 27, 2015 and utilized backup generator power to perform operations that were deemed critical. Per BancTec, physical security during this event was increased to prevent unauthorized access to their facility. Security guards were posted at entrances into the facility and provided escorts to correct department locations for the interim, as most operations were condensed into areas supported by generator power. 
 Accounting estimated a delay in processing for 3,540 payments totaling $11,151,277. All payments were processed by the next business day on March 27, 2015
 Business Area(s) Impacted: Accounting,  Business Continuity.   Root Cause(s): Inadequate process/procedure as a documented Business Continuity/Disaster Recovery Plan was not made available to determine if critical activities occurred during business interruption. </t>
    </r>
  </si>
  <si>
    <t xml:space="preserve">Model risk management is managed at SHUSA level.  Please refer to the SHUSA MRP documentation.
</t>
  </si>
  <si>
    <t>MR10 - See Support Function</t>
  </si>
  <si>
    <t>MR11 - See Support Function</t>
  </si>
  <si>
    <r>
      <rPr>
        <b/>
        <sz val="11"/>
        <color theme="1"/>
        <rFont val="Calibri"/>
        <family val="2"/>
        <scheme val="minor"/>
      </rPr>
      <t>Business Strategy</t>
    </r>
    <r>
      <rPr>
        <sz val="11"/>
        <color theme="1"/>
        <rFont val="Calibri"/>
        <family val="2"/>
        <scheme val="minor"/>
      </rPr>
      <t xml:space="preserve">
Our primary goal is to create stockholder value by leveraging our systems, data, liquidity, and management. Our business strategy is to increase market penetration in the consumer finance industry while deploying our capital and liquidity efficiently.
</t>
    </r>
    <r>
      <rPr>
        <b/>
        <sz val="11"/>
        <color theme="1"/>
        <rFont val="Calibri"/>
        <family val="2"/>
        <scheme val="minor"/>
      </rPr>
      <t>Expand Our Vehicle Finance Franchise</t>
    </r>
    <r>
      <rPr>
        <sz val="11"/>
        <color theme="1"/>
        <rFont val="Calibri"/>
        <family val="2"/>
        <scheme val="minor"/>
      </rPr>
      <t xml:space="preserve">
• </t>
    </r>
    <r>
      <rPr>
        <i/>
        <sz val="11"/>
        <color theme="1"/>
        <rFont val="Calibri"/>
        <family val="2"/>
        <scheme val="minor"/>
      </rPr>
      <t>Organic Growth in Indirect Auto Finance</t>
    </r>
    <r>
      <rPr>
        <sz val="11"/>
        <color theme="1"/>
        <rFont val="Calibri"/>
        <family val="2"/>
        <scheme val="minor"/>
      </rPr>
      <t xml:space="preserve">. We have extensive data on and experience with consumer behavior across the full credit spectrum and are a key player in the U.S. vehicle finance market. We have the ability to continue to increase our market penetration in the vehicle finance market, subject to attractive market conditions, via the number and depth of our relationships. We plan to achieve this in part through alliance programs with national vehicle dealer groups and financial institutions, including banks, credit unions, and other lenders, in both the prime and nonprime vehicle finance markets. Our technology-based platform enables us to integrate seamlessly with other originators and thereby benefit from their channels and brands.
• </t>
    </r>
    <r>
      <rPr>
        <i/>
        <sz val="11"/>
        <color theme="1"/>
        <rFont val="Calibri"/>
        <family val="2"/>
        <scheme val="minor"/>
      </rPr>
      <t>Strategic Alliances with Original Equipment Manufacturers (“OEMs”)</t>
    </r>
    <r>
      <rPr>
        <sz val="11"/>
        <color theme="1"/>
        <rFont val="Calibri"/>
        <family val="2"/>
        <scheme val="minor"/>
      </rPr>
      <t xml:space="preserve">. We plan to expand our existing OEM relationships to drive incremental origination volume, primarily, through Chrysler Capital. The loans and leases originated through Chrysler Capital should provide us with the majority of our near-term expected growth. In addition, the experience gained in lease and dealer financing can be applied to improve origination volume through the rest of our dealer base. Our relationship with Chrysler has accelerated our transformation into a full-service vehicle finance company that provides financial products and services to consumers and automotive dealers.
</t>
    </r>
    <r>
      <rPr>
        <i/>
        <sz val="11"/>
        <rFont val="Calibri"/>
        <family val="2"/>
        <scheme val="minor"/>
      </rPr>
      <t xml:space="preserve">
• Growth in Direct-to-Consumer Exposure</t>
    </r>
    <r>
      <rPr>
        <sz val="11"/>
        <rFont val="Calibri"/>
        <family val="2"/>
        <scheme val="minor"/>
      </rPr>
      <t xml:space="preserve">. We are working to further diversify our vehicle finance product offerings by expanding our web-based, direct to-consumer offerings. We are seeking to engage the consumer at the early stages of the car buying experience. Our RoadLoans.com program is a preferred finance resource for many major vehicle shopping websites, including </t>
    </r>
    <r>
      <rPr>
        <sz val="11"/>
        <color theme="1"/>
        <rFont val="Calibri"/>
        <family val="2"/>
        <scheme val="minor"/>
      </rPr>
      <t xml:space="preserve">Cars.com, AutoTrader.com, and eBay Motors, each of which have links on their websites promoting our RoadLoans.com website for financing. We will continue to focus on securing relationships with additional vehicle related websites. We anticipate that the next generation of our web-based direct-to-consumer offerings will include additional strategic relationships, an enhanced online experience, and additional products and services to assist with all stages of the vehicle ownership life cycle, including research, financing, buying, servicing, selling, and refinancing.
• </t>
    </r>
    <r>
      <rPr>
        <i/>
        <sz val="11"/>
        <color theme="1"/>
        <rFont val="Calibri"/>
        <family val="2"/>
        <scheme val="minor"/>
      </rPr>
      <t>Expansion of Fee-Based Income Opportunities</t>
    </r>
    <r>
      <rPr>
        <sz val="11"/>
        <color theme="1"/>
        <rFont val="Calibri"/>
        <family val="2"/>
        <scheme val="minor"/>
      </rPr>
      <t xml:space="preserve">. We seek out opportunities to leverage our technologically sophisticated and highly adaptable servicing platform primarily for vehicle finance (including recreational and marine vehicles). We collect fees to service loan portfolios for third parties, and we handle consumer products across the full credit spectrum. Loans and leases sold to or sourced to banks through flow agreements (including our flow agreements with Bank of America, Citizens Bank of Pennsylvania ("CBP") (a subsidiary of RBS Citizens Financial Group) and Santander Bank, N.A., an affiliate of the Company (“SBNA,” formerly Sovereign Bank), and off-balance sheet securitizations also provide additional opportunities to service large vehicle loan and lease pools. We believe our loan servicing business is scalable and provides an attractive return on equity, and we intend to continue to develop new third-party relationships to increase its size. In 2014, we added over $5.7 billion of assets to our portfolio of assets serviced for others.
</t>
    </r>
  </si>
  <si>
    <r>
      <t>9.</t>
    </r>
    <r>
      <rPr>
        <b/>
        <sz val="8"/>
        <color rgb="FFFF0000"/>
        <rFont val="Times New Roman"/>
        <family val="1"/>
      </rPr>
      <t>  </t>
    </r>
    <r>
      <rPr>
        <b/>
        <sz val="8"/>
        <color rgb="FFFF0000"/>
        <rFont val="Calibri"/>
        <family val="2"/>
        <scheme val="minor"/>
      </rPr>
      <t>Audit/Regulatory Findings</t>
    </r>
  </si>
  <si>
    <t xml:space="preserve">To implement process and controls to ensure that:_x000D_
_x000D_    -    The validation of the customer is properly completed following current procedures prior to discussing loan account information, for both inbound and outbound calls._x000D_
    -    The collection scorecards are well documented for a proper analysis and oversight to ensure FDCPA requirements are met._x000D_
    -    An analysis is conducted to determine recording requirements for all applicable states._x000D_
</t>
  </si>
  <si>
    <r>
      <rPr>
        <b/>
        <sz val="11"/>
        <color theme="1"/>
        <rFont val="Calibri"/>
        <family val="2"/>
        <scheme val="minor"/>
      </rPr>
      <t xml:space="preserve">Functional Unit Risk Assessment </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As a starting point to the Material Risk Program (MRP), SCUSA used the output from the Functional Unit Risk Assessment Project, which documented the process flows, risks and controls for SCUSA products and processes, including those in the following functional areas:  Originations and Decision Sciences, Personal Lending, Servicing Operations, Accounting and Finance, Information Technology, Corporate Support (Legal, HR, etc.), and Vendor Oversight.   The project included the following objectives:  a) obtain an understanding of the business products and processes; b) identify and document the process flows; c) identify and document the population of risks and controls; d) evaluate the inherent risks, control effectiveness and residual risks; e) obtain and map all SOX, SOC2, Compliance, QC/QA and other testing to identify any primary controls requiring additional evaluation.  The methodology followed for the Functional Unit Risk Assessments complied with the ISO 3100 risk assessment framework and allows for a repeatable process with a bottoms up approach to risk assessment.  A secondary project to test primary controls identified in the gap assessment (letter “e.” above) was initiated in August 2015 and the results were considered for the Material Risk Program deliverables.
The Functional Unit Risk Assessment project included key considerations to ensure the project not only identified all of the 1st line of defense business, product and process owners, but also assessed the risk exposure in each area.  SCUSA utilized the organizational chart to identify all line managers responsible for functional units/products/processes.  Each of these managers were interviewed to gain understanding of their area, key processes, etc.  These areas/processes were then risk ranked.  Any rated as high or moderate were included in the Functional Unit project.  Low risk areas/processes were evaluated to gain an understanding of the area/process and rationale for not including in the functional unit assessment project was documented.
SCUSA ensured that the key resources and Subject Matter Experts (SMEs) from the 1st Line of Defense (1LOD) and the corresponding Risk Managers in the 2nd Line of Defense (2LOD) who participated in the Functional Unit Risk Assessment project received training.  Each working session included discussions and live commentary to fully explain the objectives, methodology, and process that would be followed. In addition, ERM identified trained resources within the Risk Team to assist with the completion of the Functional Unit Risk Assessments, augmented with contracted expert resources.  
</t>
    </r>
    <r>
      <rPr>
        <b/>
        <sz val="11"/>
        <color theme="1"/>
        <rFont val="Calibri"/>
        <family val="2"/>
        <scheme val="minor"/>
      </rPr>
      <t xml:space="preserve">
Functional Unit Risk Identification and Assessment:</t>
    </r>
    <r>
      <rPr>
        <sz val="11"/>
        <color theme="1"/>
        <rFont val="Calibri"/>
        <family val="2"/>
        <scheme val="minor"/>
      </rPr>
      <t xml:space="preserve">
Based on the project’s scope, multiple meetings were held with each moderate and high risk area to discuss their risks and corresponding controls.  Foundational materials such as internal audit findings, MRA/MRA’S, and Operational Loss Events were used to more fully formulate the risks within each process/product.  Risks and controls and updated process flows were documented using a consistent format based on these discussions.  The SMEs/1st LOD were responsible for reviewing the risks, controls, and assigned risk and control ratings for accuracy and comprehensiveness.  Senior leadership within each area reviewed the final functional unit assessments to ensure that the risks and controls were accurately captured for their areas.  
</t>
    </r>
    <r>
      <rPr>
        <b/>
        <sz val="11"/>
        <color theme="1"/>
        <rFont val="Calibri"/>
        <family val="2"/>
        <scheme val="minor"/>
      </rPr>
      <t xml:space="preserve">
Review, Enrichment &amp; Challenge:</t>
    </r>
    <r>
      <rPr>
        <sz val="11"/>
        <color theme="1"/>
        <rFont val="Calibri"/>
        <family val="2"/>
        <scheme val="minor"/>
      </rPr>
      <t xml:space="preserve">
The Functional Unit Risk Assessments were reviewed by the 2nd LOD/Risk Managers to provide challenge and enrichment.  Changes suggested were then discussed with the 1LOD and included in the assessment, as appropriate.  
For quality purposes, the ERM team performed a two level review at the Senior Manager and Director levels of each functional unit risk assessment.  The reviews were to provide additional enrichment and challenge to the process, and to help ensure that the risks and controls were comprehensive, risk ratings were applied consistently, and consideration for any low/moderate risks that could be aggregated to create a material risk were included in the assessments. 
</t>
    </r>
    <r>
      <rPr>
        <b/>
        <sz val="11"/>
        <color theme="1"/>
        <rFont val="Calibri"/>
        <family val="2"/>
        <scheme val="minor"/>
      </rPr>
      <t>Material Risk Program (MRP)</t>
    </r>
    <r>
      <rPr>
        <sz val="11"/>
        <color theme="1"/>
        <rFont val="Calibri"/>
        <family val="2"/>
        <scheme val="minor"/>
      </rPr>
      <t xml:space="preserve">
</t>
    </r>
    <r>
      <rPr>
        <b/>
        <sz val="11"/>
        <color theme="1"/>
        <rFont val="Calibri"/>
        <family val="2"/>
        <scheme val="minor"/>
      </rPr>
      <t xml:space="preserve">
Foundational Materials &amp; Training:</t>
    </r>
    <r>
      <rPr>
        <sz val="11"/>
        <color theme="1"/>
        <rFont val="Calibri"/>
        <family val="2"/>
        <scheme val="minor"/>
      </rPr>
      <t xml:space="preserve">
Foundational inputs used in the MRP process included but were not limited to the following:  functional unit risk assessments, Risk Appetite Statement metrics, business reporting, operational loss event data, business process maps, compliance risk assessments, new business initiative assessments, compliance testing results, QC/QA testing, emerging/evolving risks, Internal Audit findings, and MRA'S/MRIA's.  The 2014 CCAR process, corresponding risks and controls, and regulator feedback were also reviewed/considered.  
The SHUSA Material Risk Program Training was conducted with assistance from SHUSA over a two day period with the 1st LOD, 2nd LOD/Risk Managers, and the C-Suite to outline the program, criteria and the process to be followed for the Material Risk Program, their responsibilities, and the due dates for completion.  All C-Suite and senior level management participating in the MRP received training.
</t>
    </r>
    <r>
      <rPr>
        <b/>
        <sz val="11"/>
        <color theme="1"/>
        <rFont val="Calibri"/>
        <family val="2"/>
        <scheme val="minor"/>
      </rPr>
      <t xml:space="preserve">
MRP Risk Identification and Assessment:</t>
    </r>
    <r>
      <rPr>
        <sz val="11"/>
        <color theme="1"/>
        <rFont val="Calibri"/>
        <family val="2"/>
        <scheme val="minor"/>
      </rPr>
      <t xml:space="preserve">
Phase I:  The Functional Unit Risk Assessments, as well as other foundational materials noted above, were used as the starting point for the MRP assessment.  Facilitated meetings were held with senior leadership (EVP/SVP level) to identify the material risks using the criteria of $1M over 12 months or worst 1 in 10 years, based on residual risk.  During this process, management aggregated low/moderate risks and combined similar risks, where appropriate. This first inventory of MRP risks was then distributed to the 2LOD Risk Managers for enrichment and challenge.  In addition, a top-down perspective was obtained via individual meetings with the Executive C-Suite members to obtain their top 5 Material Risks.  A combination of the risks identified through the bottom-up and top-down meetings were compiled as the MRP’s “Interim Risks.”   This process identified approximately 80 MRP Interim Risks from an inventory of over 450 risks.
Phase II:  A series of 7 C-Suite workshops was held to capture top down risks and evaluate the MRP Interim Risks identified during Phase I.  Each session included 3 key components:  1) overview/training covering the program, goals and objectives, materiality definitions, and voting rules; 2) brainstorming to identify those risks the C-Suite expected to see in the MRP Interim Risk inventory; and 3) evaluation of Interim MRP Risks identified in Phase I.  During the workshops the C-Suite members discussed and challenged each Interim MRP Risk for inclusion in the final MRP inventory provided to SHUSA.  The C-Suite used the Qwizdom voting tool to anonymously cast their votes on whether a risk should move forward as a stand-alone Material Risk, be combined with another risk, or be excluded from the Material Risk inventory.  This tool helped ensure the C-Suite remained engaged in the process and allowed them the opportunity to provide their candid opinion on each risk.  The Qwizdom tool also reduced “group think” exposure.   Overall, this process reduced the Interim MRP Risk inventory down to 55 risks for the MRP inventory.
Once the Material Risk Inventory was defined, the 1st LOD developed the narratives for each risk.  The ERM team reviewed the narratives for completeness and to help ensure the narratives and financial information included key supporting information.  The 1st LOD, with assistance from the ERM Team and Risk Managers, completed the other tabs within the Segment Inventory Report.  
</t>
    </r>
    <r>
      <rPr>
        <b/>
        <sz val="11"/>
        <color theme="1"/>
        <rFont val="Calibri"/>
        <family val="2"/>
        <scheme val="minor"/>
      </rPr>
      <t>MRP Review, Enrichment &amp; Challenge:</t>
    </r>
    <r>
      <rPr>
        <sz val="11"/>
        <color theme="1"/>
        <rFont val="Calibri"/>
        <family val="2"/>
        <scheme val="minor"/>
      </rPr>
      <t xml:space="preserve">
Enrichment Training was completed for 2nd LOD to educate the Risk Managers and their designees on their role in challenging and enriching the Material Risk Inventory.  The 2nd LOD reviewed the Material Risks to determine if all relevant risks were included and aggregated, de-coupled or added risks in accordance with the program requirements and ranked the risks within their respective Risk type.  Risks added by the 2nd LOD were provided for informational purposes to the 1st LOD.  The 2nd LOD presented the risks from their Risk Category (Compliance, Operations, Market &amp; Liquidity, and Credit) to their respective subcommittees for additional review, enrichment, challenge and approval. Since SCUSA does not have a specific Strategic committee, and Model risk is handled at SHUSA, the Strategic and Model risks were presented to the Enterprise Risk Management Committee (ERMC) for additional review, enrichment, challenge and approval.  At the subcommittee meetings, Compliance participated to validate the regulatory impact entered by the other risk verticals. The entire suite of material risks were also covered with the ERMC for their final review, consideration and approval. 
The CRO and the Risk Managers will then risk rank the top 10-15 material risks.  These top risks will be presented to the ERMC for consideration and approval.  The final step will be to present an overview of the SCUSA material risk program and the material risks to the SCUSA Risk Committee for their review and approval.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</si>
</sst>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mmm\-yyyy"/>
    <numFmt numFmtId="173" formatCode="0.0%"/>
    <numFmt numFmtId="174" formatCode="0.000%"/>
  </numFmts>
  <fonts count="76"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u/>
      <sz val="11"/>
      <color theme="1"/>
      <name val="Calibri"/>
      <family val="2"/>
      <scheme val="minor"/>
    </font>
    <font>
      <sz val="9"/>
      <color theme="1"/>
      <name val="Calibri"/>
      <family val="2"/>
      <scheme val="minor"/>
    </font>
    <font>
      <sz val="9"/>
      <color rgb="FF000000"/>
      <name val="Calibri"/>
      <family val="2"/>
      <scheme val="minor"/>
    </font>
    <font>
      <sz val="9"/>
      <name val="Calibri"/>
      <family val="2"/>
      <scheme val="minor"/>
    </font>
    <font>
      <b/>
      <sz val="9"/>
      <color indexed="81"/>
      <name val="Tahoma"/>
      <family val="2"/>
    </font>
    <font>
      <sz val="9"/>
      <color indexed="81"/>
      <name val="Tahoma"/>
      <family val="2"/>
    </font>
    <font>
      <sz val="8"/>
      <name val="Calibri"/>
      <family val="2"/>
    </font>
    <font>
      <i/>
      <sz val="11"/>
      <name val="Calibri"/>
      <family val="2"/>
      <scheme val="minor"/>
    </font>
    <font>
      <sz val="8"/>
      <color theme="1"/>
      <name val="Calibri"/>
      <family val="2"/>
      <scheme val="minor"/>
    </font>
    <font>
      <b/>
      <sz val="8"/>
      <color rgb="FFFF0000"/>
      <name val="Calibri"/>
      <family val="2"/>
      <scheme val="minor"/>
    </font>
    <font>
      <b/>
      <sz val="8"/>
      <color rgb="FFFF0000"/>
      <name val="Times New Roman"/>
      <family val="1"/>
    </font>
    <font>
      <sz val="8"/>
      <color rgb="FFFFFFFF"/>
      <name val="Calibri"/>
      <family val="2"/>
      <scheme val="minor"/>
    </font>
  </fonts>
  <fills count="37">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
      <patternFill patternType="solid">
        <fgColor theme="1"/>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2">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9" fontId="4" fillId="0" borderId="0" applyFont="0" applyFill="0" applyBorder="0" applyAlignment="0" applyProtection="0"/>
  </cellStyleXfs>
  <cellXfs count="276">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6" fillId="31" borderId="0" xfId="0" applyFont="1" applyFill="1"/>
    <xf numFmtId="0" fontId="49"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4" fillId="35" borderId="4" xfId="0" applyFont="1" applyFill="1" applyBorder="1" applyAlignment="1">
      <alignment vertical="center" wrapText="1"/>
    </xf>
    <xf numFmtId="0" fontId="54" fillId="35" borderId="19" xfId="0" applyFont="1" applyFill="1" applyBorder="1" applyAlignment="1">
      <alignment vertical="center" wrapText="1"/>
    </xf>
    <xf numFmtId="0" fontId="0" fillId="0" borderId="42" xfId="0" applyBorder="1" applyAlignment="1">
      <alignment vertical="center" wrapText="1"/>
    </xf>
    <xf numFmtId="0" fontId="49" fillId="0" borderId="0" xfId="0" applyFont="1" applyAlignment="1">
      <alignment vertical="center"/>
    </xf>
    <xf numFmtId="0" fontId="56"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58"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2" fillId="0" borderId="21" xfId="0" applyFont="1" applyBorder="1" applyAlignment="1" applyProtection="1">
      <alignment vertical="center" wrapText="1"/>
      <protection locked="0"/>
    </xf>
    <xf numFmtId="0" fontId="62" fillId="0" borderId="26" xfId="0" applyFont="1" applyBorder="1" applyAlignment="1" applyProtection="1">
      <alignment vertical="center" wrapText="1"/>
      <protection locked="0"/>
    </xf>
    <xf numFmtId="14" fontId="62" fillId="0" borderId="21" xfId="0" applyNumberFormat="1" applyFont="1" applyBorder="1" applyAlignment="1" applyProtection="1">
      <alignment vertical="center" wrapText="1"/>
      <protection locked="0"/>
    </xf>
    <xf numFmtId="0" fontId="55" fillId="31" borderId="0" xfId="0" applyFont="1" applyFill="1"/>
    <xf numFmtId="0" fontId="0" fillId="0" borderId="0" xfId="0" applyAlignment="1">
      <alignment vertical="top"/>
    </xf>
    <xf numFmtId="0" fontId="0" fillId="31" borderId="0" xfId="0" applyFill="1" applyAlignment="1">
      <alignment vertical="top"/>
    </xf>
    <xf numFmtId="0" fontId="62" fillId="0" borderId="2" xfId="0" applyFont="1" applyBorder="1" applyAlignment="1" applyProtection="1">
      <alignment vertical="top" wrapText="1"/>
      <protection locked="0"/>
    </xf>
    <xf numFmtId="6" fontId="62" fillId="0" borderId="2" xfId="0" applyNumberFormat="1" applyFont="1" applyBorder="1" applyAlignment="1" applyProtection="1">
      <alignment vertical="top" wrapText="1"/>
      <protection locked="0"/>
    </xf>
    <xf numFmtId="0" fontId="0" fillId="0" borderId="2" xfId="0" applyNumberFormat="1" applyFont="1" applyFill="1" applyBorder="1" applyAlignment="1" applyProtection="1">
      <alignment vertical="top" wrapText="1"/>
      <protection locked="0"/>
    </xf>
    <xf numFmtId="14" fontId="62" fillId="0" borderId="2" xfId="0" applyNumberFormat="1" applyFont="1" applyBorder="1" applyAlignment="1" applyProtection="1">
      <alignment vertical="top" wrapText="1"/>
      <protection locked="0"/>
    </xf>
    <xf numFmtId="0" fontId="0" fillId="0" borderId="2" xfId="0" applyNumberFormat="1" applyFont="1" applyFill="1" applyBorder="1" applyAlignment="1" applyProtection="1">
      <alignment vertical="top"/>
      <protection locked="0"/>
    </xf>
    <xf numFmtId="172" fontId="43" fillId="35" borderId="21" xfId="0" applyNumberFormat="1" applyFont="1" applyFill="1" applyBorder="1" applyAlignment="1">
      <alignment horizontal="center" vertical="center" wrapText="1"/>
    </xf>
    <xf numFmtId="0" fontId="65" fillId="0" borderId="2" xfId="0" applyFont="1" applyBorder="1" applyAlignment="1">
      <alignment horizontal="left" vertical="center" wrapText="1"/>
    </xf>
    <xf numFmtId="9" fontId="62" fillId="0" borderId="21" xfId="0" applyNumberFormat="1" applyFont="1" applyFill="1" applyBorder="1" applyAlignment="1">
      <alignment horizontal="center" vertical="center" wrapText="1"/>
    </xf>
    <xf numFmtId="173" fontId="62" fillId="0" borderId="21" xfId="0" applyNumberFormat="1" applyFont="1" applyFill="1" applyBorder="1" applyAlignment="1">
      <alignment horizontal="center" vertical="center" wrapText="1"/>
    </xf>
    <xf numFmtId="0" fontId="65" fillId="30" borderId="2" xfId="0" applyFont="1" applyFill="1" applyBorder="1" applyAlignment="1">
      <alignment horizontal="left" vertical="center" wrapText="1"/>
    </xf>
    <xf numFmtId="9" fontId="62" fillId="36" borderId="21" xfId="0" applyNumberFormat="1" applyFont="1" applyFill="1" applyBorder="1" applyAlignment="1">
      <alignment horizontal="center" vertical="center" wrapText="1"/>
    </xf>
    <xf numFmtId="171" fontId="62" fillId="0" borderId="21" xfId="0" applyNumberFormat="1" applyFont="1" applyFill="1" applyBorder="1" applyAlignment="1">
      <alignment horizontal="center" vertical="center" wrapText="1"/>
    </xf>
    <xf numFmtId="0" fontId="62" fillId="0" borderId="21" xfId="0" applyFont="1" applyFill="1" applyBorder="1" applyAlignment="1">
      <alignment horizontal="center" vertical="center" wrapText="1"/>
    </xf>
    <xf numFmtId="0" fontId="66" fillId="30" borderId="2" xfId="0" applyFont="1" applyFill="1" applyBorder="1" applyAlignment="1">
      <alignment horizontal="left" vertical="center" wrapText="1"/>
    </xf>
    <xf numFmtId="1" fontId="62" fillId="0" borderId="21" xfId="0" applyNumberFormat="1" applyFont="1" applyFill="1" applyBorder="1" applyAlignment="1">
      <alignment horizontal="center" vertical="center" wrapText="1"/>
    </xf>
    <xf numFmtId="174" fontId="62" fillId="0" borderId="21" xfId="0" applyNumberFormat="1" applyFont="1" applyFill="1" applyBorder="1" applyAlignment="1">
      <alignment horizontal="center" vertical="center" wrapText="1"/>
    </xf>
    <xf numFmtId="0" fontId="66" fillId="30" borderId="2" xfId="0" applyFont="1" applyFill="1" applyBorder="1" applyAlignment="1">
      <alignment vertical="center" wrapText="1"/>
    </xf>
    <xf numFmtId="0" fontId="67" fillId="30" borderId="2" xfId="0" applyFont="1" applyFill="1" applyBorder="1" applyAlignment="1">
      <alignment vertical="center" wrapText="1"/>
    </xf>
    <xf numFmtId="9" fontId="62" fillId="0" borderId="21" xfId="0" applyNumberFormat="1" applyFont="1" applyBorder="1" applyAlignment="1" applyProtection="1">
      <alignment horizontal="center" vertical="center" wrapText="1"/>
      <protection locked="0"/>
    </xf>
    <xf numFmtId="173" fontId="62" fillId="0" borderId="21" xfId="0" applyNumberFormat="1" applyFont="1" applyBorder="1" applyAlignment="1" applyProtection="1">
      <alignment horizontal="center" vertical="center" wrapText="1"/>
      <protection locked="0"/>
    </xf>
    <xf numFmtId="1" fontId="62" fillId="0" borderId="21" xfId="0" applyNumberFormat="1" applyFont="1" applyBorder="1" applyAlignment="1" applyProtection="1">
      <alignment horizontal="center" vertical="center" wrapText="1"/>
      <protection locked="0"/>
    </xf>
    <xf numFmtId="10" fontId="62" fillId="0" borderId="21" xfId="0" applyNumberFormat="1" applyFont="1" applyBorder="1" applyAlignment="1" applyProtection="1">
      <alignment horizontal="center" vertical="center" wrapText="1"/>
      <protection locked="0"/>
    </xf>
    <xf numFmtId="0" fontId="65" fillId="0" borderId="2" xfId="0" applyFont="1" applyFill="1" applyBorder="1" applyAlignment="1">
      <alignment vertical="center" wrapText="1"/>
    </xf>
    <xf numFmtId="172" fontId="43" fillId="35" borderId="42" xfId="0" applyNumberFormat="1" applyFont="1" applyFill="1" applyBorder="1" applyAlignment="1">
      <alignment horizontal="center" vertical="center" wrapText="1"/>
    </xf>
    <xf numFmtId="9" fontId="62" fillId="0" borderId="2" xfId="451" applyFont="1" applyFill="1" applyBorder="1" applyAlignment="1">
      <alignment horizontal="center" vertical="center" wrapText="1"/>
    </xf>
    <xf numFmtId="9" fontId="62" fillId="0" borderId="2" xfId="0" applyNumberFormat="1" applyFont="1" applyFill="1" applyBorder="1" applyAlignment="1">
      <alignment horizontal="center" vertical="center" wrapText="1"/>
    </xf>
    <xf numFmtId="173" fontId="62" fillId="0" borderId="2" xfId="0" applyNumberFormat="1" applyFont="1" applyFill="1" applyBorder="1" applyAlignment="1">
      <alignment horizontal="center" vertical="center" wrapText="1"/>
    </xf>
    <xf numFmtId="9" fontId="62" fillId="36" borderId="2" xfId="0" applyNumberFormat="1" applyFont="1" applyFill="1" applyBorder="1" applyAlignment="1">
      <alignment horizontal="center" vertical="center" wrapText="1"/>
    </xf>
    <xf numFmtId="171" fontId="62" fillId="0" borderId="2" xfId="0" applyNumberFormat="1" applyFont="1" applyFill="1" applyBorder="1" applyAlignment="1">
      <alignment horizontal="center" vertical="center" wrapText="1"/>
    </xf>
    <xf numFmtId="2" fontId="62" fillId="0" borderId="2" xfId="0" applyNumberFormat="1" applyFont="1" applyFill="1" applyBorder="1" applyAlignment="1">
      <alignment horizontal="center" vertical="center" wrapText="1"/>
    </xf>
    <xf numFmtId="0" fontId="62" fillId="0" borderId="2" xfId="0" applyFont="1" applyFill="1" applyBorder="1" applyAlignment="1">
      <alignment horizontal="center" vertical="center" wrapText="1"/>
    </xf>
    <xf numFmtId="1" fontId="62" fillId="0" borderId="2" xfId="0" applyNumberFormat="1" applyFont="1" applyFill="1" applyBorder="1" applyAlignment="1">
      <alignment horizontal="center" vertical="center" wrapText="1"/>
    </xf>
    <xf numFmtId="174" fontId="62" fillId="0" borderId="2" xfId="0" applyNumberFormat="1" applyFont="1" applyFill="1" applyBorder="1" applyAlignment="1">
      <alignment horizontal="center" vertical="center" wrapText="1"/>
    </xf>
    <xf numFmtId="9" fontId="62" fillId="0" borderId="2" xfId="0" applyNumberFormat="1" applyFont="1" applyBorder="1" applyAlignment="1" applyProtection="1">
      <alignment horizontal="center" vertical="center" wrapText="1"/>
      <protection locked="0"/>
    </xf>
    <xf numFmtId="173" fontId="62" fillId="0" borderId="2" xfId="0" applyNumberFormat="1" applyFont="1" applyBorder="1" applyAlignment="1" applyProtection="1">
      <alignment horizontal="center" vertical="center" wrapText="1"/>
      <protection locked="0"/>
    </xf>
    <xf numFmtId="1" fontId="62" fillId="0" borderId="2" xfId="0" applyNumberFormat="1" applyFont="1" applyBorder="1" applyAlignment="1" applyProtection="1">
      <alignment horizontal="center" vertical="center" wrapText="1"/>
      <protection locked="0"/>
    </xf>
    <xf numFmtId="3" fontId="62" fillId="0" borderId="2" xfId="0" applyNumberFormat="1" applyFont="1" applyBorder="1" applyAlignment="1" applyProtection="1">
      <alignment horizontal="center" vertical="center" wrapText="1"/>
      <protection locked="0"/>
    </xf>
    <xf numFmtId="10" fontId="62" fillId="0" borderId="2" xfId="0" applyNumberFormat="1" applyFont="1" applyBorder="1" applyAlignment="1" applyProtection="1">
      <alignment horizontal="center" vertical="center" wrapText="1"/>
      <protection locked="0"/>
    </xf>
    <xf numFmtId="0" fontId="62" fillId="0" borderId="2" xfId="0" applyFont="1" applyBorder="1" applyAlignment="1" applyProtection="1">
      <alignment horizontal="center" vertical="center" wrapText="1"/>
      <protection locked="0"/>
    </xf>
    <xf numFmtId="173" fontId="62" fillId="0" borderId="2" xfId="0" applyNumberFormat="1" applyFont="1" applyFill="1" applyBorder="1" applyAlignment="1" applyProtection="1">
      <alignment horizontal="center" vertical="center" wrapText="1"/>
      <protection locked="0"/>
    </xf>
    <xf numFmtId="0" fontId="0" fillId="31" borderId="0" xfId="0" applyFill="1" applyAlignment="1">
      <alignment vertical="top" wrapText="1"/>
    </xf>
    <xf numFmtId="0" fontId="0" fillId="31" borderId="0" xfId="0" applyFill="1" applyAlignment="1">
      <alignment wrapText="1"/>
    </xf>
    <xf numFmtId="0" fontId="0" fillId="31" borderId="0" xfId="0" applyFill="1" applyAlignment="1">
      <alignment vertical="top" wrapText="1"/>
    </xf>
    <xf numFmtId="0" fontId="0" fillId="31" borderId="0" xfId="0" applyFill="1" applyAlignment="1">
      <alignment wrapText="1"/>
    </xf>
    <xf numFmtId="0" fontId="0" fillId="31" borderId="0" xfId="0" applyFill="1" applyAlignment="1">
      <alignment vertical="top" wrapText="1"/>
    </xf>
    <xf numFmtId="0" fontId="0" fillId="31" borderId="0" xfId="0" applyFill="1" applyAlignment="1">
      <alignment wrapText="1"/>
    </xf>
    <xf numFmtId="0" fontId="0" fillId="31" borderId="0" xfId="0" applyFill="1" applyAlignment="1">
      <alignment vertical="top" wrapText="1"/>
    </xf>
    <xf numFmtId="0" fontId="0" fillId="31" borderId="0" xfId="0" applyFill="1" applyAlignment="1">
      <alignment wrapText="1"/>
    </xf>
    <xf numFmtId="0" fontId="70" fillId="0" borderId="0" xfId="0" applyFont="1" applyBorder="1" applyAlignment="1">
      <alignment vertical="top"/>
    </xf>
    <xf numFmtId="0" fontId="70" fillId="0" borderId="0" xfId="0" applyFont="1" applyBorder="1" applyAlignment="1">
      <alignment vertical="top" wrapText="1"/>
    </xf>
    <xf numFmtId="0" fontId="70" fillId="0" borderId="0" xfId="0" applyFont="1" applyBorder="1" applyAlignment="1">
      <alignment horizontal="center" vertical="top" wrapText="1"/>
    </xf>
    <xf numFmtId="14" fontId="70" fillId="0" borderId="0" xfId="0" applyNumberFormat="1" applyFont="1" applyBorder="1" applyAlignment="1">
      <alignment horizontal="center" vertical="top" wrapText="1"/>
    </xf>
    <xf numFmtId="0" fontId="19" fillId="33" borderId="21" xfId="0" applyFont="1" applyFill="1" applyBorder="1" applyAlignment="1" applyProtection="1">
      <alignment vertical="top" wrapText="1"/>
      <protection locked="0"/>
    </xf>
    <xf numFmtId="0" fontId="1" fillId="3" borderId="2" xfId="0" applyFont="1" applyFill="1" applyBorder="1" applyAlignment="1" applyProtection="1">
      <alignment horizontal="center" vertical="center" wrapText="1"/>
      <protection locked="0"/>
    </xf>
    <xf numFmtId="0" fontId="1" fillId="3" borderId="2" xfId="0" applyFont="1" applyFill="1" applyBorder="1" applyAlignment="1" applyProtection="1">
      <alignment horizontal="left" vertical="center"/>
      <protection locked="0"/>
    </xf>
    <xf numFmtId="0" fontId="72" fillId="31" borderId="0" xfId="0" applyFont="1" applyFill="1"/>
    <xf numFmtId="0" fontId="73" fillId="0" borderId="34" xfId="0" applyFont="1" applyBorder="1" applyAlignment="1">
      <alignment horizontal="left" vertical="center"/>
    </xf>
    <xf numFmtId="0" fontId="72" fillId="31" borderId="34" xfId="0" applyFont="1" applyFill="1" applyBorder="1"/>
    <xf numFmtId="0" fontId="75" fillId="35" borderId="2" xfId="0" applyFont="1" applyFill="1" applyBorder="1" applyAlignment="1">
      <alignment horizontal="center" vertical="center" wrapText="1"/>
    </xf>
    <xf numFmtId="0" fontId="19" fillId="33" borderId="19" xfId="0" applyFont="1" applyFill="1" applyBorder="1" applyAlignment="1" applyProtection="1">
      <alignment horizontal="left" vertical="center" wrapText="1"/>
      <protection locked="0"/>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0" fillId="31" borderId="0" xfId="0" applyFont="1" applyFill="1" applyAlignment="1">
      <alignment horizontal="center" vertical="center" wrapText="1"/>
    </xf>
    <xf numFmtId="0" fontId="50" fillId="0" borderId="0" xfId="0" applyFont="1" applyAlignment="1">
      <alignment horizontal="center" vertical="center"/>
    </xf>
    <xf numFmtId="0" fontId="52" fillId="31" borderId="0" xfId="0" applyFont="1" applyFill="1" applyAlignment="1">
      <alignment horizontal="center"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31" borderId="0" xfId="0" applyFont="1" applyFill="1" applyAlignment="1" applyProtection="1">
      <alignment horizontal="center" vertical="center"/>
      <protection locked="0"/>
    </xf>
    <xf numFmtId="0" fontId="53"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4" borderId="28" xfId="0" applyFill="1" applyBorder="1" applyAlignment="1" applyProtection="1">
      <alignment horizontal="left" vertical="top" wrapText="1"/>
      <protection locked="0"/>
    </xf>
    <xf numFmtId="0" fontId="0" fillId="34" borderId="0" xfId="0" applyFill="1" applyBorder="1" applyAlignment="1" applyProtection="1">
      <alignment horizontal="left" vertical="top" wrapText="1"/>
      <protection locked="0"/>
    </xf>
    <xf numFmtId="0" fontId="0" fillId="0" borderId="0" xfId="0" applyAlignment="1">
      <alignment horizontal="left" vertical="top" wrapText="1"/>
    </xf>
    <xf numFmtId="0" fontId="0" fillId="0" borderId="31" xfId="0" applyBorder="1" applyAlignment="1">
      <alignment horizontal="left" vertical="top" wrapText="1"/>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0" borderId="0" xfId="0" applyAlignment="1">
      <alignment horizontal="left"/>
    </xf>
    <xf numFmtId="0" fontId="62" fillId="0" borderId="30" xfId="0" applyFont="1" applyBorder="1" applyAlignment="1" applyProtection="1">
      <alignment vertical="center" wrapText="1"/>
      <protection locked="0"/>
    </xf>
    <xf numFmtId="0" fontId="63" fillId="0" borderId="31" xfId="0" applyFont="1" applyBorder="1" applyAlignment="1" applyProtection="1">
      <protection locked="0"/>
    </xf>
    <xf numFmtId="0" fontId="63" fillId="0" borderId="32" xfId="0" applyFont="1" applyBorder="1" applyAlignment="1" applyProtection="1">
      <protection locked="0"/>
    </xf>
    <xf numFmtId="0" fontId="62" fillId="0" borderId="35" xfId="0" applyFont="1" applyBorder="1" applyAlignment="1" applyProtection="1">
      <alignment vertical="center" wrapText="1"/>
      <protection locked="0"/>
    </xf>
    <xf numFmtId="0" fontId="63" fillId="0" borderId="36" xfId="0" applyFont="1" applyBorder="1" applyAlignment="1" applyProtection="1">
      <protection locked="0"/>
    </xf>
    <xf numFmtId="0" fontId="63"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2" fillId="0" borderId="2" xfId="0" applyFont="1" applyBorder="1" applyAlignment="1" applyProtection="1">
      <alignment vertical="center" wrapText="1"/>
      <protection locked="0"/>
    </xf>
    <xf numFmtId="0" fontId="63" fillId="0" borderId="2" xfId="0" applyFont="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0" fillId="0" borderId="28" xfId="0" applyBorder="1" applyAlignment="1" applyProtection="1">
      <alignment vertical="top" wrapText="1"/>
      <protection locked="0"/>
    </xf>
    <xf numFmtId="0" fontId="0" fillId="0" borderId="0" xfId="0" applyAlignment="1"/>
    <xf numFmtId="0" fontId="0" fillId="34" borderId="36" xfId="0" applyFill="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3" fillId="35" borderId="41" xfId="0" applyFont="1" applyFill="1" applyBorder="1" applyAlignment="1">
      <alignment horizontal="center" vertical="center"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21" xfId="0" applyBorder="1" applyAlignment="1">
      <alignment vertical="top" wrapText="1"/>
    </xf>
    <xf numFmtId="0" fontId="41" fillId="31" borderId="18"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20" xfId="0" applyFill="1" applyBorder="1" applyAlignment="1">
      <alignment vertical="top" wrapText="1"/>
    </xf>
    <xf numFmtId="0" fontId="63" fillId="32" borderId="18" xfId="0" applyFont="1" applyFill="1" applyBorder="1" applyAlignment="1" applyProtection="1">
      <alignment horizontal="left" vertical="top" wrapText="1"/>
      <protection locked="0"/>
    </xf>
    <xf numFmtId="0" fontId="0" fillId="32" borderId="25" xfId="0" applyFill="1" applyBorder="1" applyAlignment="1">
      <alignment horizontal="left" vertical="top" wrapText="1"/>
    </xf>
    <xf numFmtId="0" fontId="0" fillId="32" borderId="0" xfId="0" applyFill="1" applyAlignment="1">
      <alignment horizontal="lef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5" fillId="0" borderId="16" xfId="0" applyFont="1" applyBorder="1" applyAlignment="1">
      <alignment vertical="center" wrapText="1"/>
    </xf>
    <xf numFmtId="0" fontId="55" fillId="0" borderId="41" xfId="0" applyFont="1" applyBorder="1" applyAlignment="1">
      <alignment vertical="center" wrapText="1"/>
    </xf>
    <xf numFmtId="0" fontId="55"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2">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xfId="451" builtinId="5"/>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4">
    <dxf>
      <font>
        <color theme="0"/>
      </font>
      <fill>
        <patternFill>
          <bgColor rgb="FFFF0000"/>
        </patternFill>
      </fill>
    </dxf>
    <dxf>
      <font>
        <color theme="1"/>
      </font>
      <fill>
        <patternFill>
          <bgColor rgb="FFFFFF00"/>
        </patternFill>
      </fill>
    </dxf>
    <dxf>
      <font>
        <color theme="0"/>
      </font>
      <fill>
        <patternFill>
          <bgColor rgb="FF00B050"/>
        </patternFill>
      </fill>
    </dxf>
    <dxf>
      <font>
        <color theme="0" tint="-4.9989318521683403E-2"/>
      </font>
      <fill>
        <patternFill>
          <bgColor theme="0" tint="-4.9989318521683403E-2"/>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externalLink" Target="externalLinks/externalLink8.xml"/><Relationship Id="rId50"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2.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3"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0.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externalLink" Target="externalLinks/externalLink9.xml"/><Relationship Id="rId8" Type="http://schemas.openxmlformats.org/officeDocument/2006/relationships/worksheet" Target="worksheets/sheet8.xml"/><Relationship Id="rId5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DOJ%20and%20Other%20Investigations%20-%20IR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New%20Business%20Initiativ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Loss%20of%20Chrysler-IR68.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Lease%20Residual%20Values%20Model(v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Wayne%20(IR4,%20IR3-IR17,%20IR18,%20IR2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Dealer%20and%20Customer%20Fraud%20-%20IR6.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Fair%20Lending%20IR9-IR14.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Errors%20in%20Incentives%20Program%20Imp%20and%20Process%20v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03%20RIDA\RIDA\2015\03.%20%20SCUSA%20MRP%20Assessment\5%20MRP%20Inventory%20Rpts\Completed%20Risk%20Narratives%20-Templates\Material%20Risk%20Narrative%20-%20BSA%20AML%20OFAC.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Narrative"/>
      <sheetName val="Financial Impact Analysis"/>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Chrysler Capital Lease Example"/>
      <sheetName val="Dealer Council Example"/>
      <sheetName val="Appendix - Risks"/>
      <sheetName val="IR -18"/>
      <sheetName val="IR-26"/>
      <sheetName val="IR-3 R -17"/>
      <sheetName val="IR-4"/>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 sheetId="6"/>
      <sheetData sheetId="7"/>
      <sheetData sheetId="8"/>
      <sheetData sheetId="9"/>
      <sheetData sheetId="1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Dropdowns"/>
      <sheetName val="Entity Material Risk Inventory"/>
      <sheetName val="Risk Inventory"/>
      <sheetName val="Risk"/>
      <sheetName val="Appendix - Risks"/>
    </sheetNames>
    <sheetDataSet>
      <sheetData sheetId="0"/>
      <sheetData sheetId="1">
        <row r="2">
          <cell r="A2" t="str">
            <v>$1 - $5 M</v>
          </cell>
          <cell r="B2" t="str">
            <v>Consumer Confidence (Up)</v>
          </cell>
          <cell r="C2" t="str">
            <v>SBNA</v>
          </cell>
        </row>
        <row r="3">
          <cell r="A3" t="str">
            <v>$5 M - $50 M</v>
          </cell>
          <cell r="B3" t="str">
            <v>Consumer Confidence (Down)</v>
          </cell>
          <cell r="C3" t="str">
            <v>SCUSA</v>
          </cell>
        </row>
        <row r="4">
          <cell r="A4" t="str">
            <v>$50 M - $250 M</v>
          </cell>
          <cell r="B4" t="str">
            <v>Unemployment (Up)</v>
          </cell>
          <cell r="C4" t="str">
            <v>Puerto Rico</v>
          </cell>
        </row>
        <row r="5">
          <cell r="A5" t="str">
            <v>$250 M - $500 M</v>
          </cell>
          <cell r="B5" t="str">
            <v>Unemployment (Down)</v>
          </cell>
          <cell r="C5" t="str">
            <v>Banco Santander Intl. (Miami)</v>
          </cell>
        </row>
        <row r="6">
          <cell r="A6" t="str">
            <v>&gt; $500 M</v>
          </cell>
          <cell r="B6" t="str">
            <v>Inflation</v>
          </cell>
          <cell r="C6" t="str">
            <v>Santander Investment Securities</v>
          </cell>
        </row>
        <row r="7">
          <cell r="B7" t="str">
            <v>Deflation</v>
          </cell>
        </row>
        <row r="8">
          <cell r="B8" t="str">
            <v>Interest Rates (Up)</v>
          </cell>
        </row>
        <row r="9">
          <cell r="B9" t="str">
            <v>Interest Rates (Down)</v>
          </cell>
        </row>
        <row r="10">
          <cell r="B10" t="str">
            <v>Interest Rates (Steepen)</v>
          </cell>
        </row>
        <row r="11">
          <cell r="B11" t="str">
            <v>Interest Rates (Decline)</v>
          </cell>
        </row>
        <row r="12">
          <cell r="B12" t="str">
            <v>Corporate Credit Spreads (Widen)</v>
          </cell>
        </row>
        <row r="13">
          <cell r="B13" t="str">
            <v>Corporate Credit Spreads (Narrow)</v>
          </cell>
        </row>
        <row r="14">
          <cell r="B14" t="str">
            <v>Equity Prices (Up)</v>
          </cell>
        </row>
        <row r="15">
          <cell r="B15" t="str">
            <v>Equity Prices (Down)</v>
          </cell>
        </row>
        <row r="16">
          <cell r="B16" t="str">
            <v>Housing Prices (Up)</v>
          </cell>
        </row>
        <row r="17">
          <cell r="B17" t="str">
            <v>Housing Prices (Down)</v>
          </cell>
        </row>
        <row r="18">
          <cell r="B18" t="str">
            <v>Used Vehicle Prices (Up)</v>
          </cell>
        </row>
        <row r="19">
          <cell r="B19" t="str">
            <v>Used Vehicle Prices (Down)</v>
          </cell>
        </row>
        <row r="20">
          <cell r="B20" t="str">
            <v>US Dollar Appreciation</v>
          </cell>
        </row>
        <row r="21">
          <cell r="B21" t="str">
            <v>US Dollar Depreciation</v>
          </cell>
        </row>
        <row r="22">
          <cell r="B22" t="str">
            <v>Soft Commodity Prices (Up)</v>
          </cell>
        </row>
        <row r="23">
          <cell r="B23" t="str">
            <v>Soft Commodity Prices (Down)</v>
          </cell>
        </row>
        <row r="24">
          <cell r="B24" t="str">
            <v>Oil Prices (Up)</v>
          </cell>
        </row>
        <row r="25">
          <cell r="B25" t="str">
            <v>Oil Prices (Down)</v>
          </cell>
        </row>
        <row r="26">
          <cell r="B26" t="str">
            <v>Other Hard Commodity Prices (Up)</v>
          </cell>
        </row>
        <row r="27">
          <cell r="B27" t="str">
            <v>Other Hard Commodity Prices (Down)</v>
          </cell>
        </row>
        <row r="28">
          <cell r="B28" t="str">
            <v>Localized Economic Downturn (Specify Geography in risk description)</v>
          </cell>
        </row>
      </sheetData>
      <sheetData sheetId="2"/>
      <sheetData sheetId="3"/>
      <sheetData sheetId="4"/>
      <sheetData sheetId="5"/>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 val="Appendix - Risk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topLeftCell="A13" zoomScaleNormal="90" workbookViewId="0"/>
  </sheetViews>
  <sheetFormatPr defaultColWidth="0" defaultRowHeight="0" customHeight="1" zeroHeight="1" x14ac:dyDescent="0.25"/>
  <cols>
    <col min="1" max="1" width="28.85546875" style="95" customWidth="1"/>
    <col min="2" max="2" width="9.140625" style="95" customWidth="1"/>
    <col min="3" max="3" width="13" style="95" customWidth="1"/>
    <col min="4" max="4" width="13.140625" style="95" customWidth="1"/>
    <col min="5" max="5" width="47.7109375" style="95"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4" t="s">
        <v>512</v>
      </c>
      <c r="B1" s="43"/>
      <c r="C1" s="43"/>
      <c r="D1" s="43"/>
      <c r="E1" s="43"/>
      <c r="AA1" s="43">
        <v>0</v>
      </c>
    </row>
    <row r="2" spans="1:27" ht="15" x14ac:dyDescent="0.25">
      <c r="A2" s="43"/>
      <c r="B2" s="43"/>
      <c r="C2" s="43"/>
      <c r="D2" s="43"/>
      <c r="E2" s="104" t="s">
        <v>522</v>
      </c>
    </row>
    <row r="3" spans="1:27" ht="15" x14ac:dyDescent="0.25">
      <c r="A3" s="39"/>
      <c r="B3" s="39"/>
      <c r="C3" s="39"/>
      <c r="D3" s="39"/>
      <c r="E3" s="167" t="s">
        <v>506</v>
      </c>
      <c r="F3" s="168"/>
    </row>
    <row r="4" spans="1:27" ht="15" x14ac:dyDescent="0.25">
      <c r="A4" s="39"/>
      <c r="B4" s="39"/>
      <c r="C4" s="39"/>
      <c r="D4" s="39"/>
      <c r="E4" s="169"/>
      <c r="F4" s="170"/>
    </row>
    <row r="5" spans="1:27" ht="4.5" customHeight="1" x14ac:dyDescent="0.25">
      <c r="A5" s="39"/>
      <c r="B5" s="39"/>
      <c r="C5" s="39"/>
      <c r="D5" s="39"/>
      <c r="E5" s="169"/>
      <c r="F5" s="170"/>
    </row>
    <row r="6" spans="1:27" ht="4.5" customHeight="1" x14ac:dyDescent="0.25">
      <c r="A6" s="39"/>
      <c r="B6" s="39"/>
      <c r="C6" s="39"/>
      <c r="D6" s="39"/>
      <c r="E6" s="169"/>
      <c r="F6" s="170"/>
    </row>
    <row r="7" spans="1:27" ht="15" x14ac:dyDescent="0.25">
      <c r="A7" s="39"/>
      <c r="B7" s="39"/>
      <c r="C7" s="39"/>
      <c r="D7" s="39"/>
      <c r="E7" s="169"/>
      <c r="F7" s="170"/>
    </row>
    <row r="8" spans="1:27" ht="15" x14ac:dyDescent="0.25">
      <c r="A8" s="39"/>
      <c r="B8" s="39"/>
      <c r="C8" s="39"/>
      <c r="D8" s="39"/>
      <c r="E8" s="169"/>
      <c r="F8" s="170"/>
    </row>
    <row r="9" spans="1:27" ht="15" x14ac:dyDescent="0.25">
      <c r="A9" s="39"/>
      <c r="B9" s="39"/>
      <c r="C9" s="39"/>
      <c r="D9" s="39"/>
      <c r="E9" s="169"/>
      <c r="F9" s="170"/>
    </row>
    <row r="10" spans="1:27" ht="15" hidden="1" customHeight="1" x14ac:dyDescent="0.25">
      <c r="A10" s="39"/>
      <c r="B10" s="39"/>
      <c r="C10" s="39"/>
      <c r="D10" s="39"/>
      <c r="E10" s="169"/>
      <c r="F10" s="170"/>
    </row>
    <row r="11" spans="1:27" ht="15" hidden="1" customHeight="1" x14ac:dyDescent="0.25">
      <c r="A11" s="39"/>
      <c r="B11" s="39"/>
      <c r="C11" s="39"/>
      <c r="D11" s="39"/>
      <c r="E11" s="169"/>
      <c r="F11" s="170"/>
    </row>
    <row r="12" spans="1:27" ht="15" hidden="1" customHeight="1" x14ac:dyDescent="0.25">
      <c r="A12" s="97"/>
      <c r="B12" s="39"/>
      <c r="C12" s="39"/>
      <c r="D12" s="39"/>
      <c r="E12" s="169"/>
      <c r="F12" s="170"/>
    </row>
    <row r="13" spans="1:27" ht="15" x14ac:dyDescent="0.25">
      <c r="A13" s="39"/>
      <c r="B13" s="39"/>
      <c r="C13" s="39"/>
      <c r="D13" s="39"/>
      <c r="E13" s="169"/>
      <c r="F13" s="170"/>
    </row>
    <row r="14" spans="1:27" ht="15" customHeight="1" x14ac:dyDescent="0.25">
      <c r="A14" s="173" t="s">
        <v>515</v>
      </c>
      <c r="B14" s="174"/>
      <c r="C14" s="175"/>
      <c r="D14" s="175"/>
      <c r="E14" s="169"/>
      <c r="F14" s="170"/>
    </row>
    <row r="15" spans="1:27" ht="15" customHeight="1" x14ac:dyDescent="0.25">
      <c r="A15" s="176"/>
      <c r="B15" s="177"/>
      <c r="C15" s="178"/>
      <c r="D15" s="178"/>
      <c r="E15" s="169"/>
      <c r="F15" s="170"/>
    </row>
    <row r="16" spans="1:27" ht="15" customHeight="1" x14ac:dyDescent="0.25">
      <c r="A16" s="176"/>
      <c r="B16" s="177"/>
      <c r="C16" s="178"/>
      <c r="D16" s="178"/>
      <c r="E16" s="169"/>
      <c r="F16" s="170"/>
    </row>
    <row r="17" spans="1:6" ht="53.25" customHeight="1" x14ac:dyDescent="0.25">
      <c r="A17" s="176"/>
      <c r="B17" s="177"/>
      <c r="C17" s="178"/>
      <c r="D17" s="178"/>
      <c r="E17" s="169"/>
      <c r="F17" s="170"/>
    </row>
    <row r="18" spans="1:6" ht="15" x14ac:dyDescent="0.25">
      <c r="A18" s="176"/>
      <c r="B18" s="177"/>
      <c r="C18" s="178"/>
      <c r="D18" s="178"/>
      <c r="E18" s="169"/>
      <c r="F18" s="170"/>
    </row>
    <row r="19" spans="1:6" ht="15" x14ac:dyDescent="0.25">
      <c r="A19" s="176"/>
      <c r="B19" s="177"/>
      <c r="C19" s="178"/>
      <c r="D19" s="178"/>
      <c r="E19" s="169"/>
      <c r="F19" s="170"/>
    </row>
    <row r="20" spans="1:6" ht="15" x14ac:dyDescent="0.25">
      <c r="A20" s="176"/>
      <c r="B20" s="177"/>
      <c r="C20" s="178"/>
      <c r="D20" s="178"/>
      <c r="E20" s="169"/>
      <c r="F20" s="170"/>
    </row>
    <row r="21" spans="1:6" ht="15" x14ac:dyDescent="0.25">
      <c r="A21" s="176"/>
      <c r="B21" s="177"/>
      <c r="C21" s="178"/>
      <c r="D21" s="178"/>
      <c r="E21" s="169"/>
      <c r="F21" s="170"/>
    </row>
    <row r="22" spans="1:6" ht="15" x14ac:dyDescent="0.25">
      <c r="A22" s="176"/>
      <c r="B22" s="177"/>
      <c r="C22" s="178"/>
      <c r="D22" s="178"/>
      <c r="E22" s="169"/>
      <c r="F22" s="170"/>
    </row>
    <row r="23" spans="1:6" ht="15" x14ac:dyDescent="0.25">
      <c r="A23" s="176"/>
      <c r="B23" s="177"/>
      <c r="C23" s="178"/>
      <c r="D23" s="178"/>
      <c r="E23" s="169"/>
      <c r="F23" s="170"/>
    </row>
    <row r="24" spans="1:6" ht="15" customHeight="1" x14ac:dyDescent="0.25">
      <c r="A24" s="176"/>
      <c r="B24" s="177"/>
      <c r="C24" s="178"/>
      <c r="D24" s="178"/>
      <c r="E24" s="169"/>
      <c r="F24" s="170"/>
    </row>
    <row r="25" spans="1:6" ht="15" customHeight="1" x14ac:dyDescent="0.25">
      <c r="A25" s="176"/>
      <c r="B25" s="177"/>
      <c r="C25" s="178"/>
      <c r="D25" s="178"/>
      <c r="E25" s="169"/>
      <c r="F25" s="170"/>
    </row>
    <row r="26" spans="1:6" ht="15" customHeight="1" x14ac:dyDescent="0.25">
      <c r="A26" s="176"/>
      <c r="B26" s="177"/>
      <c r="C26" s="178"/>
      <c r="D26" s="178"/>
      <c r="E26" s="169"/>
      <c r="F26" s="170"/>
    </row>
    <row r="27" spans="1:6" ht="36" customHeight="1" x14ac:dyDescent="0.25">
      <c r="A27" s="176"/>
      <c r="B27" s="177"/>
      <c r="C27" s="178"/>
      <c r="D27" s="178"/>
      <c r="E27" s="169"/>
      <c r="F27" s="170"/>
    </row>
    <row r="28" spans="1:6" ht="36" customHeight="1" x14ac:dyDescent="0.25">
      <c r="A28" s="176"/>
      <c r="B28" s="177"/>
      <c r="C28" s="178"/>
      <c r="D28" s="178"/>
      <c r="E28" s="169"/>
      <c r="F28" s="170"/>
    </row>
    <row r="29" spans="1:6" ht="36" customHeight="1" x14ac:dyDescent="0.25">
      <c r="A29" s="176"/>
      <c r="B29" s="177"/>
      <c r="C29" s="178"/>
      <c r="D29" s="178"/>
      <c r="E29" s="169"/>
      <c r="F29" s="170"/>
    </row>
    <row r="30" spans="1:6" ht="36" customHeight="1" x14ac:dyDescent="0.25">
      <c r="A30" s="176"/>
      <c r="B30" s="177"/>
      <c r="C30" s="178"/>
      <c r="D30" s="178"/>
      <c r="E30" s="169"/>
      <c r="F30" s="170"/>
    </row>
    <row r="31" spans="1:6" ht="36" customHeight="1" x14ac:dyDescent="0.25">
      <c r="A31" s="176"/>
      <c r="B31" s="177"/>
      <c r="C31" s="178"/>
      <c r="D31" s="178"/>
      <c r="E31" s="169"/>
      <c r="F31" s="170"/>
    </row>
    <row r="32" spans="1:6" ht="15" x14ac:dyDescent="0.25">
      <c r="A32" s="176"/>
      <c r="B32" s="177"/>
      <c r="C32" s="178"/>
      <c r="D32" s="178"/>
      <c r="E32" s="169"/>
      <c r="F32" s="170"/>
    </row>
    <row r="33" spans="1:6" ht="15" customHeight="1" x14ac:dyDescent="0.25">
      <c r="A33" s="176"/>
      <c r="B33" s="177"/>
      <c r="C33" s="178"/>
      <c r="D33" s="178"/>
      <c r="E33" s="169"/>
      <c r="F33" s="170"/>
    </row>
    <row r="34" spans="1:6" ht="15" customHeight="1" x14ac:dyDescent="0.25">
      <c r="A34" s="176"/>
      <c r="B34" s="177"/>
      <c r="C34" s="178"/>
      <c r="D34" s="178"/>
      <c r="E34" s="169"/>
      <c r="F34" s="170"/>
    </row>
    <row r="35" spans="1:6" ht="15" x14ac:dyDescent="0.25">
      <c r="A35" s="176"/>
      <c r="B35" s="177"/>
      <c r="C35" s="178"/>
      <c r="D35" s="178"/>
      <c r="E35" s="169"/>
      <c r="F35" s="170"/>
    </row>
    <row r="36" spans="1:6" ht="31.5" customHeight="1" x14ac:dyDescent="0.25">
      <c r="A36" s="176"/>
      <c r="B36" s="177"/>
      <c r="C36" s="178"/>
      <c r="D36" s="178"/>
      <c r="E36" s="169"/>
      <c r="F36" s="170"/>
    </row>
    <row r="37" spans="1:6" ht="31.5" customHeight="1" x14ac:dyDescent="0.25">
      <c r="A37" s="176"/>
      <c r="B37" s="177"/>
      <c r="C37" s="178"/>
      <c r="D37" s="178"/>
      <c r="E37" s="169"/>
      <c r="F37" s="170"/>
    </row>
    <row r="38" spans="1:6" ht="31.5" customHeight="1" x14ac:dyDescent="0.25">
      <c r="A38" s="176"/>
      <c r="B38" s="177"/>
      <c r="C38" s="178"/>
      <c r="D38" s="178"/>
      <c r="E38" s="169"/>
      <c r="F38" s="170"/>
    </row>
    <row r="39" spans="1:6" ht="31.5" customHeight="1" x14ac:dyDescent="0.25">
      <c r="A39" s="176"/>
      <c r="B39" s="177"/>
      <c r="C39" s="178"/>
      <c r="D39" s="178"/>
      <c r="E39" s="169"/>
      <c r="F39" s="170"/>
    </row>
    <row r="40" spans="1:6" ht="15" x14ac:dyDescent="0.25">
      <c r="A40" s="179"/>
      <c r="B40" s="180"/>
      <c r="C40" s="181"/>
      <c r="D40" s="181"/>
      <c r="E40" s="171"/>
      <c r="F40" s="172"/>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headerFooter>
    <oddHeader>&amp;CSCUSA Auto Finance</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16" zoomScaleNormal="100" zoomScaleSheetLayoutView="100" workbookViewId="0">
      <selection activeCell="E2" sqref="E2"/>
    </sheetView>
  </sheetViews>
  <sheetFormatPr defaultColWidth="0" defaultRowHeight="15" zeroHeight="1" x14ac:dyDescent="0.25"/>
  <cols>
    <col min="1" max="8" width="9.140625" style="43" customWidth="1"/>
    <col min="9" max="10" width="7.7109375" style="43" customWidth="1"/>
    <col min="11" max="11" width="7.7109375" style="105" hidden="1" customWidth="1"/>
    <col min="12" max="15" width="3.85546875" style="105" hidden="1" customWidth="1"/>
    <col min="16" max="16384" width="0.85546875" style="43" hidden="1"/>
  </cols>
  <sheetData>
    <row r="1" spans="1:15 16383:16383" ht="21" x14ac:dyDescent="0.35">
      <c r="B1" s="84"/>
      <c r="L1" s="39"/>
      <c r="M1" s="39"/>
      <c r="N1" s="39"/>
      <c r="O1" s="39"/>
      <c r="XFC1" s="43" t="s">
        <v>487</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97"/>
      <c r="L12" s="36"/>
      <c r="M12" s="36"/>
      <c r="N12" s="36"/>
      <c r="O12" s="36"/>
    </row>
    <row r="13" spans="1:15 16383:16383" x14ac:dyDescent="0.25">
      <c r="K13" s="36"/>
      <c r="L13" s="36"/>
      <c r="M13" s="36"/>
      <c r="N13" s="36"/>
      <c r="O13" s="36"/>
    </row>
    <row r="14" spans="1:15 16383:16383" x14ac:dyDescent="0.25">
      <c r="A14" s="182" t="s">
        <v>303</v>
      </c>
      <c r="B14" s="183"/>
      <c r="C14" s="183"/>
      <c r="D14" s="183"/>
      <c r="E14" s="183"/>
      <c r="F14" s="183"/>
      <c r="G14" s="183"/>
      <c r="H14" s="183"/>
      <c r="I14" s="183"/>
      <c r="J14" s="183"/>
      <c r="K14" s="106"/>
    </row>
    <row r="15" spans="1:15 16383:16383" x14ac:dyDescent="0.25">
      <c r="A15" s="183"/>
      <c r="B15" s="183"/>
      <c r="C15" s="183"/>
      <c r="D15" s="183"/>
      <c r="E15" s="183"/>
      <c r="F15" s="183"/>
      <c r="G15" s="183"/>
      <c r="H15" s="183"/>
      <c r="I15" s="183"/>
      <c r="J15" s="183"/>
    </row>
    <row r="16" spans="1:15 16383:16383" x14ac:dyDescent="0.25">
      <c r="A16" s="183"/>
      <c r="B16" s="183"/>
      <c r="C16" s="183"/>
      <c r="D16" s="183"/>
      <c r="E16" s="183"/>
      <c r="F16" s="183"/>
      <c r="G16" s="183"/>
      <c r="H16" s="183"/>
      <c r="I16" s="183"/>
      <c r="J16" s="183"/>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84" t="s">
        <v>476</v>
      </c>
      <c r="B24" s="185"/>
      <c r="C24" s="185"/>
      <c r="D24" s="185"/>
      <c r="E24" s="185"/>
      <c r="F24" s="185"/>
      <c r="G24" s="185"/>
      <c r="H24" s="185"/>
      <c r="I24" s="185"/>
      <c r="J24" s="185"/>
    </row>
    <row r="25" spans="1:10" x14ac:dyDescent="0.25">
      <c r="A25" s="185"/>
      <c r="B25" s="185"/>
      <c r="C25" s="185"/>
      <c r="D25" s="185"/>
      <c r="E25" s="185"/>
      <c r="F25" s="185"/>
      <c r="G25" s="185"/>
      <c r="H25" s="185"/>
      <c r="I25" s="185"/>
      <c r="J25" s="185"/>
    </row>
    <row r="26" spans="1:10" x14ac:dyDescent="0.25">
      <c r="A26" s="185"/>
      <c r="B26" s="185"/>
      <c r="C26" s="185"/>
      <c r="D26" s="185"/>
      <c r="E26" s="185"/>
      <c r="F26" s="185"/>
      <c r="G26" s="185"/>
      <c r="H26" s="185"/>
      <c r="I26" s="185"/>
      <c r="J26" s="185"/>
    </row>
    <row r="27" spans="1:10" x14ac:dyDescent="0.25">
      <c r="A27" s="186"/>
      <c r="B27" s="186"/>
      <c r="C27" s="186"/>
      <c r="D27" s="186"/>
      <c r="E27" s="186"/>
      <c r="F27" s="186"/>
      <c r="G27" s="186"/>
      <c r="H27" s="186"/>
      <c r="I27" s="186"/>
      <c r="J27" s="186"/>
    </row>
    <row r="28" spans="1:10" x14ac:dyDescent="0.25">
      <c r="A28" s="186"/>
      <c r="B28" s="186"/>
      <c r="C28" s="186"/>
      <c r="D28" s="186"/>
      <c r="E28" s="186"/>
      <c r="F28" s="186"/>
      <c r="G28" s="186"/>
      <c r="H28" s="186"/>
      <c r="I28" s="186"/>
      <c r="J28" s="186"/>
    </row>
    <row r="29" spans="1:10" x14ac:dyDescent="0.25"/>
    <row r="30" spans="1:10" x14ac:dyDescent="0.25"/>
    <row r="31" spans="1:10" x14ac:dyDescent="0.25"/>
    <row r="32" spans="1:10" x14ac:dyDescent="0.25"/>
    <row r="33" spans="1:10" x14ac:dyDescent="0.25">
      <c r="A33" s="187" t="s">
        <v>528</v>
      </c>
      <c r="B33" s="188"/>
      <c r="C33" s="188"/>
      <c r="D33" s="188"/>
      <c r="E33" s="188"/>
      <c r="F33" s="188"/>
      <c r="G33" s="188"/>
      <c r="H33" s="188"/>
      <c r="I33" s="188"/>
      <c r="J33" s="188"/>
    </row>
    <row r="34" spans="1:10" x14ac:dyDescent="0.25">
      <c r="A34" s="188"/>
      <c r="B34" s="188"/>
      <c r="C34" s="188"/>
      <c r="D34" s="188"/>
      <c r="E34" s="188"/>
      <c r="F34" s="188"/>
      <c r="G34" s="188"/>
      <c r="H34" s="188"/>
      <c r="I34" s="188"/>
      <c r="J34" s="188"/>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headerFooter>
    <oddHeader>&amp;CSCUSA Auto Finance</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zoomScaleNormal="100" workbookViewId="0">
      <selection activeCell="E2" sqref="E2"/>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487</v>
      </c>
    </row>
    <row r="2" spans="1:27" ht="15.75" thickBot="1" x14ac:dyDescent="0.3"/>
    <row r="3" spans="1:27" ht="29.25" customHeight="1" thickBot="1" x14ac:dyDescent="0.3">
      <c r="A3" s="189" t="s">
        <v>257</v>
      </c>
      <c r="B3" s="190"/>
      <c r="C3" s="166">
        <v>2015</v>
      </c>
    </row>
    <row r="4" spans="1:27" ht="33.75" customHeight="1" thickBot="1" x14ac:dyDescent="0.3">
      <c r="A4" s="189" t="s">
        <v>304</v>
      </c>
      <c r="B4" s="190"/>
      <c r="C4" s="96" t="s">
        <v>526</v>
      </c>
    </row>
    <row r="5" spans="1:27" ht="33.75" customHeight="1" thickBot="1" x14ac:dyDescent="0.3">
      <c r="A5" s="189" t="s">
        <v>305</v>
      </c>
      <c r="B5" s="190"/>
      <c r="C5" s="96" t="s">
        <v>693</v>
      </c>
    </row>
    <row r="6" spans="1:27" ht="33.75" customHeight="1" thickBot="1" x14ac:dyDescent="0.3">
      <c r="A6" s="189" t="s">
        <v>1</v>
      </c>
      <c r="B6" s="190"/>
      <c r="C6" s="96" t="s">
        <v>526</v>
      </c>
    </row>
    <row r="7" spans="1:27" ht="33.75" customHeight="1" thickBot="1" x14ac:dyDescent="0.3">
      <c r="A7" s="189" t="s">
        <v>258</v>
      </c>
      <c r="B7" s="190"/>
      <c r="C7" s="96" t="str">
        <f>C5</f>
        <v xml:space="preserve">Jason Grubb, President </v>
      </c>
    </row>
    <row r="8" spans="1:27" ht="33.75" hidden="1" customHeight="1" thickBot="1" x14ac:dyDescent="0.3">
      <c r="A8" s="189" t="s">
        <v>507</v>
      </c>
      <c r="B8" s="190"/>
      <c r="C8" s="96"/>
    </row>
    <row r="9" spans="1:27" ht="33.75" hidden="1" customHeight="1" thickBot="1" x14ac:dyDescent="0.3">
      <c r="A9" s="189" t="s">
        <v>508</v>
      </c>
      <c r="B9" s="190"/>
      <c r="C9" s="96"/>
    </row>
    <row r="10" spans="1:27" ht="71.25" customHeight="1" thickBot="1" x14ac:dyDescent="0.3">
      <c r="A10" s="189" t="s">
        <v>259</v>
      </c>
      <c r="B10" s="190"/>
      <c r="C10" s="96" t="s">
        <v>529</v>
      </c>
    </row>
    <row r="11" spans="1:27" ht="218.25" customHeight="1" thickBot="1" x14ac:dyDescent="0.3">
      <c r="A11" s="189" t="s">
        <v>260</v>
      </c>
      <c r="B11" s="190"/>
      <c r="C11" s="159" t="s">
        <v>729</v>
      </c>
    </row>
    <row r="12" spans="1:27" ht="33.75" customHeight="1" thickBot="1" x14ac:dyDescent="0.3">
      <c r="A12" s="189" t="s">
        <v>509</v>
      </c>
      <c r="B12" s="190"/>
      <c r="C12" s="96"/>
    </row>
    <row r="13" spans="1:27" ht="33.75" customHeight="1" thickBot="1" x14ac:dyDescent="0.3">
      <c r="A13" s="189" t="s">
        <v>261</v>
      </c>
      <c r="B13" s="190"/>
      <c r="C13" s="96" t="s">
        <v>693</v>
      </c>
    </row>
    <row r="14" spans="1:27" x14ac:dyDescent="0.25"/>
    <row r="15" spans="1:27" ht="15.75" thickBot="1" x14ac:dyDescent="0.3">
      <c r="A15" s="67" t="s">
        <v>486</v>
      </c>
      <c r="B15" s="191" t="s">
        <v>692</v>
      </c>
      <c r="C15" s="192"/>
    </row>
    <row r="16" spans="1:27" x14ac:dyDescent="0.25"/>
    <row r="17" spans="1:3" x14ac:dyDescent="0.25">
      <c r="A17" s="85" t="s">
        <v>510</v>
      </c>
      <c r="B17" s="47"/>
    </row>
    <row r="18" spans="1:3" x14ac:dyDescent="0.25"/>
    <row r="19" spans="1:3" x14ac:dyDescent="0.25">
      <c r="A19" s="48" t="s">
        <v>262</v>
      </c>
      <c r="B19" s="49"/>
      <c r="C19" s="50"/>
    </row>
    <row r="20" spans="1:3" ht="198.75" customHeight="1" x14ac:dyDescent="0.25">
      <c r="A20" s="193" t="s">
        <v>504</v>
      </c>
      <c r="B20" s="181"/>
      <c r="C20" s="194"/>
    </row>
  </sheetData>
  <sheetProtection formatRows="0"/>
  <mergeCells count="13">
    <mergeCell ref="A11:B11"/>
    <mergeCell ref="A12:B12"/>
    <mergeCell ref="A13:B13"/>
    <mergeCell ref="B15:C15"/>
    <mergeCell ref="A20:C20"/>
    <mergeCell ref="A10:B10"/>
    <mergeCell ref="A3:B3"/>
    <mergeCell ref="A4:B4"/>
    <mergeCell ref="A5:B5"/>
    <mergeCell ref="A6:B6"/>
    <mergeCell ref="A7:B7"/>
    <mergeCell ref="A8:B8"/>
    <mergeCell ref="A9:B9"/>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&amp;CSCUSA Auto Finance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20"/>
  <sheetViews>
    <sheetView topLeftCell="A13" zoomScale="80" zoomScaleNormal="80" zoomScaleSheetLayoutView="100" zoomScalePageLayoutView="40" workbookViewId="0">
      <selection activeCell="E2" sqref="E2"/>
    </sheetView>
  </sheetViews>
  <sheetFormatPr defaultColWidth="0" defaultRowHeight="408.75" customHeight="1" x14ac:dyDescent="0.25"/>
  <cols>
    <col min="1" max="1" width="130.42578125" style="51" customWidth="1"/>
    <col min="2" max="16384" width="2.140625" style="43" hidden="1"/>
  </cols>
  <sheetData>
    <row r="1" spans="1:27" ht="15.75" thickBot="1" x14ac:dyDescent="0.3">
      <c r="A1" s="71" t="s">
        <v>266</v>
      </c>
      <c r="AA1" s="43" t="s">
        <v>488</v>
      </c>
    </row>
    <row r="2" spans="1:27" ht="30" x14ac:dyDescent="0.25">
      <c r="A2" s="42" t="s">
        <v>516</v>
      </c>
    </row>
    <row r="3" spans="1:27" ht="128.25" customHeight="1" x14ac:dyDescent="0.25">
      <c r="A3" s="90" t="s">
        <v>727</v>
      </c>
    </row>
    <row r="4" spans="1:27" ht="15.75" thickBot="1" x14ac:dyDescent="0.3">
      <c r="A4" s="71" t="s">
        <v>263</v>
      </c>
    </row>
    <row r="5" spans="1:27" ht="75" x14ac:dyDescent="0.25">
      <c r="A5" s="42" t="s">
        <v>517</v>
      </c>
    </row>
    <row r="6" spans="1:27" ht="15" x14ac:dyDescent="0.25">
      <c r="A6" s="195" t="s">
        <v>730</v>
      </c>
    </row>
    <row r="7" spans="1:27" ht="408.75" customHeight="1" x14ac:dyDescent="0.25">
      <c r="A7" s="197"/>
    </row>
    <row r="8" spans="1:27" ht="408.75" customHeight="1" x14ac:dyDescent="0.25">
      <c r="A8" s="197"/>
    </row>
    <row r="9" spans="1:27" ht="79.5" customHeight="1" x14ac:dyDescent="0.25">
      <c r="A9" s="197"/>
    </row>
    <row r="10" spans="1:27" ht="18" customHeight="1" x14ac:dyDescent="0.25">
      <c r="A10" s="197"/>
    </row>
    <row r="11" spans="1:27" ht="15.75" thickBot="1" x14ac:dyDescent="0.3">
      <c r="A11" s="71" t="s">
        <v>264</v>
      </c>
    </row>
    <row r="12" spans="1:27" ht="150" x14ac:dyDescent="0.25">
      <c r="A12" s="42" t="s">
        <v>474</v>
      </c>
    </row>
    <row r="13" spans="1:27" ht="408" customHeight="1" x14ac:dyDescent="0.25">
      <c r="A13" s="195" t="s">
        <v>739</v>
      </c>
    </row>
    <row r="14" spans="1:27" ht="408" customHeight="1" x14ac:dyDescent="0.25">
      <c r="A14" s="196"/>
    </row>
    <row r="15" spans="1:27" ht="408" customHeight="1" x14ac:dyDescent="0.25">
      <c r="A15" s="196"/>
    </row>
    <row r="16" spans="1:27" ht="212.25" customHeight="1" x14ac:dyDescent="0.25">
      <c r="A16" s="197"/>
    </row>
    <row r="17" spans="1:1" ht="45.75" customHeight="1" thickBot="1" x14ac:dyDescent="0.3">
      <c r="A17" s="71" t="s">
        <v>265</v>
      </c>
    </row>
    <row r="18" spans="1:1" ht="135" x14ac:dyDescent="0.25">
      <c r="A18" s="42" t="s">
        <v>475</v>
      </c>
    </row>
    <row r="19" spans="1:1" ht="408.75" customHeight="1" x14ac:dyDescent="0.25">
      <c r="A19" s="196" t="s">
        <v>736</v>
      </c>
    </row>
    <row r="20" spans="1:1" ht="91.5" customHeight="1" x14ac:dyDescent="0.25">
      <c r="A20" s="198"/>
    </row>
  </sheetData>
  <sheetProtection formatCells="0" formatColumns="0" formatRows="0"/>
  <mergeCells count="3">
    <mergeCell ref="A13:A16"/>
    <mergeCell ref="A19:A20"/>
    <mergeCell ref="A6:A10"/>
  </mergeCells>
  <pageMargins left="0.25" right="0.25" top="0.75" bottom="0.75" header="0.3" footer="0.3"/>
  <pageSetup scale="78" fitToHeight="5" orientation="portrait" r:id="rId1"/>
  <headerFooter>
    <oddHeader>&amp;CSCUSA Auto Finance</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6"/>
  <sheetViews>
    <sheetView view="pageLayout" topLeftCell="A2" zoomScaleNormal="100" zoomScaleSheetLayoutView="100" workbookViewId="0">
      <selection activeCell="E2" sqref="E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530</v>
      </c>
      <c r="B1" s="56"/>
      <c r="C1" s="56"/>
      <c r="D1" s="56"/>
      <c r="E1" s="56"/>
      <c r="AA1" s="43" t="s">
        <v>488</v>
      </c>
    </row>
    <row r="2" spans="1:27" x14ac:dyDescent="0.25">
      <c r="A2" s="199" t="s">
        <v>272</v>
      </c>
      <c r="B2" s="200"/>
      <c r="C2" s="200"/>
      <c r="D2" s="200"/>
      <c r="E2" s="200"/>
      <c r="F2" s="200"/>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15.75" thickBot="1" x14ac:dyDescent="0.3">
      <c r="A5" s="102" t="s">
        <v>649</v>
      </c>
      <c r="B5" s="101"/>
      <c r="C5" s="103"/>
      <c r="D5" s="101"/>
      <c r="E5" s="101"/>
    </row>
    <row r="6" spans="1:27" ht="15.75" thickBot="1" x14ac:dyDescent="0.3">
      <c r="A6" s="102"/>
      <c r="B6" s="101"/>
      <c r="C6" s="103"/>
      <c r="D6" s="101"/>
      <c r="E6" s="101"/>
    </row>
    <row r="7" spans="1:27" ht="15.75" thickBot="1" x14ac:dyDescent="0.3">
      <c r="A7" s="102"/>
      <c r="B7" s="101"/>
      <c r="C7" s="103"/>
      <c r="D7" s="101"/>
      <c r="E7" s="101"/>
    </row>
    <row r="8" spans="1:27" ht="15.75" thickBot="1" x14ac:dyDescent="0.3">
      <c r="A8" s="102"/>
      <c r="B8" s="101"/>
      <c r="C8" s="103"/>
      <c r="D8" s="101"/>
      <c r="E8" s="101"/>
    </row>
    <row r="9" spans="1:27" ht="15.75" thickBot="1" x14ac:dyDescent="0.3">
      <c r="A9" s="102"/>
      <c r="B9" s="101"/>
      <c r="C9" s="103"/>
      <c r="D9" s="101"/>
      <c r="E9" s="101"/>
    </row>
    <row r="10" spans="1:27" ht="15.75" thickBot="1" x14ac:dyDescent="0.3">
      <c r="A10" s="102"/>
      <c r="B10" s="101"/>
      <c r="C10" s="101"/>
      <c r="D10" s="101"/>
      <c r="E10" s="101"/>
    </row>
    <row r="11" spans="1:27" ht="15.75" thickBot="1" x14ac:dyDescent="0.3">
      <c r="A11" s="102"/>
      <c r="B11" s="101"/>
      <c r="C11" s="101"/>
      <c r="D11" s="101"/>
      <c r="E11" s="101"/>
    </row>
    <row r="12" spans="1:27" ht="15.75" thickBot="1" x14ac:dyDescent="0.3">
      <c r="A12" s="102"/>
      <c r="B12" s="101"/>
      <c r="C12" s="101"/>
      <c r="D12" s="101"/>
      <c r="E12" s="101"/>
    </row>
    <row r="13" spans="1:27" ht="15.75" thickBot="1" x14ac:dyDescent="0.3">
      <c r="A13" s="102"/>
      <c r="B13" s="101"/>
      <c r="C13" s="101"/>
      <c r="D13" s="101"/>
      <c r="E13" s="101"/>
    </row>
    <row r="14" spans="1:27" x14ac:dyDescent="0.25">
      <c r="A14" s="44"/>
      <c r="B14"/>
      <c r="C14"/>
      <c r="D14"/>
      <c r="E14"/>
    </row>
    <row r="15" spans="1:27" ht="48.75" customHeight="1" x14ac:dyDescent="0.25">
      <c r="A15" s="199" t="s">
        <v>273</v>
      </c>
      <c r="B15" s="201"/>
      <c r="C15" s="201"/>
      <c r="D15" s="201"/>
      <c r="E15" s="201"/>
    </row>
    <row r="16" spans="1:27" ht="61.5" customHeight="1" x14ac:dyDescent="0.25">
      <c r="A16" s="202" t="s">
        <v>648</v>
      </c>
      <c r="B16" s="203"/>
      <c r="C16" s="203"/>
      <c r="D16" s="203"/>
      <c r="E16" s="204"/>
    </row>
  </sheetData>
  <sheetProtection formatCells="0" formatColumns="0" formatRows="0"/>
  <mergeCells count="3">
    <mergeCell ref="A2:F2"/>
    <mergeCell ref="A15:E15"/>
    <mergeCell ref="A16:E16"/>
  </mergeCells>
  <pageMargins left="0.25" right="0.25" top="0.75" bottom="0.75" header="0.3" footer="0.3"/>
  <pageSetup scale="78" fitToHeight="3" orientation="portrait" r:id="rId1"/>
  <headerFooter>
    <oddHeader>&amp;CSCUSA Auto Finance</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topLeftCell="A3" zoomScaleNormal="100" zoomScalePageLayoutView="80" workbookViewId="0">
      <selection activeCell="E2" sqref="E2"/>
    </sheetView>
  </sheetViews>
  <sheetFormatPr defaultColWidth="0" defaultRowHeight="15" zeroHeight="1" x14ac:dyDescent="0.25"/>
  <cols>
    <col min="1" max="1" width="146.7109375" style="88" customWidth="1"/>
    <col min="2" max="16384" width="2" style="43" hidden="1"/>
  </cols>
  <sheetData>
    <row r="1" spans="1:27" ht="21.75" customHeight="1" thickBot="1" x14ac:dyDescent="0.3">
      <c r="A1" s="71" t="s">
        <v>500</v>
      </c>
      <c r="AA1" s="43" t="s">
        <v>488</v>
      </c>
    </row>
    <row r="2" spans="1:27" ht="57" customHeight="1" x14ac:dyDescent="0.25">
      <c r="A2" s="42" t="s">
        <v>501</v>
      </c>
    </row>
    <row r="3" spans="1:27" ht="409.5" customHeight="1" x14ac:dyDescent="0.25">
      <c r="A3" s="195" t="s">
        <v>731</v>
      </c>
    </row>
    <row r="4" spans="1:27" ht="375.75" customHeight="1" x14ac:dyDescent="0.25">
      <c r="A4" s="205"/>
    </row>
    <row r="5" spans="1:27" x14ac:dyDescent="0.25">
      <c r="A5" s="92"/>
    </row>
    <row r="6" spans="1:27" x14ac:dyDescent="0.25">
      <c r="A6" s="92"/>
    </row>
    <row r="7" spans="1:27" ht="27.75" customHeight="1" x14ac:dyDescent="0.25">
      <c r="A7" s="91"/>
    </row>
    <row r="8" spans="1:27" ht="21.75" customHeight="1" x14ac:dyDescent="0.25">
      <c r="A8" s="92"/>
    </row>
    <row r="9" spans="1:27" ht="20.25" customHeight="1" x14ac:dyDescent="0.25">
      <c r="A9" s="92"/>
    </row>
    <row r="10" spans="1:27" ht="24.75" customHeight="1" x14ac:dyDescent="0.25">
      <c r="A10" s="91"/>
    </row>
    <row r="11" spans="1:27" ht="22.5" customHeight="1" x14ac:dyDescent="0.25">
      <c r="A11" s="92"/>
    </row>
    <row r="12" spans="1:27" ht="20.25" customHeight="1" x14ac:dyDescent="0.25">
      <c r="A12" s="92"/>
    </row>
  </sheetData>
  <sheetProtection formatCells="0" formatColumns="0" formatRows="0"/>
  <mergeCells count="1">
    <mergeCell ref="A3:A4"/>
  </mergeCells>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36"/>
  <sheetViews>
    <sheetView view="pageLayout" zoomScaleNormal="100" workbookViewId="0">
      <selection activeCell="E2" sqref="E2"/>
    </sheetView>
  </sheetViews>
  <sheetFormatPr defaultColWidth="0" defaultRowHeight="15" zeroHeight="1" x14ac:dyDescent="0.25"/>
  <cols>
    <col min="1" max="2" width="10.28515625" style="43" customWidth="1"/>
    <col min="3" max="3" width="15.140625" style="43" customWidth="1"/>
    <col min="4" max="4" width="70.7109375" style="43" customWidth="1"/>
    <col min="5" max="16384" width="2.5703125" style="43" hidden="1"/>
  </cols>
  <sheetData>
    <row r="1" spans="1:27" ht="15.75" thickBot="1" x14ac:dyDescent="0.3">
      <c r="A1" s="57" t="s">
        <v>489</v>
      </c>
      <c r="B1" s="56"/>
      <c r="C1" s="56"/>
      <c r="D1" s="56"/>
      <c r="AA1" s="43" t="s">
        <v>488</v>
      </c>
    </row>
    <row r="2" spans="1:27" x14ac:dyDescent="0.25">
      <c r="A2" s="214" t="s">
        <v>279</v>
      </c>
      <c r="B2" s="215"/>
      <c r="C2" s="215"/>
      <c r="D2" s="215"/>
    </row>
    <row r="3" spans="1:27" x14ac:dyDescent="0.25"/>
    <row r="4" spans="1:27" ht="38.25" x14ac:dyDescent="0.25">
      <c r="A4" s="61" t="s">
        <v>274</v>
      </c>
      <c r="B4" s="61" t="s">
        <v>275</v>
      </c>
      <c r="C4" s="61" t="s">
        <v>276</v>
      </c>
      <c r="D4" s="61" t="s">
        <v>277</v>
      </c>
    </row>
    <row r="5" spans="1:27" ht="306" x14ac:dyDescent="0.25">
      <c r="A5" s="109">
        <v>0</v>
      </c>
      <c r="B5" s="107"/>
      <c r="C5" s="107" t="s">
        <v>531</v>
      </c>
      <c r="D5" s="107" t="s">
        <v>706</v>
      </c>
    </row>
    <row r="6" spans="1:27" ht="344.25" x14ac:dyDescent="0.25">
      <c r="A6" s="109" t="s">
        <v>532</v>
      </c>
      <c r="B6" s="107"/>
      <c r="C6" s="107" t="s">
        <v>533</v>
      </c>
      <c r="D6" s="107" t="s">
        <v>534</v>
      </c>
    </row>
    <row r="7" spans="1:27" ht="409.5" x14ac:dyDescent="0.25">
      <c r="A7" s="109" t="s">
        <v>535</v>
      </c>
      <c r="B7" s="107"/>
      <c r="C7" s="107" t="s">
        <v>536</v>
      </c>
      <c r="D7" s="107" t="s">
        <v>707</v>
      </c>
    </row>
    <row r="8" spans="1:27" ht="409.5" x14ac:dyDescent="0.25">
      <c r="A8" s="109" t="s">
        <v>537</v>
      </c>
      <c r="B8" s="107"/>
      <c r="C8" s="107" t="s">
        <v>538</v>
      </c>
      <c r="D8" s="107" t="s">
        <v>539</v>
      </c>
    </row>
    <row r="9" spans="1:27" ht="306" x14ac:dyDescent="0.25">
      <c r="A9" s="109" t="s">
        <v>540</v>
      </c>
      <c r="B9" s="107"/>
      <c r="C9" s="107" t="s">
        <v>541</v>
      </c>
      <c r="D9" s="107" t="s">
        <v>542</v>
      </c>
    </row>
    <row r="10" spans="1:27" ht="229.5" x14ac:dyDescent="0.25">
      <c r="A10" s="109" t="s">
        <v>543</v>
      </c>
      <c r="B10" s="107"/>
      <c r="C10" s="107" t="s">
        <v>544</v>
      </c>
      <c r="D10" s="107" t="s">
        <v>545</v>
      </c>
    </row>
    <row r="11" spans="1:27" ht="140.25" x14ac:dyDescent="0.25">
      <c r="A11" s="109" t="s">
        <v>546</v>
      </c>
      <c r="B11" s="107"/>
      <c r="C11" s="107" t="s">
        <v>547</v>
      </c>
      <c r="D11" s="107" t="s">
        <v>555</v>
      </c>
    </row>
    <row r="12" spans="1:27" ht="165.75" x14ac:dyDescent="0.25">
      <c r="A12" s="109" t="s">
        <v>546</v>
      </c>
      <c r="B12" s="107"/>
      <c r="C12" s="107" t="s">
        <v>548</v>
      </c>
      <c r="D12" s="107" t="s">
        <v>556</v>
      </c>
    </row>
    <row r="13" spans="1:27" ht="165.75" x14ac:dyDescent="0.25">
      <c r="A13" s="109" t="s">
        <v>546</v>
      </c>
      <c r="B13" s="107"/>
      <c r="C13" s="107" t="s">
        <v>549</v>
      </c>
      <c r="D13" s="107" t="s">
        <v>557</v>
      </c>
    </row>
    <row r="14" spans="1:27" ht="153" x14ac:dyDescent="0.25">
      <c r="A14" s="109" t="s">
        <v>550</v>
      </c>
      <c r="B14" s="110"/>
      <c r="C14" s="108" t="s">
        <v>551</v>
      </c>
      <c r="D14" s="107" t="s">
        <v>552</v>
      </c>
    </row>
    <row r="15" spans="1:27" ht="242.25" x14ac:dyDescent="0.25">
      <c r="A15" s="109" t="s">
        <v>553</v>
      </c>
      <c r="B15" s="107"/>
      <c r="C15" s="107" t="s">
        <v>554</v>
      </c>
      <c r="D15" s="107" t="s">
        <v>708</v>
      </c>
    </row>
    <row r="16" spans="1:27" x14ac:dyDescent="0.25">
      <c r="A16" s="111"/>
      <c r="B16" s="107"/>
      <c r="C16" s="107"/>
      <c r="D16" s="107"/>
    </row>
    <row r="17" spans="1:4" x14ac:dyDescent="0.25"/>
    <row r="18" spans="1:4" x14ac:dyDescent="0.25">
      <c r="A18" s="43" t="s">
        <v>278</v>
      </c>
    </row>
    <row r="19" spans="1:4" ht="201.75" customHeight="1" x14ac:dyDescent="0.25">
      <c r="A19" s="202" t="s">
        <v>558</v>
      </c>
      <c r="B19" s="212"/>
      <c r="C19" s="212"/>
      <c r="D19" s="213"/>
    </row>
    <row r="20" spans="1:4" ht="20.25" customHeight="1" x14ac:dyDescent="0.25">
      <c r="A20" s="58"/>
      <c r="B20" s="33"/>
      <c r="C20" s="33"/>
      <c r="D20" s="33"/>
    </row>
    <row r="21" spans="1:4" ht="20.25" customHeight="1" thickBot="1" x14ac:dyDescent="0.3">
      <c r="A21" s="100" t="s">
        <v>490</v>
      </c>
      <c r="B21" s="62"/>
      <c r="C21" s="62"/>
      <c r="D21" s="62"/>
    </row>
    <row r="22" spans="1:4" x14ac:dyDescent="0.25">
      <c r="A22" s="63" t="s">
        <v>491</v>
      </c>
      <c r="B22" s="64"/>
      <c r="C22" s="64"/>
      <c r="D22" s="64"/>
    </row>
    <row r="23" spans="1:4" ht="49.5" customHeight="1" x14ac:dyDescent="0.25">
      <c r="A23" s="216" t="s">
        <v>280</v>
      </c>
      <c r="B23" s="178"/>
      <c r="C23" s="178"/>
      <c r="D23" s="178"/>
    </row>
    <row r="24" spans="1:4" x14ac:dyDescent="0.25">
      <c r="A24" s="61" t="s">
        <v>3</v>
      </c>
      <c r="B24" s="217" t="s">
        <v>281</v>
      </c>
      <c r="C24" s="218"/>
      <c r="D24" s="218"/>
    </row>
    <row r="25" spans="1:4" ht="25.5" x14ac:dyDescent="0.25">
      <c r="A25" s="60" t="s">
        <v>31</v>
      </c>
      <c r="B25" s="206" t="s">
        <v>698</v>
      </c>
      <c r="C25" s="207"/>
      <c r="D25" s="208"/>
    </row>
    <row r="26" spans="1:4" x14ac:dyDescent="0.25">
      <c r="A26" s="59" t="s">
        <v>13</v>
      </c>
      <c r="B26" s="219" t="s">
        <v>695</v>
      </c>
      <c r="C26" s="220"/>
      <c r="D26" s="220"/>
    </row>
    <row r="27" spans="1:4" x14ac:dyDescent="0.25">
      <c r="A27" s="59" t="s">
        <v>15</v>
      </c>
      <c r="B27" s="219" t="s">
        <v>696</v>
      </c>
      <c r="C27" s="220"/>
      <c r="D27" s="220"/>
    </row>
    <row r="28" spans="1:4" x14ac:dyDescent="0.25">
      <c r="A28" s="59" t="s">
        <v>11</v>
      </c>
      <c r="B28" s="219" t="s">
        <v>697</v>
      </c>
      <c r="C28" s="220"/>
      <c r="D28" s="220"/>
    </row>
    <row r="29" spans="1:4" x14ac:dyDescent="0.25">
      <c r="A29" s="59" t="s">
        <v>282</v>
      </c>
      <c r="B29" s="219" t="s">
        <v>699</v>
      </c>
      <c r="C29" s="220"/>
      <c r="D29" s="220"/>
    </row>
    <row r="30" spans="1:4" ht="25.5" x14ac:dyDescent="0.25">
      <c r="A30" s="59" t="s">
        <v>25</v>
      </c>
      <c r="B30" s="209" t="s">
        <v>700</v>
      </c>
      <c r="C30" s="210"/>
      <c r="D30" s="211"/>
    </row>
    <row r="31" spans="1:4" x14ac:dyDescent="0.25">
      <c r="A31" s="59" t="s">
        <v>17</v>
      </c>
      <c r="B31" s="219" t="s">
        <v>701</v>
      </c>
      <c r="C31" s="220"/>
      <c r="D31" s="220"/>
    </row>
    <row r="32" spans="1:4" x14ac:dyDescent="0.25">
      <c r="A32" s="59" t="s">
        <v>9</v>
      </c>
      <c r="B32" s="219" t="s">
        <v>694</v>
      </c>
      <c r="C32" s="220"/>
      <c r="D32" s="220"/>
    </row>
    <row r="33" spans="1:4" x14ac:dyDescent="0.25"/>
    <row r="34" spans="1:4" ht="15.75" x14ac:dyDescent="0.25">
      <c r="A34" s="98" t="s">
        <v>492</v>
      </c>
    </row>
    <row r="35" spans="1:4" x14ac:dyDescent="0.25">
      <c r="A35" s="99" t="s">
        <v>283</v>
      </c>
    </row>
    <row r="36" spans="1:4" ht="66.75" customHeight="1" x14ac:dyDescent="0.25">
      <c r="A36" s="221" t="s">
        <v>702</v>
      </c>
      <c r="B36" s="222"/>
      <c r="C36" s="222"/>
      <c r="D36" s="223"/>
    </row>
  </sheetData>
  <sheetProtection formatCells="0" formatColumns="0" formatRows="0"/>
  <mergeCells count="13">
    <mergeCell ref="A36:D36"/>
    <mergeCell ref="B28:D28"/>
    <mergeCell ref="B29:D29"/>
    <mergeCell ref="B31:D31"/>
    <mergeCell ref="B32:D32"/>
    <mergeCell ref="B25:D25"/>
    <mergeCell ref="B30:D30"/>
    <mergeCell ref="A19:D19"/>
    <mergeCell ref="A2:D2"/>
    <mergeCell ref="A23:D23"/>
    <mergeCell ref="B24:D24"/>
    <mergeCell ref="B26:D26"/>
    <mergeCell ref="B27:D27"/>
  </mergeCells>
  <pageMargins left="0.2" right="0.2" top="0.75" bottom="0.75" header="0.3" footer="0.3"/>
  <pageSetup scale="95" fitToHeight="200" orientation="portrait" r:id="rId1"/>
  <headerFooter>
    <oddHeader>&amp;CSCUSA Auto Finance</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104"/>
  <sheetViews>
    <sheetView view="pageLayout" zoomScaleNormal="100" workbookViewId="0">
      <selection activeCell="E2" sqref="E2"/>
    </sheetView>
  </sheetViews>
  <sheetFormatPr defaultColWidth="0" defaultRowHeight="15" zeroHeight="1" x14ac:dyDescent="0.25"/>
  <cols>
    <col min="1" max="1" width="16.28515625" style="43" customWidth="1"/>
    <col min="2" max="2" width="28.710937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1" s="162"/>
      <c r="B1" s="162"/>
      <c r="C1" s="162"/>
      <c r="D1" s="162"/>
      <c r="E1" s="162"/>
      <c r="F1" s="162"/>
      <c r="AA1" s="43" t="s">
        <v>488</v>
      </c>
    </row>
    <row r="2" spans="1:27" ht="15.75" thickBot="1" x14ac:dyDescent="0.3">
      <c r="A2" s="163" t="s">
        <v>737</v>
      </c>
      <c r="B2" s="164"/>
      <c r="C2" s="164"/>
      <c r="D2" s="164"/>
      <c r="E2" s="164"/>
      <c r="F2" s="164"/>
    </row>
    <row r="3" spans="1:27" x14ac:dyDescent="0.25">
      <c r="A3" s="162" t="s">
        <v>519</v>
      </c>
      <c r="B3" s="162"/>
      <c r="C3" s="162"/>
      <c r="D3" s="162"/>
      <c r="E3" s="162"/>
      <c r="F3" s="162"/>
    </row>
    <row r="4" spans="1:27" x14ac:dyDescent="0.25">
      <c r="A4" s="165" t="s">
        <v>284</v>
      </c>
      <c r="B4" s="165" t="s">
        <v>285</v>
      </c>
      <c r="C4" s="165" t="s">
        <v>286</v>
      </c>
      <c r="D4" s="165" t="s">
        <v>287</v>
      </c>
      <c r="E4" s="165" t="s">
        <v>288</v>
      </c>
      <c r="F4" s="165" t="s">
        <v>270</v>
      </c>
    </row>
    <row r="5" spans="1:27" ht="67.5" x14ac:dyDescent="0.25">
      <c r="A5" s="155" t="s">
        <v>668</v>
      </c>
      <c r="B5" s="156" t="s">
        <v>669</v>
      </c>
      <c r="C5" s="157" t="s">
        <v>664</v>
      </c>
      <c r="D5" s="155" t="s">
        <v>667</v>
      </c>
      <c r="E5" s="158">
        <v>42124</v>
      </c>
      <c r="F5" s="156" t="s">
        <v>665</v>
      </c>
    </row>
    <row r="6" spans="1:27" ht="78.75" x14ac:dyDescent="0.25">
      <c r="A6" s="155" t="s">
        <v>670</v>
      </c>
      <c r="B6" s="156" t="s">
        <v>671</v>
      </c>
      <c r="C6" s="157" t="s">
        <v>672</v>
      </c>
      <c r="D6" s="155" t="s">
        <v>673</v>
      </c>
      <c r="E6" s="158">
        <v>42155</v>
      </c>
      <c r="F6" s="156" t="s">
        <v>674</v>
      </c>
    </row>
    <row r="7" spans="1:27" ht="90" x14ac:dyDescent="0.25">
      <c r="A7" s="155" t="s">
        <v>670</v>
      </c>
      <c r="B7" s="156" t="s">
        <v>675</v>
      </c>
      <c r="C7" s="157" t="s">
        <v>664</v>
      </c>
      <c r="D7" s="155" t="s">
        <v>673</v>
      </c>
      <c r="E7" s="158">
        <v>42155</v>
      </c>
      <c r="F7" s="156" t="s">
        <v>665</v>
      </c>
    </row>
    <row r="8" spans="1:27" ht="90" x14ac:dyDescent="0.25">
      <c r="A8" s="155" t="s">
        <v>670</v>
      </c>
      <c r="B8" s="156" t="s">
        <v>676</v>
      </c>
      <c r="C8" s="157" t="s">
        <v>664</v>
      </c>
      <c r="D8" s="155" t="s">
        <v>673</v>
      </c>
      <c r="E8" s="158">
        <v>42155</v>
      </c>
      <c r="F8" s="156" t="s">
        <v>665</v>
      </c>
    </row>
    <row r="9" spans="1:27" ht="56.25" x14ac:dyDescent="0.25">
      <c r="A9" s="155" t="s">
        <v>670</v>
      </c>
      <c r="B9" s="156" t="s">
        <v>709</v>
      </c>
      <c r="C9" s="157" t="s">
        <v>664</v>
      </c>
      <c r="D9" s="155" t="s">
        <v>673</v>
      </c>
      <c r="E9" s="158">
        <v>42155</v>
      </c>
      <c r="F9" s="156" t="s">
        <v>665</v>
      </c>
    </row>
    <row r="10" spans="1:27" ht="45" x14ac:dyDescent="0.25">
      <c r="A10" s="155" t="s">
        <v>668</v>
      </c>
      <c r="B10" s="156" t="s">
        <v>677</v>
      </c>
      <c r="C10" s="157" t="s">
        <v>664</v>
      </c>
      <c r="D10" s="155" t="s">
        <v>678</v>
      </c>
      <c r="E10" s="158">
        <v>42004</v>
      </c>
      <c r="F10" s="156" t="s">
        <v>665</v>
      </c>
    </row>
    <row r="11" spans="1:27" ht="168.75" x14ac:dyDescent="0.25">
      <c r="A11" s="155" t="s">
        <v>668</v>
      </c>
      <c r="B11" s="156" t="s">
        <v>738</v>
      </c>
      <c r="C11" s="157" t="s">
        <v>664</v>
      </c>
      <c r="D11" s="155" t="s">
        <v>678</v>
      </c>
      <c r="E11" s="158">
        <v>42004</v>
      </c>
      <c r="F11" s="156" t="s">
        <v>665</v>
      </c>
    </row>
    <row r="12" spans="1:27" ht="56.25" x14ac:dyDescent="0.25">
      <c r="A12" s="155" t="s">
        <v>668</v>
      </c>
      <c r="B12" s="156" t="s">
        <v>679</v>
      </c>
      <c r="C12" s="157" t="s">
        <v>664</v>
      </c>
      <c r="D12" s="155" t="s">
        <v>678</v>
      </c>
      <c r="E12" s="158">
        <v>42004</v>
      </c>
      <c r="F12" s="156" t="s">
        <v>665</v>
      </c>
    </row>
    <row r="13" spans="1:27" ht="180" x14ac:dyDescent="0.25">
      <c r="A13" s="155" t="s">
        <v>668</v>
      </c>
      <c r="B13" s="156" t="s">
        <v>680</v>
      </c>
      <c r="C13" s="157" t="s">
        <v>664</v>
      </c>
      <c r="D13" s="155" t="s">
        <v>681</v>
      </c>
      <c r="E13" s="158">
        <v>42124</v>
      </c>
      <c r="F13" s="156" t="s">
        <v>665</v>
      </c>
    </row>
    <row r="14" spans="1:27" ht="168.75" x14ac:dyDescent="0.25">
      <c r="A14" s="155" t="s">
        <v>668</v>
      </c>
      <c r="B14" s="156" t="s">
        <v>682</v>
      </c>
      <c r="C14" s="157" t="s">
        <v>664</v>
      </c>
      <c r="D14" s="155" t="s">
        <v>681</v>
      </c>
      <c r="E14" s="158">
        <v>42124</v>
      </c>
      <c r="F14" s="156" t="s">
        <v>665</v>
      </c>
    </row>
    <row r="15" spans="1:27" ht="90" x14ac:dyDescent="0.25">
      <c r="A15" s="155" t="s">
        <v>668</v>
      </c>
      <c r="B15" s="156" t="s">
        <v>683</v>
      </c>
      <c r="C15" s="157" t="s">
        <v>664</v>
      </c>
      <c r="D15" s="155" t="s">
        <v>681</v>
      </c>
      <c r="E15" s="158">
        <v>42124</v>
      </c>
      <c r="F15" s="156" t="s">
        <v>665</v>
      </c>
    </row>
    <row r="16" spans="1:27" ht="78.75" x14ac:dyDescent="0.25">
      <c r="A16" s="155" t="s">
        <v>670</v>
      </c>
      <c r="B16" s="156" t="s">
        <v>684</v>
      </c>
      <c r="C16" s="157" t="s">
        <v>664</v>
      </c>
      <c r="D16" s="155" t="s">
        <v>666</v>
      </c>
      <c r="E16" s="158">
        <v>42124</v>
      </c>
      <c r="F16" s="156" t="s">
        <v>665</v>
      </c>
    </row>
    <row r="17" spans="1:6" ht="157.5" x14ac:dyDescent="0.25">
      <c r="A17" s="155" t="s">
        <v>670</v>
      </c>
      <c r="B17" s="156" t="s">
        <v>685</v>
      </c>
      <c r="C17" s="157" t="s">
        <v>664</v>
      </c>
      <c r="D17" s="155" t="s">
        <v>666</v>
      </c>
      <c r="E17" s="158">
        <v>42124</v>
      </c>
      <c r="F17" s="156" t="s">
        <v>665</v>
      </c>
    </row>
    <row r="18" spans="1:6" x14ac:dyDescent="0.25"/>
    <row r="19" spans="1:6" x14ac:dyDescent="0.25"/>
    <row r="20" spans="1:6" x14ac:dyDescent="0.25"/>
    <row r="21" spans="1:6" x14ac:dyDescent="0.25">
      <c r="A21" s="89" t="s">
        <v>690</v>
      </c>
      <c r="B21" s="89"/>
      <c r="C21" s="89"/>
      <c r="D21" s="89"/>
      <c r="E21" s="89"/>
      <c r="F21" s="89"/>
    </row>
    <row r="22" spans="1:6" x14ac:dyDescent="0.25">
      <c r="A22" s="224" t="s">
        <v>703</v>
      </c>
      <c r="B22" s="225"/>
      <c r="C22" s="225"/>
      <c r="D22" s="225"/>
      <c r="E22" s="226"/>
      <c r="F22" s="227"/>
    </row>
    <row r="23" spans="1:6" x14ac:dyDescent="0.25">
      <c r="A23" s="228"/>
      <c r="B23" s="229"/>
      <c r="C23" s="229"/>
      <c r="D23" s="229"/>
      <c r="E23" s="229"/>
      <c r="F23" s="230"/>
    </row>
    <row r="24" spans="1:6" x14ac:dyDescent="0.25"/>
    <row r="25" spans="1:6" x14ac:dyDescent="0.25"/>
    <row r="26" spans="1:6" x14ac:dyDescent="0.25"/>
    <row r="27" spans="1:6" x14ac:dyDescent="0.25"/>
    <row r="28" spans="1:6" x14ac:dyDescent="0.25"/>
    <row r="29" spans="1:6" x14ac:dyDescent="0.25"/>
    <row r="30" spans="1:6" x14ac:dyDescent="0.25"/>
    <row r="31" spans="1:6" x14ac:dyDescent="0.25"/>
    <row r="32" spans="1:6"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sheetProtection formatCells="0" formatColumns="0" formatRows="0"/>
  <mergeCells count="1">
    <mergeCell ref="A22:F23"/>
  </mergeCells>
  <pageMargins left="0.25" right="0.25" top="0.75" bottom="0.75" header="0.3" footer="0.3"/>
  <pageSetup scale="78" fitToHeight="2" orientation="portrait" r:id="rId1"/>
  <headerFooter>
    <oddHeader>&amp;CSCUSA Auto Finance</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6"/>
  <sheetViews>
    <sheetView topLeftCell="A40" zoomScale="90" zoomScaleNormal="90" zoomScalePageLayoutView="70" workbookViewId="0">
      <selection activeCell="E2" sqref="E2"/>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3" t="s">
        <v>502</v>
      </c>
      <c r="B1" s="56"/>
      <c r="C1" s="56"/>
      <c r="AA1" s="43" t="s">
        <v>488</v>
      </c>
    </row>
    <row r="2" spans="1:27" x14ac:dyDescent="0.25">
      <c r="A2" s="67" t="s">
        <v>493</v>
      </c>
    </row>
    <row r="3" spans="1:27" ht="51" customHeight="1" thickBot="1" x14ac:dyDescent="0.3">
      <c r="A3" s="233" t="s">
        <v>289</v>
      </c>
      <c r="B3" s="234"/>
      <c r="C3" s="234"/>
    </row>
    <row r="4" spans="1:27" ht="15.75" thickBot="1" x14ac:dyDescent="0.3">
      <c r="A4" s="65" t="s">
        <v>3</v>
      </c>
      <c r="B4" s="66" t="s">
        <v>290</v>
      </c>
      <c r="C4" s="66" t="s">
        <v>291</v>
      </c>
    </row>
    <row r="5" spans="1:27" ht="16.5" thickBot="1" x14ac:dyDescent="0.3">
      <c r="A5" s="68" t="s">
        <v>39</v>
      </c>
      <c r="B5" s="101"/>
      <c r="C5" s="101"/>
    </row>
    <row r="6" spans="1:27" ht="16.5" thickBot="1" x14ac:dyDescent="0.3">
      <c r="A6" s="68" t="s">
        <v>38</v>
      </c>
      <c r="B6" s="101"/>
      <c r="C6" s="101"/>
    </row>
    <row r="7" spans="1:27" ht="16.5" thickBot="1" x14ac:dyDescent="0.3">
      <c r="A7" s="68" t="s">
        <v>37</v>
      </c>
      <c r="B7" s="101"/>
      <c r="C7" s="101"/>
    </row>
    <row r="8" spans="1:27" ht="16.5" thickBot="1" x14ac:dyDescent="0.3">
      <c r="A8" s="68" t="s">
        <v>34</v>
      </c>
      <c r="B8" s="101"/>
      <c r="C8" s="101"/>
    </row>
    <row r="9" spans="1:27" ht="16.5" thickBot="1" x14ac:dyDescent="0.3">
      <c r="A9" s="68" t="s">
        <v>33</v>
      </c>
      <c r="B9" s="101"/>
      <c r="C9" s="101"/>
    </row>
    <row r="10" spans="1:27" ht="16.5" thickBot="1" x14ac:dyDescent="0.3">
      <c r="A10" s="68" t="s">
        <v>32</v>
      </c>
      <c r="B10" s="101"/>
      <c r="C10" s="101"/>
    </row>
    <row r="11" spans="1:27" ht="16.5" thickBot="1" x14ac:dyDescent="0.3">
      <c r="A11" s="68" t="s">
        <v>30</v>
      </c>
      <c r="B11" s="101"/>
      <c r="C11" s="101"/>
    </row>
    <row r="12" spans="1:27" x14ac:dyDescent="0.25"/>
    <row r="13" spans="1:27" x14ac:dyDescent="0.25">
      <c r="A13" s="43" t="s">
        <v>292</v>
      </c>
    </row>
    <row r="14" spans="1:27" ht="409.5" customHeight="1" x14ac:dyDescent="0.25">
      <c r="A14" s="225" t="s">
        <v>650</v>
      </c>
      <c r="B14" s="235"/>
      <c r="C14" s="235"/>
    </row>
    <row r="15" spans="1:27" ht="264" customHeight="1" x14ac:dyDescent="0.25">
      <c r="A15" s="236"/>
      <c r="B15" s="236"/>
      <c r="C15" s="236"/>
    </row>
    <row r="16" spans="1:27" x14ac:dyDescent="0.25">
      <c r="A16" s="67" t="s">
        <v>494</v>
      </c>
    </row>
    <row r="17" spans="1:3" x14ac:dyDescent="0.25">
      <c r="A17" s="43" t="s">
        <v>293</v>
      </c>
    </row>
    <row r="18" spans="1:3" ht="80.25" customHeight="1" x14ac:dyDescent="0.25">
      <c r="A18" s="202" t="s">
        <v>527</v>
      </c>
      <c r="B18" s="231"/>
      <c r="C18" s="232"/>
    </row>
    <row r="19" spans="1:3" x14ac:dyDescent="0.25"/>
    <row r="20" spans="1:3" x14ac:dyDescent="0.25">
      <c r="A20" s="67" t="s">
        <v>495</v>
      </c>
    </row>
    <row r="21" spans="1:3" x14ac:dyDescent="0.25">
      <c r="A21" s="43" t="s">
        <v>294</v>
      </c>
    </row>
    <row r="22" spans="1:3" ht="409.5" customHeight="1" x14ac:dyDescent="0.25">
      <c r="A22" s="225" t="s">
        <v>732</v>
      </c>
      <c r="B22" s="235"/>
      <c r="C22" s="235"/>
    </row>
    <row r="23" spans="1:3" ht="120.75" customHeight="1" x14ac:dyDescent="0.25">
      <c r="A23" s="236"/>
      <c r="B23" s="236"/>
      <c r="C23" s="236"/>
    </row>
    <row r="24" spans="1:3" x14ac:dyDescent="0.25">
      <c r="A24" s="67" t="s">
        <v>496</v>
      </c>
    </row>
    <row r="25" spans="1:3" x14ac:dyDescent="0.25">
      <c r="A25" s="43" t="s">
        <v>293</v>
      </c>
    </row>
    <row r="26" spans="1:3" ht="66" customHeight="1" x14ac:dyDescent="0.25">
      <c r="A26" s="202" t="s">
        <v>728</v>
      </c>
      <c r="B26" s="231"/>
      <c r="C26" s="232"/>
    </row>
    <row r="27" spans="1:3" x14ac:dyDescent="0.25"/>
    <row r="28" spans="1:3" x14ac:dyDescent="0.25">
      <c r="A28" s="67" t="s">
        <v>497</v>
      </c>
    </row>
    <row r="29" spans="1:3" x14ac:dyDescent="0.25">
      <c r="A29" s="43" t="s">
        <v>295</v>
      </c>
    </row>
    <row r="30" spans="1:3" ht="38.25" customHeight="1" x14ac:dyDescent="0.25">
      <c r="A30" s="225" t="s">
        <v>642</v>
      </c>
      <c r="B30" s="235"/>
      <c r="C30" s="235"/>
    </row>
    <row r="31" spans="1:3" ht="85.5" customHeight="1" x14ac:dyDescent="0.25">
      <c r="A31" s="236"/>
      <c r="B31" s="236"/>
      <c r="C31" s="236"/>
    </row>
    <row r="32" spans="1:3" x14ac:dyDescent="0.25">
      <c r="A32" s="67" t="s">
        <v>498</v>
      </c>
    </row>
    <row r="33" spans="1:3" x14ac:dyDescent="0.25">
      <c r="A33" s="43" t="s">
        <v>296</v>
      </c>
    </row>
    <row r="34" spans="1:3" ht="42.75" customHeight="1" x14ac:dyDescent="0.25">
      <c r="A34" s="202" t="s">
        <v>733</v>
      </c>
      <c r="B34" s="231"/>
      <c r="C34" s="232"/>
    </row>
    <row r="35" spans="1:3" x14ac:dyDescent="0.25"/>
    <row r="36" spans="1:3" x14ac:dyDescent="0.25">
      <c r="A36" s="67" t="s">
        <v>523</v>
      </c>
    </row>
    <row r="37" spans="1:3" x14ac:dyDescent="0.25">
      <c r="A37" s="43" t="s">
        <v>524</v>
      </c>
    </row>
    <row r="38" spans="1:3" ht="321.75" customHeight="1" x14ac:dyDescent="0.25">
      <c r="A38" s="202" t="s">
        <v>705</v>
      </c>
      <c r="B38" s="231"/>
      <c r="C38" s="232"/>
    </row>
    <row r="39" spans="1:3" x14ac:dyDescent="0.25"/>
    <row r="40" spans="1:3" x14ac:dyDescent="0.25">
      <c r="A40" s="67" t="s">
        <v>525</v>
      </c>
    </row>
    <row r="41" spans="1:3" x14ac:dyDescent="0.25">
      <c r="A41" s="43" t="s">
        <v>297</v>
      </c>
    </row>
    <row r="42" spans="1:3" ht="57.75" customHeight="1" x14ac:dyDescent="0.25">
      <c r="A42" s="202" t="s">
        <v>704</v>
      </c>
      <c r="B42" s="231"/>
      <c r="C42" s="232"/>
    </row>
    <row r="43" spans="1:3" x14ac:dyDescent="0.25">
      <c r="A43" s="89"/>
      <c r="B43" s="89"/>
      <c r="C43" s="89"/>
    </row>
    <row r="44" spans="1:3" x14ac:dyDescent="0.25">
      <c r="A44" s="89"/>
      <c r="B44" s="89"/>
      <c r="C44" s="89"/>
    </row>
    <row r="45" spans="1:3" x14ac:dyDescent="0.25">
      <c r="A45" s="89"/>
      <c r="B45" s="89"/>
      <c r="C45" s="89"/>
    </row>
    <row r="46" spans="1:3" x14ac:dyDescent="0.25">
      <c r="A46" s="89"/>
      <c r="B46" s="89"/>
      <c r="C46" s="89"/>
    </row>
  </sheetData>
  <sheetProtection formatCells="0" formatColumns="0" formatRows="0"/>
  <mergeCells count="9">
    <mergeCell ref="A34:C34"/>
    <mergeCell ref="A42:C42"/>
    <mergeCell ref="A3:C3"/>
    <mergeCell ref="A18:C18"/>
    <mergeCell ref="A26:C26"/>
    <mergeCell ref="A38:C38"/>
    <mergeCell ref="A14:C15"/>
    <mergeCell ref="A22:C23"/>
    <mergeCell ref="A30:C31"/>
  </mergeCells>
  <pageMargins left="0.2" right="0.2" top="0.5" bottom="0.5" header="0.3" footer="0.3"/>
  <pageSetup scale="78" fitToHeight="7" orientation="portrait" r:id="rId1"/>
  <headerFooter>
    <oddHeader>&amp;CSCUSA Auto Finance</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M81"/>
  <sheetViews>
    <sheetView view="pageLayout" zoomScale="80" zoomScaleNormal="100" zoomScalePageLayoutView="80" workbookViewId="0">
      <selection activeCell="E2" sqref="E2"/>
    </sheetView>
  </sheetViews>
  <sheetFormatPr defaultColWidth="0" defaultRowHeight="15" zeroHeight="1" x14ac:dyDescent="0.25"/>
  <cols>
    <col min="1" max="1" width="23.5703125" style="43" customWidth="1"/>
    <col min="2" max="19" width="10.28515625" style="43" customWidth="1"/>
    <col min="20" max="16384" width="2" style="43" hidden="1"/>
  </cols>
  <sheetData>
    <row r="1" spans="1:39" x14ac:dyDescent="0.25">
      <c r="AM1" s="43" t="s">
        <v>488</v>
      </c>
    </row>
    <row r="2" spans="1:39" x14ac:dyDescent="0.25">
      <c r="A2" s="94" t="s">
        <v>503</v>
      </c>
      <c r="B2" s="94"/>
      <c r="C2" s="94"/>
      <c r="D2" s="94"/>
      <c r="E2" s="94"/>
      <c r="F2" s="94"/>
      <c r="G2" s="94"/>
      <c r="H2" s="94"/>
      <c r="I2" s="94"/>
      <c r="J2" s="94"/>
      <c r="K2" s="94"/>
      <c r="L2" s="94"/>
      <c r="M2" s="94"/>
    </row>
    <row r="3" spans="1:39" ht="15.75" thickBot="1" x14ac:dyDescent="0.3">
      <c r="A3" s="43" t="s">
        <v>298</v>
      </c>
    </row>
    <row r="4" spans="1:39" customFormat="1" ht="15.75" thickBot="1" x14ac:dyDescent="0.3">
      <c r="A4" s="238" t="s">
        <v>299</v>
      </c>
      <c r="B4" s="240" t="s">
        <v>300</v>
      </c>
      <c r="C4" s="241"/>
      <c r="D4" s="241"/>
      <c r="E4" s="241"/>
      <c r="F4" s="241"/>
      <c r="G4" s="241"/>
      <c r="H4" s="241"/>
      <c r="I4" s="241"/>
      <c r="J4" s="241"/>
      <c r="K4" s="241"/>
      <c r="L4" s="241"/>
      <c r="M4" s="242"/>
      <c r="N4" s="238" t="s">
        <v>299</v>
      </c>
      <c r="O4" s="240" t="s">
        <v>301</v>
      </c>
      <c r="P4" s="241"/>
      <c r="Q4" s="241"/>
      <c r="R4" s="241"/>
      <c r="S4" s="241"/>
      <c r="T4" s="242"/>
    </row>
    <row r="5" spans="1:39" customFormat="1" ht="15.75" thickBot="1" x14ac:dyDescent="0.3">
      <c r="A5" s="239"/>
      <c r="B5" s="130">
        <v>41640</v>
      </c>
      <c r="C5" s="130">
        <v>41671</v>
      </c>
      <c r="D5" s="130">
        <v>41699</v>
      </c>
      <c r="E5" s="130">
        <v>41730</v>
      </c>
      <c r="F5" s="130">
        <v>41760</v>
      </c>
      <c r="G5" s="130">
        <v>41791</v>
      </c>
      <c r="H5" s="130">
        <v>41821</v>
      </c>
      <c r="I5" s="130">
        <v>41852</v>
      </c>
      <c r="J5" s="130">
        <v>41883</v>
      </c>
      <c r="K5" s="130">
        <v>41913</v>
      </c>
      <c r="L5" s="130">
        <v>41944</v>
      </c>
      <c r="M5" s="130">
        <v>41974</v>
      </c>
      <c r="N5" s="243"/>
      <c r="O5" s="130">
        <v>42005</v>
      </c>
      <c r="P5" s="130">
        <v>42036</v>
      </c>
      <c r="Q5" s="130">
        <v>42064</v>
      </c>
      <c r="R5" s="130">
        <v>42095</v>
      </c>
      <c r="S5" s="130">
        <v>42125</v>
      </c>
      <c r="T5" s="112">
        <v>42156</v>
      </c>
    </row>
    <row r="6" spans="1:39" customFormat="1" ht="51.75" thickBot="1" x14ac:dyDescent="0.3">
      <c r="A6" s="113" t="s">
        <v>559</v>
      </c>
      <c r="B6" s="131">
        <v>-0.39</v>
      </c>
      <c r="C6" s="131">
        <v>0.01</v>
      </c>
      <c r="D6" s="131">
        <v>0.15</v>
      </c>
      <c r="E6" s="131">
        <v>0.13</v>
      </c>
      <c r="F6" s="131">
        <v>0.12</v>
      </c>
      <c r="G6" s="131">
        <v>0.1</v>
      </c>
      <c r="H6" s="131">
        <v>0.1</v>
      </c>
      <c r="I6" s="131">
        <v>0.09</v>
      </c>
      <c r="J6" s="131">
        <v>0.09</v>
      </c>
      <c r="K6" s="131">
        <v>7.6170015933196902E-2</v>
      </c>
      <c r="L6" s="131">
        <v>5.7157793350236498E-2</v>
      </c>
      <c r="M6" s="131">
        <v>5.4992249370933506E-2</v>
      </c>
      <c r="N6" s="131" t="s">
        <v>559</v>
      </c>
      <c r="O6" s="132">
        <v>-1.8755079397779546E-2</v>
      </c>
      <c r="P6" s="133">
        <v>-3.9924296836368299E-3</v>
      </c>
      <c r="Q6" s="132">
        <v>7.4129351905462396E-2</v>
      </c>
      <c r="R6" s="132">
        <v>0.10487375003980587</v>
      </c>
      <c r="S6" s="132">
        <v>0.10749330484302699</v>
      </c>
      <c r="T6" s="114">
        <v>0.12179726538465797</v>
      </c>
    </row>
    <row r="7" spans="1:39" customFormat="1" ht="51.75" thickBot="1" x14ac:dyDescent="0.3">
      <c r="A7" s="113" t="s">
        <v>560</v>
      </c>
      <c r="B7" s="132">
        <v>-2.36</v>
      </c>
      <c r="C7" s="132">
        <v>-0.46</v>
      </c>
      <c r="D7" s="132">
        <v>-0.54</v>
      </c>
      <c r="E7" s="132">
        <v>-0.41</v>
      </c>
      <c r="F7" s="132">
        <v>-0.4</v>
      </c>
      <c r="G7" s="132">
        <v>-0.2</v>
      </c>
      <c r="H7" s="132">
        <v>-0.18</v>
      </c>
      <c r="I7" s="132">
        <v>-0.23</v>
      </c>
      <c r="J7" s="132">
        <v>-0.18</v>
      </c>
      <c r="K7" s="132">
        <v>-0.19130094343123294</v>
      </c>
      <c r="L7" s="132">
        <v>-0.18124062229538937</v>
      </c>
      <c r="M7" s="132">
        <v>-0.11116053601662278</v>
      </c>
      <c r="N7" s="132" t="s">
        <v>560</v>
      </c>
      <c r="O7" s="132">
        <v>0.41797376957245236</v>
      </c>
      <c r="P7" s="132">
        <v>0.61461510980707501</v>
      </c>
      <c r="Q7" s="132">
        <v>2.9028006260951901E-2</v>
      </c>
      <c r="R7" s="132">
        <v>9.7625900892847228E-2</v>
      </c>
      <c r="S7" s="132">
        <v>3.84997459962911E-2</v>
      </c>
      <c r="T7" s="114">
        <v>0.1762191722201174</v>
      </c>
    </row>
    <row r="8" spans="1:39" customFormat="1" ht="51.75" thickBot="1" x14ac:dyDescent="0.3">
      <c r="A8" s="113" t="s">
        <v>561</v>
      </c>
      <c r="B8" s="133">
        <v>-2.8500000000000001E-2</v>
      </c>
      <c r="C8" s="133">
        <v>5.9900000000000002E-2</v>
      </c>
      <c r="D8" s="133">
        <v>2.2200000000000001E-2</v>
      </c>
      <c r="E8" s="133">
        <v>4.2500000000000003E-2</v>
      </c>
      <c r="F8" s="133">
        <v>4.2000000000000003E-2</v>
      </c>
      <c r="G8" s="133">
        <v>7.3999999999999996E-2</v>
      </c>
      <c r="H8" s="133">
        <v>3.5999999999999997E-2</v>
      </c>
      <c r="I8" s="133">
        <v>3.3000000000000002E-2</v>
      </c>
      <c r="J8" s="133">
        <v>3.4799999999999998E-2</v>
      </c>
      <c r="K8" s="133">
        <v>3.3168370129609423E-2</v>
      </c>
      <c r="L8" s="133">
        <v>3.4445970372578218E-2</v>
      </c>
      <c r="M8" s="133">
        <v>3.691631474642295E-2</v>
      </c>
      <c r="N8" s="133" t="s">
        <v>561</v>
      </c>
      <c r="O8" s="133">
        <v>5.4463990465275051E-2</v>
      </c>
      <c r="P8" s="133">
        <v>5.4675760828526133E-2</v>
      </c>
      <c r="Q8" s="133">
        <v>4.8822542042457139E-2</v>
      </c>
      <c r="R8" s="133">
        <v>4.9054918460884001E-2</v>
      </c>
      <c r="S8" s="133">
        <v>4.4943388284605132E-2</v>
      </c>
      <c r="T8" s="115">
        <v>3.6553415644529082E-2</v>
      </c>
    </row>
    <row r="9" spans="1:39" customFormat="1" ht="26.25" thickBot="1" x14ac:dyDescent="0.3">
      <c r="A9" s="116" t="s">
        <v>562</v>
      </c>
      <c r="B9" s="132">
        <v>0.70317291985562724</v>
      </c>
      <c r="C9" s="132">
        <v>1.1977307032296272</v>
      </c>
      <c r="D9" s="132">
        <v>1.1853817589069595</v>
      </c>
      <c r="E9" s="132">
        <v>1.252971150308579</v>
      </c>
      <c r="F9" s="132">
        <v>1.2929999999999999</v>
      </c>
      <c r="G9" s="132">
        <v>1.4039999999999999</v>
      </c>
      <c r="H9" s="132">
        <v>1.3979999999999999</v>
      </c>
      <c r="I9" s="132">
        <v>1.3879999999999999</v>
      </c>
      <c r="J9" s="132">
        <v>1.3879999999999999</v>
      </c>
      <c r="K9" s="132">
        <v>1.3779567632965883</v>
      </c>
      <c r="L9" s="132">
        <v>1.4044548417531724</v>
      </c>
      <c r="M9" s="132">
        <v>1.46</v>
      </c>
      <c r="N9" s="132" t="s">
        <v>562</v>
      </c>
      <c r="O9" s="132">
        <v>1.8216154308460302</v>
      </c>
      <c r="P9" s="132">
        <v>1.8837842084555028</v>
      </c>
      <c r="Q9" s="132">
        <v>1.7107080588212018</v>
      </c>
      <c r="R9" s="132">
        <v>1.69745915269728</v>
      </c>
      <c r="S9" s="132">
        <v>1.5917467733049269</v>
      </c>
      <c r="T9" s="114">
        <v>1.6528183550933775</v>
      </c>
    </row>
    <row r="10" spans="1:39" customFormat="1" ht="24.75" thickBot="1" x14ac:dyDescent="0.3">
      <c r="A10" s="116" t="s">
        <v>563</v>
      </c>
      <c r="B10" s="132">
        <v>0.87439999999999996</v>
      </c>
      <c r="C10" s="132">
        <v>0.84730000000000005</v>
      </c>
      <c r="D10" s="132">
        <v>0.80889999999999995</v>
      </c>
      <c r="E10" s="132">
        <v>0.83440000000000003</v>
      </c>
      <c r="F10" s="132">
        <v>0.85499999999999998</v>
      </c>
      <c r="G10" s="132">
        <v>0.86399999999999999</v>
      </c>
      <c r="H10" s="132">
        <v>0.85799999999999998</v>
      </c>
      <c r="I10" s="132">
        <v>0.85899999999999999</v>
      </c>
      <c r="J10" s="132">
        <v>0.84199999999999997</v>
      </c>
      <c r="K10" s="132">
        <v>0.85486211901306242</v>
      </c>
      <c r="L10" s="132">
        <v>0.83799999999999997</v>
      </c>
      <c r="M10" s="132">
        <v>0.83815946053153512</v>
      </c>
      <c r="N10" s="134"/>
      <c r="O10" s="134"/>
      <c r="P10" s="134"/>
      <c r="Q10" s="134"/>
      <c r="R10" s="134"/>
      <c r="S10" s="134"/>
      <c r="T10" s="117"/>
    </row>
    <row r="11" spans="1:39" customFormat="1" ht="26.25" thickBot="1" x14ac:dyDescent="0.3">
      <c r="A11" s="116" t="s">
        <v>564</v>
      </c>
      <c r="B11" s="135">
        <v>24.44</v>
      </c>
      <c r="C11" s="135">
        <v>25.451000000000001</v>
      </c>
      <c r="D11" s="135">
        <v>25.47</v>
      </c>
      <c r="E11" s="135">
        <v>25.992000000000001</v>
      </c>
      <c r="F11" s="135">
        <v>26.334</v>
      </c>
      <c r="G11" s="135">
        <v>26.623999999999999</v>
      </c>
      <c r="H11" s="135">
        <v>27.387</v>
      </c>
      <c r="I11" s="135">
        <v>27.94</v>
      </c>
      <c r="J11" s="135">
        <v>27.456</v>
      </c>
      <c r="K11" s="135">
        <v>28.2</v>
      </c>
      <c r="L11" s="135">
        <v>28.533795000000001</v>
      </c>
      <c r="M11" s="135">
        <v>28.975999999999999</v>
      </c>
      <c r="N11" s="132" t="s">
        <v>564</v>
      </c>
      <c r="O11" s="135">
        <v>29.484078761065266</v>
      </c>
      <c r="P11" s="135">
        <v>30.1323375900343</v>
      </c>
      <c r="Q11" s="136">
        <v>30.965</v>
      </c>
      <c r="R11" s="135">
        <v>31.135465</v>
      </c>
      <c r="S11" s="135">
        <v>31.7059150350488</v>
      </c>
      <c r="T11" s="118">
        <v>31.8</v>
      </c>
    </row>
    <row r="12" spans="1:39" customFormat="1" ht="115.5" thickBot="1" x14ac:dyDescent="0.3">
      <c r="A12" s="116" t="s">
        <v>565</v>
      </c>
      <c r="B12" s="137">
        <v>0</v>
      </c>
      <c r="C12" s="137">
        <v>0</v>
      </c>
      <c r="D12" s="137">
        <v>0</v>
      </c>
      <c r="E12" s="137">
        <v>0</v>
      </c>
      <c r="F12" s="137">
        <v>0</v>
      </c>
      <c r="G12" s="137">
        <v>1</v>
      </c>
      <c r="H12" s="137">
        <v>2</v>
      </c>
      <c r="I12" s="137">
        <v>2</v>
      </c>
      <c r="J12" s="137">
        <v>2</v>
      </c>
      <c r="K12" s="137">
        <v>2</v>
      </c>
      <c r="L12" s="137">
        <v>2</v>
      </c>
      <c r="M12" s="137">
        <v>3</v>
      </c>
      <c r="N12" s="135" t="s">
        <v>566</v>
      </c>
      <c r="O12" s="137">
        <v>0</v>
      </c>
      <c r="P12" s="137">
        <v>0</v>
      </c>
      <c r="Q12" s="137">
        <v>1</v>
      </c>
      <c r="R12" s="137">
        <v>0</v>
      </c>
      <c r="S12" s="137">
        <v>0</v>
      </c>
      <c r="T12" s="119">
        <v>0</v>
      </c>
    </row>
    <row r="13" spans="1:39" customFormat="1" ht="179.25" thickBot="1" x14ac:dyDescent="0.3">
      <c r="A13" s="120" t="s">
        <v>567</v>
      </c>
      <c r="B13" s="138">
        <v>247</v>
      </c>
      <c r="C13" s="138">
        <v>224</v>
      </c>
      <c r="D13" s="138">
        <v>221</v>
      </c>
      <c r="E13" s="138">
        <v>268</v>
      </c>
      <c r="F13" s="138">
        <v>236</v>
      </c>
      <c r="G13" s="138">
        <v>243</v>
      </c>
      <c r="H13" s="138">
        <v>289</v>
      </c>
      <c r="I13" s="138">
        <v>218</v>
      </c>
      <c r="J13" s="138">
        <v>256</v>
      </c>
      <c r="K13" s="138">
        <v>252</v>
      </c>
      <c r="L13" s="138">
        <v>180</v>
      </c>
      <c r="M13" s="138">
        <v>208</v>
      </c>
      <c r="N13" s="137" t="s">
        <v>568</v>
      </c>
      <c r="O13" s="138">
        <v>8</v>
      </c>
      <c r="P13" s="138">
        <v>8</v>
      </c>
      <c r="Q13" s="138">
        <v>7</v>
      </c>
      <c r="R13" s="138">
        <v>25</v>
      </c>
      <c r="S13" s="138">
        <v>30</v>
      </c>
      <c r="T13" s="121">
        <v>15</v>
      </c>
    </row>
    <row r="14" spans="1:39" customFormat="1" ht="64.5" thickBot="1" x14ac:dyDescent="0.3">
      <c r="A14" s="120" t="s">
        <v>569</v>
      </c>
      <c r="B14" s="139">
        <v>2.3633797312624377E-4</v>
      </c>
      <c r="C14" s="139">
        <v>2.5115865713837981E-4</v>
      </c>
      <c r="D14" s="139">
        <v>2.3862409556737346E-4</v>
      </c>
      <c r="E14" s="139">
        <v>2.4130028132954409E-4</v>
      </c>
      <c r="F14" s="139">
        <v>2.8234092666895274E-4</v>
      </c>
      <c r="G14" s="139">
        <v>2.5765624799092417E-4</v>
      </c>
      <c r="H14" s="139">
        <v>2.7677127514432864E-4</v>
      </c>
      <c r="I14" s="139">
        <v>2.760945347687048E-4</v>
      </c>
      <c r="J14" s="139">
        <v>2.9663637064690859E-4</v>
      </c>
      <c r="K14" s="139">
        <v>3.2868212434798965E-4</v>
      </c>
      <c r="L14" s="139">
        <v>1.9000000000000001E-4</v>
      </c>
      <c r="M14" s="139">
        <v>2.1056145324694402E-4</v>
      </c>
      <c r="N14" s="138" t="s">
        <v>569</v>
      </c>
      <c r="O14" s="139">
        <v>2.04E-4</v>
      </c>
      <c r="P14" s="139">
        <v>1.5300000000000001E-4</v>
      </c>
      <c r="Q14" s="139">
        <v>1.991353046178251E-4</v>
      </c>
      <c r="R14" s="139">
        <v>2.09404E-4</v>
      </c>
      <c r="S14" s="139">
        <v>2.1000000000000001E-4</v>
      </c>
      <c r="T14" s="122">
        <v>1.8435018554726468E-4</v>
      </c>
    </row>
    <row r="15" spans="1:39" customFormat="1" ht="90" thickBot="1" x14ac:dyDescent="0.3">
      <c r="A15" s="120" t="s">
        <v>570</v>
      </c>
      <c r="B15" s="132">
        <v>1.3707425590001348</v>
      </c>
      <c r="C15" s="132">
        <v>1.2281881991994044</v>
      </c>
      <c r="D15" s="132">
        <v>1.3115776688660654</v>
      </c>
      <c r="E15" s="132">
        <v>1.2832213143877667</v>
      </c>
      <c r="F15" s="132">
        <v>1.3453607164354144</v>
      </c>
      <c r="G15" s="132">
        <v>1.33</v>
      </c>
      <c r="H15" s="132">
        <v>1.34</v>
      </c>
      <c r="I15" s="132">
        <v>1.36</v>
      </c>
      <c r="J15" s="132">
        <v>1.413</v>
      </c>
      <c r="K15" s="132">
        <v>1.3228932808058351</v>
      </c>
      <c r="L15" s="132">
        <v>1.3010434167921965</v>
      </c>
      <c r="M15" s="132">
        <v>1.2507650315230745</v>
      </c>
      <c r="N15" s="139" t="s">
        <v>570</v>
      </c>
      <c r="O15" s="132">
        <v>1.1930199295338115</v>
      </c>
      <c r="P15" s="132">
        <v>1.1841132661065901</v>
      </c>
      <c r="Q15" s="132">
        <v>1.1747127026866888</v>
      </c>
      <c r="R15" s="132">
        <v>1.19458720359615</v>
      </c>
      <c r="S15" s="132">
        <v>1.2195619880096635</v>
      </c>
      <c r="T15" s="114">
        <v>1.2618935970648641</v>
      </c>
    </row>
    <row r="16" spans="1:39" customFormat="1" ht="128.25" thickBot="1" x14ac:dyDescent="0.3">
      <c r="A16" s="120" t="s">
        <v>571</v>
      </c>
      <c r="B16" s="132">
        <v>1.1499999999999999</v>
      </c>
      <c r="C16" s="132">
        <v>1.1100000000000001</v>
      </c>
      <c r="D16" s="132">
        <v>1.18</v>
      </c>
      <c r="E16" s="132">
        <v>1.1794344622221407</v>
      </c>
      <c r="F16" s="132">
        <v>1.22</v>
      </c>
      <c r="G16" s="132">
        <v>1.17</v>
      </c>
      <c r="H16" s="132">
        <v>1.1599999999999999</v>
      </c>
      <c r="I16" s="132">
        <v>1.1430206828551099</v>
      </c>
      <c r="J16" s="132">
        <v>1.1930000000000001</v>
      </c>
      <c r="K16" s="132">
        <v>1.0953791906709394</v>
      </c>
      <c r="L16" s="132">
        <v>1.0544070109469836</v>
      </c>
      <c r="M16" s="132">
        <v>0.90277994725881705</v>
      </c>
      <c r="N16" s="132" t="s">
        <v>571</v>
      </c>
      <c r="O16" s="132">
        <v>0.89965374771569318</v>
      </c>
      <c r="P16" s="132">
        <v>0.90501970181632974</v>
      </c>
      <c r="Q16" s="132">
        <v>0.94416237887478016</v>
      </c>
      <c r="R16" s="132">
        <v>0.97312661955832813</v>
      </c>
      <c r="S16" s="132">
        <v>1.0210381364105017</v>
      </c>
      <c r="T16" s="114">
        <v>1.1054576712592676</v>
      </c>
    </row>
    <row r="17" spans="1:20" customFormat="1" ht="90" thickBot="1" x14ac:dyDescent="0.3">
      <c r="A17" s="120" t="s">
        <v>572</v>
      </c>
      <c r="B17" s="138">
        <v>81.599999999999994</v>
      </c>
      <c r="C17" s="138">
        <v>84</v>
      </c>
      <c r="D17" s="138">
        <v>84.3</v>
      </c>
      <c r="E17" s="137">
        <v>85</v>
      </c>
      <c r="F17" s="137">
        <v>70</v>
      </c>
      <c r="G17" s="137">
        <v>70</v>
      </c>
      <c r="H17" s="137">
        <v>68</v>
      </c>
      <c r="I17" s="137">
        <v>67</v>
      </c>
      <c r="J17" s="137">
        <v>49</v>
      </c>
      <c r="K17" s="137">
        <v>49</v>
      </c>
      <c r="L17" s="137">
        <v>51</v>
      </c>
      <c r="M17" s="137">
        <v>51</v>
      </c>
      <c r="N17" s="132" t="s">
        <v>572</v>
      </c>
      <c r="O17" s="138">
        <v>53.423881189999996</v>
      </c>
      <c r="P17" s="138">
        <v>52.516427590000006</v>
      </c>
      <c r="Q17" s="138">
        <v>53.388981600000001</v>
      </c>
      <c r="R17" s="138">
        <v>51</v>
      </c>
      <c r="S17" s="138">
        <v>50</v>
      </c>
      <c r="T17" s="121">
        <v>42.665596630000003</v>
      </c>
    </row>
    <row r="18" spans="1:20" customFormat="1" ht="64.5" thickBot="1" x14ac:dyDescent="0.3">
      <c r="A18" s="123" t="s">
        <v>573</v>
      </c>
      <c r="B18" s="132">
        <v>0.14599999999999999</v>
      </c>
      <c r="C18" s="132">
        <v>0.151</v>
      </c>
      <c r="D18" s="132">
        <v>0.152</v>
      </c>
      <c r="E18" s="132">
        <v>0.154</v>
      </c>
      <c r="F18" s="132">
        <v>0.155</v>
      </c>
      <c r="G18" s="132">
        <v>0.156</v>
      </c>
      <c r="H18" s="132">
        <v>0.157</v>
      </c>
      <c r="I18" s="132">
        <v>0.157</v>
      </c>
      <c r="J18" s="132">
        <v>0.15260000000000001</v>
      </c>
      <c r="K18" s="132">
        <v>0.15223280980595133</v>
      </c>
      <c r="L18" s="132">
        <v>0.15196281253765143</v>
      </c>
      <c r="M18" s="132">
        <v>0.15154182251857268</v>
      </c>
      <c r="N18" s="137" t="s">
        <v>573</v>
      </c>
      <c r="O18" s="132">
        <v>0.14792244151151757</v>
      </c>
      <c r="P18" s="132">
        <v>0.147568902176789</v>
      </c>
      <c r="Q18" s="132">
        <v>0.14519107780958024</v>
      </c>
      <c r="R18" s="132">
        <v>0.14209618857343101</v>
      </c>
      <c r="S18" s="132">
        <v>0.14137189981617421</v>
      </c>
      <c r="T18" s="114">
        <v>0.14063532277464202</v>
      </c>
    </row>
    <row r="19" spans="1:20" customFormat="1" ht="51.75" thickBot="1" x14ac:dyDescent="0.3">
      <c r="A19" s="123" t="s">
        <v>574</v>
      </c>
      <c r="B19" s="132">
        <v>0.17299999999999999</v>
      </c>
      <c r="C19" s="132">
        <v>0.17399999999999999</v>
      </c>
      <c r="D19" s="132">
        <v>0.17499999999999999</v>
      </c>
      <c r="E19" s="132">
        <v>0.17499999999999999</v>
      </c>
      <c r="F19" s="132">
        <v>0.17599999999999999</v>
      </c>
      <c r="G19" s="132">
        <v>0.17599999999999999</v>
      </c>
      <c r="H19" s="132">
        <v>0.17599999999999999</v>
      </c>
      <c r="I19" s="132">
        <v>0.17699999999999999</v>
      </c>
      <c r="J19" s="132">
        <v>0.17879999999999999</v>
      </c>
      <c r="K19" s="132">
        <v>0.17835859846018301</v>
      </c>
      <c r="L19" s="132">
        <v>0.17824059431234246</v>
      </c>
      <c r="M19" s="132">
        <v>0.17782957808177852</v>
      </c>
      <c r="N19" s="132" t="s">
        <v>574</v>
      </c>
      <c r="O19" s="132">
        <v>0.14668083652184291</v>
      </c>
      <c r="P19" s="132">
        <v>0.14631016257668802</v>
      </c>
      <c r="Q19" s="132">
        <v>0.14521266963980858</v>
      </c>
      <c r="R19" s="132">
        <v>0.14511426557332999</v>
      </c>
      <c r="S19" s="132">
        <v>0.14362142945089768</v>
      </c>
      <c r="T19" s="114">
        <v>0.14448291844179825</v>
      </c>
    </row>
    <row r="20" spans="1:20" customFormat="1" ht="51.75" thickBot="1" x14ac:dyDescent="0.3">
      <c r="A20" s="124" t="s">
        <v>575</v>
      </c>
      <c r="B20" s="140">
        <v>0.39645354738068983</v>
      </c>
      <c r="C20" s="140">
        <v>0.33905467935028111</v>
      </c>
      <c r="D20" s="140">
        <v>0.27250000000000002</v>
      </c>
      <c r="E20" s="140">
        <v>0.2437</v>
      </c>
      <c r="F20" s="140">
        <v>0.23250000000000001</v>
      </c>
      <c r="G20" s="140">
        <v>0.24060000000000001</v>
      </c>
      <c r="H20" s="140">
        <v>0.24349999999999999</v>
      </c>
      <c r="I20" s="140">
        <v>0.24199999999999999</v>
      </c>
      <c r="J20" s="140">
        <v>0.253</v>
      </c>
      <c r="K20" s="140">
        <v>0.26610169439015463</v>
      </c>
      <c r="L20" s="140">
        <v>0.26761032775264376</v>
      </c>
      <c r="M20" s="140">
        <v>0.26290883709744151</v>
      </c>
      <c r="N20" s="132" t="s">
        <v>575</v>
      </c>
      <c r="O20" s="132">
        <v>0.43479169961577341</v>
      </c>
      <c r="P20" s="132">
        <v>0.42348365486730305</v>
      </c>
      <c r="Q20" s="132">
        <v>0.40662137931053877</v>
      </c>
      <c r="R20" s="132">
        <v>0.39266794067854899</v>
      </c>
      <c r="S20" s="132">
        <v>0.37157175916411389</v>
      </c>
      <c r="T20" s="114">
        <v>0.37169405306157999</v>
      </c>
    </row>
    <row r="21" spans="1:20" customFormat="1" ht="51.75" thickBot="1" x14ac:dyDescent="0.3">
      <c r="A21" s="124" t="s">
        <v>576</v>
      </c>
      <c r="B21" s="140">
        <v>2.8616693587275411E-2</v>
      </c>
      <c r="C21" s="140">
        <v>3.0978129089535282E-2</v>
      </c>
      <c r="D21" s="140">
        <v>2.8344627668190871E-2</v>
      </c>
      <c r="E21" s="140">
        <v>3.1028472725572503E-2</v>
      </c>
      <c r="F21" s="140">
        <v>3.1421738415403494E-2</v>
      </c>
      <c r="G21" s="140">
        <v>3.5000000000000003E-2</v>
      </c>
      <c r="H21" s="140">
        <v>3.7999999999999999E-2</v>
      </c>
      <c r="I21" s="140">
        <v>0.04</v>
      </c>
      <c r="J21" s="141">
        <v>3.7999999999999999E-2</v>
      </c>
      <c r="K21" s="141">
        <v>4.0429772774496858E-2</v>
      </c>
      <c r="L21" s="141">
        <v>4.1654221492980245E-2</v>
      </c>
      <c r="M21" s="141">
        <v>4.1500735921186513E-2</v>
      </c>
      <c r="N21" s="140" t="s">
        <v>576</v>
      </c>
      <c r="O21" s="141">
        <v>7.8919169377031834E-2</v>
      </c>
      <c r="P21" s="141">
        <v>7.7939125884229105E-2</v>
      </c>
      <c r="Q21" s="141">
        <v>7.5625729951742549E-2</v>
      </c>
      <c r="R21" s="141">
        <v>7.3716736652253798E-2</v>
      </c>
      <c r="S21" s="141">
        <v>7.0249453426139877E-2</v>
      </c>
      <c r="T21" s="126">
        <v>7.0999999999999994E-2</v>
      </c>
    </row>
    <row r="22" spans="1:20" customFormat="1" ht="90" thickBot="1" x14ac:dyDescent="0.3">
      <c r="A22" s="116" t="s">
        <v>577</v>
      </c>
      <c r="B22" s="142">
        <v>-12.450089</v>
      </c>
      <c r="C22" s="142">
        <v>-10.336565</v>
      </c>
      <c r="D22" s="142">
        <v>-11.084273</v>
      </c>
      <c r="E22" s="142">
        <v>-10.315326000000001</v>
      </c>
      <c r="F22" s="142">
        <v>-8.1854259057299714</v>
      </c>
      <c r="G22" s="142">
        <v>-8.2674269906008444</v>
      </c>
      <c r="H22" s="142">
        <v>-8.8413769999999996</v>
      </c>
      <c r="I22" s="142">
        <v>-7.73</v>
      </c>
      <c r="J22" s="142">
        <v>-8</v>
      </c>
      <c r="K22" s="142">
        <v>-6.6752593839698706</v>
      </c>
      <c r="L22" s="142">
        <v>-6.0522763109965796</v>
      </c>
      <c r="M22" s="142">
        <v>-11.446225999999999</v>
      </c>
      <c r="N22" s="141" t="s">
        <v>578</v>
      </c>
      <c r="O22" s="142">
        <v>-10.593593</v>
      </c>
      <c r="P22" s="142">
        <v>-9.8212119313810398</v>
      </c>
      <c r="Q22" s="142">
        <v>-9.0270600907981109</v>
      </c>
      <c r="R22" s="142">
        <v>-11.46572101473709</v>
      </c>
      <c r="S22" s="142">
        <v>-10.659331999999999</v>
      </c>
      <c r="T22" s="127">
        <v>-9.8987949999999998</v>
      </c>
    </row>
    <row r="23" spans="1:20" customFormat="1" ht="77.25" thickBot="1" x14ac:dyDescent="0.3">
      <c r="A23" s="116" t="s">
        <v>579</v>
      </c>
      <c r="B23" s="142">
        <v>-1.083321</v>
      </c>
      <c r="C23" s="142">
        <v>-0.89683199999999996</v>
      </c>
      <c r="D23" s="142">
        <v>5.0238140160000002</v>
      </c>
      <c r="E23" s="142">
        <v>-0.52527059399999954</v>
      </c>
      <c r="F23" s="142">
        <v>-1.5524479139999994</v>
      </c>
      <c r="G23" s="142">
        <v>3.0183829040000001</v>
      </c>
      <c r="H23" s="142">
        <v>11.396943418999999</v>
      </c>
      <c r="I23" s="142">
        <v>8.8699999999999992</v>
      </c>
      <c r="J23" s="142">
        <v>7.76</v>
      </c>
      <c r="K23" s="142">
        <v>-3.0201060000000002</v>
      </c>
      <c r="L23" s="142">
        <v>-2.190677253</v>
      </c>
      <c r="M23" s="142">
        <v>1.673404069</v>
      </c>
      <c r="N23" s="140" t="s">
        <v>580</v>
      </c>
      <c r="O23" s="142">
        <v>-7.4430126960000003</v>
      </c>
      <c r="P23" s="142">
        <v>-1.442043711</v>
      </c>
      <c r="Q23" s="142">
        <v>-2.4293987410000004</v>
      </c>
      <c r="R23" s="142">
        <v>9.7625900892847228E-2</v>
      </c>
      <c r="S23" s="142">
        <v>3.7725148239999999</v>
      </c>
      <c r="T23" s="127">
        <v>6.8535912029999997</v>
      </c>
    </row>
    <row r="24" spans="1:20" customFormat="1" ht="64.5" thickBot="1" x14ac:dyDescent="0.3">
      <c r="A24" s="116" t="s">
        <v>581</v>
      </c>
      <c r="B24" s="143">
        <v>-49.41</v>
      </c>
      <c r="C24" s="143">
        <v>-58.181706494181867</v>
      </c>
      <c r="D24" s="143">
        <v>-54.21320111604016</v>
      </c>
      <c r="E24" s="143">
        <v>-53.012672648901557</v>
      </c>
      <c r="F24" s="143">
        <v>-51.09</v>
      </c>
      <c r="G24" s="143">
        <v>-46.48</v>
      </c>
      <c r="H24" s="143">
        <v>-52.35</v>
      </c>
      <c r="I24" s="143">
        <v>-52.95</v>
      </c>
      <c r="J24" s="143">
        <v>-45.59</v>
      </c>
      <c r="K24" s="143">
        <v>-47.714710562333153</v>
      </c>
      <c r="L24" s="143">
        <v>-42.238502595713314</v>
      </c>
      <c r="M24" s="143">
        <v>-40.464208089094804</v>
      </c>
      <c r="N24" s="140" t="s">
        <v>581</v>
      </c>
      <c r="O24" s="142">
        <v>-51.698132232876979</v>
      </c>
      <c r="P24" s="142">
        <v>-51.871690824807096</v>
      </c>
      <c r="Q24" s="142">
        <v>-61.25874683387314</v>
      </c>
      <c r="R24" s="142">
        <v>-52.304316413512694</v>
      </c>
      <c r="S24" s="142">
        <v>-56.163772205471034</v>
      </c>
      <c r="T24" s="127">
        <v>-51.127240519434068</v>
      </c>
    </row>
    <row r="25" spans="1:20" customFormat="1" ht="77.25" thickBot="1" x14ac:dyDescent="0.3">
      <c r="A25" s="116" t="s">
        <v>582</v>
      </c>
      <c r="B25" s="143">
        <v>-142.70787061621576</v>
      </c>
      <c r="C25" s="143">
        <v>-174.22066454963021</v>
      </c>
      <c r="D25" s="143">
        <v>-176.92031638776677</v>
      </c>
      <c r="E25" s="143">
        <v>-179.05050705664172</v>
      </c>
      <c r="F25" s="143">
        <v>-167.24</v>
      </c>
      <c r="G25" s="143">
        <v>-159.91999999999999</v>
      </c>
      <c r="H25" s="143">
        <v>-176.76</v>
      </c>
      <c r="I25" s="143">
        <v>-175.57</v>
      </c>
      <c r="J25" s="143">
        <v>-155.01</v>
      </c>
      <c r="K25" s="143">
        <v>-177.45744423482924</v>
      </c>
      <c r="L25" s="143">
        <v>-174.49774942057985</v>
      </c>
      <c r="M25" s="143">
        <v>-170.98224460518043</v>
      </c>
      <c r="N25" s="145" t="s">
        <v>582</v>
      </c>
      <c r="O25" s="142">
        <v>-224.27140580918407</v>
      </c>
      <c r="P25" s="142">
        <v>-228.59845521603</v>
      </c>
      <c r="Q25" s="142">
        <v>-265.94460910192851</v>
      </c>
      <c r="R25" s="142">
        <v>-228.38581978394814</v>
      </c>
      <c r="S25" s="142">
        <v>-269.0561113282676</v>
      </c>
      <c r="T25" s="127">
        <v>-195.33530653701462</v>
      </c>
    </row>
    <row r="26" spans="1:20" customFormat="1" ht="51.75" thickBot="1" x14ac:dyDescent="0.3">
      <c r="A26" s="116" t="s">
        <v>583</v>
      </c>
      <c r="B26" s="140">
        <v>1.0418084774320202</v>
      </c>
      <c r="C26" s="140">
        <v>1.0383240046499835</v>
      </c>
      <c r="D26" s="140">
        <v>1.0332591513070719</v>
      </c>
      <c r="E26" s="140">
        <v>1.0324682771960805</v>
      </c>
      <c r="F26" s="140">
        <v>1.1201000000000001</v>
      </c>
      <c r="G26" s="140">
        <v>1.1193</v>
      </c>
      <c r="H26" s="140">
        <v>1.1177999999999999</v>
      </c>
      <c r="I26" s="140">
        <v>1.1184000000000001</v>
      </c>
      <c r="J26" s="140">
        <v>1.1200000000000001</v>
      </c>
      <c r="K26" s="140">
        <v>1.1167251475337139</v>
      </c>
      <c r="L26" s="140">
        <v>1.109793212386849</v>
      </c>
      <c r="M26" s="140">
        <v>1.1067249030759281</v>
      </c>
      <c r="N26" s="142" t="s">
        <v>583</v>
      </c>
      <c r="O26" s="140">
        <v>0.92600000000000005</v>
      </c>
      <c r="P26" s="140">
        <v>0.93844160443161095</v>
      </c>
      <c r="Q26" s="140">
        <v>0.89406945059810827</v>
      </c>
      <c r="R26" s="140">
        <v>0.92140916804407824</v>
      </c>
      <c r="S26" s="140">
        <v>0.9358946737941517</v>
      </c>
      <c r="T26" s="125">
        <v>0.86911968736728951</v>
      </c>
    </row>
    <row r="27" spans="1:20" customFormat="1" ht="26.25" thickBot="1" x14ac:dyDescent="0.3">
      <c r="A27" s="116" t="s">
        <v>584</v>
      </c>
      <c r="B27" s="140">
        <v>0.83630000000000004</v>
      </c>
      <c r="C27" s="140">
        <v>0.83699999999999997</v>
      </c>
      <c r="D27" s="140">
        <v>0.82830000000000004</v>
      </c>
      <c r="E27" s="140">
        <v>0.83320000000000005</v>
      </c>
      <c r="F27" s="140">
        <v>0.87690000000000001</v>
      </c>
      <c r="G27" s="140">
        <v>0.87419999999999998</v>
      </c>
      <c r="H27" s="140">
        <v>0.87709999999999999</v>
      </c>
      <c r="I27" s="140">
        <v>0.87190000000000001</v>
      </c>
      <c r="J27" s="140">
        <v>0.88</v>
      </c>
      <c r="K27" s="140">
        <v>0.86535937168995369</v>
      </c>
      <c r="L27" s="140">
        <v>0.87081455619557147</v>
      </c>
      <c r="M27" s="140">
        <v>0.86769811302818067</v>
      </c>
      <c r="N27" s="140" t="s">
        <v>584</v>
      </c>
      <c r="O27" s="140">
        <v>0.8676014141785322</v>
      </c>
      <c r="P27" s="140">
        <v>0.85732480673664702</v>
      </c>
      <c r="Q27" s="140">
        <v>0.85303680290352046</v>
      </c>
      <c r="R27" s="140">
        <v>0.86028883602485806</v>
      </c>
      <c r="S27" s="140">
        <v>0.87201272223222581</v>
      </c>
      <c r="T27" s="125">
        <v>0.85867838083753145</v>
      </c>
    </row>
    <row r="28" spans="1:20" customFormat="1" ht="153.75" thickBot="1" x14ac:dyDescent="0.3">
      <c r="A28" s="116" t="s">
        <v>585</v>
      </c>
      <c r="B28" s="140">
        <v>0</v>
      </c>
      <c r="C28" s="140">
        <v>0</v>
      </c>
      <c r="D28" s="140">
        <v>1.570354992155221E-2</v>
      </c>
      <c r="E28" s="140">
        <v>1.5599553692538598E-2</v>
      </c>
      <c r="F28" s="140">
        <v>3.2153891642619163E-2</v>
      </c>
      <c r="G28" s="140">
        <v>1.5699999999999999E-2</v>
      </c>
      <c r="H28" s="140">
        <v>0</v>
      </c>
      <c r="I28" s="140">
        <v>0</v>
      </c>
      <c r="J28" s="140">
        <v>0</v>
      </c>
      <c r="K28" s="140">
        <v>0</v>
      </c>
      <c r="L28" s="140">
        <v>0</v>
      </c>
      <c r="M28" s="140">
        <v>0</v>
      </c>
      <c r="N28" s="144" t="s">
        <v>585</v>
      </c>
      <c r="O28" s="140">
        <v>2.2282421255715085E-2</v>
      </c>
      <c r="P28" s="140">
        <v>3.7829321534746399E-2</v>
      </c>
      <c r="Q28" s="140">
        <v>4.1517695367308212E-2</v>
      </c>
      <c r="R28" s="140">
        <v>1.45609321842264E-2</v>
      </c>
      <c r="S28" s="140">
        <v>3.8630709252354851E-2</v>
      </c>
      <c r="T28" s="125">
        <v>0</v>
      </c>
    </row>
    <row r="29" spans="1:20" customFormat="1" ht="217.5" thickBot="1" x14ac:dyDescent="0.3">
      <c r="A29" s="116" t="s">
        <v>586</v>
      </c>
      <c r="B29" s="141">
        <v>0</v>
      </c>
      <c r="C29" s="141">
        <v>0</v>
      </c>
      <c r="D29" s="141">
        <v>0</v>
      </c>
      <c r="E29" s="141">
        <v>0</v>
      </c>
      <c r="F29" s="141">
        <v>8.0000000000000004E-4</v>
      </c>
      <c r="G29" s="141">
        <v>0.223</v>
      </c>
      <c r="H29" s="141">
        <v>0.14399999999999999</v>
      </c>
      <c r="I29" s="141">
        <v>8.0000000000000004E-4</v>
      </c>
      <c r="J29" s="141">
        <v>1.6999999999999999E-3</v>
      </c>
      <c r="K29" s="141">
        <v>1.4E-3</v>
      </c>
      <c r="L29" s="141">
        <v>2.2772636329916422E-4</v>
      </c>
      <c r="M29" s="141">
        <v>3.5999999999999997E-2</v>
      </c>
      <c r="N29" s="144" t="s">
        <v>587</v>
      </c>
      <c r="O29" s="141">
        <v>3.8E-3</v>
      </c>
      <c r="P29" s="141">
        <v>1.95E-2</v>
      </c>
      <c r="Q29" s="141">
        <v>1.9E-2</v>
      </c>
      <c r="R29" s="141">
        <v>1.1133871596858985E-4</v>
      </c>
      <c r="S29" s="144">
        <v>1.2999999999999999E-4</v>
      </c>
      <c r="T29" s="128">
        <v>6.9999999999999999E-4</v>
      </c>
    </row>
    <row r="30" spans="1:20" customFormat="1" ht="90" thickBot="1" x14ac:dyDescent="0.3">
      <c r="A30" s="116" t="s">
        <v>588</v>
      </c>
      <c r="B30" s="140">
        <v>0.108</v>
      </c>
      <c r="C30" s="140">
        <v>0.112</v>
      </c>
      <c r="D30" s="140">
        <v>0.111</v>
      </c>
      <c r="E30" s="140">
        <v>0.105</v>
      </c>
      <c r="F30" s="140">
        <v>0.1072</v>
      </c>
      <c r="G30" s="140">
        <v>0.1041</v>
      </c>
      <c r="H30" s="140">
        <v>0.1012</v>
      </c>
      <c r="I30" s="140">
        <v>0.1091</v>
      </c>
      <c r="J30" s="140">
        <v>0.112</v>
      </c>
      <c r="K30" s="140">
        <v>0.10929999999999999</v>
      </c>
      <c r="L30" s="140">
        <v>0.11093466424682395</v>
      </c>
      <c r="M30" s="140">
        <v>0.10804077010192525</v>
      </c>
      <c r="N30" s="144" t="s">
        <v>588</v>
      </c>
      <c r="O30" s="141">
        <v>0.111382836816363</v>
      </c>
      <c r="P30" s="141">
        <v>0.113821138211382</v>
      </c>
      <c r="Q30" s="141">
        <v>0.10676464231683599</v>
      </c>
      <c r="R30" s="141">
        <v>0.111728263191626</v>
      </c>
      <c r="S30" s="141">
        <v>0.11799999999999999</v>
      </c>
      <c r="T30" s="126">
        <v>0.11896838602329451</v>
      </c>
    </row>
    <row r="31" spans="1:20" customFormat="1" ht="141" thickBot="1" x14ac:dyDescent="0.3">
      <c r="A31" s="116" t="s">
        <v>589</v>
      </c>
      <c r="B31" s="140" t="s">
        <v>590</v>
      </c>
      <c r="C31" s="140" t="s">
        <v>590</v>
      </c>
      <c r="D31" s="140">
        <v>1</v>
      </c>
      <c r="E31" s="140">
        <v>1</v>
      </c>
      <c r="F31" s="140">
        <v>0.99199999999999999</v>
      </c>
      <c r="G31" s="140">
        <v>0.995</v>
      </c>
      <c r="H31" s="140">
        <v>0.995</v>
      </c>
      <c r="I31" s="140">
        <v>0.99399999999999999</v>
      </c>
      <c r="J31" s="140">
        <v>1</v>
      </c>
      <c r="K31" s="140">
        <v>1</v>
      </c>
      <c r="L31" s="140">
        <v>1</v>
      </c>
      <c r="M31" s="140">
        <v>0.99099999999999999</v>
      </c>
      <c r="N31" s="144" t="s">
        <v>589</v>
      </c>
      <c r="O31" s="141">
        <v>1</v>
      </c>
      <c r="P31" s="141">
        <v>1</v>
      </c>
      <c r="Q31" s="141">
        <v>0.99718065495554109</v>
      </c>
      <c r="R31" s="141">
        <v>1</v>
      </c>
      <c r="S31" s="141">
        <v>1</v>
      </c>
      <c r="T31" s="126">
        <v>0.995</v>
      </c>
    </row>
    <row r="32" spans="1:20" customFormat="1" ht="77.25" thickBot="1" x14ac:dyDescent="0.3">
      <c r="A32" s="116" t="s">
        <v>591</v>
      </c>
      <c r="B32" s="145">
        <v>0</v>
      </c>
      <c r="C32" s="145">
        <v>0</v>
      </c>
      <c r="D32" s="145">
        <v>0</v>
      </c>
      <c r="E32" s="145">
        <v>0</v>
      </c>
      <c r="F32" s="145">
        <v>0</v>
      </c>
      <c r="G32" s="145">
        <v>0</v>
      </c>
      <c r="H32" s="145">
        <v>0</v>
      </c>
      <c r="I32" s="145">
        <v>0</v>
      </c>
      <c r="J32" s="145">
        <v>0</v>
      </c>
      <c r="K32" s="145">
        <v>0</v>
      </c>
      <c r="L32" s="145">
        <v>0</v>
      </c>
      <c r="M32" s="145">
        <v>0</v>
      </c>
      <c r="N32" s="144" t="s">
        <v>591</v>
      </c>
      <c r="O32" s="141">
        <v>0</v>
      </c>
      <c r="P32" s="141">
        <v>0</v>
      </c>
      <c r="Q32" s="141">
        <v>0</v>
      </c>
      <c r="R32" s="141">
        <v>0</v>
      </c>
      <c r="S32" s="141">
        <v>0</v>
      </c>
      <c r="T32" s="126">
        <v>0</v>
      </c>
    </row>
    <row r="33" spans="1:20" customFormat="1" ht="153.75" thickBot="1" x14ac:dyDescent="0.3">
      <c r="A33" s="116" t="s">
        <v>592</v>
      </c>
      <c r="B33" s="145">
        <v>0</v>
      </c>
      <c r="C33" s="145">
        <v>0</v>
      </c>
      <c r="D33" s="145">
        <v>0</v>
      </c>
      <c r="E33" s="145">
        <v>0</v>
      </c>
      <c r="F33" s="145">
        <v>0</v>
      </c>
      <c r="G33" s="145">
        <v>0</v>
      </c>
      <c r="H33" s="145">
        <v>0</v>
      </c>
      <c r="I33" s="145">
        <v>0</v>
      </c>
      <c r="J33" s="145">
        <v>0</v>
      </c>
      <c r="K33" s="145">
        <v>0</v>
      </c>
      <c r="L33" s="145">
        <v>0</v>
      </c>
      <c r="M33" s="142">
        <v>0</v>
      </c>
      <c r="N33" s="144" t="s">
        <v>592</v>
      </c>
      <c r="O33" s="141">
        <v>0</v>
      </c>
      <c r="P33" s="141">
        <v>0</v>
      </c>
      <c r="Q33" s="141">
        <v>0</v>
      </c>
      <c r="R33" s="141">
        <v>0</v>
      </c>
      <c r="S33" s="144">
        <v>0</v>
      </c>
      <c r="T33" s="128">
        <v>0</v>
      </c>
    </row>
    <row r="34" spans="1:20" customFormat="1" ht="26.25" thickBot="1" x14ac:dyDescent="0.3">
      <c r="A34" s="129" t="s">
        <v>593</v>
      </c>
      <c r="B34" s="140">
        <v>9.039341931058556E-2</v>
      </c>
      <c r="C34" s="140">
        <v>8.6400742458524124E-2</v>
      </c>
      <c r="D34" s="140">
        <v>8.8388119009020244E-2</v>
      </c>
      <c r="E34" s="140">
        <v>8.9538772739494274E-2</v>
      </c>
      <c r="F34" s="140">
        <v>9.0200000000000002E-2</v>
      </c>
      <c r="G34" s="140">
        <v>8.8300000000000003E-2</v>
      </c>
      <c r="H34" s="140">
        <v>8.7999999999999995E-2</v>
      </c>
      <c r="I34" s="140">
        <v>9.3700000000000006E-2</v>
      </c>
      <c r="J34" s="144">
        <v>9.4100000000000003E-2</v>
      </c>
      <c r="K34" s="144">
        <v>9.2700000000000005E-2</v>
      </c>
      <c r="L34" s="144">
        <v>9.35E-2</v>
      </c>
      <c r="M34" s="144">
        <v>0.10029613043713527</v>
      </c>
      <c r="N34" s="144" t="s">
        <v>593</v>
      </c>
      <c r="O34" s="141">
        <v>0.10199412624399412</v>
      </c>
      <c r="P34" s="141">
        <v>0.1036</v>
      </c>
      <c r="Q34" s="141">
        <v>0.1021</v>
      </c>
      <c r="R34" s="141">
        <v>0.1051</v>
      </c>
      <c r="S34" s="144">
        <v>0.1074</v>
      </c>
      <c r="T34" s="128">
        <v>0.1081</v>
      </c>
    </row>
    <row r="35" spans="1:20" customFormat="1" ht="26.25" thickBot="1" x14ac:dyDescent="0.3">
      <c r="A35" s="129" t="s">
        <v>594</v>
      </c>
      <c r="B35" s="140">
        <v>9.4753000000000004E-2</v>
      </c>
      <c r="C35" s="140">
        <v>9.1200000000000003E-2</v>
      </c>
      <c r="D35" s="140">
        <v>9.2200000000000004E-2</v>
      </c>
      <c r="E35" s="140">
        <v>9.0899999999999995E-2</v>
      </c>
      <c r="F35" s="140">
        <v>9.1300000000000006E-2</v>
      </c>
      <c r="G35" s="140">
        <v>8.9700000000000002E-2</v>
      </c>
      <c r="H35" s="140">
        <v>9.0499999999999997E-2</v>
      </c>
      <c r="I35" s="140">
        <v>9.74E-2</v>
      </c>
      <c r="J35" s="144">
        <v>9.5000000000000001E-2</v>
      </c>
      <c r="K35" s="144">
        <v>9.4899999999999998E-2</v>
      </c>
      <c r="L35" s="144">
        <v>9.5799999999999996E-2</v>
      </c>
      <c r="M35" s="144">
        <v>0.10380691980189138</v>
      </c>
      <c r="N35" s="144" t="s">
        <v>594</v>
      </c>
      <c r="O35" s="146">
        <v>0.10564580420356801</v>
      </c>
      <c r="P35" s="141">
        <v>0.1077</v>
      </c>
      <c r="Q35" s="141">
        <v>0.10879999999999999</v>
      </c>
      <c r="R35" s="141">
        <v>0.1113</v>
      </c>
      <c r="S35" s="144">
        <v>0.1118</v>
      </c>
      <c r="T35" s="128">
        <v>0.1128</v>
      </c>
    </row>
    <row r="36" spans="1:20" customFormat="1" ht="39" thickBot="1" x14ac:dyDescent="0.3">
      <c r="A36" s="129" t="s">
        <v>595</v>
      </c>
      <c r="B36" s="140">
        <v>9.039341931058556E-2</v>
      </c>
      <c r="C36" s="140">
        <v>8.6400742458524124E-2</v>
      </c>
      <c r="D36" s="140">
        <v>8.8388119009020244E-2</v>
      </c>
      <c r="E36" s="140">
        <v>8.9538772739494274E-2</v>
      </c>
      <c r="F36" s="140">
        <v>9.0200000000000002E-2</v>
      </c>
      <c r="G36" s="140">
        <v>8.8300000000000003E-2</v>
      </c>
      <c r="H36" s="140">
        <v>8.7999999999999995E-2</v>
      </c>
      <c r="I36" s="140">
        <v>9.3700000000000006E-2</v>
      </c>
      <c r="J36" s="144">
        <v>9.4100000000000003E-2</v>
      </c>
      <c r="K36" s="144">
        <v>9.2700000000000005E-2</v>
      </c>
      <c r="L36" s="144">
        <v>9.35E-2</v>
      </c>
      <c r="M36" s="144">
        <v>0.10029613043713527</v>
      </c>
      <c r="N36" s="144" t="s">
        <v>595</v>
      </c>
      <c r="O36" s="141">
        <v>0.10199412624399412</v>
      </c>
      <c r="P36" s="141">
        <v>0.1036</v>
      </c>
      <c r="Q36" s="141">
        <v>0.10340000000000001</v>
      </c>
      <c r="R36" s="141">
        <v>0.1051</v>
      </c>
      <c r="S36" s="144">
        <v>0.1074</v>
      </c>
      <c r="T36" s="128">
        <v>0.1081</v>
      </c>
    </row>
    <row r="37" spans="1:20" customFormat="1" ht="39" thickBot="1" x14ac:dyDescent="0.3">
      <c r="A37" s="129" t="s">
        <v>596</v>
      </c>
      <c r="B37" s="140">
        <v>0.10387641444471633</v>
      </c>
      <c r="C37" s="140">
        <v>9.9874567904505371E-2</v>
      </c>
      <c r="D37" s="140">
        <v>0.1019563928390556</v>
      </c>
      <c r="E37" s="140">
        <v>0.10313348682126956</v>
      </c>
      <c r="F37" s="140">
        <v>0.1038</v>
      </c>
      <c r="G37" s="140">
        <v>0.1019</v>
      </c>
      <c r="H37" s="140">
        <v>0.1017</v>
      </c>
      <c r="I37" s="140">
        <v>0.10730000000000001</v>
      </c>
      <c r="J37" s="144">
        <v>0.1077</v>
      </c>
      <c r="K37" s="144">
        <v>0.10630000000000001</v>
      </c>
      <c r="L37" s="144">
        <v>0.1071</v>
      </c>
      <c r="M37" s="144">
        <v>0.11380428850409996</v>
      </c>
      <c r="N37" s="144" t="s">
        <v>596</v>
      </c>
      <c r="O37" s="141">
        <v>0.11549073350973234</v>
      </c>
      <c r="P37" s="141">
        <v>0.1171</v>
      </c>
      <c r="Q37" s="141">
        <v>0.11559999999999999</v>
      </c>
      <c r="R37" s="141">
        <v>0.1186</v>
      </c>
      <c r="S37" s="144">
        <v>0.12089999999999999</v>
      </c>
      <c r="T37" s="128">
        <v>0.1217</v>
      </c>
    </row>
    <row r="38" spans="1:20" customFormat="1" ht="64.5" thickBot="1" x14ac:dyDescent="0.3">
      <c r="A38" s="129" t="s">
        <v>597</v>
      </c>
      <c r="B38" s="140">
        <v>9.9900000000000003E-2</v>
      </c>
      <c r="C38" s="140">
        <v>0.1002</v>
      </c>
      <c r="D38" s="140">
        <v>9.7000000000000003E-2</v>
      </c>
      <c r="E38" s="140">
        <v>9.7000000000000003E-2</v>
      </c>
      <c r="F38" s="140">
        <v>9.7600000000000006E-2</v>
      </c>
      <c r="G38" s="140">
        <v>0.10050000000000001</v>
      </c>
      <c r="H38" s="140">
        <v>0.10004</v>
      </c>
      <c r="I38" s="140">
        <v>0.10050000000000001</v>
      </c>
      <c r="J38" s="144">
        <v>0.1038</v>
      </c>
      <c r="K38" s="144">
        <v>0.1023823048032293</v>
      </c>
      <c r="L38" s="144">
        <v>0.10398366889277108</v>
      </c>
      <c r="M38" s="144">
        <v>0.10607456366840526</v>
      </c>
      <c r="N38" s="144" t="s">
        <v>597</v>
      </c>
      <c r="O38" s="141">
        <v>0.10756125754294295</v>
      </c>
      <c r="P38" s="141">
        <v>0.109</v>
      </c>
      <c r="Q38" s="141">
        <v>0.10780000000000001</v>
      </c>
      <c r="R38" s="141">
        <v>0.1119</v>
      </c>
      <c r="S38" s="144">
        <v>0.10929999999999999</v>
      </c>
      <c r="T38" s="128">
        <v>0.1147</v>
      </c>
    </row>
    <row r="39" spans="1:20" x14ac:dyDescent="0.25"/>
    <row r="40" spans="1:20" x14ac:dyDescent="0.25">
      <c r="A40" s="43" t="s">
        <v>302</v>
      </c>
    </row>
    <row r="41" spans="1:20" ht="320.25" customHeight="1" x14ac:dyDescent="0.25">
      <c r="A41" s="202" t="s">
        <v>598</v>
      </c>
      <c r="B41" s="237"/>
      <c r="C41" s="237"/>
      <c r="D41" s="237"/>
      <c r="E41" s="237"/>
      <c r="F41" s="237"/>
      <c r="G41" s="237"/>
      <c r="H41" s="237"/>
      <c r="I41" s="237"/>
      <c r="J41" s="237"/>
      <c r="K41" s="237"/>
      <c r="L41" s="237"/>
      <c r="M41" s="237"/>
      <c r="N41" s="212"/>
      <c r="O41" s="212"/>
      <c r="P41" s="212"/>
      <c r="Q41" s="212"/>
      <c r="R41" s="212"/>
      <c r="S41" s="213"/>
    </row>
    <row r="42" spans="1:20" x14ac:dyDescent="0.25">
      <c r="A42" s="89"/>
      <c r="B42" s="89"/>
      <c r="C42" s="89"/>
      <c r="D42" s="89"/>
      <c r="E42" s="89"/>
      <c r="F42" s="89"/>
      <c r="G42" s="89"/>
      <c r="H42" s="89"/>
      <c r="I42" s="89"/>
      <c r="J42" s="89"/>
      <c r="K42" s="89"/>
      <c r="L42" s="89"/>
      <c r="M42" s="89"/>
      <c r="N42" s="89"/>
      <c r="O42" s="89"/>
      <c r="P42" s="89"/>
      <c r="Q42" s="89"/>
      <c r="R42" s="89"/>
      <c r="S42" s="89"/>
    </row>
    <row r="43" spans="1:20" x14ac:dyDescent="0.25">
      <c r="A43" s="89"/>
      <c r="B43" s="89"/>
      <c r="C43" s="89"/>
      <c r="D43" s="89"/>
      <c r="E43" s="89"/>
      <c r="F43" s="89"/>
      <c r="G43" s="89"/>
      <c r="H43" s="89"/>
      <c r="I43" s="89"/>
      <c r="J43" s="89"/>
      <c r="K43" s="89"/>
      <c r="L43" s="89"/>
      <c r="M43" s="89"/>
      <c r="N43" s="89"/>
      <c r="O43" s="89"/>
      <c r="P43" s="89"/>
      <c r="Q43" s="89"/>
      <c r="R43" s="89"/>
      <c r="S43" s="89"/>
    </row>
    <row r="44" spans="1:20" x14ac:dyDescent="0.25">
      <c r="A44" s="89"/>
      <c r="B44" s="89"/>
      <c r="C44" s="89"/>
      <c r="D44" s="89"/>
      <c r="E44" s="89"/>
      <c r="F44" s="89"/>
      <c r="G44" s="89"/>
      <c r="H44" s="89"/>
      <c r="I44" s="89"/>
      <c r="J44" s="89"/>
      <c r="K44" s="89"/>
      <c r="L44" s="89"/>
      <c r="M44" s="89"/>
      <c r="N44" s="89"/>
      <c r="O44" s="89"/>
      <c r="P44" s="89"/>
      <c r="Q44" s="89"/>
      <c r="R44" s="89"/>
      <c r="S44" s="89"/>
    </row>
    <row r="45" spans="1:20" x14ac:dyDescent="0.25">
      <c r="A45" s="89"/>
      <c r="B45" s="89"/>
      <c r="C45" s="89"/>
      <c r="D45" s="89"/>
      <c r="E45" s="89"/>
      <c r="F45" s="89"/>
      <c r="G45" s="89"/>
      <c r="H45" s="89"/>
      <c r="I45" s="89"/>
      <c r="J45" s="89"/>
      <c r="K45" s="89"/>
      <c r="L45" s="89"/>
      <c r="M45" s="89"/>
      <c r="N45" s="89"/>
      <c r="O45" s="89"/>
      <c r="P45" s="89"/>
      <c r="Q45" s="89"/>
      <c r="R45" s="89"/>
      <c r="S45" s="89"/>
    </row>
    <row r="46" spans="1:20" x14ac:dyDescent="0.25">
      <c r="A46" s="89"/>
      <c r="B46" s="89"/>
      <c r="C46" s="89"/>
      <c r="D46" s="89"/>
      <c r="E46" s="89"/>
      <c r="F46" s="89"/>
      <c r="G46" s="89"/>
      <c r="H46" s="89"/>
      <c r="I46" s="89"/>
      <c r="J46" s="89"/>
      <c r="K46" s="89"/>
      <c r="L46" s="89"/>
      <c r="M46" s="89"/>
      <c r="N46" s="89"/>
      <c r="O46" s="89"/>
      <c r="P46" s="89"/>
      <c r="Q46" s="89"/>
      <c r="R46" s="89"/>
      <c r="S46" s="89"/>
    </row>
    <row r="47" spans="1:20" x14ac:dyDescent="0.25">
      <c r="A47" s="89"/>
      <c r="B47" s="89"/>
      <c r="C47" s="89"/>
      <c r="D47" s="89"/>
      <c r="E47" s="89"/>
      <c r="F47" s="89"/>
      <c r="G47" s="89"/>
      <c r="H47" s="89"/>
      <c r="I47" s="89"/>
      <c r="J47" s="89"/>
      <c r="K47" s="89"/>
      <c r="L47" s="89"/>
      <c r="M47" s="89"/>
      <c r="N47" s="89"/>
      <c r="O47" s="89"/>
      <c r="P47" s="89"/>
      <c r="Q47" s="89"/>
      <c r="R47" s="89"/>
      <c r="S47" s="89"/>
    </row>
    <row r="48" spans="1:20" x14ac:dyDescent="0.25">
      <c r="A48" s="89"/>
      <c r="B48" s="89"/>
      <c r="C48" s="89"/>
      <c r="D48" s="89"/>
      <c r="E48" s="89"/>
      <c r="F48" s="89"/>
      <c r="G48" s="89"/>
      <c r="H48" s="89"/>
      <c r="I48" s="89"/>
      <c r="J48" s="89"/>
      <c r="K48" s="89"/>
      <c r="L48" s="89"/>
      <c r="M48" s="89"/>
      <c r="N48" s="89"/>
      <c r="O48" s="89"/>
      <c r="P48" s="89"/>
      <c r="Q48" s="89"/>
      <c r="R48" s="89"/>
      <c r="S48" s="89"/>
    </row>
    <row r="49" spans="1:19" x14ac:dyDescent="0.25">
      <c r="A49" s="89"/>
      <c r="B49" s="89"/>
      <c r="C49" s="89"/>
      <c r="D49" s="89"/>
      <c r="E49" s="89"/>
      <c r="F49" s="89"/>
      <c r="G49" s="89"/>
      <c r="H49" s="89"/>
      <c r="I49" s="89"/>
      <c r="J49" s="89"/>
      <c r="K49" s="89"/>
      <c r="L49" s="89"/>
      <c r="M49" s="89"/>
      <c r="N49" s="89"/>
      <c r="O49" s="89"/>
      <c r="P49" s="89"/>
      <c r="Q49" s="89"/>
      <c r="R49" s="89"/>
      <c r="S49" s="89"/>
    </row>
    <row r="50" spans="1:19" x14ac:dyDescent="0.25">
      <c r="A50" s="89"/>
      <c r="B50" s="89"/>
      <c r="C50" s="89"/>
      <c r="D50" s="89"/>
      <c r="E50" s="89"/>
      <c r="F50" s="89"/>
      <c r="G50" s="89"/>
      <c r="H50" s="89"/>
      <c r="I50" s="89"/>
      <c r="J50" s="89"/>
      <c r="K50" s="89"/>
      <c r="L50" s="89"/>
      <c r="M50" s="89"/>
      <c r="N50" s="89"/>
      <c r="O50" s="89"/>
      <c r="P50" s="89"/>
      <c r="Q50" s="89"/>
      <c r="R50" s="89"/>
      <c r="S50" s="89"/>
    </row>
    <row r="51" spans="1:19" x14ac:dyDescent="0.25">
      <c r="A51" s="89"/>
      <c r="B51" s="89"/>
      <c r="C51" s="89"/>
      <c r="D51" s="89"/>
      <c r="E51" s="89"/>
      <c r="F51" s="89"/>
      <c r="G51" s="89"/>
      <c r="H51" s="89"/>
      <c r="I51" s="89"/>
      <c r="J51" s="89"/>
      <c r="K51" s="89"/>
      <c r="L51" s="89"/>
      <c r="M51" s="89"/>
      <c r="N51" s="89"/>
      <c r="O51" s="89"/>
      <c r="P51" s="89"/>
      <c r="Q51" s="89"/>
      <c r="R51" s="89"/>
      <c r="S51" s="89"/>
    </row>
    <row r="52" spans="1:19" x14ac:dyDescent="0.25">
      <c r="A52" s="89"/>
      <c r="B52" s="89"/>
      <c r="C52" s="89"/>
      <c r="D52" s="89"/>
      <c r="E52" s="89"/>
      <c r="F52" s="89"/>
      <c r="G52" s="89"/>
      <c r="H52" s="89"/>
      <c r="I52" s="89"/>
      <c r="J52" s="89"/>
      <c r="K52" s="89"/>
      <c r="L52" s="89"/>
      <c r="M52" s="89"/>
      <c r="N52" s="89"/>
      <c r="O52" s="89"/>
      <c r="P52" s="89"/>
      <c r="Q52" s="89"/>
      <c r="R52" s="89"/>
      <c r="S52" s="89"/>
    </row>
    <row r="53" spans="1:19" x14ac:dyDescent="0.25">
      <c r="A53" s="89"/>
      <c r="B53" s="89"/>
      <c r="C53" s="89"/>
      <c r="D53" s="89"/>
      <c r="E53" s="89"/>
      <c r="F53" s="89"/>
      <c r="G53" s="89"/>
      <c r="H53" s="89"/>
      <c r="I53" s="89"/>
      <c r="J53" s="89"/>
      <c r="K53" s="89"/>
      <c r="L53" s="89"/>
      <c r="M53" s="89"/>
      <c r="N53" s="89"/>
      <c r="O53" s="89"/>
      <c r="P53" s="89"/>
      <c r="Q53" s="89"/>
      <c r="R53" s="89"/>
      <c r="S53" s="89"/>
    </row>
    <row r="54" spans="1:19" x14ac:dyDescent="0.25">
      <c r="A54" s="89"/>
      <c r="B54" s="89"/>
      <c r="C54" s="89"/>
      <c r="D54" s="89"/>
      <c r="E54" s="89"/>
      <c r="F54" s="89"/>
      <c r="G54" s="89"/>
      <c r="H54" s="89"/>
      <c r="I54" s="89"/>
      <c r="J54" s="89"/>
      <c r="K54" s="89"/>
      <c r="L54" s="89"/>
      <c r="M54" s="89"/>
      <c r="N54" s="89"/>
      <c r="O54" s="89"/>
      <c r="P54" s="89"/>
      <c r="Q54" s="89"/>
      <c r="R54" s="89"/>
      <c r="S54" s="89"/>
    </row>
    <row r="55" spans="1:19" x14ac:dyDescent="0.25">
      <c r="A55" s="89"/>
      <c r="B55" s="89"/>
      <c r="C55" s="89"/>
      <c r="D55" s="89"/>
      <c r="E55" s="89"/>
      <c r="F55" s="89"/>
      <c r="G55" s="89"/>
      <c r="H55" s="89"/>
      <c r="I55" s="89"/>
      <c r="J55" s="89"/>
      <c r="K55" s="89"/>
      <c r="L55" s="89"/>
      <c r="M55" s="89"/>
      <c r="N55" s="89"/>
      <c r="O55" s="89"/>
      <c r="P55" s="89"/>
      <c r="Q55" s="89"/>
      <c r="R55" s="89"/>
      <c r="S55" s="89"/>
    </row>
    <row r="56" spans="1:19" x14ac:dyDescent="0.25">
      <c r="A56" s="89"/>
      <c r="B56" s="89"/>
      <c r="C56" s="89"/>
      <c r="D56" s="89"/>
      <c r="E56" s="89"/>
      <c r="F56" s="89"/>
      <c r="G56" s="89"/>
      <c r="H56" s="89"/>
      <c r="I56" s="89"/>
      <c r="J56" s="89"/>
      <c r="K56" s="89"/>
      <c r="L56" s="89"/>
      <c r="M56" s="89"/>
      <c r="N56" s="89"/>
      <c r="O56" s="89"/>
      <c r="P56" s="89"/>
      <c r="Q56" s="89"/>
      <c r="R56" s="89"/>
      <c r="S56" s="89"/>
    </row>
    <row r="57" spans="1:19" x14ac:dyDescent="0.25">
      <c r="A57" s="89"/>
      <c r="B57" s="89"/>
      <c r="C57" s="89"/>
      <c r="D57" s="89"/>
      <c r="E57" s="89"/>
      <c r="F57" s="89"/>
      <c r="G57" s="89"/>
      <c r="H57" s="89"/>
      <c r="I57" s="89"/>
      <c r="J57" s="89"/>
      <c r="K57" s="89"/>
      <c r="L57" s="89"/>
      <c r="M57" s="89"/>
      <c r="N57" s="89"/>
      <c r="O57" s="89"/>
      <c r="P57" s="89"/>
      <c r="Q57" s="89"/>
      <c r="R57" s="89"/>
      <c r="S57" s="89"/>
    </row>
    <row r="58" spans="1:19" x14ac:dyDescent="0.25">
      <c r="A58" s="89"/>
      <c r="B58" s="89"/>
      <c r="C58" s="89"/>
      <c r="D58" s="89"/>
      <c r="E58" s="89"/>
      <c r="F58" s="89"/>
      <c r="G58" s="89"/>
      <c r="H58" s="89"/>
      <c r="I58" s="89"/>
      <c r="J58" s="89"/>
      <c r="K58" s="89"/>
      <c r="L58" s="89"/>
      <c r="M58" s="89"/>
      <c r="N58" s="89"/>
      <c r="O58" s="89"/>
      <c r="P58" s="89"/>
      <c r="Q58" s="89"/>
      <c r="R58" s="89"/>
      <c r="S58" s="89"/>
    </row>
    <row r="59" spans="1:19" x14ac:dyDescent="0.25">
      <c r="A59" s="89"/>
      <c r="B59" s="89"/>
      <c r="C59" s="89"/>
      <c r="D59" s="89"/>
      <c r="E59" s="89"/>
      <c r="F59" s="89"/>
      <c r="G59" s="89"/>
      <c r="H59" s="89"/>
      <c r="I59" s="89"/>
      <c r="J59" s="89"/>
      <c r="K59" s="89"/>
      <c r="L59" s="89"/>
      <c r="M59" s="89"/>
      <c r="N59" s="89"/>
      <c r="O59" s="89"/>
      <c r="P59" s="89"/>
      <c r="Q59" s="89"/>
      <c r="R59" s="89"/>
      <c r="S59" s="89"/>
    </row>
    <row r="60" spans="1:19" x14ac:dyDescent="0.25">
      <c r="A60" s="89"/>
      <c r="B60" s="89"/>
      <c r="C60" s="89"/>
      <c r="D60" s="89"/>
      <c r="E60" s="89"/>
      <c r="F60" s="89"/>
      <c r="G60" s="89"/>
      <c r="H60" s="89"/>
      <c r="I60" s="89"/>
      <c r="J60" s="89"/>
      <c r="K60" s="89"/>
      <c r="L60" s="89"/>
      <c r="M60" s="89"/>
      <c r="N60" s="89"/>
      <c r="O60" s="89"/>
      <c r="P60" s="89"/>
      <c r="Q60" s="89"/>
      <c r="R60" s="89"/>
      <c r="S60" s="89"/>
    </row>
    <row r="61" spans="1:19" x14ac:dyDescent="0.25">
      <c r="A61" s="89"/>
      <c r="B61" s="89"/>
      <c r="C61" s="89"/>
      <c r="D61" s="89"/>
      <c r="E61" s="89"/>
      <c r="F61" s="89"/>
      <c r="G61" s="89"/>
      <c r="H61" s="89"/>
      <c r="I61" s="89"/>
      <c r="J61" s="89"/>
      <c r="K61" s="89"/>
      <c r="L61" s="89"/>
      <c r="M61" s="89"/>
      <c r="N61" s="89"/>
      <c r="O61" s="89"/>
      <c r="P61" s="89"/>
      <c r="Q61" s="89"/>
      <c r="R61" s="89"/>
      <c r="S61" s="89"/>
    </row>
    <row r="62" spans="1:19" x14ac:dyDescent="0.25">
      <c r="A62" s="89"/>
      <c r="B62" s="89"/>
      <c r="C62" s="89"/>
      <c r="D62" s="89"/>
      <c r="E62" s="89"/>
      <c r="F62" s="89"/>
      <c r="G62" s="89"/>
      <c r="H62" s="89"/>
      <c r="I62" s="89"/>
      <c r="J62" s="89"/>
      <c r="K62" s="89"/>
      <c r="L62" s="89"/>
      <c r="M62" s="89"/>
      <c r="N62" s="89"/>
      <c r="O62" s="89"/>
      <c r="P62" s="89"/>
      <c r="Q62" s="89"/>
      <c r="R62" s="89"/>
      <c r="S62" s="89"/>
    </row>
    <row r="63" spans="1:19" x14ac:dyDescent="0.25"/>
    <row r="64" spans="1:19"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sheetData>
  <sheetProtection formatCells="0" formatColumns="0" formatRows="0"/>
  <mergeCells count="5">
    <mergeCell ref="A41:S41"/>
    <mergeCell ref="A4:A5"/>
    <mergeCell ref="B4:M4"/>
    <mergeCell ref="N4:N5"/>
    <mergeCell ref="O4:T4"/>
  </mergeCells>
  <conditionalFormatting sqref="A34:A38">
    <cfRule type="expression" dxfId="3" priority="1">
      <formula>#REF!="-"</formula>
    </cfRule>
  </conditionalFormatting>
  <pageMargins left="0.25" right="0.25" top="0.75" bottom="0.75" header="0.3" footer="0.3"/>
  <pageSetup scale="48" fitToHeight="4" orientation="portrait" r:id="rId1"/>
  <headerFooter>
    <oddHeader>&amp;CSCUSA Auto Finance</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513</v>
      </c>
    </row>
    <row r="88" spans="1:4" x14ac:dyDescent="0.25">
      <c r="A88" t="s">
        <v>31</v>
      </c>
      <c r="B88" s="13" t="s">
        <v>183</v>
      </c>
    </row>
    <row r="89" spans="1:4" x14ac:dyDescent="0.25">
      <c r="A89" t="s">
        <v>31</v>
      </c>
      <c r="B89" s="13" t="s">
        <v>514</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304</v>
      </c>
      <c r="C1" s="1" t="s">
        <v>1</v>
      </c>
      <c r="D1" s="2" t="s">
        <v>2</v>
      </c>
      <c r="E1" s="3" t="s">
        <v>3</v>
      </c>
      <c r="F1" s="2" t="s">
        <v>226</v>
      </c>
      <c r="G1" s="2" t="s">
        <v>76</v>
      </c>
      <c r="H1" s="4" t="s">
        <v>6</v>
      </c>
      <c r="I1" s="2" t="s">
        <v>65</v>
      </c>
      <c r="J1" s="1" t="s">
        <v>4</v>
      </c>
      <c r="K1" s="4" t="s">
        <v>224</v>
      </c>
      <c r="L1" s="4" t="s">
        <v>110</v>
      </c>
      <c r="M1" s="1" t="s">
        <v>5</v>
      </c>
      <c r="N1" s="4" t="s">
        <v>499</v>
      </c>
      <c r="O1" s="4" t="s">
        <v>477</v>
      </c>
    </row>
    <row r="2" spans="1:15" ht="105.75" customHeight="1" x14ac:dyDescent="0.25">
      <c r="A2" s="5" t="s">
        <v>0</v>
      </c>
      <c r="B2" s="5" t="s">
        <v>511</v>
      </c>
      <c r="C2" s="5" t="s">
        <v>66</v>
      </c>
      <c r="D2" s="5" t="s">
        <v>7</v>
      </c>
      <c r="E2" s="6" t="s">
        <v>229</v>
      </c>
      <c r="F2" s="5" t="s">
        <v>228</v>
      </c>
      <c r="G2" s="5" t="s">
        <v>230</v>
      </c>
      <c r="H2" s="25" t="s">
        <v>223</v>
      </c>
      <c r="I2" s="5" t="s">
        <v>111</v>
      </c>
      <c r="J2" s="25" t="s">
        <v>231</v>
      </c>
      <c r="K2" s="5" t="s">
        <v>225</v>
      </c>
      <c r="L2" s="5" t="s">
        <v>227</v>
      </c>
      <c r="M2" s="5" t="s">
        <v>250</v>
      </c>
      <c r="N2" s="37" t="s">
        <v>505</v>
      </c>
      <c r="O2" s="37" t="s">
        <v>478</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abSelected="1" view="pageBreakPreview" topLeftCell="H7" zoomScale="60" zoomScaleNormal="70" workbookViewId="0">
      <selection activeCell="L3" sqref="L3"/>
    </sheetView>
  </sheetViews>
  <sheetFormatPr defaultRowHeight="42.75" customHeight="1"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42.75" customHeight="1" x14ac:dyDescent="0.25">
      <c r="A1" s="1" t="s">
        <v>0</v>
      </c>
      <c r="B1" s="1" t="s">
        <v>248</v>
      </c>
      <c r="C1" s="1" t="s">
        <v>1</v>
      </c>
      <c r="D1" s="1" t="s">
        <v>480</v>
      </c>
      <c r="E1" s="2" t="s">
        <v>2</v>
      </c>
      <c r="F1" s="3" t="s">
        <v>3</v>
      </c>
      <c r="G1" s="2" t="s">
        <v>226</v>
      </c>
      <c r="H1" s="2" t="s">
        <v>76</v>
      </c>
      <c r="I1" s="4" t="s">
        <v>6</v>
      </c>
      <c r="J1" s="2" t="s">
        <v>65</v>
      </c>
      <c r="K1" s="1" t="s">
        <v>4</v>
      </c>
      <c r="L1" s="4" t="s">
        <v>224</v>
      </c>
      <c r="M1" s="4" t="s">
        <v>110</v>
      </c>
      <c r="N1" s="1" t="s">
        <v>5</v>
      </c>
      <c r="O1" s="4" t="s">
        <v>246</v>
      </c>
    </row>
    <row r="2" spans="1:15" ht="135" x14ac:dyDescent="0.25">
      <c r="A2" s="5" t="s">
        <v>0</v>
      </c>
      <c r="B2" s="5" t="s">
        <v>249</v>
      </c>
      <c r="C2" s="5" t="s">
        <v>66</v>
      </c>
      <c r="D2" s="5" t="s">
        <v>481</v>
      </c>
      <c r="E2" s="5" t="s">
        <v>7</v>
      </c>
      <c r="F2" s="6" t="s">
        <v>229</v>
      </c>
      <c r="G2" s="5" t="s">
        <v>228</v>
      </c>
      <c r="H2" s="5" t="s">
        <v>230</v>
      </c>
      <c r="I2" s="25" t="s">
        <v>223</v>
      </c>
      <c r="J2" s="5" t="s">
        <v>111</v>
      </c>
      <c r="K2" s="25" t="s">
        <v>231</v>
      </c>
      <c r="L2" s="5" t="s">
        <v>225</v>
      </c>
      <c r="M2" s="5" t="s">
        <v>227</v>
      </c>
      <c r="N2" s="5" t="s">
        <v>250</v>
      </c>
      <c r="O2" s="37" t="s">
        <v>247</v>
      </c>
    </row>
    <row r="3" spans="1:15" ht="255" x14ac:dyDescent="0.25">
      <c r="B3" s="7" t="str">
        <f>'Approval and Documentation'!C$4</f>
        <v>Auto Finance</v>
      </c>
      <c r="C3" s="7" t="str">
        <f>'Approval and Documentation'!C$6</f>
        <v>Auto Finance</v>
      </c>
      <c r="D3" s="8" t="str">
        <f>'MR-1'!$C$1</f>
        <v>Credit, Funding, Decision Science</v>
      </c>
      <c r="E3" s="7" t="s">
        <v>651</v>
      </c>
      <c r="F3" s="8" t="str">
        <f>'MR-1'!$C$2</f>
        <v>Credit</v>
      </c>
      <c r="G3" s="8" t="str">
        <f>'MR-1'!$C$3</f>
        <v>Default</v>
      </c>
      <c r="H3" s="8" t="str">
        <f>'MR-1'!$C$4</f>
        <v>Pricing / Decisioning Risk</v>
      </c>
      <c r="I3" s="8" t="str">
        <f>'MR-1'!$A$12</f>
        <v>As an auto finance company, SCUSA offers financial products to consumers (loan, lease, lines of credit). These products are priced at the transaction level to account for expected costs and returns. Since the majority of the pricing components (expenses, cost of funds and returns) are known values at the time of origination, the majority of the pricing risk is derived from incorrect loss forecasts. Market conditions, competitive pressure, pricing, changes in underwriting parameters, or pricing deterioration may not capture opportunities or could result in increased defaults leading to negative profitability or lost business. The auto finance competitive environment is currently stable, however as competition increases, we are could experience reduced capture rates and / or actual losses higher than expected. 
SCUSA mitigates the exposure by maintaining a disciplined approach to pricing and decisioning.</v>
      </c>
      <c r="J3" s="8" t="str">
        <f>'MR-1'!$C$5</f>
        <v>Unemployment (Up)</v>
      </c>
      <c r="K3" s="8" t="str">
        <f>'MR-1'!$A$9</f>
        <v>Pricing and decisioning is managed at SCUSA within Decision Science and is executed systemically (fully automated). Many controls and limits have been established to ensure accuracy in pricing and decisioning including a risk-based, cost-plus approach to base pricing to ensure profitability per our Pricing Policy. These values are then adjusted based on market attributes such as FICO and deal structure to ensure competitiveness. Return on Asset (ROA) targets are established and monitoring is performed to ensure profitability goals are met. Capture targets are also established and monitored to ensure market competitiveness. All pricing changes are governed by the Pricing Committee and Pricing Policy. The Credit Risk Department is the primary second line of defense and internal audit is the third line of defense. Roles and Responsibilities are defined in the Pricing Policy. Pricing Procedures further define the pricing process and controls.</v>
      </c>
      <c r="L3" s="8" t="str">
        <f>'MR-1'!$C$6</f>
        <v>$250 M - $500 M</v>
      </c>
      <c r="M3" s="8" t="str">
        <f>'MR-1'!$C$7</f>
        <v>&gt; $500 M</v>
      </c>
      <c r="N3" s="8" t="str">
        <f>'MR-1'!$B$10</f>
        <v>The financial risk of incorrect pricing is primarily driven by the risk to the loss forecast and will mirror the loss forecast risk. See Overall Credit Default Risk.</v>
      </c>
      <c r="O3" s="10"/>
    </row>
    <row r="4" spans="1:15" ht="225" x14ac:dyDescent="0.25">
      <c r="A4" s="7"/>
      <c r="B4" s="7" t="str">
        <f>'Approval and Documentation'!C$4</f>
        <v>Auto Finance</v>
      </c>
      <c r="C4" s="7" t="str">
        <f>'Approval and Documentation'!C$6</f>
        <v>Auto Finance</v>
      </c>
      <c r="D4" s="8" t="str">
        <f>'MR-2'!$C$1</f>
        <v>Auto</v>
      </c>
      <c r="E4" s="7" t="s">
        <v>652</v>
      </c>
      <c r="F4" s="8" t="str">
        <f>'MR-2'!$C$2</f>
        <v>Compliance</v>
      </c>
      <c r="G4" s="8" t="str">
        <f>'MR-2'!$C$3</f>
        <v>Lending Laws/Regulations</v>
      </c>
      <c r="H4" s="8" t="str">
        <f>'MR-2'!$C$4</f>
        <v>Consumer Regulations</v>
      </c>
      <c r="I4" s="8" t="str">
        <f>'MR-2'!$A$12</f>
        <v xml:space="preserve">Noncompliance with Consumer Regulations  may result in regulatory violations, reputational exposure, and financial impacts, including potential fines / penalties.
SCUSA operates in a highly scrutinized financial industry that must comply with state and federal laws.  With exposure to consumer credit information, SCUSA has oversight from multiple regulatory agencies including OCC, CFPB, Fed, and individual states. SCUSA must also comply with applicable regulatory standards such as OFAC, BSA, AML, Fair Lending, FCRA, SCRA, FDCPA, and TCPA.  While every effort is made to systemically control any potential violations, due to the manual nature of the business and volume impacts residual risks still exists.
</v>
      </c>
      <c r="J4" s="8">
        <f>'MR-2'!$C$5</f>
        <v>0</v>
      </c>
      <c r="K4" s="8" t="str">
        <f>'MR-2'!$A$9</f>
        <v>Systemic controls include potential consumer database scrubs through OFAC, customer scrubs include BK and SCRA to inform SCUSA of customers who have filed BK or are in the military.  From a dialing perspective, imbedded controls limit contact with consumers outside of allowed calling hours and frequency.  SCUSA utilizes voice analytic software to assist in monitoring potential compliance and regulatory issues along with a QA department that manually listens to random phone calls of all call center associates.  Our QC department conducts approximately 300 tests monthly including BK, modifications, extensions, dealer mark ups, calling times, cease and desist, and letter compliance.</v>
      </c>
      <c r="L4" s="8" t="str">
        <f>'MR-2'!$C$6</f>
        <v>$5 M - $50 M</v>
      </c>
      <c r="M4" s="8" t="str">
        <f>'MR-2'!$C$7</f>
        <v>$5 M - $50 M</v>
      </c>
      <c r="N4" s="8" t="str">
        <f>'MR-2'!$B$10</f>
        <v>Based on past financial impact and recent competitor fines regarding regulatory non-compliance (DOJ $9.3m, Honda Finance $24m).</v>
      </c>
      <c r="O4" s="10"/>
    </row>
    <row r="5" spans="1:15" ht="255" x14ac:dyDescent="0.25">
      <c r="A5" s="7"/>
      <c r="B5" s="7" t="str">
        <f>'Approval and Documentation'!C$4</f>
        <v>Auto Finance</v>
      </c>
      <c r="C5" s="7" t="str">
        <f>'Approval and Documentation'!C$6</f>
        <v>Auto Finance</v>
      </c>
      <c r="D5" s="8" t="str">
        <f>'MR-3'!$C$1</f>
        <v>Credit, Funding, Servicing</v>
      </c>
      <c r="E5" s="7" t="s">
        <v>653</v>
      </c>
      <c r="F5" s="8" t="str">
        <f>'MR-3'!$C$2</f>
        <v>Operational</v>
      </c>
      <c r="G5" s="8" t="str">
        <f>'MR-3'!$C$3</f>
        <v>External Misrepresentation or Deception</v>
      </c>
      <c r="H5" s="8" t="str">
        <f>'MR-3'!$C$4</f>
        <v>Dealer or Customer Fraud</v>
      </c>
      <c r="I5" s="8" t="str">
        <f>'MR-3'!$A$12</f>
        <v xml:space="preserve">As an auto finance company, SCUSA is exposed to potential fraud losses from a variety of sources, such as dealer fraud, misrepresentation and consumer fraud.  Powerbooking, misrepresentation of the application by dealer or consumer, identity theft, and forgery are inherent in the auto finance business. Over the past year, SCUSA has become aware of several fraud rings associated with dealerships, and has taken action against dealerships to cut-off future business, increase stipulation requirements on applications, and claw back funds.    
SCUSA mitigates the exposure by running applications through systematic and manual checks to ensure that we verify the identity of the consumer, quality control(1st line) reviews of applicant information and process to identify missing equipment.  All the dealer information is reviewed monthly in a Dealer Council to ensure that SCUSA is taking appropriate action.  </v>
      </c>
      <c r="J5" s="8" t="str">
        <f>'MR-3'!$C$5</f>
        <v>Unemployment (Up)</v>
      </c>
      <c r="K5" s="8" t="str">
        <f>'MR-3'!$A$9</f>
        <v>Lexis Nexis, Bureau alerts, quality control reviews, Dealer Council, dealer receivables collection process to recover $'s, front line sales force to alert of any potential issues, verification processes in funding department.</v>
      </c>
      <c r="L5" s="8" t="str">
        <f>'MR-3'!$C$6</f>
        <v>$5 M - $50 M</v>
      </c>
      <c r="M5" s="8" t="str">
        <f>'MR-3'!$C$7</f>
        <v>$5 M - $50 M</v>
      </c>
      <c r="N5" s="8" t="str">
        <f>'MR-3'!$B$10</f>
        <v>A review of operational loss events indicated that SCUSA has had multiple events related to dealer or customer fraud totaling $13MM in actual losses, some of which may still be recovered in the future.  In a stressed economy, some dealerships may go out of business, which may impact SCUSAs ability to recover funds, however when the economy is stressed, SCUSA would reduce volume, limiting exposure even if dealerships go out of business, which would offset any increases.</v>
      </c>
      <c r="O5" s="10"/>
    </row>
    <row r="6" spans="1:15" ht="285" x14ac:dyDescent="0.25">
      <c r="A6" s="7"/>
      <c r="B6" s="7" t="str">
        <f>'Approval and Documentation'!C$4</f>
        <v>Auto Finance</v>
      </c>
      <c r="C6" s="7" t="str">
        <f>'Approval and Documentation'!C$6</f>
        <v>Auto Finance</v>
      </c>
      <c r="D6" s="8" t="str">
        <f>'MR-1'!$C$1</f>
        <v>Credit, Funding, Decision Science</v>
      </c>
      <c r="E6" s="7" t="s">
        <v>654</v>
      </c>
      <c r="F6" s="8" t="str">
        <f>'MR-4'!$C$2</f>
        <v>Compliance</v>
      </c>
      <c r="G6" s="8" t="str">
        <f>'MR-4'!$C$3</f>
        <v>Regulators</v>
      </c>
      <c r="H6" s="8" t="str">
        <f>'MR-4'!$C$4</f>
        <v>Fair Lending</v>
      </c>
      <c r="I6" s="8" t="str">
        <f>'MR-4'!$A$12</f>
        <v xml:space="preserve">Noncompliance with Fair Lending may result in regulatory compliance violations, reputational exposure, and financial impacts, including potential fines / penalties.
Failure to comply with Fair Lending Laws and implementing regulations can have serious consequences. Violations involve regulatory enforcement actions, civil and criminal prosecution, and monetary fines and penalties. The severity of the penalty depends on whether the violation is willful or negligent.  Civil money penalties associated with fair lending violations have ranged from thousands into the hundreds of millions.  SCUSA has not been fined for a violation; however, the risk exist especially with the CFPB around dealer markup which most likely will impact SCUSA.  Ally and Honda have both have  multimillion $'s settlements with the CFPB around dealer markup.  In addition, a comprehensive customer Fair Lending analysis program is in place in the compliance group to identify any issues.  
</v>
      </c>
      <c r="J6" s="8">
        <f>'MR-4'!$C$5</f>
        <v>0</v>
      </c>
      <c r="K6" s="8" t="str">
        <f>'MR-4'!$A$9</f>
        <v xml:space="preserve">SCUSA policy and procedures are designed and implemented to comply with regulatory requirements essential for preventing and detecting Fair Lending violations.  SCUSA has a 100% systemic loan approval process.    Compliance also completes quarterly fair lending reviews on originations and servicing.  A Fair Lending complaint review process is also in place.  A loan contract review process is in place to ensure compliance with applicable laws and disclosures.  </v>
      </c>
      <c r="L6" s="8" t="str">
        <f>'MR-4'!$C$6</f>
        <v>$5 M - $50 M</v>
      </c>
      <c r="M6" s="8" t="str">
        <f>'MR-4'!$C$7</f>
        <v>$5 M - $50 M</v>
      </c>
      <c r="N6" s="8" t="str">
        <f>'MR-4'!$B$10</f>
        <v xml:space="preserve">Recent settlements of competitors, Ally $95MM CFPB settlement and  Honda $24MM CFPB settlement are the justification for the potential annual expected loss and that of a stressed financial impact. </v>
      </c>
      <c r="O6" s="10"/>
    </row>
    <row r="7" spans="1:15" ht="285" x14ac:dyDescent="0.25">
      <c r="A7" s="7"/>
      <c r="B7" s="7" t="str">
        <f>'Approval and Documentation'!C$4</f>
        <v>Auto Finance</v>
      </c>
      <c r="C7" s="7" t="str">
        <f>'Approval and Documentation'!C$6</f>
        <v>Auto Finance</v>
      </c>
      <c r="D7" s="8" t="str">
        <f>'MR-1'!$C$1</f>
        <v>Credit, Funding, Decision Science</v>
      </c>
      <c r="E7" s="7" t="s">
        <v>655</v>
      </c>
      <c r="F7" s="8" t="str">
        <f>'MR-5'!$C$2</f>
        <v>Operational</v>
      </c>
      <c r="G7" s="8" t="str">
        <f>'MR-5'!$C$3</f>
        <v>Transaction Capture and Input Errors</v>
      </c>
      <c r="H7" s="8" t="str">
        <f>'MR-5'!$C$4</f>
        <v>Errors in Incentives Program Implementation and Processing</v>
      </c>
      <c r="I7" s="8" t="str">
        <f>'MR-5'!$A$12</f>
        <v>Fiat Chrysler Automobiles (FCA) provides subvention to Chrysler Capital for new vehicle sales and leases. This is based on incentivized rates they set at a Year/Make/Model/Trim level in each business center (BC). Based on the penetration of incentivized lease &amp; retail sales, this accounts for a significant amount of revenue for the company (100MM+ a month).  As such, various aspects, outlined above, are validated prior to processing. 
Once applications are funded, claims for the subvention dollars are created, based on the incentivized rate.  These claims are transmitted to FCA twice a month.  Any applications that do not have claims are reviewed to ensure there was not a processing error.  Any rejected payments from FCA are reviewed to ensure the claims are valid.  If they are valid, the rejections are disputed with supporting documentation (i.e. contract date verification, address information, etc).</v>
      </c>
      <c r="J7" s="8">
        <f>'MR-5'!$C$5</f>
        <v>0</v>
      </c>
      <c r="K7" s="8" t="str">
        <f>'MR-5'!$A$9</f>
        <v>Model Year Input files:
High level validations done to insure files will not fail due to invalid data by Analyst processing the files
Overview by Senior Manager or above to confirm file dates, names and similar high level overview is done before files are processed
Includes: Verifying all Money Factor rates above 0%, Business Center numbers are correct per tab/file, no hidden tabs are present, lease &amp; retail start dates are consistent and accurate
Risk validation is completed by Credit Risk group prior to final load into production
Claims:
Daily Reporting to review claims not created
Daily Reporting for Vehicle Identification numbers not in inventory (can cause lack of claim)
Review of rejected claims or unprocessed claims; confirming validity of claim and providing documentation to Fiat Chrysler Automobiles for payment</v>
      </c>
      <c r="L7" s="8" t="str">
        <f>'MR-5'!$C$6</f>
        <v>$1 - $5 M</v>
      </c>
      <c r="M7" s="8" t="str">
        <f>'MR-5'!$C$7</f>
        <v>$1 - $5 M</v>
      </c>
      <c r="N7" s="8" t="str">
        <f>'MR-5'!$B$10</f>
        <v>Impact was based on two operational risk events that have been opened around the incentives/claims process.  The first, 215471, centered around special incentives that were offered.  There were $263K in claims submitted after the issue (incomplete incentive information loaded into the system) was identified.  The second, open risk event, centers around a policy change that was made which caused us to miss approximately $2.6MM in claims initially.  We are working to claim the original missed claims while waiting for a change in credit that will eliminate the issue going forward.  Both occurrences caused a delay in claim, not an actual loss long term.</v>
      </c>
      <c r="O7" s="10"/>
    </row>
    <row r="8" spans="1:15" ht="409.5" x14ac:dyDescent="0.25">
      <c r="A8" s="7"/>
      <c r="B8" s="7" t="str">
        <f>'Approval and Documentation'!C$4</f>
        <v>Auto Finance</v>
      </c>
      <c r="C8" s="7" t="str">
        <f>'Approval and Documentation'!C$6</f>
        <v>Auto Finance</v>
      </c>
      <c r="D8" s="8" t="str">
        <f>'MR-1'!$C$1</f>
        <v>Credit, Funding, Decision Science</v>
      </c>
      <c r="E8" s="7" t="s">
        <v>656</v>
      </c>
      <c r="F8" s="8" t="str">
        <f>'MR-6'!$C$2</f>
        <v xml:space="preserve">Strategic </v>
      </c>
      <c r="G8" s="8" t="str">
        <f>'MR-6'!$C$3</f>
        <v>Corporate Governance</v>
      </c>
      <c r="H8" s="8" t="str">
        <f>'MR-6'!$C$4</f>
        <v>Managing Business vs. Committees and Meetings</v>
      </c>
      <c r="I8" s="8" t="str">
        <f>'MR-6'!$A$12</f>
        <v xml:space="preserve">Competing time commitments with key management personnel may make it difficult to apply both appropriate focus on running the business and attend / digest governance committee meeting materials, which could result in poor strategic and tactical decisions, potentially resulting in financial loss, or risk of errors or misrepresentation in committee material.
Historically, SCUSA’s culture was largely entrepreneurially rooted, which meant its executive management team was heavily involved in day-to-day operations and associates were focused on project completion, speed to market and moving from one opportunity to the next – much like a start-up company. In addition, this environment allowed SCUSA to quickly execute and implement strategy changes.
As SCUSA grew into its next phase as a public company, so did its need to improve internal/external communications, as well as analyzing and documenting strategy changes prior to execution. While these best practices are imperative for any large public company, they also introduce the risk of “paralysis by analysis."  The perceived need to conduct frequent “meetings,” if pervasive, can choke the innovation out of a company. What’s more, excessive time spent in meetings can cause executive management to become detached from the operations, which frequently leads to financial loss and missed opportunities.
</v>
      </c>
      <c r="J8" s="8">
        <f>'MR-6'!$C$5</f>
        <v>0</v>
      </c>
      <c r="K8" s="8" t="str">
        <f>'MR-6'!$A$9</f>
        <v xml:space="preserve">SCUSA is continuously evaluating the effectiveness of committee and meeting content, frequency, duration, and attendees.  </v>
      </c>
      <c r="L8" s="8" t="str">
        <f>'MR-6'!$C$6</f>
        <v>$1 - $5 M</v>
      </c>
      <c r="M8" s="8" t="str">
        <f>'MR-6'!$C$7</f>
        <v>$1 - $5 M</v>
      </c>
      <c r="N8" s="8" t="str">
        <f>'MR-6'!$B$10</f>
        <v>While difficult to quantify, there is a direct cost associated with management time spent in meetings, however the larger impact is in potential lost opportunities or in potential inefficiencies associated with spending time away from operations.  Estimated financial impact in both a non-stressed and stressed situation is between $1M-5M</v>
      </c>
      <c r="O8" s="10"/>
    </row>
    <row r="9" spans="1:15" ht="405" x14ac:dyDescent="0.25">
      <c r="A9" s="7"/>
      <c r="B9" s="7" t="str">
        <f>'Approval and Documentation'!C$4</f>
        <v>Auto Finance</v>
      </c>
      <c r="C9" s="7" t="str">
        <f>'Approval and Documentation'!C$6</f>
        <v>Auto Finance</v>
      </c>
      <c r="D9" s="8" t="str">
        <f>'MR-1'!$C$1</f>
        <v>Credit, Funding, Decision Science</v>
      </c>
      <c r="E9" s="7" t="s">
        <v>657</v>
      </c>
      <c r="F9" s="8" t="str">
        <f>'MR-7'!$C$2</f>
        <v>Compliance</v>
      </c>
      <c r="G9" s="8" t="str">
        <f>'MR-7'!$C$3</f>
        <v>Regulators</v>
      </c>
      <c r="H9" s="8" t="str">
        <f>'MR-7'!$C$4</f>
        <v>BSA/AML/OFAC</v>
      </c>
      <c r="I9" s="8" t="str">
        <f>'MR-7'!$A$12</f>
        <v xml:space="preserve">Failure to comply with the Bank Secrecy Act and implementing regulations can have serious consequences. Violations involve regulatory enforcement actions, civil and criminal prosecution, and monetary fines and penalties. The severity of the penalty depends on whether the violation is willful or negligent.  Covered institutions and associates can be liable for criminal penalties/fines or imprisonment. Civil money penalties associated with BSA/AML violations have ranged from thousands into the billions of dollars.  SCUSA has not been fined for a violation; however, the risk exist.  In analyzing historical fines for other companies and based on SCUSA's business the fines could range in the 1 to 5 million dollar range.  
Violations of the BSA/AML laws can be cited on any one or more of the four required pillars of an AML program.  The four pillars are (1) designated party/responsible for compliance program and definitions of responsibility of the board and leadership team; (2) ensuring a system of internal controls; (3) providing adequate training; and (4) independent testing.  In addition, a comprehensive customer due diligence program and account opening procedures are further critical components of an effective BSA/AML program and plays a critical role in helping to identify suspicious and unusual transaction activity and determining whether filing a suspicious activity report is appropriate.    
</v>
      </c>
      <c r="J9" s="8">
        <f>'MR-7'!$C$5</f>
        <v>0</v>
      </c>
      <c r="K9" s="8" t="str">
        <f>'MR-7'!$A$9</f>
        <v xml:space="preserve">SCUSA policy and procedures are designed and implemented to comply with regulatory requirements essential for preventing and detecting fraud, money laundering, terrorist financing and sanctioned parties.  Controls exist from the point of application and throughout the onboarding process.  Onboarding and servicing workflows include automated as well as manual controls.  The controls include: collection of regulatory required customer identification (as required by CIP), enhanced due diligence information (related to occupation, residence, income, etc.), and processes exist to identify and remediate identity theft red flags.  A variety of internally developed controls as well as resources are utilized including those provided through third party risk solution providers (for example Lexis Nexis, Experian, Equifax, and other risk solution partners).  The line of business has implemented quality assurance and quality controls to ensure processes and controls are working as designed.  In addition, the line of business is tested by Compliance.  As issues arise, recommendations are prioritized and implemented to ensure corrective action is taken.  </v>
      </c>
      <c r="L9" s="8" t="str">
        <f>'MR-7'!$C$6</f>
        <v>$1 - $5 M</v>
      </c>
      <c r="M9" s="8" t="str">
        <f>'MR-7'!$C$7</f>
        <v>$1 - $5 M</v>
      </c>
      <c r="N9" s="8" t="str">
        <f>'MR-7'!$B$10</f>
        <v>Improper identification or failure to follow BSA/AML and OFAC regulation could subject SCUSA to regulatory fines.  
Since 2012, several institutions have received large fines and penalties associated with BSA/AML/OFAC, however those large fines came from business SCUSA does not operate in.</v>
      </c>
      <c r="O9" s="10"/>
    </row>
    <row r="10" spans="1:15" ht="240" x14ac:dyDescent="0.25">
      <c r="A10" s="7"/>
      <c r="B10" s="7" t="str">
        <f>'Approval and Documentation'!C$4</f>
        <v>Auto Finance</v>
      </c>
      <c r="C10" s="7" t="str">
        <f>'Approval and Documentation'!C$6</f>
        <v>Auto Finance</v>
      </c>
      <c r="D10" s="8" t="str">
        <f>'MR-1'!$C$1</f>
        <v>Credit, Funding, Decision Science</v>
      </c>
      <c r="E10" s="7" t="s">
        <v>658</v>
      </c>
      <c r="F10" s="8" t="str">
        <f>'MR-8'!$C$2</f>
        <v>Compliance</v>
      </c>
      <c r="G10" s="8" t="str">
        <f>'MR-8'!$C$3</f>
        <v>Lending Laws/Regulations</v>
      </c>
      <c r="H10" s="8" t="str">
        <f>'MR-8'!$C$4</f>
        <v>State Lending Laws</v>
      </c>
      <c r="I10" s="8" t="str">
        <f>'MR-8'!$A$12</f>
        <v xml:space="preserve">Noncompliance with State Lending Laws may result in regulatory compliance violations, reputational exposure, and financial impacts, including potential fines / penalties.
SCUSA conducts business in all 50 states and is responsible for compliance of any state laws that are more restrictive or differ from federal laws.  These laws include compliance with consumer contact frequency and location of contact, letter notification for rights to cure accounts and notice of intent of vehicle disposition after repossession, varying time frames for release of titles or vehicle sales, interest rates maximums, and fee assessments.   Noncompliance with these laws could result in regulatory compliance violations, reputational exposure and financial impacts. </v>
      </c>
      <c r="J10" s="8">
        <f>'MR-8'!$C$5</f>
        <v>0</v>
      </c>
      <c r="K10" s="8" t="str">
        <f>'MR-8'!$A$9</f>
        <v>Systemic controls are imbedded within the account management system that limit contact with consumers outside of allowed calling hours and frequency at the state level for states where laws are more restrictive than FDCPA guidelines.  Title/lien release are systemically done in accordance to individual state requirements and monitored by our QC testing. RTC and NOI letters are systemically sent with correct templates for the varying states required additional information and tested by our QC department monthly.   SCUSA utilizes voice analytic software to assist in monitoring potential compliance and regulatory issues along with a QA department that manually listens to random phone calls of all call center associates.  Our QC department conducts approximately 300 tests monthly including BK, modifications, extensions, dealer mark ups, calling times, cease and desist, and letter compliance.</v>
      </c>
      <c r="L10" s="8" t="str">
        <f>'MR-8'!$C$6</f>
        <v>$5 M - $50 M</v>
      </c>
      <c r="M10" s="8" t="str">
        <f>'MR-8'!$C$7</f>
        <v>$5 M - $50 M</v>
      </c>
      <c r="N10" s="8" t="str">
        <f>'MR-8'!$B$10</f>
        <v xml:space="preserve">For 2014 and through YTD 2015, SCUSA has received 242 plaintiff lawsuits.  Of those, 103 have closed with settlements of approximately $600K.   If the remaining lawsuits are settled or go to court, the settlement or dollars awarded could reach the $5MM limit.   </v>
      </c>
      <c r="O10" s="10"/>
    </row>
    <row r="11" spans="1:15" ht="135" x14ac:dyDescent="0.25">
      <c r="A11" s="7"/>
      <c r="B11" s="7" t="str">
        <f>'Approval and Documentation'!C$4</f>
        <v>Auto Finance</v>
      </c>
      <c r="C11" s="7" t="str">
        <f>'Approval and Documentation'!C$6</f>
        <v>Auto Finance</v>
      </c>
      <c r="D11" s="8" t="str">
        <f>'MR-1'!$C$1</f>
        <v>Credit, Funding, Decision Science</v>
      </c>
      <c r="E11" s="7" t="s">
        <v>659</v>
      </c>
      <c r="F11" s="8" t="str">
        <f>'MR-9'!$C$2</f>
        <v xml:space="preserve">Strategic </v>
      </c>
      <c r="G11" s="8" t="str">
        <f>'MR-9'!$C$3</f>
        <v>Expertise</v>
      </c>
      <c r="H11" s="8" t="str">
        <f>'MR-9'!$C$4</f>
        <v>Auto: Collections Strategy</v>
      </c>
      <c r="I11" s="8" t="str">
        <f>'MR-9'!$A$12</f>
        <v>Auto: Errors in collection strategy may result in sub-optimal collection results and financial loss.
Failure to recognize trends in originations volume, delinquency, roll rates, early pay defaults, tool utilization, or potential loss account volume could impact gross charge off amounts.  Trends must be identified to insure appropriate staffing and treatment of accounts including effort driven statistics  to maintain set standards and service levels.</v>
      </c>
      <c r="J11" s="8">
        <f>'MR-9'!$C$5</f>
        <v>0</v>
      </c>
      <c r="K11" s="8" t="str">
        <f>'MR-9'!$A$9</f>
        <v>Reporting is key with oversight by management to recognize trends or deficiencies.   Staffing is measured against capacity plans that take origination volume, seasonal delinquency trends, actual delinquency, call handle time, and inbound volume to determine adequate staffing numbers per department.   Account level detail is provided by delinquency level (current, potential, and vintage) for all areas including collections, titles, insurance, impounds, bankruptcy, SCRA, and cease and desist.</v>
      </c>
      <c r="L11" s="8" t="str">
        <f>'MR-9'!$C$6</f>
        <v>$1 - $5 M</v>
      </c>
      <c r="M11" s="8" t="str">
        <f>'MR-9'!$C$7</f>
        <v>$5 M - $50 M</v>
      </c>
      <c r="N11" s="8" t="str">
        <f>'MR-9'!$B$10</f>
        <v>The average gross loss on our balance sheet accounts is ~$300m per month, a mistake resulting in missing loss objectives by a single basis point would equate to $28m financial impact month.</v>
      </c>
      <c r="O11" s="10"/>
    </row>
    <row r="12" spans="1:15" ht="30" x14ac:dyDescent="0.25">
      <c r="A12" s="7"/>
      <c r="B12" s="7" t="str">
        <f>'Approval and Documentation'!C$4</f>
        <v>Auto Finance</v>
      </c>
      <c r="C12" s="7" t="str">
        <f>'Approval and Documentation'!C$6</f>
        <v>Auto Finance</v>
      </c>
      <c r="D12" s="8" t="str">
        <f>'MR-1'!$C$1</f>
        <v>Credit, Funding, Decision Science</v>
      </c>
      <c r="E12" s="161" t="s">
        <v>734</v>
      </c>
      <c r="F12" s="160"/>
      <c r="G12" s="160"/>
      <c r="H12" s="160"/>
      <c r="I12" s="160"/>
      <c r="J12" s="160"/>
      <c r="K12" s="160"/>
      <c r="L12" s="160"/>
      <c r="M12" s="160"/>
      <c r="N12" s="160"/>
      <c r="O12" s="10"/>
    </row>
    <row r="13" spans="1:15" ht="30" x14ac:dyDescent="0.25">
      <c r="A13" s="7"/>
      <c r="B13" s="7" t="str">
        <f>'Approval and Documentation'!C$4</f>
        <v>Auto Finance</v>
      </c>
      <c r="C13" s="7" t="str">
        <f>'Approval and Documentation'!C$6</f>
        <v>Auto Finance</v>
      </c>
      <c r="D13" s="8" t="str">
        <f>'MR-1'!$C$1</f>
        <v>Credit, Funding, Decision Science</v>
      </c>
      <c r="E13" s="161" t="s">
        <v>735</v>
      </c>
      <c r="F13" s="160"/>
      <c r="G13" s="160"/>
      <c r="H13" s="160"/>
      <c r="I13" s="160"/>
      <c r="J13" s="160"/>
      <c r="K13" s="160"/>
      <c r="L13" s="160"/>
      <c r="M13" s="160"/>
      <c r="N13" s="160"/>
      <c r="O13" s="10"/>
    </row>
    <row r="14" spans="1:15" ht="409.5" x14ac:dyDescent="0.25">
      <c r="A14" s="7"/>
      <c r="B14" s="7" t="str">
        <f>'Approval and Documentation'!C$4</f>
        <v>Auto Finance</v>
      </c>
      <c r="C14" s="7" t="str">
        <f>'Approval and Documentation'!C$6</f>
        <v>Auto Finance</v>
      </c>
      <c r="D14" s="8" t="str">
        <f>'MR-1'!$C$1</f>
        <v>Credit, Funding, Decision Science</v>
      </c>
      <c r="E14" s="7" t="s">
        <v>660</v>
      </c>
      <c r="F14" s="8" t="str">
        <f>'MR-12'!$C$2</f>
        <v>Compliance</v>
      </c>
      <c r="G14" s="8" t="str">
        <f>'MR-12'!$C$3</f>
        <v>Legal</v>
      </c>
      <c r="H14" s="8" t="str">
        <f>'MR-12'!$C$4</f>
        <v>Regulator Inquiries</v>
      </c>
      <c r="I14" s="8" t="str">
        <f>'MR-12'!$A$12</f>
        <v xml:space="preserve">SCUSA is subject to inspections, examinations, supervision, and regulation by the Securities and Exchange Commission ("SEC" or "Commission"), the CFPB, the Federal Trade Commission ("FTC"), the Department of Justice ("DOJ") and by regulatory agencies in each state in which we are licensed.  Adverse outcomes to current and future litigation against us may negatively impact our financial position, liquidity, and results of operations.  DOJ and other federal and state regulator inquiries or subpoenas may result in customer remediation, reputational exposure, financial impacts, and / or fines and penalties.
Based on industry data and information to-date from regulators and previous exposure over the years, as well as heightened regulatory scrutiny.  For example, the Ally and Honda CFPB fines were $80-98MM ad $24-25MM and the DOJ consent order for SCRA in the amount of $9.3MM.  Based on current discussions with regulators, SCUSA has set aside $5MM in legal reserves for CFPB Fair Lending Issues.  Expected losses in the next year would be $5-$50MM.  For the worst year in the next ten, stressed impact could potentially be in the lower end of the $50-$250MM range.
We've seen continuous scrutiny related to operating in the subprime space, and several news articles related to a potential "subprime bubble."     
In July 2014, the DOJ commenced an investigation of SCUSA for documentation related to non-prime underwriting and securitization, which could result in regulatory enforcement action, negative investor opinions (liquidity), reputational impacts, and additional fines and penalties.
</v>
      </c>
      <c r="J14" s="8">
        <f>'MR-12'!$C$5</f>
        <v>0</v>
      </c>
      <c r="K14" s="8" t="str">
        <f>'MR-12'!$A$9</f>
        <v xml:space="preserve">* Compliance &amp; Internal Audit reviews for Fair Lending and SCRA
* Revised Policies and Procedures for SCRA 
* Annual reviews of compliance related policies and procedures with internal Compliance and Legal (internal and outside counsel)
*Automated controls for underwriting and servicing
</v>
      </c>
      <c r="L14" s="8" t="str">
        <f>'MR-12'!$C$6</f>
        <v>$5 M - $50 M</v>
      </c>
      <c r="M14" s="8" t="str">
        <f>'MR-12'!$C$7</f>
        <v>$50 M - $250 M</v>
      </c>
      <c r="N14" s="8" t="str">
        <f>'MR-12'!$B$10</f>
        <v>For annual expected loss, SCUSA has paid out $9.3MM for SCRA, and has reserved $5MM in legal reserves for the CFPB Fair Lending investigation.  SCUSA estimates that our expected losses in the next year would be on the low end of $5-$50MM.
For Stressed Financial Impact, we based our assumed loss on industry data and information to-date from regulators, incorporating experience from previous exposure over the years.  For example, the Ally and Honda CFPB fines were $80-98MM ad $24-25MM.  For the worst year in the next ten, Stressed Impact could potentially be in the lower end of the $50-$250MM range.</v>
      </c>
      <c r="O14" s="10"/>
    </row>
    <row r="15" spans="1:15" ht="270" x14ac:dyDescent="0.25">
      <c r="A15" s="7"/>
      <c r="B15" s="7" t="str">
        <f>'Approval and Documentation'!C$4</f>
        <v>Auto Finance</v>
      </c>
      <c r="C15" s="7" t="str">
        <f>'Approval and Documentation'!C$6</f>
        <v>Auto Finance</v>
      </c>
      <c r="D15" s="8" t="str">
        <f>'MR-1'!$C$1</f>
        <v>Credit, Funding, Decision Science</v>
      </c>
      <c r="E15" s="7" t="s">
        <v>661</v>
      </c>
      <c r="F15" s="8" t="str">
        <f>'MR-13'!$C$2</f>
        <v>Credit</v>
      </c>
      <c r="G15" s="8" t="str">
        <f>'MR-13'!$C$3</f>
        <v>Product</v>
      </c>
      <c r="H15" s="8" t="str">
        <f>'MR-13'!$C$4</f>
        <v>New Business Initiatives</v>
      </c>
      <c r="I15" s="8" t="str">
        <f>'MR-13'!$A$12</f>
        <v>New business initiatives, segments or products where SCUSA has limited or no prior experience may result in financial losses due to execution risk, unintended regulatory violations, or difficulty in accurately forecasting financial performance through market cycles.  Given the Key Controls outlined in the document, we do not believe the residual risk would result in a material risk as defined, even in a worst in ten year impact review.  SCUSA is not engaging in any new activities as defined above.</v>
      </c>
      <c r="J15" s="8">
        <f>'MR-13'!$C$5</f>
        <v>0</v>
      </c>
      <c r="K15" s="8" t="str">
        <f>'MR-13'!$A$9</f>
        <v xml:space="preserve">Any new business initiative must be presented to the SCUSA Executive Management Committee (EMC) for consideration and decision as to whether the prospective product, program or initiative is considered 'new' for the purpose of governance approval requirements.  If deemed 'new', the product, program or initiative is required to be presented through other committees, including at SHUSA, and ultimately to the Fed prior to any implementation. If not deemed 'new' by the EMC, the product, program or initiative is directed to another committee within SCUSA for consideration to be prioritized.  In some cases, the product, program or initiative is not prioritized, even if the EMC doesn't consider to be 'new' due to higher priority projects or other resource or timing constraints.  In those cases, the product, program or initiative is tabled for future discussion.  The current process ensures adherence to the governance requirement that SCUSA will not unilaterally engage in new activities. </v>
      </c>
      <c r="L15" s="8">
        <f>'MR-13'!$C$6</f>
        <v>0</v>
      </c>
      <c r="M15" s="8">
        <f>'MR-13'!$C$7</f>
        <v>0</v>
      </c>
      <c r="N15" s="8" t="str">
        <f>'MR-13'!$B$10</f>
        <v>Given the Key Controls outlined in the document, we do not believe the residual risk would result in a material risk as defined, even in a worst in ten year impact review.  SCUSA is not engaging in any new activities as defined above.</v>
      </c>
      <c r="O15" s="10"/>
    </row>
    <row r="16" spans="1:15" ht="409.5" x14ac:dyDescent="0.25">
      <c r="A16" s="7"/>
      <c r="B16" s="7" t="str">
        <f>'Approval and Documentation'!C$4</f>
        <v>Auto Finance</v>
      </c>
      <c r="C16" s="7" t="str">
        <f>'Approval and Documentation'!C$6</f>
        <v>Auto Finance</v>
      </c>
      <c r="D16" s="8" t="str">
        <f>'MR-1'!$C$1</f>
        <v>Credit, Funding, Decision Science</v>
      </c>
      <c r="E16" s="7" t="s">
        <v>662</v>
      </c>
      <c r="F16" s="8" t="str">
        <f>'MR-14'!$C$2</f>
        <v xml:space="preserve">Strategic </v>
      </c>
      <c r="G16" s="8" t="str">
        <f>'MR-14'!$C$3</f>
        <v>Product offerings</v>
      </c>
      <c r="H16" s="8" t="str">
        <f>'MR-14'!$C$4</f>
        <v>Loss of Chrysler relationship</v>
      </c>
      <c r="I16" s="8" t="str">
        <f>'MR-14'!$A$12</f>
        <v xml:space="preserve">The loss of Chrysler as a business partner could result in SCUSA experiencing significant losses. The impact on SCUSA would differ based on whether the relationship was lost due to Chrysler terminating the contract (because SCUSA was unable to meet the contractual obligations of the agreement) or lost due to a Chrysler bankruptcy event.  While Chrysler’s current performance is strong with favorable trends in sales during recent periods, Chrysler has a history of bankruptcy events and went through a chapter 11 bankruptcy as recently as 2009.  While management of the new business is completely different and Chrysler now has the support of the Fiat parent, possibility for a bankruptcy in the future does still exist and as discussed in the controls section, SCUSA is unable to implement controls that could safeguard the Company against a possible Chrysler bankruptcy.  When considering the loss of Chrysler due to contractual breaches by SCUSA, management deems this risk to be lower, since SCUSA can implement controls to help ensure the Company is meeting its contractual obligations.       
Termination of the Chrysler relationship, either through contractual breach or bankruptcy, would lead to financial losses on SCUSA’s financials.  This financial impact would differ depending on the reason behind the termination of the contract.  
In the event of termination of the Chrysler contract due to SCUSA breaching contract terms or bankruptcy, SCUSA would be impacted by the following items:
-          At present, SCUSA is amortizing the upfront fee ($150mm) paid to Chrysler to enter the contract over the life of the agreement (10 years).  In the event that the relationship was abolished, SCUSA would be forced to immediately recognize the unamortized portion of this expense.  
-          Termination of the Chrysler relationship would result in the loss of all future lease origination volumes and substantial reduction in the volume of Chrysler loan originations.  The loss of this future business would result in lower revenues from reduction in net interest income on the loans, servicing fees and any gain on sale for sold assets.    
-          SCUSA also receives referral fees for any loans to Chrysler dealerships (e.g., floor plans or real estate) made by SBNA.  In the event of a terminated agreement, SCUSA would no longer receive any revenue from these referral fees.   
-          Some component of SCUSA’s market valuation is based on the future proceeds and growth that the Company will realize as a result of the Chrysler relationship.  Should this relationship be terminated, the market would react negatively to the event and drive down the stock price, thereby reducing SCUSA’s market value.  While this event will not directly impact SCUSA’s bottom line, it may result in negative market perceptions, not easily quantified, that lead to loss of lending relationships or increased cost of funds for SCUSA’s borrowings.   
In the event of termination of the Chrysler contract due to bankruptcy, SCUSA would also be impacted by the following items:
-          In bankruptcy, the risk sharing arrangement currently in place for leases would be compromised.  The risk sharing agreement provides protection to SCUSA for any larger than expected declines in residual value on the lease vehicle assets.  Any losses incurred due to declines in these residual values are shared with Chrysler (although any gains to SCUSA from higher than expected residual values is shared with Chrysler).  
-          In the event of a Chrysler bankruptcy, it is possible that the resale value for all Chrysler vehicles could decline in value.  As a result, SCUSA would experience increased losses as the recovery value of vehicles sold at auction would be reduced.  Reduction in these values results in higher net credit losses for the Company which leads to higher provision expenses and reduced earnings.
In the event that the relationship was terminated, a series of factors exist that would help mitigate the loss experienced by SCUSA.  
-          SCUSA maintains other partnerships and is constantly working on generating new business that could be used to offset the impact of losing Chrysler as a partner.  Additionally, due to terms of the Chrysler agreement, there are some business opportunities that SCUSA is currently unable to pursue as they would conflict with the Chrysler relationship.  Should this relationship be terminated (due to contractual breach or Chrysler BK), SCUSA would be able to pursue these opportunities to help replace some Chrysler volume.  
-          Any unwarranted termination by Chrysler would cause SCUSA’s current revenue sharing payments made to Chrysler to cease, resulting in higher retained income for SCUSA.
-          Lower origination volumes would lessen the Company’s funding needs, thereby allowing SCUSA to target the least costly funding options, lowering the cost of funds for the loans and increasing net interest margin.  
-          Extensive residual value analysis that quantifies the risk of losing the Chrysler relationship has been completed.  Analysis helps management understand SCUSA’s potential exposure to Chrysler not fulfilling their counterparty obligations in addition to how lower recovery / residual values might impact SCUSA’s book of loans / leases.  
</v>
      </c>
      <c r="J16" s="8">
        <f>'MR-14'!$C$5</f>
        <v>0</v>
      </c>
      <c r="K16" s="8" t="str">
        <f>'MR-14'!$A$9</f>
        <v xml:space="preserve">SCUSA’s relationship with Chrysler is based on a contractual agreement, whereby both parties are subject to the terms and conditions of the relationship.  SCUSA is not able to implement any controls that could prevent the loss of this relationship due to a Chrysler bankruptcy (i.e., SCUSA has no control over Chrysler’s business operations, vehicle production, marketing efforts, expense management, etc.). However, SCUSA is able to implement controls that help ensure that the Company is able to uphold SCUSA’s contractual obligations, thereby reducing the likelihood that Chrysler could terminate the relationship.  Examples of these controls include the following:  
- SCUSA has implemented roles at the Company that are dedicated to managing the relationship with Chrysler.  These resources are embedded within the OEM regions and work with the OEM to implement incentive programs and products in a mutually beneficial way. This focus both helps Chrysler sell incremental vehicles and positions SCUSA as the sole or preferred funding entity for those vehicles. 
- SCUSA monitors performance against all metrics included within the Chrysler agreement.  Results of the analysis are reviewed in monthly operational committees with senior management from SCUSA and the OEM.  Additionally, quarterly Steering Committee meetings are held where these targets and performance are reviewed and discussed.  These forums allow all parties to understand the extent to which SCUSA is meeting its obligations as well as being presented with rationale for why some performance metrics may have been missed.  
- SCUSA has implemented a flexible platform for originations that allows for dynamic changes in the volume of assets that are originated / funded by the Company.  In the event that funding becomes constrained, SCUSA can quickly update pricing on selected product tiers in order to reduce volume of non-Chrysler assets such that Chrysler loans receive priority and Chrysler funding commitments can continue to be met.
Based on the controls implemented above, management believes that the Company is able to sufficiently manage the relationship with Chrysler and substantially reduce any risk that the relationship would be terminated due to SCUSA’s non-compliance with the contractual obligations.  As described above, SCUSA is not able to control for a potential loss in the Chrysler relationship that would result from a Chrysler bankruptcy. 
</v>
      </c>
      <c r="L16" s="8" t="str">
        <f>'MR-14'!$C$6</f>
        <v>$250 M - $500 M</v>
      </c>
      <c r="M16" s="8" t="str">
        <f>'MR-14'!$C$7</f>
        <v>&gt; $500 M</v>
      </c>
      <c r="N16" s="8" t="str">
        <f>'MR-14'!$B$10</f>
        <v xml:space="preserve">While there would be a market value impact caused by decline in the Company's stock price due to the loss of the relationship, the impact would not directly impact the Company's earnings.  
Direct impacts to earnings would include the following: 
- Immediate recognition of the upfront fee paid to Chrysler that is currently amortizing at $1.25mm per month.  Currently outstanding balance of the amortizing expense is $117.5mm, which would be recognized as soon as the relationship was terminated and would be the same in base or stress.  
- Without the Chrysler agreement, the current earnings streams generated through this relationship would be forfeited.  In 2015, the projected earnings from Chrysler loans and leases is projected to be approximately $300mm, which includes referral fees received from SBNA's dealer lending originations.  In a base scenario, the full earnings would not be lost as SCUSA would still maintain relationships with Chrysler dealers and the Company could pursue additional opportunities that are currently on hold to avoid any conflict of interest.  As such, in a base scenario, SCUSA would likely only forego $150mm in future earnings.  In stress, the Company would assume that the full $300mm would be lost. 
- At present, the projected residual values on Chrysler vehicles result in a revenue share from SCUSA, as opposed to a loss share payment from Chrysler.  As such, if the contract were to terminate, SCUSA currently doesn't have any estimated exposure to changes in residual value.  Instead, it would forgo the payment to Chrysler of $71mm.  However, because residual values fluctuate, SCUSA could incur losses for any given year. 
- Auction values:  SCUSA has performed analysis to try and determine what impact the Chrysler bankruptcy in 2009 had on residual value for Chrysler vehicles.  Based on auction sales values realized on Chrysler vehicles, while a decline in auction proceeds for Chrysler vehicles occurred during the crisis, auction proceeds rose from January 1, 2009 up until the point when Chrysler filed for bankruptcy.  After the bankruptcy, proceeds from auction sales on Chrysler vehicles did not show any decline, but continued the general trend of increases in proceeds from the auction sales.
- Despite the analysis that supports that SCUSA currently would not incur a loss due to retention of residual value risk on Chrysler vehicles and that the value of Chrysler vehicles did not exhibit declines upon Chrysler filing for bankruptcy, the Company has performed additional scenario analysis to estimate potential losses caused by retention of residual value risk and possible declines in the value of Chrysler vehicles.  The only scenario that resulted in a loss was when no mitigates existed and Chrysler went bankrupt.  This scenario demonstrated a loss of $541mm pre-tax, which could be included in a stressed financial impact.  
</v>
      </c>
      <c r="O16" s="10"/>
    </row>
    <row r="17" spans="1:15" ht="300" x14ac:dyDescent="0.25">
      <c r="A17" s="7"/>
      <c r="B17" s="7" t="str">
        <f>'Approval and Documentation'!C$4</f>
        <v>Auto Finance</v>
      </c>
      <c r="C17" s="7" t="str">
        <f>'Approval and Documentation'!C$6</f>
        <v>Auto Finance</v>
      </c>
      <c r="D17" s="8" t="str">
        <f>'MR-1'!$C$1</f>
        <v>Credit, Funding, Decision Science</v>
      </c>
      <c r="E17" s="7" t="s">
        <v>663</v>
      </c>
      <c r="F17" s="8" t="str">
        <f>'MR-15'!$C$2</f>
        <v>Model</v>
      </c>
      <c r="G17" s="8" t="str">
        <f>'MR-15'!$C$3</f>
        <v>Residual Value</v>
      </c>
      <c r="H17" s="8" t="str">
        <f>'MR-15'!$C$4</f>
        <v>Residual Value Risk</v>
      </c>
      <c r="I17" s="8" t="str">
        <f>'MR-15'!$A$12</f>
        <v xml:space="preserve">Lease residual values risk is expected to be only moderate for the coming year as tapered gas prices continue to hold used vehicle prices at a healthy level.  Over the past 10 years, the worst year was in 2008 and was driven largely by the credit crunch and the spike in gas prices, as well as consumer confidence drop based on statistical significance.  Supply is often an important driver as well.  The worst year would have shown a -4.36% of Net Cap Cost residual value impact compared to the industry benchmark to which we are tethered, but only on the vehicles maturing that year, not on whole portfolio.  However, the lease gross yield as well as risk-sharing, early terminations, alternative advantageous disposition channels would have collectively yielded a +1.85% lifetime lease ROA (or approx +0.83% lease ROA annualized) due to -$219MM residual value detriment netted from net yield) even over this worst year on these leases.  Gross yield from rents, fees, etc cannot be separated from the residual values risk piece of a lease and therefore the importance of relying on total ROA of lease during worst period rather than simply the residual value piece alone that is inseparable.  </v>
      </c>
      <c r="J17" s="8" t="str">
        <f>'MR-15'!$C$5</f>
        <v>Used Vehicle Prices (Down)</v>
      </c>
      <c r="K17" s="8" t="str">
        <f>'MR-15'!$A$9</f>
        <v xml:space="preserve">Some of the key mitigants to residual value risk are that half of all leases are turned in PRIOR to full maturity data, thusly allowing us to liquidate the vehicle asset with less actual value depreciation than was expected at origination.  In addition, Chrysler risk-sharing agreements greatly decrease our risk in the even of a strong down-turn in used vehicle market.  We charge disposition fees to customers to cover costs associated with auction liquidation charges/transportation fees.  We also have alternative disposition channels we've implemented besides physical auction which lessens our risks (for example, we remarket to the lessees themselves to persuade them to buy their off-lease vehicle for original residual value so that there is no risk + $350 purchase fee to us. Also we sell to dealers via the online dealer-direct channel which quickens our liquidation timeframe and saves on COF, and reduces our auction transportation expenses since grounding dealer can buy the cars, etc.) </v>
      </c>
      <c r="L17" s="8" t="str">
        <f>'MR-15'!$C$6</f>
        <v>$5 M - $50 M</v>
      </c>
      <c r="M17" s="8" t="str">
        <f>'MR-15'!$C$7</f>
        <v>$50 M - $250 M</v>
      </c>
      <c r="N17" s="8" t="str">
        <f>'MR-15'!$B$10</f>
        <v>We based the analysis on the most recent 12-years of actual used car market vs. ALG for our portfolio mix so us based on actual historical stresses.  That said, concerning econometric research that explained these stresses, the worst year in 2008 was largely impacted by the sever credit crunch and spike in gas prices based on our statistical econometric modeling.  Used vehicle supply is also a typical driver of the wholesale market.  Our model documentation includes stressed impacts for the top leased vehicles that collectively encompass majority of our lease originations for each variable at its worst point during last 10 years.  Also, the 12-year study is available for reference as needed.  Worst 12-month period from the 12-year study would have yielded only a 0.83% ROA with a $219MM residual value detriment netted from net yield.</v>
      </c>
      <c r="O17" s="10"/>
    </row>
    <row r="18" spans="1:15" ht="42.75" customHeight="1" x14ac:dyDescent="0.25">
      <c r="A18" s="7"/>
      <c r="B18" s="7" t="str">
        <f>'Approval and Documentation'!C$4</f>
        <v>Auto Finance</v>
      </c>
      <c r="C18" s="7" t="str">
        <f>'Approval and Documentation'!C$6</f>
        <v>Auto Finance</v>
      </c>
      <c r="D18" s="8" t="e">
        <f>#REF!</f>
        <v>#REF!</v>
      </c>
      <c r="E18" s="11">
        <v>16</v>
      </c>
      <c r="F18" s="8" t="e">
        <f>#REF!</f>
        <v>#REF!</v>
      </c>
      <c r="G18" s="8" t="e">
        <f>#REF!</f>
        <v>#REF!</v>
      </c>
      <c r="H18" s="8" t="e">
        <f>#REF!</f>
        <v>#REF!</v>
      </c>
      <c r="I18" s="8" t="e">
        <f>#REF!</f>
        <v>#REF!</v>
      </c>
      <c r="J18" s="8" t="e">
        <f>#REF!</f>
        <v>#REF!</v>
      </c>
      <c r="K18" s="8" t="e">
        <f>#REF!</f>
        <v>#REF!</v>
      </c>
      <c r="L18" s="8" t="e">
        <f>#REF!</f>
        <v>#REF!</v>
      </c>
      <c r="M18" s="8" t="e">
        <f>#REF!</f>
        <v>#REF!</v>
      </c>
      <c r="N18" s="8" t="e">
        <f>#REF!</f>
        <v>#REF!</v>
      </c>
      <c r="O18" s="10"/>
    </row>
    <row r="19" spans="1:15" ht="42.75" customHeight="1" x14ac:dyDescent="0.25">
      <c r="A19" s="7"/>
      <c r="B19" s="7" t="str">
        <f>'Approval and Documentation'!C$4</f>
        <v>Auto Finance</v>
      </c>
      <c r="C19" s="7" t="str">
        <f>'Approval and Documentation'!C$6</f>
        <v>Auto Finance</v>
      </c>
      <c r="D19" s="8" t="e">
        <f>#REF!</f>
        <v>#REF!</v>
      </c>
      <c r="E19" s="7">
        <v>17</v>
      </c>
      <c r="F19" s="8" t="e">
        <f>#REF!</f>
        <v>#REF!</v>
      </c>
      <c r="G19" s="8" t="e">
        <f>#REF!</f>
        <v>#REF!</v>
      </c>
      <c r="H19" s="8" t="e">
        <f>#REF!</f>
        <v>#REF!</v>
      </c>
      <c r="I19" s="8" t="e">
        <f>#REF!</f>
        <v>#REF!</v>
      </c>
      <c r="J19" s="8" t="e">
        <f>#REF!</f>
        <v>#REF!</v>
      </c>
      <c r="K19" s="8" t="e">
        <f>#REF!</f>
        <v>#REF!</v>
      </c>
      <c r="L19" s="8" t="e">
        <f>#REF!</f>
        <v>#REF!</v>
      </c>
      <c r="M19" s="8" t="e">
        <f>#REF!</f>
        <v>#REF!</v>
      </c>
      <c r="N19" s="8" t="e">
        <f>#REF!</f>
        <v>#REF!</v>
      </c>
      <c r="O19" s="10"/>
    </row>
    <row r="20" spans="1:15" ht="42.75" customHeight="1" x14ac:dyDescent="0.25">
      <c r="A20" s="7"/>
      <c r="B20" s="7" t="str">
        <f>'Approval and Documentation'!C$4</f>
        <v>Auto Finance</v>
      </c>
      <c r="C20" s="7" t="str">
        <f>'Approval and Documentation'!C$6</f>
        <v>Auto Finance</v>
      </c>
      <c r="D20" s="8" t="e">
        <f>#REF!</f>
        <v>#REF!</v>
      </c>
      <c r="E20" s="11">
        <v>18</v>
      </c>
      <c r="F20" s="8" t="e">
        <f>#REF!</f>
        <v>#REF!</v>
      </c>
      <c r="G20" s="8" t="e">
        <f>#REF!</f>
        <v>#REF!</v>
      </c>
      <c r="H20" s="8" t="e">
        <f>#REF!</f>
        <v>#REF!</v>
      </c>
      <c r="I20" s="8" t="e">
        <f>#REF!</f>
        <v>#REF!</v>
      </c>
      <c r="J20" s="8" t="e">
        <f>#REF!</f>
        <v>#REF!</v>
      </c>
      <c r="K20" s="8" t="e">
        <f>#REF!</f>
        <v>#REF!</v>
      </c>
      <c r="L20" s="8" t="e">
        <f>#REF!</f>
        <v>#REF!</v>
      </c>
      <c r="M20" s="8" t="e">
        <f>#REF!</f>
        <v>#REF!</v>
      </c>
      <c r="N20" s="8" t="e">
        <f>#REF!</f>
        <v>#REF!</v>
      </c>
      <c r="O20" s="10"/>
    </row>
    <row r="21" spans="1:15" ht="42.75" customHeight="1" x14ac:dyDescent="0.25">
      <c r="A21" s="7"/>
      <c r="B21" s="7" t="str">
        <f>'Approval and Documentation'!C$4</f>
        <v>Auto Finance</v>
      </c>
      <c r="C21" s="7" t="str">
        <f>'Approval and Documentation'!C$6</f>
        <v>Auto Finance</v>
      </c>
      <c r="D21" s="8" t="e">
        <f>#REF!</f>
        <v>#REF!</v>
      </c>
      <c r="E21" s="7">
        <v>19</v>
      </c>
      <c r="F21" s="8" t="e">
        <f>#REF!</f>
        <v>#REF!</v>
      </c>
      <c r="G21" s="8" t="e">
        <f>#REF!</f>
        <v>#REF!</v>
      </c>
      <c r="H21" s="8" t="e">
        <f>#REF!</f>
        <v>#REF!</v>
      </c>
      <c r="I21" s="8" t="e">
        <f>#REF!</f>
        <v>#REF!</v>
      </c>
      <c r="J21" s="8" t="e">
        <f>#REF!</f>
        <v>#REF!</v>
      </c>
      <c r="K21" s="8" t="e">
        <f>#REF!</f>
        <v>#REF!</v>
      </c>
      <c r="L21" s="8" t="e">
        <f>#REF!</f>
        <v>#REF!</v>
      </c>
      <c r="M21" s="8" t="e">
        <f>#REF!</f>
        <v>#REF!</v>
      </c>
      <c r="N21" s="8" t="e">
        <f>#REF!</f>
        <v>#REF!</v>
      </c>
      <c r="O21" s="10"/>
    </row>
    <row r="22" spans="1:15" ht="42.75" customHeight="1" x14ac:dyDescent="0.25">
      <c r="A22" s="7"/>
      <c r="B22" s="7" t="str">
        <f>'Approval and Documentation'!C$4</f>
        <v>Auto Finance</v>
      </c>
      <c r="C22" s="7" t="str">
        <f>'Approval and Documentation'!C$6</f>
        <v>Auto Finance</v>
      </c>
      <c r="D22" s="8" t="e">
        <f>#REF!</f>
        <v>#REF!</v>
      </c>
      <c r="E22" s="11">
        <v>20</v>
      </c>
      <c r="F22" s="8" t="e">
        <f>#REF!</f>
        <v>#REF!</v>
      </c>
      <c r="G22" s="8" t="e">
        <f>#REF!</f>
        <v>#REF!</v>
      </c>
      <c r="H22" s="8" t="e">
        <f>#REF!</f>
        <v>#REF!</v>
      </c>
      <c r="I22" s="8" t="e">
        <f>#REF!</f>
        <v>#REF!</v>
      </c>
      <c r="J22" s="8" t="e">
        <f>#REF!</f>
        <v>#REF!</v>
      </c>
      <c r="K22" s="8" t="e">
        <f>#REF!</f>
        <v>#REF!</v>
      </c>
      <c r="L22" s="8" t="e">
        <f>#REF!</f>
        <v>#REF!</v>
      </c>
      <c r="M22" s="8" t="e">
        <f>#REF!</f>
        <v>#REF!</v>
      </c>
      <c r="N22" s="8" t="e">
        <f>#REF!</f>
        <v>#REF!</v>
      </c>
      <c r="O22" s="10"/>
    </row>
    <row r="23" spans="1:15" ht="42.75" customHeight="1" x14ac:dyDescent="0.25">
      <c r="A23" s="7"/>
      <c r="B23" s="7" t="str">
        <f>'Approval and Documentation'!C$4</f>
        <v>Auto Finance</v>
      </c>
      <c r="C23" s="7" t="str">
        <f>'Approval and Documentation'!C$6</f>
        <v>Auto Finance</v>
      </c>
      <c r="D23" s="8" t="e">
        <f>#REF!</f>
        <v>#REF!</v>
      </c>
      <c r="E23" s="11">
        <v>21</v>
      </c>
      <c r="F23" s="8" t="e">
        <f>#REF!</f>
        <v>#REF!</v>
      </c>
      <c r="G23" s="8" t="e">
        <f>#REF!</f>
        <v>#REF!</v>
      </c>
      <c r="H23" s="8" t="e">
        <f>#REF!</f>
        <v>#REF!</v>
      </c>
      <c r="I23" s="8" t="e">
        <f>#REF!</f>
        <v>#REF!</v>
      </c>
      <c r="J23" s="8" t="e">
        <f>#REF!</f>
        <v>#REF!</v>
      </c>
      <c r="K23" s="8" t="e">
        <f>#REF!</f>
        <v>#REF!</v>
      </c>
      <c r="L23" s="8" t="e">
        <f>#REF!</f>
        <v>#REF!</v>
      </c>
      <c r="M23" s="8" t="e">
        <f>#REF!</f>
        <v>#REF!</v>
      </c>
      <c r="N23" s="8" t="e">
        <f>#REF!</f>
        <v>#REF!</v>
      </c>
      <c r="O23" s="10"/>
    </row>
    <row r="24" spans="1:15" ht="42.75" customHeight="1" x14ac:dyDescent="0.25">
      <c r="A24" s="7"/>
      <c r="B24" s="7" t="str">
        <f>'Approval and Documentation'!C$4</f>
        <v>Auto Finance</v>
      </c>
      <c r="C24" s="7" t="str">
        <f>'Approval and Documentation'!C$6</f>
        <v>Auto Finance</v>
      </c>
      <c r="D24" s="8" t="e">
        <f>#REF!</f>
        <v>#REF!</v>
      </c>
      <c r="E24" s="11">
        <v>22</v>
      </c>
      <c r="F24" s="8" t="e">
        <f>#REF!</f>
        <v>#REF!</v>
      </c>
      <c r="G24" s="8" t="e">
        <f>#REF!</f>
        <v>#REF!</v>
      </c>
      <c r="H24" s="8" t="e">
        <f>#REF!</f>
        <v>#REF!</v>
      </c>
      <c r="I24" s="8" t="e">
        <f>#REF!</f>
        <v>#REF!</v>
      </c>
      <c r="J24" s="8" t="e">
        <f>#REF!</f>
        <v>#REF!</v>
      </c>
      <c r="K24" s="8" t="e">
        <f>#REF!</f>
        <v>#REF!</v>
      </c>
      <c r="L24" s="8" t="e">
        <f>#REF!</f>
        <v>#REF!</v>
      </c>
      <c r="M24" s="8" t="e">
        <f>#REF!</f>
        <v>#REF!</v>
      </c>
      <c r="N24" s="8" t="e">
        <f>#REF!</f>
        <v>#REF!</v>
      </c>
      <c r="O24" s="10"/>
    </row>
    <row r="25" spans="1:15" ht="42.75" customHeight="1" x14ac:dyDescent="0.25">
      <c r="A25" s="7"/>
      <c r="B25" s="7" t="str">
        <f>'Approval and Documentation'!C$4</f>
        <v>Auto Finance</v>
      </c>
      <c r="C25" s="7" t="str">
        <f>'Approval and Documentation'!C$6</f>
        <v>Auto Finance</v>
      </c>
      <c r="D25" s="8" t="e">
        <f>#REF!</f>
        <v>#REF!</v>
      </c>
      <c r="E25" s="11">
        <v>23</v>
      </c>
      <c r="F25" s="8" t="e">
        <f>#REF!</f>
        <v>#REF!</v>
      </c>
      <c r="G25" s="8" t="e">
        <f>#REF!</f>
        <v>#REF!</v>
      </c>
      <c r="H25" s="8" t="e">
        <f>#REF!</f>
        <v>#REF!</v>
      </c>
      <c r="I25" s="8" t="e">
        <f>#REF!</f>
        <v>#REF!</v>
      </c>
      <c r="J25" s="8" t="e">
        <f>#REF!</f>
        <v>#REF!</v>
      </c>
      <c r="K25" s="8" t="e">
        <f>#REF!</f>
        <v>#REF!</v>
      </c>
      <c r="L25" s="8" t="e">
        <f>#REF!</f>
        <v>#REF!</v>
      </c>
      <c r="M25" s="8" t="e">
        <f>#REF!</f>
        <v>#REF!</v>
      </c>
      <c r="N25" s="8" t="e">
        <f>#REF!</f>
        <v>#REF!</v>
      </c>
      <c r="O25" s="10"/>
    </row>
    <row r="26" spans="1:15" ht="42.75" customHeight="1" x14ac:dyDescent="0.25">
      <c r="A26" s="7"/>
      <c r="B26" s="7" t="str">
        <f>'Approval and Documentation'!C$4</f>
        <v>Auto Finance</v>
      </c>
      <c r="C26" s="7" t="str">
        <f>'Approval and Documentation'!C$6</f>
        <v>Auto Finance</v>
      </c>
      <c r="D26" s="8" t="e">
        <f>#REF!</f>
        <v>#REF!</v>
      </c>
      <c r="E26" s="11">
        <v>24</v>
      </c>
      <c r="F26" s="8" t="e">
        <f>#REF!</f>
        <v>#REF!</v>
      </c>
      <c r="G26" s="8" t="e">
        <f>#REF!</f>
        <v>#REF!</v>
      </c>
      <c r="H26" s="8" t="e">
        <f>#REF!</f>
        <v>#REF!</v>
      </c>
      <c r="I26" s="8" t="e">
        <f>#REF!</f>
        <v>#REF!</v>
      </c>
      <c r="J26" s="8" t="e">
        <f>#REF!</f>
        <v>#REF!</v>
      </c>
      <c r="K26" s="8" t="e">
        <f>#REF!</f>
        <v>#REF!</v>
      </c>
      <c r="L26" s="8" t="e">
        <f>#REF!</f>
        <v>#REF!</v>
      </c>
      <c r="M26" s="8" t="e">
        <f>#REF!</f>
        <v>#REF!</v>
      </c>
      <c r="N26" s="8" t="e">
        <f>#REF!</f>
        <v>#REF!</v>
      </c>
      <c r="O26" s="10"/>
    </row>
    <row r="27" spans="1:15" ht="42.75" customHeight="1" x14ac:dyDescent="0.25">
      <c r="A27" s="7"/>
      <c r="B27" s="7" t="str">
        <f>'Approval and Documentation'!C$4</f>
        <v>Auto Finance</v>
      </c>
      <c r="C27" s="7" t="str">
        <f>'Approval and Documentation'!C$6</f>
        <v>Auto Finance</v>
      </c>
      <c r="D27" s="8" t="e">
        <f>#REF!</f>
        <v>#REF!</v>
      </c>
      <c r="E27" s="11">
        <v>25</v>
      </c>
      <c r="F27" s="8" t="e">
        <f>#REF!</f>
        <v>#REF!</v>
      </c>
      <c r="G27" s="8" t="e">
        <f>#REF!</f>
        <v>#REF!</v>
      </c>
      <c r="H27" s="8" t="e">
        <f>#REF!</f>
        <v>#REF!</v>
      </c>
      <c r="I27" s="8" t="e">
        <f>#REF!</f>
        <v>#REF!</v>
      </c>
      <c r="J27" s="8" t="e">
        <f>#REF!</f>
        <v>#REF!</v>
      </c>
      <c r="K27" s="8" t="e">
        <f>#REF!</f>
        <v>#REF!</v>
      </c>
      <c r="L27" s="8" t="e">
        <f>#REF!</f>
        <v>#REF!</v>
      </c>
      <c r="M27" s="8" t="e">
        <f>#REF!</f>
        <v>#REF!</v>
      </c>
      <c r="N27" s="8" t="e">
        <f>#REF!</f>
        <v>#REF!</v>
      </c>
      <c r="O27" s="10"/>
    </row>
    <row r="28" spans="1:15" ht="42.75" customHeight="1" x14ac:dyDescent="0.25">
      <c r="A28" s="7"/>
      <c r="B28" s="7" t="str">
        <f>'Approval and Documentation'!C$4</f>
        <v>Auto Finance</v>
      </c>
      <c r="C28" s="7" t="str">
        <f>'Approval and Documentation'!C$6</f>
        <v>Auto Finance</v>
      </c>
      <c r="D28" s="8" t="e">
        <f>#REF!</f>
        <v>#REF!</v>
      </c>
      <c r="E28" s="11">
        <v>26</v>
      </c>
      <c r="F28" s="8" t="e">
        <f>#REF!</f>
        <v>#REF!</v>
      </c>
      <c r="G28" s="8" t="e">
        <f>#REF!</f>
        <v>#REF!</v>
      </c>
      <c r="H28" s="8" t="e">
        <f>#REF!</f>
        <v>#REF!</v>
      </c>
      <c r="I28" s="8" t="e">
        <f>#REF!</f>
        <v>#REF!</v>
      </c>
      <c r="J28" s="8" t="e">
        <f>#REF!</f>
        <v>#REF!</v>
      </c>
      <c r="K28" s="8" t="e">
        <f>#REF!</f>
        <v>#REF!</v>
      </c>
      <c r="L28" s="8" t="e">
        <f>#REF!</f>
        <v>#REF!</v>
      </c>
      <c r="M28" s="8" t="e">
        <f>#REF!</f>
        <v>#REF!</v>
      </c>
      <c r="N28" s="8" t="e">
        <f>#REF!</f>
        <v>#REF!</v>
      </c>
      <c r="O28" s="10"/>
    </row>
    <row r="29" spans="1:15" ht="42.75" customHeight="1" x14ac:dyDescent="0.25">
      <c r="A29" s="7"/>
      <c r="B29" s="7" t="str">
        <f>'Approval and Documentation'!C$4</f>
        <v>Auto Finance</v>
      </c>
      <c r="C29" s="7" t="str">
        <f>'Approval and Documentation'!C$6</f>
        <v>Auto Finance</v>
      </c>
      <c r="D29" s="8" t="e">
        <f>#REF!</f>
        <v>#REF!</v>
      </c>
      <c r="E29" s="11">
        <v>27</v>
      </c>
      <c r="F29" s="8" t="e">
        <f>#REF!</f>
        <v>#REF!</v>
      </c>
      <c r="G29" s="8" t="e">
        <f>#REF!</f>
        <v>#REF!</v>
      </c>
      <c r="H29" s="8" t="e">
        <f>#REF!</f>
        <v>#REF!</v>
      </c>
      <c r="I29" s="8" t="e">
        <f>#REF!</f>
        <v>#REF!</v>
      </c>
      <c r="J29" s="8" t="e">
        <f>#REF!</f>
        <v>#REF!</v>
      </c>
      <c r="K29" s="8" t="e">
        <f>#REF!</f>
        <v>#REF!</v>
      </c>
      <c r="L29" s="8" t="e">
        <f>#REF!</f>
        <v>#REF!</v>
      </c>
      <c r="M29" s="8" t="e">
        <f>#REF!</f>
        <v>#REF!</v>
      </c>
      <c r="N29" s="8" t="e">
        <f>#REF!</f>
        <v>#REF!</v>
      </c>
      <c r="O29" s="10"/>
    </row>
    <row r="30" spans="1:15" ht="42.75" customHeight="1" x14ac:dyDescent="0.25">
      <c r="A30" s="7"/>
      <c r="B30" s="7" t="str">
        <f>'Approval and Documentation'!C$4</f>
        <v>Auto Finance</v>
      </c>
      <c r="C30" s="7" t="str">
        <f>'Approval and Documentation'!C$6</f>
        <v>Auto Finance</v>
      </c>
      <c r="D30" s="8" t="e">
        <f>#REF!</f>
        <v>#REF!</v>
      </c>
      <c r="E30" s="11">
        <v>28</v>
      </c>
      <c r="F30" s="8" t="e">
        <f>#REF!</f>
        <v>#REF!</v>
      </c>
      <c r="G30" s="8" t="e">
        <f>#REF!</f>
        <v>#REF!</v>
      </c>
      <c r="H30" s="8" t="e">
        <f>#REF!</f>
        <v>#REF!</v>
      </c>
      <c r="I30" s="8" t="e">
        <f>#REF!</f>
        <v>#REF!</v>
      </c>
      <c r="J30" s="8" t="e">
        <f>#REF!</f>
        <v>#REF!</v>
      </c>
      <c r="K30" s="8" t="e">
        <f>#REF!</f>
        <v>#REF!</v>
      </c>
      <c r="L30" s="8" t="e">
        <f>#REF!</f>
        <v>#REF!</v>
      </c>
      <c r="M30" s="8" t="e">
        <f>#REF!</f>
        <v>#REF!</v>
      </c>
      <c r="N30" s="8" t="e">
        <f>#REF!</f>
        <v>#REF!</v>
      </c>
      <c r="O30" s="10"/>
    </row>
    <row r="31" spans="1:15" ht="42.75" customHeight="1" x14ac:dyDescent="0.25">
      <c r="A31" s="7"/>
      <c r="B31" s="7" t="str">
        <f>'Approval and Documentation'!C$4</f>
        <v>Auto Finance</v>
      </c>
      <c r="C31" s="7" t="str">
        <f>'Approval and Documentation'!C$6</f>
        <v>Auto Finance</v>
      </c>
      <c r="D31" s="8" t="e">
        <f>#REF!</f>
        <v>#REF!</v>
      </c>
      <c r="E31" s="11">
        <v>29</v>
      </c>
      <c r="F31" s="8" t="e">
        <f>#REF!</f>
        <v>#REF!</v>
      </c>
      <c r="G31" s="8" t="e">
        <f>#REF!</f>
        <v>#REF!</v>
      </c>
      <c r="H31" s="8" t="e">
        <f>#REF!</f>
        <v>#REF!</v>
      </c>
      <c r="I31" s="8" t="e">
        <f>#REF!</f>
        <v>#REF!</v>
      </c>
      <c r="J31" s="8" t="e">
        <f>#REF!</f>
        <v>#REF!</v>
      </c>
      <c r="K31" s="8" t="e">
        <f>#REF!</f>
        <v>#REF!</v>
      </c>
      <c r="L31" s="8" t="e">
        <f>#REF!</f>
        <v>#REF!</v>
      </c>
      <c r="M31" s="8" t="e">
        <f>#REF!</f>
        <v>#REF!</v>
      </c>
      <c r="N31" s="8" t="e">
        <f>#REF!</f>
        <v>#REF!</v>
      </c>
      <c r="O31" s="10"/>
    </row>
    <row r="32" spans="1:15" ht="42.75" customHeight="1" x14ac:dyDescent="0.25">
      <c r="A32" s="7"/>
      <c r="B32" s="7" t="str">
        <f>'Approval and Documentation'!C$4</f>
        <v>Auto Finance</v>
      </c>
      <c r="C32" s="7" t="str">
        <f>'Approval and Documentation'!C$6</f>
        <v>Auto Finance</v>
      </c>
      <c r="D32" s="8" t="e">
        <f>#REF!</f>
        <v>#REF!</v>
      </c>
      <c r="E32" s="11">
        <v>30</v>
      </c>
      <c r="F32" s="8" t="e">
        <f>#REF!</f>
        <v>#REF!</v>
      </c>
      <c r="G32" s="8" t="e">
        <f>#REF!</f>
        <v>#REF!</v>
      </c>
      <c r="H32" s="8" t="e">
        <f>#REF!</f>
        <v>#REF!</v>
      </c>
      <c r="I32" s="8" t="e">
        <f>#REF!</f>
        <v>#REF!</v>
      </c>
      <c r="J32" s="8" t="e">
        <f>#REF!</f>
        <v>#REF!</v>
      </c>
      <c r="K32" s="8" t="e">
        <f>#REF!</f>
        <v>#REF!</v>
      </c>
      <c r="L32" s="8" t="e">
        <f>#REF!</f>
        <v>#REF!</v>
      </c>
      <c r="M32" s="8" t="e">
        <f>#REF!</f>
        <v>#REF!</v>
      </c>
      <c r="N32" s="8" t="e">
        <f>#REF!</f>
        <v>#REF!</v>
      </c>
      <c r="O32" s="10"/>
    </row>
    <row r="33" spans="1:15" ht="42.75" customHeight="1" x14ac:dyDescent="0.25">
      <c r="A33" s="7"/>
      <c r="B33" s="7" t="str">
        <f>'Approval and Documentation'!C$4</f>
        <v>Auto Finance</v>
      </c>
      <c r="C33" s="7" t="str">
        <f>'Approval and Documentation'!C$6</f>
        <v>Auto Finance</v>
      </c>
      <c r="D33" s="8" t="e">
        <f>#REF!</f>
        <v>#REF!</v>
      </c>
      <c r="E33" s="11">
        <v>31</v>
      </c>
      <c r="F33" s="8" t="e">
        <f>#REF!</f>
        <v>#REF!</v>
      </c>
      <c r="G33" s="8" t="e">
        <f>#REF!</f>
        <v>#REF!</v>
      </c>
      <c r="H33" s="8" t="e">
        <f>#REF!</f>
        <v>#REF!</v>
      </c>
      <c r="I33" s="8" t="e">
        <f>#REF!</f>
        <v>#REF!</v>
      </c>
      <c r="J33" s="8" t="e">
        <f>#REF!</f>
        <v>#REF!</v>
      </c>
      <c r="K33" s="8" t="e">
        <f>#REF!</f>
        <v>#REF!</v>
      </c>
      <c r="L33" s="8" t="e">
        <f>#REF!</f>
        <v>#REF!</v>
      </c>
      <c r="M33" s="8" t="e">
        <f>#REF!</f>
        <v>#REF!</v>
      </c>
      <c r="N33" s="8" t="e">
        <f>#REF!</f>
        <v>#REF!</v>
      </c>
      <c r="O33" s="10"/>
    </row>
    <row r="34" spans="1:15" ht="42.75" customHeight="1" x14ac:dyDescent="0.25">
      <c r="A34" s="7"/>
      <c r="B34" s="7" t="str">
        <f>'Approval and Documentation'!C$4</f>
        <v>Auto Finance</v>
      </c>
      <c r="C34" s="7" t="str">
        <f>'Approval and Documentation'!C$6</f>
        <v>Auto Finance</v>
      </c>
      <c r="D34" s="8" t="e">
        <f>#REF!</f>
        <v>#REF!</v>
      </c>
      <c r="E34" s="11">
        <v>32</v>
      </c>
      <c r="F34" s="8" t="e">
        <f>#REF!</f>
        <v>#REF!</v>
      </c>
      <c r="G34" s="8" t="e">
        <f>#REF!</f>
        <v>#REF!</v>
      </c>
      <c r="H34" s="8" t="e">
        <f>#REF!</f>
        <v>#REF!</v>
      </c>
      <c r="I34" s="8" t="e">
        <f>#REF!</f>
        <v>#REF!</v>
      </c>
      <c r="J34" s="8" t="e">
        <f>#REF!</f>
        <v>#REF!</v>
      </c>
      <c r="K34" s="8" t="e">
        <f>#REF!</f>
        <v>#REF!</v>
      </c>
      <c r="L34" s="8" t="e">
        <f>#REF!</f>
        <v>#REF!</v>
      </c>
      <c r="M34" s="8" t="e">
        <f>#REF!</f>
        <v>#REF!</v>
      </c>
      <c r="N34" s="8" t="e">
        <f>#REF!</f>
        <v>#REF!</v>
      </c>
      <c r="O34" s="10"/>
    </row>
    <row r="35" spans="1:15" ht="42.75" customHeight="1" x14ac:dyDescent="0.25">
      <c r="A35" s="7"/>
      <c r="B35" s="7" t="str">
        <f>'Approval and Documentation'!C$4</f>
        <v>Auto Finance</v>
      </c>
      <c r="C35" s="7" t="str">
        <f>'Approval and Documentation'!C$6</f>
        <v>Auto Finance</v>
      </c>
      <c r="D35" s="8" t="e">
        <f>#REF!</f>
        <v>#REF!</v>
      </c>
      <c r="E35" s="11">
        <v>33</v>
      </c>
      <c r="F35" s="8" t="e">
        <f>#REF!</f>
        <v>#REF!</v>
      </c>
      <c r="G35" s="8" t="e">
        <f>#REF!</f>
        <v>#REF!</v>
      </c>
      <c r="H35" s="8" t="e">
        <f>#REF!</f>
        <v>#REF!</v>
      </c>
      <c r="I35" s="8" t="e">
        <f>#REF!</f>
        <v>#REF!</v>
      </c>
      <c r="J35" s="8" t="e">
        <f>#REF!</f>
        <v>#REF!</v>
      </c>
      <c r="K35" s="8" t="e">
        <f>#REF!</f>
        <v>#REF!</v>
      </c>
      <c r="L35" s="8" t="e">
        <f>#REF!</f>
        <v>#REF!</v>
      </c>
      <c r="M35" s="8" t="e">
        <f>#REF!</f>
        <v>#REF!</v>
      </c>
      <c r="N35" s="8" t="e">
        <f>#REF!</f>
        <v>#REF!</v>
      </c>
      <c r="O35" s="10"/>
    </row>
    <row r="36" spans="1:15" ht="42.75" customHeight="1" x14ac:dyDescent="0.25">
      <c r="A36" s="7"/>
      <c r="B36" s="7" t="str">
        <f>'Approval and Documentation'!C$4</f>
        <v>Auto Finance</v>
      </c>
      <c r="C36" s="7" t="str">
        <f>'Approval and Documentation'!C$6</f>
        <v>Auto Finance</v>
      </c>
      <c r="D36" s="8" t="e">
        <f>#REF!</f>
        <v>#REF!</v>
      </c>
      <c r="E36" s="11">
        <v>34</v>
      </c>
      <c r="F36" s="8" t="e">
        <f>#REF!</f>
        <v>#REF!</v>
      </c>
      <c r="G36" s="8" t="e">
        <f>#REF!</f>
        <v>#REF!</v>
      </c>
      <c r="H36" s="8" t="e">
        <f>#REF!</f>
        <v>#REF!</v>
      </c>
      <c r="I36" s="8" t="e">
        <f>#REF!</f>
        <v>#REF!</v>
      </c>
      <c r="J36" s="8" t="e">
        <f>#REF!</f>
        <v>#REF!</v>
      </c>
      <c r="K36" s="8" t="e">
        <f>#REF!</f>
        <v>#REF!</v>
      </c>
      <c r="L36" s="8" t="e">
        <f>#REF!</f>
        <v>#REF!</v>
      </c>
      <c r="M36" s="8" t="e">
        <f>#REF!</f>
        <v>#REF!</v>
      </c>
      <c r="N36" s="8" t="e">
        <f>#REF!</f>
        <v>#REF!</v>
      </c>
      <c r="O36" s="10"/>
    </row>
    <row r="37" spans="1:15" ht="42.75" customHeight="1" x14ac:dyDescent="0.25">
      <c r="A37" s="7"/>
      <c r="B37" s="7" t="str">
        <f>'Approval and Documentation'!C$4</f>
        <v>Auto Finance</v>
      </c>
      <c r="C37" s="7" t="str">
        <f>'Approval and Documentation'!C$6</f>
        <v>Auto Finance</v>
      </c>
      <c r="D37" s="8" t="e">
        <f>#REF!</f>
        <v>#REF!</v>
      </c>
      <c r="E37" s="11">
        <v>35</v>
      </c>
      <c r="F37" s="8" t="e">
        <f>#REF!</f>
        <v>#REF!</v>
      </c>
      <c r="G37" s="8" t="e">
        <f>#REF!</f>
        <v>#REF!</v>
      </c>
      <c r="H37" s="8" t="e">
        <f>#REF!</f>
        <v>#REF!</v>
      </c>
      <c r="I37" s="8" t="e">
        <f>#REF!</f>
        <v>#REF!</v>
      </c>
      <c r="J37" s="8" t="e">
        <f>#REF!</f>
        <v>#REF!</v>
      </c>
      <c r="K37" s="8" t="e">
        <f>#REF!</f>
        <v>#REF!</v>
      </c>
      <c r="L37" s="8" t="e">
        <f>#REF!</f>
        <v>#REF!</v>
      </c>
      <c r="M37" s="8" t="e">
        <f>#REF!</f>
        <v>#REF!</v>
      </c>
      <c r="N37" s="8" t="e">
        <f>#REF!</f>
        <v>#REF!</v>
      </c>
      <c r="O37" s="10"/>
    </row>
    <row r="38" spans="1:15" ht="42.75" customHeight="1" x14ac:dyDescent="0.25">
      <c r="A38" s="7"/>
      <c r="B38" s="7" t="str">
        <f>'Approval and Documentation'!C$4</f>
        <v>Auto Finance</v>
      </c>
      <c r="C38" s="7" t="str">
        <f>'Approval and Documentation'!C$6</f>
        <v>Auto Finance</v>
      </c>
      <c r="D38" s="8" t="e">
        <f>#REF!</f>
        <v>#REF!</v>
      </c>
      <c r="E38" s="11">
        <v>36</v>
      </c>
      <c r="F38" s="8" t="e">
        <f>#REF!</f>
        <v>#REF!</v>
      </c>
      <c r="G38" s="8" t="e">
        <f>#REF!</f>
        <v>#REF!</v>
      </c>
      <c r="H38" s="8" t="e">
        <f>#REF!</f>
        <v>#REF!</v>
      </c>
      <c r="I38" s="8" t="e">
        <f>#REF!</f>
        <v>#REF!</v>
      </c>
      <c r="J38" s="8" t="e">
        <f>#REF!</f>
        <v>#REF!</v>
      </c>
      <c r="K38" s="8" t="e">
        <f>#REF!</f>
        <v>#REF!</v>
      </c>
      <c r="L38" s="8" t="e">
        <f>#REF!</f>
        <v>#REF!</v>
      </c>
      <c r="M38" s="8" t="e">
        <f>#REF!</f>
        <v>#REF!</v>
      </c>
      <c r="N38" s="8" t="e">
        <f>#REF!</f>
        <v>#REF!</v>
      </c>
      <c r="O38" s="10"/>
    </row>
    <row r="39" spans="1:15" ht="42.75" customHeight="1" x14ac:dyDescent="0.25">
      <c r="A39" s="7"/>
      <c r="B39" s="7" t="str">
        <f>'Approval and Documentation'!C$4</f>
        <v>Auto Finance</v>
      </c>
      <c r="C39" s="7" t="str">
        <f>'Approval and Documentation'!C$6</f>
        <v>Auto Finance</v>
      </c>
      <c r="D39" s="8" t="e">
        <f>#REF!</f>
        <v>#REF!</v>
      </c>
      <c r="E39" s="11">
        <v>37</v>
      </c>
      <c r="F39" s="8" t="e">
        <f>#REF!</f>
        <v>#REF!</v>
      </c>
      <c r="G39" s="8" t="e">
        <f>#REF!</f>
        <v>#REF!</v>
      </c>
      <c r="H39" s="8" t="e">
        <f>#REF!</f>
        <v>#REF!</v>
      </c>
      <c r="I39" s="8" t="e">
        <f>#REF!</f>
        <v>#REF!</v>
      </c>
      <c r="J39" s="8" t="e">
        <f>#REF!</f>
        <v>#REF!</v>
      </c>
      <c r="K39" s="8" t="e">
        <f>#REF!</f>
        <v>#REF!</v>
      </c>
      <c r="L39" s="8" t="e">
        <f>#REF!</f>
        <v>#REF!</v>
      </c>
      <c r="M39" s="8" t="e">
        <f>#REF!</f>
        <v>#REF!</v>
      </c>
      <c r="N39" s="8" t="e">
        <f>#REF!</f>
        <v>#REF!</v>
      </c>
      <c r="O39" s="10"/>
    </row>
    <row r="40" spans="1:15" ht="42.75" customHeight="1" x14ac:dyDescent="0.25">
      <c r="A40" s="7"/>
      <c r="B40" s="7" t="str">
        <f>'Approval and Documentation'!C$4</f>
        <v>Auto Finance</v>
      </c>
      <c r="C40" s="7" t="str">
        <f>'Approval and Documentation'!C$6</f>
        <v>Auto Finance</v>
      </c>
      <c r="D40" s="8" t="e">
        <f>#REF!</f>
        <v>#REF!</v>
      </c>
      <c r="E40" s="11">
        <v>38</v>
      </c>
      <c r="F40" s="8" t="e">
        <f>#REF!</f>
        <v>#REF!</v>
      </c>
      <c r="G40" s="8" t="e">
        <f>#REF!</f>
        <v>#REF!</v>
      </c>
      <c r="H40" s="8" t="e">
        <f>#REF!</f>
        <v>#REF!</v>
      </c>
      <c r="I40" s="8" t="e">
        <f>#REF!</f>
        <v>#REF!</v>
      </c>
      <c r="J40" s="8" t="e">
        <f>#REF!</f>
        <v>#REF!</v>
      </c>
      <c r="K40" s="8" t="e">
        <f>#REF!</f>
        <v>#REF!</v>
      </c>
      <c r="L40" s="8" t="e">
        <f>#REF!</f>
        <v>#REF!</v>
      </c>
      <c r="M40" s="8" t="e">
        <f>#REF!</f>
        <v>#REF!</v>
      </c>
      <c r="N40" s="8" t="e">
        <f>#REF!</f>
        <v>#REF!</v>
      </c>
      <c r="O40" s="10"/>
    </row>
    <row r="41" spans="1:15" ht="42.75" customHeight="1" x14ac:dyDescent="0.25">
      <c r="A41" s="7"/>
      <c r="B41" s="7" t="str">
        <f>'Approval and Documentation'!C$4</f>
        <v>Auto Finance</v>
      </c>
      <c r="C41" s="7" t="str">
        <f>'Approval and Documentation'!C$6</f>
        <v>Auto Finance</v>
      </c>
      <c r="D41" s="8" t="e">
        <f>#REF!</f>
        <v>#REF!</v>
      </c>
      <c r="E41" s="11">
        <v>39</v>
      </c>
      <c r="F41" s="8" t="e">
        <f>#REF!</f>
        <v>#REF!</v>
      </c>
      <c r="G41" s="8" t="e">
        <f>#REF!</f>
        <v>#REF!</v>
      </c>
      <c r="H41" s="8" t="e">
        <f>#REF!</f>
        <v>#REF!</v>
      </c>
      <c r="I41" s="8" t="e">
        <f>#REF!</f>
        <v>#REF!</v>
      </c>
      <c r="J41" s="8" t="e">
        <f>#REF!</f>
        <v>#REF!</v>
      </c>
      <c r="K41" s="8" t="e">
        <f>#REF!</f>
        <v>#REF!</v>
      </c>
      <c r="L41" s="8" t="e">
        <f>#REF!</f>
        <v>#REF!</v>
      </c>
      <c r="M41" s="8" t="e">
        <f>#REF!</f>
        <v>#REF!</v>
      </c>
      <c r="N41" s="8" t="e">
        <f>#REF!</f>
        <v>#REF!</v>
      </c>
      <c r="O41" s="10"/>
    </row>
    <row r="42" spans="1:15" ht="42.75" customHeight="1" x14ac:dyDescent="0.25">
      <c r="A42" s="7"/>
      <c r="B42" s="7" t="str">
        <f>'Approval and Documentation'!C$4</f>
        <v>Auto Finance</v>
      </c>
      <c r="C42" s="7" t="str">
        <f>'Approval and Documentation'!C$6</f>
        <v>Auto Finance</v>
      </c>
      <c r="D42" s="8" t="e">
        <f>#REF!</f>
        <v>#REF!</v>
      </c>
      <c r="E42" s="11">
        <v>40</v>
      </c>
      <c r="F42" s="8" t="e">
        <f>#REF!</f>
        <v>#REF!</v>
      </c>
      <c r="G42" s="8" t="e">
        <f>#REF!</f>
        <v>#REF!</v>
      </c>
      <c r="H42" s="8" t="e">
        <f>#REF!</f>
        <v>#REF!</v>
      </c>
      <c r="I42" s="8" t="e">
        <f>#REF!</f>
        <v>#REF!</v>
      </c>
      <c r="J42" s="8" t="e">
        <f>#REF!</f>
        <v>#REF!</v>
      </c>
      <c r="K42" s="8" t="e">
        <f>#REF!</f>
        <v>#REF!</v>
      </c>
      <c r="L42" s="8" t="e">
        <f>#REF!</f>
        <v>#REF!</v>
      </c>
      <c r="M42" s="8" t="e">
        <f>#REF!</f>
        <v>#REF!</v>
      </c>
      <c r="N42" s="8" t="e">
        <f>#REF!</f>
        <v>#REF!</v>
      </c>
      <c r="O42" s="10"/>
    </row>
    <row r="43" spans="1:15" ht="42.75" customHeight="1" x14ac:dyDescent="0.25">
      <c r="A43" s="7"/>
      <c r="B43" s="7"/>
      <c r="C43" s="7"/>
      <c r="D43" s="7"/>
      <c r="E43" s="11"/>
      <c r="F43" s="8"/>
      <c r="G43" s="8"/>
      <c r="H43" s="9"/>
      <c r="I43" s="10"/>
      <c r="J43" s="9"/>
      <c r="K43" s="10"/>
      <c r="L43" s="8"/>
      <c r="M43" s="8"/>
      <c r="N43" s="10"/>
      <c r="O43" s="10"/>
    </row>
    <row r="44" spans="1:15" ht="42.75" customHeight="1" x14ac:dyDescent="0.25">
      <c r="A44" s="7"/>
      <c r="B44" s="7"/>
      <c r="C44" s="7"/>
      <c r="D44" s="7"/>
      <c r="E44" s="11"/>
      <c r="F44" s="8"/>
      <c r="G44" s="8"/>
      <c r="H44" s="9"/>
      <c r="I44" s="10"/>
      <c r="J44" s="9"/>
      <c r="K44" s="10"/>
      <c r="L44" s="8"/>
      <c r="M44" s="8"/>
      <c r="N44" s="10"/>
      <c r="O44" s="10"/>
    </row>
    <row r="45" spans="1:15" ht="42.75" customHeight="1" x14ac:dyDescent="0.25">
      <c r="A45" s="7"/>
      <c r="B45" s="7"/>
      <c r="C45" s="7"/>
      <c r="D45" s="7"/>
      <c r="E45" s="11"/>
      <c r="F45" s="8"/>
      <c r="G45" s="8"/>
      <c r="H45" s="9"/>
      <c r="I45" s="10"/>
      <c r="J45" s="9"/>
      <c r="K45" s="10"/>
      <c r="L45" s="8"/>
      <c r="M45" s="8"/>
      <c r="N45" s="10"/>
      <c r="O45" s="10"/>
    </row>
    <row r="46" spans="1:15" ht="42.75" customHeight="1" x14ac:dyDescent="0.25">
      <c r="A46" s="7"/>
      <c r="B46" s="7"/>
      <c r="C46" s="7"/>
      <c r="D46" s="7"/>
      <c r="E46" s="11"/>
      <c r="F46" s="8"/>
      <c r="G46" s="8"/>
      <c r="H46" s="9"/>
      <c r="I46" s="10"/>
      <c r="J46" s="9"/>
      <c r="K46" s="10"/>
      <c r="L46" s="8"/>
      <c r="M46" s="8"/>
      <c r="N46" s="10"/>
      <c r="O46" s="10"/>
    </row>
    <row r="47" spans="1:15" ht="42.75" customHeight="1" x14ac:dyDescent="0.25">
      <c r="A47" s="7"/>
      <c r="B47" s="7"/>
      <c r="C47" s="7"/>
      <c r="D47" s="7"/>
      <c r="E47" s="11"/>
      <c r="F47" s="8"/>
      <c r="G47" s="8"/>
      <c r="H47" s="9"/>
      <c r="I47" s="10"/>
      <c r="J47" s="9"/>
      <c r="K47" s="10"/>
      <c r="L47" s="8"/>
      <c r="M47" s="8"/>
      <c r="N47" s="10"/>
      <c r="O47" s="10"/>
    </row>
    <row r="48" spans="1:15" ht="42.75" customHeight="1" x14ac:dyDescent="0.25">
      <c r="A48" s="7"/>
      <c r="B48" s="7"/>
      <c r="C48" s="7"/>
      <c r="D48" s="7"/>
      <c r="E48" s="11"/>
      <c r="F48" s="8"/>
      <c r="G48" s="8"/>
      <c r="H48" s="9"/>
      <c r="I48" s="10"/>
      <c r="J48" s="9"/>
      <c r="K48" s="10"/>
      <c r="L48" s="8"/>
      <c r="M48" s="8"/>
      <c r="N48" s="10"/>
      <c r="O48" s="10"/>
    </row>
    <row r="49" spans="1:15" ht="42.75" customHeight="1" x14ac:dyDescent="0.25">
      <c r="A49" s="7"/>
      <c r="B49" s="7"/>
      <c r="C49" s="7"/>
      <c r="D49" s="7"/>
      <c r="E49" s="11"/>
      <c r="F49" s="8"/>
      <c r="G49" s="8"/>
      <c r="H49" s="9"/>
      <c r="I49" s="10"/>
      <c r="J49" s="9"/>
      <c r="K49" s="10"/>
      <c r="L49" s="8"/>
      <c r="M49" s="8"/>
      <c r="N49" s="10"/>
      <c r="O49" s="10"/>
    </row>
    <row r="50" spans="1:15" ht="42.75" customHeight="1" x14ac:dyDescent="0.25">
      <c r="A50" s="7"/>
      <c r="B50" s="7"/>
      <c r="C50" s="7"/>
      <c r="D50" s="7"/>
      <c r="E50" s="11"/>
      <c r="F50" s="8"/>
      <c r="G50" s="8"/>
      <c r="H50" s="9"/>
      <c r="I50" s="10"/>
      <c r="J50" s="9"/>
      <c r="K50" s="10"/>
      <c r="L50" s="8"/>
      <c r="M50" s="8"/>
      <c r="N50" s="10"/>
      <c r="O50" s="10"/>
    </row>
    <row r="51" spans="1:15" ht="42.75" customHeight="1" x14ac:dyDescent="0.25">
      <c r="A51" s="7"/>
      <c r="B51" s="7"/>
      <c r="C51" s="7"/>
      <c r="D51" s="7"/>
      <c r="E51" s="11"/>
      <c r="F51" s="8"/>
      <c r="G51" s="8"/>
      <c r="H51" s="9"/>
      <c r="I51" s="10"/>
      <c r="J51" s="9"/>
      <c r="K51" s="10"/>
      <c r="L51" s="8"/>
      <c r="M51" s="8"/>
      <c r="N51" s="10"/>
      <c r="O51" s="10"/>
    </row>
    <row r="52" spans="1:15" ht="42.75" customHeight="1" x14ac:dyDescent="0.25">
      <c r="A52" s="7"/>
      <c r="B52" s="7"/>
      <c r="C52" s="7"/>
      <c r="D52" s="7"/>
      <c r="E52" s="11"/>
      <c r="F52" s="8"/>
      <c r="G52" s="8"/>
      <c r="H52" s="9"/>
      <c r="I52" s="10"/>
      <c r="J52" s="9"/>
      <c r="K52" s="10"/>
      <c r="L52" s="8"/>
      <c r="M52" s="8"/>
      <c r="N52" s="10"/>
      <c r="O52" s="10"/>
    </row>
    <row r="53" spans="1:15" ht="42.75" customHeight="1" x14ac:dyDescent="0.25">
      <c r="A53" s="7"/>
      <c r="B53" s="7"/>
      <c r="C53" s="7"/>
      <c r="D53" s="7"/>
      <c r="E53" s="11"/>
      <c r="F53" s="8"/>
      <c r="G53" s="8"/>
      <c r="H53" s="9"/>
      <c r="I53" s="10"/>
      <c r="J53" s="9"/>
      <c r="K53" s="10"/>
      <c r="L53" s="8"/>
      <c r="M53" s="8"/>
      <c r="N53" s="10"/>
      <c r="O53" s="10"/>
    </row>
    <row r="54" spans="1:15" ht="42.75" customHeight="1" x14ac:dyDescent="0.25">
      <c r="A54" s="7"/>
      <c r="B54" s="7"/>
      <c r="C54" s="7"/>
      <c r="D54" s="7"/>
      <c r="E54" s="11"/>
      <c r="F54" s="8"/>
      <c r="G54" s="8"/>
      <c r="H54" s="9"/>
      <c r="I54" s="10"/>
      <c r="J54" s="9"/>
      <c r="K54" s="10"/>
      <c r="L54" s="8"/>
      <c r="M54" s="8"/>
      <c r="N54" s="10"/>
      <c r="O54" s="10"/>
    </row>
    <row r="55" spans="1:15" ht="42.75" customHeight="1" x14ac:dyDescent="0.25">
      <c r="A55" s="7"/>
      <c r="B55" s="7"/>
      <c r="C55" s="7"/>
      <c r="D55" s="7"/>
      <c r="E55" s="11"/>
      <c r="F55" s="8"/>
      <c r="G55" s="8"/>
      <c r="H55" s="9"/>
      <c r="I55" s="10"/>
      <c r="J55" s="9"/>
      <c r="K55" s="10"/>
      <c r="L55" s="8"/>
      <c r="M55" s="8"/>
      <c r="N55" s="10"/>
      <c r="O55" s="10"/>
    </row>
    <row r="56" spans="1:15" ht="42.75" customHeight="1" x14ac:dyDescent="0.25">
      <c r="A56" s="7"/>
      <c r="B56" s="7"/>
      <c r="C56" s="7"/>
      <c r="D56" s="7"/>
      <c r="E56" s="11"/>
      <c r="F56" s="8"/>
      <c r="G56" s="8"/>
      <c r="H56" s="9"/>
      <c r="I56" s="10"/>
      <c r="J56" s="9"/>
      <c r="K56" s="10"/>
      <c r="L56" s="8"/>
      <c r="M56" s="8"/>
      <c r="N56" s="10"/>
      <c r="O56" s="10"/>
    </row>
    <row r="57" spans="1:15" ht="42.75" customHeight="1" x14ac:dyDescent="0.25">
      <c r="A57" s="7"/>
      <c r="B57" s="7"/>
      <c r="C57" s="7"/>
      <c r="D57" s="7"/>
      <c r="E57" s="11"/>
      <c r="F57" s="8"/>
      <c r="G57" s="8"/>
      <c r="H57" s="9"/>
      <c r="I57" s="10"/>
      <c r="J57" s="9"/>
      <c r="K57" s="10"/>
      <c r="L57" s="8"/>
      <c r="M57" s="8"/>
      <c r="N57" s="10"/>
      <c r="O57" s="10"/>
    </row>
    <row r="58" spans="1:15" ht="42.75" customHeight="1" x14ac:dyDescent="0.25">
      <c r="A58" s="7"/>
      <c r="B58" s="7"/>
      <c r="C58" s="7"/>
      <c r="D58" s="7"/>
      <c r="E58" s="11"/>
      <c r="F58" s="8"/>
      <c r="G58" s="8"/>
      <c r="H58" s="9"/>
      <c r="I58" s="10"/>
      <c r="J58" s="9"/>
      <c r="K58" s="10"/>
      <c r="L58" s="8"/>
      <c r="M58" s="8"/>
      <c r="N58" s="10"/>
      <c r="O58" s="10"/>
    </row>
    <row r="59" spans="1:15" ht="42.75" customHeight="1" x14ac:dyDescent="0.25">
      <c r="A59" s="7"/>
      <c r="B59" s="7"/>
      <c r="C59" s="7"/>
      <c r="D59" s="7"/>
      <c r="E59" s="11"/>
      <c r="F59" s="8"/>
      <c r="G59" s="8"/>
      <c r="H59" s="9"/>
      <c r="I59" s="10"/>
      <c r="J59" s="9"/>
      <c r="K59" s="10"/>
      <c r="L59" s="8"/>
      <c r="M59" s="8"/>
      <c r="N59" s="10"/>
      <c r="O59" s="10"/>
    </row>
    <row r="60" spans="1:15" ht="42.75" customHeight="1" x14ac:dyDescent="0.25">
      <c r="A60" s="7"/>
      <c r="B60" s="7"/>
      <c r="C60" s="7"/>
      <c r="D60" s="7"/>
      <c r="E60" s="11"/>
      <c r="F60" s="8"/>
      <c r="G60" s="8"/>
      <c r="H60" s="9"/>
      <c r="I60" s="10"/>
      <c r="J60" s="9"/>
      <c r="K60" s="10"/>
      <c r="L60" s="8"/>
      <c r="M60" s="8"/>
      <c r="N60" s="10"/>
      <c r="O60" s="10"/>
    </row>
    <row r="61" spans="1:15" ht="42.75" customHeight="1" x14ac:dyDescent="0.25">
      <c r="A61" s="7"/>
      <c r="B61" s="7"/>
      <c r="C61" s="7"/>
      <c r="D61" s="7"/>
      <c r="E61" s="11"/>
      <c r="F61" s="8"/>
      <c r="G61" s="8"/>
      <c r="H61" s="9"/>
      <c r="I61" s="10"/>
      <c r="J61" s="9"/>
      <c r="K61" s="10"/>
      <c r="L61" s="8"/>
      <c r="M61" s="8"/>
      <c r="N61" s="10"/>
      <c r="O61" s="10"/>
    </row>
    <row r="62" spans="1:15" ht="42.75" customHeight="1" x14ac:dyDescent="0.25">
      <c r="A62" s="7"/>
      <c r="B62" s="7"/>
      <c r="C62" s="7"/>
      <c r="D62" s="7"/>
      <c r="E62" s="11"/>
      <c r="F62" s="8"/>
      <c r="G62" s="8"/>
      <c r="H62" s="9"/>
      <c r="I62" s="10"/>
      <c r="J62" s="9"/>
      <c r="K62" s="10"/>
      <c r="L62" s="8"/>
      <c r="M62" s="8"/>
      <c r="N62" s="10"/>
      <c r="O62" s="10"/>
    </row>
    <row r="63" spans="1:15" ht="42.75" customHeight="1" x14ac:dyDescent="0.25">
      <c r="A63" s="7"/>
      <c r="B63" s="7"/>
      <c r="C63" s="7"/>
      <c r="D63" s="7"/>
      <c r="E63" s="11"/>
      <c r="F63" s="8"/>
      <c r="G63" s="8"/>
      <c r="H63" s="9"/>
      <c r="I63" s="10"/>
      <c r="J63" s="9"/>
      <c r="K63" s="10"/>
      <c r="L63" s="8"/>
      <c r="M63" s="8"/>
      <c r="N63" s="10"/>
      <c r="O63" s="10"/>
    </row>
    <row r="64" spans="1:15" ht="42.75" customHeight="1" x14ac:dyDescent="0.25">
      <c r="A64" s="7"/>
      <c r="B64" s="7"/>
      <c r="C64" s="7"/>
      <c r="D64" s="7"/>
      <c r="E64" s="11"/>
      <c r="F64" s="8"/>
      <c r="G64" s="8"/>
      <c r="H64" s="9"/>
      <c r="I64" s="10"/>
      <c r="J64" s="9"/>
      <c r="K64" s="10"/>
      <c r="L64" s="8"/>
      <c r="M64" s="8"/>
      <c r="N64" s="10"/>
      <c r="O64" s="10"/>
    </row>
    <row r="65" spans="1:15" ht="42.75" customHeight="1" x14ac:dyDescent="0.25">
      <c r="A65" s="7"/>
      <c r="B65" s="7"/>
      <c r="C65" s="7"/>
      <c r="D65" s="7"/>
      <c r="E65" s="11"/>
      <c r="F65" s="8"/>
      <c r="G65" s="8"/>
      <c r="H65" s="9"/>
      <c r="I65" s="10"/>
      <c r="J65" s="9"/>
      <c r="K65" s="10"/>
      <c r="L65" s="8"/>
      <c r="M65" s="8"/>
      <c r="N65" s="10"/>
      <c r="O65" s="10"/>
    </row>
    <row r="66" spans="1:15" ht="42.75" customHeight="1" x14ac:dyDescent="0.25">
      <c r="A66" s="7"/>
      <c r="B66" s="7"/>
      <c r="C66" s="7"/>
      <c r="D66" s="7"/>
      <c r="E66" s="11"/>
      <c r="F66" s="8"/>
      <c r="G66" s="8"/>
      <c r="H66" s="9"/>
      <c r="I66" s="10"/>
      <c r="J66" s="9"/>
      <c r="K66" s="10"/>
      <c r="L66" s="8"/>
      <c r="M66" s="8"/>
      <c r="N66" s="10"/>
      <c r="O66" s="10"/>
    </row>
    <row r="67" spans="1:15" ht="42.75" customHeight="1" x14ac:dyDescent="0.25">
      <c r="A67" s="7"/>
      <c r="B67" s="7"/>
      <c r="C67" s="7"/>
      <c r="D67" s="7"/>
      <c r="E67" s="11"/>
      <c r="F67" s="8"/>
      <c r="G67" s="8"/>
      <c r="H67" s="9"/>
      <c r="I67" s="10"/>
      <c r="J67" s="9"/>
      <c r="K67" s="10"/>
      <c r="L67" s="8"/>
      <c r="M67" s="8"/>
      <c r="N67" s="10"/>
      <c r="O67" s="10"/>
    </row>
    <row r="68" spans="1:15" ht="42.75" customHeight="1" x14ac:dyDescent="0.25">
      <c r="A68" s="7"/>
      <c r="B68" s="7"/>
      <c r="C68" s="7"/>
      <c r="D68" s="7"/>
      <c r="E68" s="11"/>
      <c r="F68" s="8"/>
      <c r="G68" s="8"/>
      <c r="H68" s="9"/>
      <c r="I68" s="10"/>
      <c r="J68" s="9"/>
      <c r="K68" s="10"/>
      <c r="L68" s="8"/>
      <c r="M68" s="8"/>
      <c r="N68" s="10"/>
      <c r="O68" s="10"/>
    </row>
    <row r="69" spans="1:15" ht="42.75" customHeight="1" x14ac:dyDescent="0.25">
      <c r="A69" s="7"/>
      <c r="B69" s="7"/>
      <c r="C69" s="7"/>
      <c r="D69" s="7"/>
      <c r="E69" s="11"/>
      <c r="F69" s="8"/>
      <c r="G69" s="8"/>
      <c r="H69" s="9"/>
      <c r="I69" s="10"/>
      <c r="J69" s="9"/>
      <c r="K69" s="10"/>
      <c r="L69" s="8"/>
      <c r="M69" s="8"/>
      <c r="N69" s="10"/>
      <c r="O69" s="10"/>
    </row>
    <row r="70" spans="1:15" ht="42.75" customHeight="1" x14ac:dyDescent="0.25">
      <c r="A70" s="7"/>
      <c r="B70" s="7"/>
      <c r="C70" s="7"/>
      <c r="D70" s="7"/>
      <c r="E70" s="11"/>
      <c r="F70" s="8"/>
      <c r="G70" s="8"/>
      <c r="H70" s="9"/>
      <c r="I70" s="10"/>
      <c r="J70" s="9"/>
      <c r="K70" s="10"/>
      <c r="L70" s="8"/>
      <c r="M70" s="8"/>
      <c r="N70" s="10"/>
      <c r="O70" s="10"/>
    </row>
    <row r="71" spans="1:15" ht="42.75" customHeight="1" x14ac:dyDescent="0.25">
      <c r="A71" s="7"/>
      <c r="B71" s="7"/>
      <c r="C71" s="7"/>
      <c r="D71" s="7"/>
      <c r="E71" s="11"/>
      <c r="F71" s="8"/>
      <c r="G71" s="8"/>
      <c r="H71" s="9"/>
      <c r="I71" s="10"/>
      <c r="J71" s="9"/>
      <c r="K71" s="10"/>
      <c r="L71" s="8"/>
      <c r="M71" s="8"/>
      <c r="N71" s="10"/>
      <c r="O71" s="10"/>
    </row>
    <row r="72" spans="1:15" ht="42.75" customHeight="1" x14ac:dyDescent="0.25">
      <c r="A72" s="7"/>
      <c r="B72" s="7"/>
      <c r="C72" s="7"/>
      <c r="D72" s="7"/>
      <c r="E72" s="11"/>
      <c r="F72" s="8"/>
      <c r="G72" s="8"/>
      <c r="H72" s="9"/>
      <c r="I72" s="10"/>
      <c r="J72" s="9"/>
      <c r="K72" s="10"/>
      <c r="L72" s="8"/>
      <c r="M72" s="8"/>
      <c r="N72" s="10"/>
      <c r="O72" s="10"/>
    </row>
    <row r="73" spans="1:15" ht="42.75" customHeight="1" x14ac:dyDescent="0.25">
      <c r="A73" s="7"/>
      <c r="B73" s="7"/>
      <c r="C73" s="7"/>
      <c r="D73" s="7"/>
      <c r="E73" s="11"/>
      <c r="F73" s="8"/>
      <c r="G73" s="8"/>
      <c r="H73" s="9"/>
      <c r="I73" s="10"/>
      <c r="J73" s="9"/>
      <c r="K73" s="10"/>
      <c r="L73" s="8"/>
      <c r="M73" s="8"/>
      <c r="N73" s="10"/>
      <c r="O73" s="10"/>
    </row>
    <row r="74" spans="1:15" ht="42.75" customHeight="1" x14ac:dyDescent="0.25">
      <c r="A74" s="7"/>
      <c r="B74" s="7"/>
      <c r="C74" s="7"/>
      <c r="D74" s="7"/>
      <c r="E74" s="11"/>
      <c r="F74" s="8"/>
      <c r="G74" s="8"/>
      <c r="H74" s="9"/>
      <c r="I74" s="10"/>
      <c r="J74" s="9"/>
      <c r="K74" s="10"/>
      <c r="L74" s="8"/>
      <c r="M74" s="8"/>
      <c r="N74" s="10"/>
      <c r="O74" s="10"/>
    </row>
    <row r="75" spans="1:15" ht="42.75" customHeight="1" x14ac:dyDescent="0.25">
      <c r="A75" s="7"/>
      <c r="B75" s="7"/>
      <c r="C75" s="7"/>
      <c r="D75" s="7"/>
      <c r="E75" s="11"/>
      <c r="F75" s="8"/>
      <c r="G75" s="8"/>
      <c r="H75" s="9"/>
      <c r="I75" s="10"/>
      <c r="J75" s="9"/>
      <c r="K75" s="10"/>
      <c r="L75" s="8"/>
      <c r="M75" s="8"/>
      <c r="N75" s="10"/>
      <c r="O75" s="10"/>
    </row>
    <row r="76" spans="1:15" ht="42.75" customHeight="1" x14ac:dyDescent="0.25">
      <c r="A76" s="7"/>
      <c r="B76" s="7"/>
      <c r="C76" s="7"/>
      <c r="D76" s="7"/>
      <c r="E76" s="11"/>
      <c r="F76" s="8"/>
      <c r="G76" s="8"/>
      <c r="H76" s="9"/>
      <c r="I76" s="10"/>
      <c r="J76" s="9"/>
      <c r="K76" s="10"/>
      <c r="L76" s="8"/>
      <c r="M76" s="8"/>
      <c r="N76" s="10"/>
      <c r="O76" s="10"/>
    </row>
    <row r="77" spans="1:15" ht="42.75" customHeight="1" x14ac:dyDescent="0.25">
      <c r="A77" s="7"/>
      <c r="B77" s="7"/>
      <c r="C77" s="7"/>
      <c r="D77" s="7"/>
      <c r="E77" s="11"/>
      <c r="F77" s="8"/>
      <c r="G77" s="8"/>
      <c r="H77" s="9"/>
      <c r="I77" s="10"/>
      <c r="J77" s="9"/>
      <c r="K77" s="10"/>
      <c r="L77" s="8"/>
      <c r="M77" s="8"/>
      <c r="N77" s="10"/>
      <c r="O77" s="10"/>
    </row>
    <row r="78" spans="1:15" ht="42.75" customHeight="1" x14ac:dyDescent="0.25">
      <c r="A78" s="7"/>
      <c r="B78" s="7"/>
      <c r="C78" s="7"/>
      <c r="D78" s="7"/>
      <c r="E78" s="11"/>
      <c r="F78" s="8"/>
      <c r="G78" s="8"/>
      <c r="H78" s="9"/>
      <c r="I78" s="10"/>
      <c r="J78" s="9"/>
      <c r="K78" s="10"/>
      <c r="L78" s="8"/>
      <c r="M78" s="8"/>
      <c r="N78" s="10"/>
      <c r="O78" s="10"/>
    </row>
    <row r="79" spans="1:15" ht="42.75" customHeight="1" x14ac:dyDescent="0.25">
      <c r="A79" s="7"/>
      <c r="B79" s="7"/>
      <c r="C79" s="7"/>
      <c r="D79" s="7"/>
      <c r="E79" s="11"/>
      <c r="F79" s="8"/>
      <c r="G79" s="8"/>
      <c r="H79" s="9"/>
      <c r="I79" s="10"/>
      <c r="J79" s="9"/>
      <c r="K79" s="10"/>
      <c r="L79" s="8"/>
      <c r="M79" s="8"/>
      <c r="N79" s="10"/>
      <c r="O79" s="10"/>
    </row>
    <row r="80" spans="1:15" ht="42.75" customHeight="1" x14ac:dyDescent="0.25">
      <c r="A80" s="7"/>
      <c r="B80" s="7"/>
      <c r="C80" s="7"/>
      <c r="D80" s="7"/>
      <c r="E80" s="11"/>
      <c r="F80" s="8"/>
      <c r="G80" s="8"/>
      <c r="H80" s="9"/>
      <c r="I80" s="10"/>
      <c r="J80" s="9"/>
      <c r="K80" s="10"/>
      <c r="L80" s="8"/>
      <c r="M80" s="8"/>
      <c r="N80" s="10"/>
      <c r="O80" s="10"/>
    </row>
    <row r="81" spans="1:15" ht="42.75" customHeight="1" x14ac:dyDescent="0.25">
      <c r="A81" s="7"/>
      <c r="B81" s="7"/>
      <c r="C81" s="7"/>
      <c r="D81" s="7"/>
      <c r="E81" s="11"/>
      <c r="F81" s="8"/>
      <c r="G81" s="8"/>
      <c r="H81" s="9"/>
      <c r="I81" s="10"/>
      <c r="J81" s="9"/>
      <c r="K81" s="10"/>
      <c r="L81" s="8"/>
      <c r="M81" s="8"/>
      <c r="N81" s="10"/>
      <c r="O81" s="10"/>
    </row>
    <row r="82" spans="1:15" ht="42.75" customHeight="1" x14ac:dyDescent="0.25">
      <c r="A82" s="7"/>
      <c r="B82" s="7"/>
      <c r="C82" s="7"/>
      <c r="D82" s="7"/>
      <c r="E82" s="11"/>
      <c r="F82" s="8"/>
      <c r="G82" s="8"/>
      <c r="H82" s="9"/>
      <c r="I82" s="10"/>
      <c r="J82" s="9"/>
      <c r="K82" s="10"/>
      <c r="L82" s="8"/>
      <c r="M82" s="8"/>
      <c r="N82" s="10"/>
      <c r="O82" s="10"/>
    </row>
    <row r="83" spans="1:15" ht="42.75" customHeight="1" x14ac:dyDescent="0.25">
      <c r="A83" s="7"/>
      <c r="B83" s="7"/>
      <c r="C83" s="7"/>
      <c r="D83" s="7"/>
      <c r="E83" s="11"/>
      <c r="F83" s="8"/>
      <c r="G83" s="8"/>
      <c r="H83" s="9"/>
      <c r="I83" s="10"/>
      <c r="J83" s="9"/>
      <c r="K83" s="10"/>
      <c r="L83" s="8"/>
      <c r="M83" s="8"/>
      <c r="N83" s="10"/>
      <c r="O83" s="10"/>
    </row>
    <row r="84" spans="1:15" ht="42.75" customHeight="1" x14ac:dyDescent="0.25">
      <c r="A84" s="7"/>
      <c r="B84" s="7"/>
      <c r="C84" s="7"/>
      <c r="D84" s="7"/>
      <c r="E84" s="11"/>
      <c r="F84" s="8"/>
      <c r="G84" s="8"/>
      <c r="H84" s="9"/>
      <c r="I84" s="10"/>
      <c r="J84" s="9"/>
      <c r="K84" s="10"/>
      <c r="L84" s="8"/>
      <c r="M84" s="8"/>
      <c r="N84" s="10"/>
      <c r="O84" s="10"/>
    </row>
    <row r="85" spans="1:15" ht="42.75" customHeight="1" x14ac:dyDescent="0.25">
      <c r="A85" s="7"/>
      <c r="B85" s="7"/>
      <c r="C85" s="7"/>
      <c r="D85" s="7"/>
      <c r="E85" s="11"/>
      <c r="F85" s="8"/>
      <c r="G85" s="8"/>
      <c r="H85" s="9"/>
      <c r="I85" s="10"/>
      <c r="J85" s="9"/>
      <c r="K85" s="10"/>
      <c r="L85" s="8"/>
      <c r="M85" s="8"/>
      <c r="N85" s="10"/>
      <c r="O85" s="10"/>
    </row>
    <row r="86" spans="1:15" ht="42.75" customHeight="1" x14ac:dyDescent="0.25">
      <c r="A86" s="7"/>
      <c r="B86" s="7"/>
      <c r="C86" s="7"/>
      <c r="D86" s="7"/>
      <c r="E86" s="11"/>
      <c r="F86" s="8"/>
      <c r="G86" s="8"/>
      <c r="H86" s="9"/>
      <c r="I86" s="10"/>
      <c r="J86" s="9"/>
      <c r="K86" s="10"/>
      <c r="L86" s="8"/>
      <c r="M86" s="8"/>
      <c r="N86" s="10"/>
      <c r="O86" s="10"/>
    </row>
    <row r="87" spans="1:15" ht="42.75" customHeight="1" x14ac:dyDescent="0.25">
      <c r="A87" s="7"/>
      <c r="B87" s="7"/>
      <c r="C87" s="7"/>
      <c r="D87" s="7"/>
      <c r="E87" s="11"/>
      <c r="F87" s="8"/>
      <c r="G87" s="8"/>
      <c r="H87" s="9"/>
      <c r="I87" s="10"/>
      <c r="J87" s="9"/>
      <c r="K87" s="10"/>
      <c r="L87" s="8"/>
      <c r="M87" s="8"/>
      <c r="N87" s="10"/>
      <c r="O87" s="10"/>
    </row>
    <row r="88" spans="1:15" ht="42.75" customHeight="1" x14ac:dyDescent="0.25">
      <c r="A88" s="7"/>
      <c r="B88" s="7"/>
      <c r="C88" s="7"/>
      <c r="D88" s="7"/>
      <c r="E88" s="11"/>
      <c r="F88" s="8"/>
      <c r="G88" s="8"/>
      <c r="H88" s="9"/>
      <c r="I88" s="10"/>
      <c r="J88" s="9"/>
      <c r="K88" s="10"/>
      <c r="L88" s="8"/>
      <c r="M88" s="8"/>
      <c r="N88" s="10"/>
      <c r="O88" s="10"/>
    </row>
    <row r="89" spans="1:15" ht="42.75" customHeight="1" x14ac:dyDescent="0.25">
      <c r="A89" s="7"/>
      <c r="B89" s="7"/>
      <c r="C89" s="7"/>
      <c r="D89" s="7"/>
      <c r="E89" s="11"/>
      <c r="F89" s="8"/>
      <c r="G89" s="8"/>
      <c r="H89" s="9"/>
      <c r="I89" s="10"/>
      <c r="J89" s="9"/>
      <c r="K89" s="10"/>
      <c r="L89" s="8"/>
      <c r="M89" s="8"/>
      <c r="N89" s="10"/>
      <c r="O89" s="10"/>
    </row>
    <row r="90" spans="1:15" ht="42.75" customHeight="1" x14ac:dyDescent="0.25">
      <c r="A90" s="7"/>
      <c r="B90" s="7"/>
      <c r="C90" s="7"/>
      <c r="D90" s="7"/>
      <c r="E90" s="11"/>
      <c r="F90" s="8"/>
      <c r="G90" s="8"/>
      <c r="H90" s="9"/>
      <c r="I90" s="10"/>
      <c r="J90" s="9"/>
      <c r="K90" s="10"/>
      <c r="L90" s="8"/>
      <c r="M90" s="8"/>
      <c r="N90" s="10"/>
      <c r="O90" s="10"/>
    </row>
    <row r="91" spans="1:15" ht="42.75" customHeight="1" x14ac:dyDescent="0.25">
      <c r="A91" s="7"/>
      <c r="B91" s="7"/>
      <c r="C91" s="7"/>
      <c r="D91" s="7"/>
      <c r="E91" s="11"/>
      <c r="F91" s="8"/>
      <c r="G91" s="8"/>
      <c r="H91" s="9"/>
      <c r="I91" s="10"/>
      <c r="J91" s="9"/>
      <c r="K91" s="10"/>
      <c r="L91" s="8"/>
      <c r="M91" s="8"/>
      <c r="N91" s="10"/>
      <c r="O91" s="10"/>
    </row>
    <row r="92" spans="1:15" ht="42.75" customHeight="1" x14ac:dyDescent="0.25">
      <c r="A92" s="7"/>
      <c r="B92" s="7"/>
      <c r="C92" s="7"/>
      <c r="D92" s="7"/>
      <c r="E92" s="11"/>
      <c r="F92" s="8"/>
      <c r="G92" s="8"/>
      <c r="H92" s="9"/>
      <c r="I92" s="10"/>
      <c r="J92" s="9"/>
      <c r="K92" s="10"/>
      <c r="L92" s="8"/>
      <c r="M92" s="8"/>
      <c r="N92" s="10"/>
      <c r="O92" s="10"/>
    </row>
    <row r="93" spans="1:15" ht="42.75" customHeight="1" x14ac:dyDescent="0.25">
      <c r="A93" s="7"/>
      <c r="B93" s="7"/>
      <c r="C93" s="7"/>
      <c r="D93" s="7"/>
      <c r="E93" s="11"/>
      <c r="F93" s="8"/>
      <c r="G93" s="8"/>
      <c r="H93" s="9"/>
      <c r="I93" s="10"/>
      <c r="J93" s="9"/>
      <c r="K93" s="10"/>
      <c r="L93" s="8"/>
      <c r="M93" s="8"/>
      <c r="N93" s="10"/>
      <c r="O93" s="10"/>
    </row>
    <row r="94" spans="1:15" ht="42.75" customHeight="1" x14ac:dyDescent="0.25">
      <c r="A94" s="7"/>
      <c r="B94" s="7"/>
      <c r="C94" s="7"/>
      <c r="D94" s="7"/>
      <c r="E94" s="11"/>
      <c r="F94" s="8"/>
      <c r="G94" s="8"/>
      <c r="H94" s="9"/>
      <c r="I94" s="10"/>
      <c r="J94" s="9"/>
      <c r="K94" s="10"/>
      <c r="L94" s="8"/>
      <c r="M94" s="8"/>
      <c r="N94" s="10"/>
      <c r="O94" s="10"/>
    </row>
    <row r="95" spans="1:15" ht="42.75" customHeight="1" x14ac:dyDescent="0.25">
      <c r="A95" s="7"/>
      <c r="B95" s="7"/>
      <c r="C95" s="7"/>
      <c r="D95" s="7"/>
      <c r="E95" s="11"/>
      <c r="F95" s="8"/>
      <c r="G95" s="8"/>
      <c r="H95" s="9"/>
      <c r="I95" s="10"/>
      <c r="J95" s="9"/>
      <c r="K95" s="10"/>
      <c r="L95" s="8"/>
      <c r="M95" s="8"/>
      <c r="N95" s="10"/>
      <c r="O95" s="10"/>
    </row>
    <row r="96" spans="1:15" ht="42.75" customHeight="1" x14ac:dyDescent="0.25">
      <c r="A96" s="7"/>
      <c r="B96" s="7"/>
      <c r="C96" s="7"/>
      <c r="D96" s="7"/>
      <c r="E96" s="11"/>
      <c r="F96" s="8"/>
      <c r="G96" s="8"/>
      <c r="H96" s="9"/>
      <c r="I96" s="10"/>
      <c r="J96" s="9"/>
      <c r="K96" s="10"/>
      <c r="L96" s="8"/>
      <c r="M96" s="8"/>
      <c r="N96" s="10"/>
      <c r="O96" s="10"/>
    </row>
    <row r="97" spans="1:15" ht="42.75" customHeight="1" x14ac:dyDescent="0.25">
      <c r="A97" s="7"/>
      <c r="B97" s="7"/>
      <c r="C97" s="7"/>
      <c r="D97" s="7"/>
      <c r="E97" s="11"/>
      <c r="F97" s="8"/>
      <c r="G97" s="8"/>
      <c r="H97" s="9"/>
      <c r="I97" s="10"/>
      <c r="J97" s="9"/>
      <c r="K97" s="10"/>
      <c r="L97" s="8"/>
      <c r="M97" s="8"/>
      <c r="N97" s="10"/>
      <c r="O97" s="10"/>
    </row>
    <row r="98" spans="1:15" ht="42.75" customHeight="1" x14ac:dyDescent="0.25">
      <c r="A98" s="7"/>
      <c r="B98" s="7"/>
      <c r="C98" s="7"/>
      <c r="D98" s="7"/>
      <c r="E98" s="11"/>
      <c r="F98" s="8"/>
      <c r="G98" s="8"/>
      <c r="H98" s="9"/>
      <c r="I98" s="10"/>
      <c r="J98" s="9"/>
      <c r="K98" s="10"/>
      <c r="L98" s="8"/>
      <c r="M98" s="8"/>
      <c r="N98" s="10"/>
      <c r="O98" s="10"/>
    </row>
    <row r="99" spans="1:15" ht="42.75" customHeight="1" x14ac:dyDescent="0.25">
      <c r="A99" s="7"/>
      <c r="B99" s="7"/>
      <c r="C99" s="7"/>
      <c r="D99" s="7"/>
      <c r="E99" s="11"/>
      <c r="F99" s="8"/>
      <c r="G99" s="8"/>
      <c r="H99" s="9"/>
      <c r="I99" s="10"/>
      <c r="J99" s="9"/>
      <c r="K99" s="10"/>
      <c r="L99" s="8"/>
      <c r="M99" s="8"/>
      <c r="N99" s="10"/>
      <c r="O99" s="10"/>
    </row>
    <row r="100" spans="1:15" ht="42.75" customHeight="1" x14ac:dyDescent="0.25">
      <c r="A100" s="7"/>
      <c r="B100" s="7"/>
      <c r="C100" s="7"/>
      <c r="D100" s="7"/>
      <c r="E100" s="11"/>
      <c r="F100" s="8"/>
      <c r="G100" s="8"/>
      <c r="H100" s="9"/>
      <c r="I100" s="10"/>
      <c r="J100" s="9"/>
      <c r="K100" s="10"/>
      <c r="L100" s="8"/>
      <c r="M100" s="8"/>
      <c r="N100" s="10"/>
      <c r="O100" s="10"/>
    </row>
    <row r="101" spans="1:15" ht="42.75" customHeight="1" x14ac:dyDescent="0.25">
      <c r="A101" s="7"/>
      <c r="B101" s="7"/>
      <c r="C101" s="7"/>
      <c r="D101" s="7"/>
      <c r="E101" s="11"/>
      <c r="F101" s="8"/>
      <c r="G101" s="8"/>
      <c r="H101" s="9"/>
      <c r="I101" s="10"/>
      <c r="J101" s="9"/>
      <c r="K101" s="10"/>
      <c r="L101" s="8"/>
      <c r="M101" s="8"/>
      <c r="N101" s="10"/>
      <c r="O101" s="10"/>
    </row>
    <row r="102" spans="1:15" ht="42.75" customHeight="1" x14ac:dyDescent="0.25">
      <c r="A102" s="7"/>
      <c r="B102" s="7"/>
      <c r="C102" s="7"/>
      <c r="D102" s="7"/>
      <c r="E102" s="11"/>
      <c r="F102" s="8"/>
      <c r="G102" s="8"/>
      <c r="H102" s="9"/>
      <c r="I102" s="10"/>
      <c r="J102" s="9"/>
      <c r="K102" s="10"/>
      <c r="L102" s="8"/>
      <c r="M102" s="8"/>
      <c r="N102" s="10"/>
      <c r="O102" s="10"/>
    </row>
    <row r="103" spans="1:15" ht="42.75" customHeight="1" x14ac:dyDescent="0.25">
      <c r="A103" s="7"/>
      <c r="B103" s="7"/>
      <c r="C103" s="7"/>
      <c r="D103" s="7"/>
      <c r="E103" s="11"/>
      <c r="F103" s="8"/>
      <c r="G103" s="8"/>
      <c r="H103" s="9"/>
      <c r="I103" s="10"/>
      <c r="J103" s="9"/>
      <c r="K103" s="10"/>
      <c r="L103" s="8"/>
      <c r="M103" s="8"/>
      <c r="N103" s="10"/>
      <c r="O103" s="10"/>
    </row>
    <row r="104" spans="1:15" ht="42.75" customHeight="1" x14ac:dyDescent="0.25">
      <c r="A104" s="7"/>
      <c r="B104" s="7"/>
      <c r="C104" s="7"/>
      <c r="D104" s="7"/>
      <c r="E104" s="11"/>
      <c r="F104" s="8"/>
      <c r="G104" s="8"/>
      <c r="H104" s="9"/>
      <c r="I104" s="10"/>
      <c r="J104" s="9"/>
      <c r="K104" s="10"/>
      <c r="L104" s="8"/>
      <c r="M104" s="8"/>
      <c r="N104" s="10"/>
      <c r="O104" s="10"/>
    </row>
    <row r="105" spans="1:15" ht="42.75" customHeight="1" x14ac:dyDescent="0.25">
      <c r="A105" s="7"/>
      <c r="B105" s="7"/>
      <c r="C105" s="7"/>
      <c r="D105" s="7"/>
      <c r="E105" s="11"/>
      <c r="F105" s="8"/>
      <c r="G105" s="8"/>
      <c r="H105" s="9"/>
      <c r="I105" s="10"/>
      <c r="J105" s="9"/>
      <c r="K105" s="10"/>
      <c r="L105" s="8"/>
      <c r="M105" s="8"/>
      <c r="N105" s="10"/>
      <c r="O105" s="10"/>
    </row>
    <row r="106" spans="1:15" ht="42.75" customHeight="1" x14ac:dyDescent="0.25">
      <c r="A106" s="7"/>
      <c r="B106" s="7"/>
      <c r="C106" s="7"/>
      <c r="D106" s="7"/>
      <c r="E106" s="11"/>
      <c r="F106" s="8"/>
      <c r="G106" s="8"/>
      <c r="H106" s="9"/>
      <c r="I106" s="10"/>
      <c r="J106" s="9"/>
      <c r="K106" s="10"/>
      <c r="L106" s="8"/>
      <c r="M106" s="8"/>
      <c r="N106" s="10"/>
      <c r="O106" s="10"/>
    </row>
    <row r="107" spans="1:15" ht="42.75" customHeight="1" x14ac:dyDescent="0.25">
      <c r="A107" s="7"/>
      <c r="B107" s="7"/>
      <c r="C107" s="7"/>
      <c r="D107" s="7"/>
      <c r="E107" s="11"/>
      <c r="F107" s="8"/>
      <c r="G107" s="8"/>
      <c r="H107" s="9"/>
      <c r="I107" s="10"/>
      <c r="J107" s="9"/>
      <c r="K107" s="10"/>
      <c r="L107" s="8"/>
      <c r="M107" s="8"/>
      <c r="N107" s="10"/>
      <c r="O107" s="10"/>
    </row>
    <row r="108" spans="1:15" ht="42.75" customHeight="1" x14ac:dyDescent="0.25">
      <c r="A108" s="7"/>
      <c r="B108" s="7"/>
      <c r="C108" s="7"/>
      <c r="D108" s="7"/>
      <c r="E108" s="11"/>
      <c r="F108" s="8"/>
      <c r="G108" s="8"/>
      <c r="H108" s="9"/>
      <c r="I108" s="10"/>
      <c r="J108" s="9"/>
      <c r="K108" s="10"/>
      <c r="L108" s="8"/>
      <c r="M108" s="8"/>
      <c r="N108" s="10"/>
      <c r="O108" s="10"/>
    </row>
    <row r="109" spans="1:15" ht="42.75" customHeight="1" x14ac:dyDescent="0.25">
      <c r="A109" s="7"/>
      <c r="B109" s="7"/>
      <c r="C109" s="7"/>
      <c r="D109" s="7"/>
      <c r="E109" s="11"/>
      <c r="F109" s="8"/>
      <c r="G109" s="8"/>
      <c r="H109" s="9"/>
      <c r="I109" s="10"/>
      <c r="J109" s="9"/>
      <c r="K109" s="10"/>
      <c r="L109" s="8"/>
      <c r="M109" s="8"/>
      <c r="N109" s="10"/>
      <c r="O109" s="10"/>
    </row>
    <row r="110" spans="1:15" ht="42.75" customHeight="1" x14ac:dyDescent="0.25">
      <c r="A110" s="7"/>
      <c r="B110" s="7"/>
      <c r="C110" s="7"/>
      <c r="D110" s="7"/>
      <c r="E110" s="11"/>
      <c r="F110" s="8"/>
      <c r="G110" s="8"/>
      <c r="H110" s="9"/>
      <c r="I110" s="10"/>
      <c r="J110" s="9"/>
      <c r="K110" s="10"/>
      <c r="L110" s="8"/>
      <c r="M110" s="8"/>
      <c r="N110" s="10"/>
      <c r="O110" s="10"/>
    </row>
    <row r="111" spans="1:15" ht="42.75" customHeight="1" x14ac:dyDescent="0.25">
      <c r="A111" s="7"/>
      <c r="B111" s="7"/>
      <c r="C111" s="7"/>
      <c r="D111" s="7"/>
      <c r="E111" s="11"/>
      <c r="F111" s="8"/>
      <c r="G111" s="8"/>
      <c r="H111" s="9"/>
      <c r="I111" s="10"/>
      <c r="J111" s="9"/>
      <c r="K111" s="10"/>
      <c r="L111" s="8"/>
      <c r="M111" s="8"/>
      <c r="N111" s="10"/>
      <c r="O111" s="10"/>
    </row>
    <row r="112" spans="1:15" ht="42.75" customHeight="1" x14ac:dyDescent="0.25">
      <c r="A112" s="7"/>
      <c r="B112" s="7"/>
      <c r="C112" s="7"/>
      <c r="D112" s="7"/>
      <c r="E112" s="11"/>
      <c r="F112" s="8"/>
      <c r="G112" s="8"/>
      <c r="H112" s="9"/>
      <c r="I112" s="10"/>
      <c r="J112" s="9"/>
      <c r="K112" s="10"/>
      <c r="L112" s="8"/>
      <c r="M112" s="8"/>
      <c r="N112" s="10"/>
      <c r="O112" s="10"/>
    </row>
    <row r="113" spans="1:15" ht="42.75" customHeight="1" x14ac:dyDescent="0.25">
      <c r="A113" s="7"/>
      <c r="B113" s="7"/>
      <c r="C113" s="7"/>
      <c r="D113" s="7"/>
      <c r="E113" s="11"/>
      <c r="F113" s="8"/>
      <c r="G113" s="8"/>
      <c r="H113" s="9"/>
      <c r="I113" s="10"/>
      <c r="J113" s="9"/>
      <c r="K113" s="10"/>
      <c r="L113" s="8"/>
      <c r="M113" s="8"/>
      <c r="N113" s="10"/>
      <c r="O113" s="10"/>
    </row>
    <row r="114" spans="1:15" ht="42.75" customHeight="1" x14ac:dyDescent="0.25">
      <c r="A114" s="7"/>
      <c r="B114" s="7"/>
      <c r="C114" s="7"/>
      <c r="D114" s="7"/>
      <c r="E114" s="11"/>
      <c r="F114" s="8"/>
      <c r="G114" s="8"/>
      <c r="H114" s="9"/>
      <c r="I114" s="10"/>
      <c r="J114" s="9"/>
      <c r="K114" s="10"/>
      <c r="L114" s="8"/>
      <c r="M114" s="8"/>
      <c r="N114" s="10"/>
      <c r="O114" s="10"/>
    </row>
    <row r="115" spans="1:15" ht="42.75" customHeight="1" x14ac:dyDescent="0.25">
      <c r="A115" s="7"/>
      <c r="B115" s="7"/>
      <c r="C115" s="7"/>
      <c r="D115" s="7"/>
      <c r="E115" s="11"/>
      <c r="F115" s="8"/>
      <c r="G115" s="8"/>
      <c r="H115" s="9"/>
      <c r="I115" s="10"/>
      <c r="J115" s="9"/>
      <c r="K115" s="10"/>
      <c r="L115" s="8"/>
      <c r="M115" s="8"/>
      <c r="N115" s="10"/>
      <c r="O115" s="10"/>
    </row>
    <row r="116" spans="1:15" ht="42.75" customHeight="1" x14ac:dyDescent="0.25">
      <c r="A116" s="7"/>
      <c r="B116" s="7"/>
      <c r="C116" s="7"/>
      <c r="D116" s="7"/>
      <c r="E116" s="11"/>
      <c r="F116" s="8"/>
      <c r="G116" s="8"/>
      <c r="H116" s="9"/>
      <c r="I116" s="10"/>
      <c r="J116" s="9"/>
      <c r="K116" s="10"/>
      <c r="L116" s="8"/>
      <c r="M116" s="8"/>
      <c r="N116" s="10"/>
      <c r="O116" s="10"/>
    </row>
    <row r="117" spans="1:15" ht="42.75" customHeight="1" x14ac:dyDescent="0.25">
      <c r="A117" s="7"/>
      <c r="B117" s="7"/>
      <c r="C117" s="7"/>
      <c r="D117" s="7"/>
      <c r="E117" s="11"/>
      <c r="F117" s="8"/>
      <c r="G117" s="8"/>
      <c r="H117" s="9"/>
      <c r="I117" s="10"/>
      <c r="J117" s="9"/>
      <c r="K117" s="10"/>
      <c r="L117" s="8"/>
      <c r="M117" s="8"/>
      <c r="N117" s="10"/>
      <c r="O117" s="10"/>
    </row>
    <row r="118" spans="1:15" ht="42.75" customHeight="1" x14ac:dyDescent="0.25">
      <c r="A118" s="7"/>
      <c r="B118" s="7"/>
      <c r="C118" s="7"/>
      <c r="D118" s="7"/>
      <c r="E118" s="11"/>
      <c r="F118" s="8"/>
      <c r="G118" s="8"/>
      <c r="H118" s="9"/>
      <c r="I118" s="10"/>
      <c r="J118" s="9"/>
      <c r="K118" s="10"/>
      <c r="L118" s="8"/>
      <c r="M118" s="8"/>
      <c r="N118" s="10"/>
      <c r="O118" s="10"/>
    </row>
    <row r="119" spans="1:15" ht="42.75" customHeight="1" x14ac:dyDescent="0.25">
      <c r="A119" s="7"/>
      <c r="B119" s="7"/>
      <c r="C119" s="7"/>
      <c r="D119" s="7"/>
      <c r="E119" s="11"/>
      <c r="F119" s="8"/>
      <c r="G119" s="8"/>
      <c r="H119" s="9"/>
      <c r="I119" s="10"/>
      <c r="J119" s="9"/>
      <c r="K119" s="10"/>
      <c r="L119" s="8"/>
      <c r="M119" s="8"/>
      <c r="N119" s="10"/>
      <c r="O119" s="10"/>
    </row>
    <row r="120" spans="1:15" ht="42.75" customHeight="1" x14ac:dyDescent="0.25">
      <c r="A120" s="7"/>
      <c r="B120" s="7"/>
      <c r="C120" s="7"/>
      <c r="D120" s="7"/>
      <c r="E120" s="11"/>
      <c r="F120" s="8"/>
      <c r="G120" s="8"/>
      <c r="H120" s="9"/>
      <c r="I120" s="10"/>
      <c r="J120" s="9"/>
      <c r="K120" s="10"/>
      <c r="L120" s="8"/>
      <c r="M120" s="8"/>
      <c r="N120" s="10"/>
      <c r="O120" s="10"/>
    </row>
    <row r="121" spans="1:15" ht="42.75" customHeight="1" x14ac:dyDescent="0.25">
      <c r="A121" s="7"/>
      <c r="B121" s="7"/>
      <c r="C121" s="7"/>
      <c r="D121" s="7"/>
      <c r="E121" s="11"/>
      <c r="F121" s="8"/>
      <c r="G121" s="8"/>
      <c r="H121" s="9"/>
      <c r="I121" s="10"/>
      <c r="J121" s="9"/>
      <c r="K121" s="10"/>
      <c r="L121" s="8"/>
      <c r="M121" s="8"/>
      <c r="N121" s="10"/>
      <c r="O121" s="10"/>
    </row>
    <row r="122" spans="1:15" ht="42.75" customHeight="1" x14ac:dyDescent="0.25">
      <c r="A122" s="7"/>
      <c r="B122" s="7"/>
      <c r="C122" s="7"/>
      <c r="D122" s="7"/>
      <c r="E122" s="11"/>
      <c r="F122" s="8"/>
      <c r="G122" s="8"/>
      <c r="H122" s="9"/>
      <c r="I122" s="10"/>
      <c r="J122" s="9"/>
      <c r="K122" s="10"/>
      <c r="L122" s="8"/>
      <c r="M122" s="8"/>
      <c r="N122" s="10"/>
      <c r="O122" s="10"/>
    </row>
    <row r="123" spans="1:15" ht="42.75" customHeight="1" x14ac:dyDescent="0.25">
      <c r="A123" s="7"/>
      <c r="B123" s="7"/>
      <c r="C123" s="7"/>
      <c r="D123" s="7"/>
      <c r="E123" s="11"/>
      <c r="F123" s="8"/>
      <c r="G123" s="8"/>
      <c r="H123" s="9"/>
      <c r="I123" s="10"/>
      <c r="J123" s="9"/>
      <c r="K123" s="10"/>
      <c r="L123" s="8"/>
      <c r="M123" s="8"/>
      <c r="N123" s="10"/>
      <c r="O123" s="10"/>
    </row>
    <row r="124" spans="1:15" ht="42.75" customHeight="1" x14ac:dyDescent="0.25">
      <c r="A124" s="7"/>
      <c r="B124" s="7"/>
      <c r="C124" s="7"/>
      <c r="D124" s="7"/>
      <c r="E124" s="11"/>
      <c r="F124" s="8"/>
      <c r="G124" s="8"/>
      <c r="H124" s="9"/>
      <c r="I124" s="10"/>
      <c r="J124" s="9"/>
      <c r="K124" s="10"/>
      <c r="L124" s="8"/>
      <c r="M124" s="8"/>
      <c r="N124" s="10"/>
      <c r="O124" s="10"/>
    </row>
    <row r="125" spans="1:15" ht="42.75" customHeight="1" x14ac:dyDescent="0.25">
      <c r="A125" s="7"/>
      <c r="B125" s="7"/>
      <c r="C125" s="7"/>
      <c r="D125" s="7"/>
      <c r="E125" s="11"/>
      <c r="F125" s="8"/>
      <c r="G125" s="8"/>
      <c r="H125" s="9"/>
      <c r="I125" s="10"/>
      <c r="J125" s="9"/>
      <c r="K125" s="10"/>
      <c r="L125" s="8"/>
      <c r="M125" s="8"/>
      <c r="N125" s="10"/>
      <c r="O125" s="10"/>
    </row>
    <row r="126" spans="1:15" ht="42.75" customHeight="1" x14ac:dyDescent="0.25">
      <c r="A126" s="7"/>
      <c r="B126" s="7"/>
      <c r="C126" s="7"/>
      <c r="D126" s="7"/>
      <c r="E126" s="11"/>
      <c r="F126" s="8"/>
      <c r="G126" s="8"/>
      <c r="H126" s="9"/>
      <c r="I126" s="10"/>
      <c r="J126" s="9"/>
      <c r="K126" s="10"/>
      <c r="L126" s="8"/>
      <c r="M126" s="8"/>
      <c r="N126" s="10"/>
      <c r="O126" s="10"/>
    </row>
    <row r="127" spans="1:15" ht="42.75" customHeight="1" x14ac:dyDescent="0.25">
      <c r="A127" s="7"/>
      <c r="B127" s="7"/>
      <c r="C127" s="7"/>
      <c r="D127" s="7"/>
      <c r="E127" s="11"/>
      <c r="F127" s="8"/>
      <c r="G127" s="8"/>
      <c r="H127" s="9"/>
      <c r="I127" s="10"/>
      <c r="J127" s="9"/>
      <c r="K127" s="10"/>
      <c r="L127" s="8"/>
      <c r="M127" s="8"/>
      <c r="N127" s="10"/>
      <c r="O127" s="10"/>
    </row>
    <row r="128" spans="1:15" ht="42.75" customHeight="1" x14ac:dyDescent="0.25">
      <c r="A128" s="7"/>
      <c r="B128" s="7"/>
      <c r="C128" s="7"/>
      <c r="D128" s="7"/>
      <c r="E128" s="11"/>
      <c r="F128" s="8"/>
      <c r="G128" s="8"/>
      <c r="H128" s="9"/>
      <c r="I128" s="10"/>
      <c r="J128" s="9"/>
      <c r="K128" s="10"/>
      <c r="L128" s="8"/>
      <c r="M128" s="8"/>
      <c r="N128" s="10"/>
      <c r="O128" s="10"/>
    </row>
    <row r="129" spans="1:15" ht="42.75" customHeight="1" x14ac:dyDescent="0.25">
      <c r="A129" s="7"/>
      <c r="B129" s="7"/>
      <c r="C129" s="7"/>
      <c r="D129" s="7"/>
      <c r="E129" s="11"/>
      <c r="F129" s="8"/>
      <c r="G129" s="8"/>
      <c r="H129" s="9"/>
      <c r="I129" s="10"/>
      <c r="J129" s="9"/>
      <c r="K129" s="10"/>
      <c r="L129" s="8"/>
      <c r="M129" s="8"/>
      <c r="N129" s="10"/>
      <c r="O129" s="10"/>
    </row>
    <row r="130" spans="1:15" ht="42.75" customHeight="1" x14ac:dyDescent="0.25">
      <c r="A130" s="7"/>
      <c r="B130" s="7"/>
      <c r="C130" s="7"/>
      <c r="D130" s="7"/>
      <c r="E130" s="11"/>
      <c r="F130" s="8"/>
      <c r="G130" s="8"/>
      <c r="H130" s="9"/>
      <c r="I130" s="10"/>
      <c r="J130" s="9"/>
      <c r="K130" s="10"/>
      <c r="L130" s="8"/>
      <c r="M130" s="8"/>
      <c r="N130" s="10"/>
      <c r="O130" s="10"/>
    </row>
    <row r="131" spans="1:15" ht="42.75" customHeight="1" x14ac:dyDescent="0.25">
      <c r="A131" s="7"/>
      <c r="B131" s="7"/>
      <c r="C131" s="7"/>
      <c r="D131" s="7"/>
      <c r="E131" s="11"/>
      <c r="F131" s="8"/>
      <c r="G131" s="8"/>
      <c r="H131" s="9"/>
      <c r="I131" s="10"/>
      <c r="J131" s="9"/>
      <c r="K131" s="10"/>
      <c r="L131" s="8"/>
      <c r="M131" s="8"/>
      <c r="N131" s="10"/>
      <c r="O131" s="10"/>
    </row>
    <row r="132" spans="1:15" ht="42.75" customHeight="1" x14ac:dyDescent="0.25">
      <c r="A132" s="7"/>
      <c r="B132" s="7"/>
      <c r="C132" s="7"/>
      <c r="D132" s="7"/>
      <c r="E132" s="11"/>
      <c r="F132" s="8"/>
      <c r="G132" s="8"/>
      <c r="H132" s="9"/>
      <c r="I132" s="10"/>
      <c r="J132" s="9"/>
      <c r="K132" s="10"/>
      <c r="L132" s="8"/>
      <c r="M132" s="8"/>
      <c r="N132" s="10"/>
      <c r="O132" s="10"/>
    </row>
    <row r="133" spans="1:15" ht="42.75" customHeight="1" x14ac:dyDescent="0.25">
      <c r="A133" s="7"/>
      <c r="B133" s="7"/>
      <c r="C133" s="7"/>
      <c r="D133" s="7"/>
      <c r="E133" s="11"/>
      <c r="F133" s="8"/>
      <c r="G133" s="8"/>
      <c r="H133" s="9"/>
      <c r="I133" s="10"/>
      <c r="J133" s="9"/>
      <c r="K133" s="10"/>
      <c r="L133" s="8"/>
      <c r="M133" s="8"/>
      <c r="N133" s="10"/>
      <c r="O133" s="10"/>
    </row>
    <row r="134" spans="1:15" ht="42.75" customHeight="1" x14ac:dyDescent="0.25">
      <c r="A134" s="7"/>
      <c r="B134" s="7"/>
      <c r="C134" s="7"/>
      <c r="D134" s="7"/>
      <c r="E134" s="11"/>
      <c r="F134" s="8"/>
      <c r="G134" s="8"/>
      <c r="H134" s="9"/>
      <c r="I134" s="10"/>
      <c r="J134" s="9"/>
      <c r="K134" s="10"/>
      <c r="L134" s="8"/>
      <c r="M134" s="8"/>
      <c r="N134" s="10"/>
      <c r="O134" s="10"/>
    </row>
    <row r="135" spans="1:15" ht="42.75" customHeight="1" x14ac:dyDescent="0.25">
      <c r="A135" s="7"/>
      <c r="B135" s="7"/>
      <c r="C135" s="7"/>
      <c r="D135" s="7"/>
      <c r="E135" s="11"/>
      <c r="F135" s="8"/>
      <c r="G135" s="8"/>
      <c r="H135" s="9"/>
      <c r="I135" s="10"/>
      <c r="J135" s="9"/>
      <c r="K135" s="10"/>
      <c r="L135" s="8"/>
      <c r="M135" s="8"/>
      <c r="N135" s="10"/>
      <c r="O135" s="10"/>
    </row>
    <row r="136" spans="1:15" ht="42.75" customHeight="1" x14ac:dyDescent="0.25">
      <c r="A136" s="7"/>
      <c r="B136" s="7"/>
      <c r="C136" s="7"/>
      <c r="D136" s="7"/>
      <c r="E136" s="11"/>
      <c r="F136" s="8"/>
      <c r="G136" s="8"/>
      <c r="H136" s="9"/>
      <c r="I136" s="10"/>
      <c r="J136" s="9"/>
      <c r="K136" s="10"/>
      <c r="L136" s="8"/>
      <c r="M136" s="8"/>
      <c r="N136" s="10"/>
      <c r="O136" s="10"/>
    </row>
    <row r="137" spans="1:15" ht="42.75" customHeight="1" x14ac:dyDescent="0.25">
      <c r="A137" s="7"/>
      <c r="B137" s="7"/>
      <c r="C137" s="7"/>
      <c r="D137" s="7"/>
      <c r="E137" s="11"/>
      <c r="F137" s="8"/>
      <c r="G137" s="8"/>
      <c r="H137" s="9"/>
      <c r="I137" s="10"/>
      <c r="J137" s="9"/>
      <c r="K137" s="10"/>
      <c r="L137" s="8"/>
      <c r="M137" s="8"/>
      <c r="N137" s="10"/>
      <c r="O137" s="10"/>
    </row>
    <row r="138" spans="1:15" ht="42.75" customHeight="1" x14ac:dyDescent="0.25">
      <c r="A138" s="7"/>
      <c r="B138" s="7"/>
      <c r="C138" s="7"/>
      <c r="D138" s="7"/>
      <c r="E138" s="11"/>
      <c r="F138" s="8"/>
      <c r="G138" s="8"/>
      <c r="H138" s="9"/>
      <c r="I138" s="10"/>
      <c r="J138" s="9"/>
      <c r="K138" s="10"/>
      <c r="L138" s="8"/>
      <c r="M138" s="8"/>
      <c r="N138" s="10"/>
      <c r="O138" s="10"/>
    </row>
    <row r="139" spans="1:15" ht="42.75" customHeight="1" x14ac:dyDescent="0.25">
      <c r="A139" s="7"/>
      <c r="B139" s="7"/>
      <c r="C139" s="7"/>
      <c r="D139" s="7"/>
      <c r="E139" s="11"/>
      <c r="F139" s="8"/>
      <c r="G139" s="8"/>
      <c r="H139" s="9"/>
      <c r="I139" s="10"/>
      <c r="J139" s="9"/>
      <c r="K139" s="10"/>
      <c r="L139" s="8"/>
      <c r="M139" s="8"/>
      <c r="N139" s="10"/>
      <c r="O139" s="10"/>
    </row>
    <row r="140" spans="1:15" ht="42.75" customHeight="1" x14ac:dyDescent="0.25">
      <c r="A140" s="7"/>
      <c r="B140" s="7"/>
      <c r="C140" s="7"/>
      <c r="D140" s="7"/>
      <c r="E140" s="11"/>
      <c r="F140" s="8"/>
      <c r="G140" s="8"/>
      <c r="H140" s="9"/>
      <c r="I140" s="10"/>
      <c r="J140" s="9"/>
      <c r="K140" s="10"/>
      <c r="L140" s="8"/>
      <c r="M140" s="8"/>
      <c r="N140" s="10"/>
      <c r="O140" s="10"/>
    </row>
    <row r="141" spans="1:15" ht="42.75" customHeight="1" x14ac:dyDescent="0.25">
      <c r="A141" s="7"/>
      <c r="B141" s="7"/>
      <c r="C141" s="7"/>
      <c r="D141" s="7"/>
      <c r="E141" s="11"/>
      <c r="F141" s="8"/>
      <c r="G141" s="8"/>
      <c r="H141" s="9"/>
      <c r="I141" s="10"/>
      <c r="J141" s="9"/>
      <c r="K141" s="10"/>
      <c r="L141" s="8"/>
      <c r="M141" s="8"/>
      <c r="N141" s="10"/>
      <c r="O141" s="10"/>
    </row>
    <row r="142" spans="1:15" ht="42.75" customHeight="1" x14ac:dyDescent="0.25">
      <c r="A142" s="7"/>
      <c r="B142" s="7"/>
      <c r="C142" s="7"/>
      <c r="D142" s="7"/>
      <c r="E142" s="11"/>
      <c r="F142" s="8"/>
      <c r="G142" s="8"/>
      <c r="H142" s="9"/>
      <c r="I142" s="10"/>
      <c r="J142" s="9"/>
      <c r="K142" s="10"/>
      <c r="L142" s="8"/>
      <c r="M142" s="8"/>
      <c r="N142" s="10"/>
      <c r="O142" s="10"/>
    </row>
    <row r="143" spans="1:15" ht="42.75" customHeight="1" x14ac:dyDescent="0.25">
      <c r="A143" s="7"/>
      <c r="B143" s="7"/>
      <c r="C143" s="7"/>
      <c r="D143" s="7"/>
      <c r="E143" s="11"/>
      <c r="F143" s="8"/>
      <c r="G143" s="8"/>
      <c r="H143" s="9"/>
      <c r="I143" s="10"/>
      <c r="J143" s="9"/>
      <c r="K143" s="10"/>
      <c r="L143" s="8"/>
      <c r="M143" s="8"/>
      <c r="N143" s="10"/>
      <c r="O143" s="10"/>
    </row>
    <row r="144" spans="1:15" ht="42.75" customHeight="1" x14ac:dyDescent="0.25">
      <c r="A144" s="7"/>
      <c r="B144" s="7"/>
      <c r="C144" s="7"/>
      <c r="D144" s="7"/>
      <c r="E144" s="11"/>
      <c r="F144" s="8"/>
      <c r="G144" s="8"/>
      <c r="H144" s="9"/>
      <c r="I144" s="10"/>
      <c r="J144" s="9"/>
      <c r="K144" s="10"/>
      <c r="L144" s="8"/>
      <c r="M144" s="8"/>
      <c r="N144" s="10"/>
      <c r="O144" s="10"/>
    </row>
    <row r="145" spans="1:15" ht="42.75" customHeight="1" x14ac:dyDescent="0.25">
      <c r="A145" s="7"/>
      <c r="B145" s="7"/>
      <c r="C145" s="7"/>
      <c r="D145" s="7"/>
      <c r="E145" s="11"/>
      <c r="F145" s="8"/>
      <c r="G145" s="8"/>
      <c r="H145" s="9"/>
      <c r="I145" s="10"/>
      <c r="J145" s="9"/>
      <c r="K145" s="10"/>
      <c r="L145" s="8"/>
      <c r="M145" s="8"/>
      <c r="N145" s="10"/>
      <c r="O145" s="10"/>
    </row>
    <row r="146" spans="1:15" ht="42.75" customHeight="1" x14ac:dyDescent="0.25">
      <c r="A146" s="7"/>
      <c r="B146" s="7"/>
      <c r="C146" s="7"/>
      <c r="D146" s="7"/>
      <c r="E146" s="11"/>
      <c r="F146" s="8"/>
      <c r="G146" s="8"/>
      <c r="H146" s="9"/>
      <c r="I146" s="10"/>
      <c r="J146" s="9"/>
      <c r="K146" s="10"/>
      <c r="L146" s="8"/>
      <c r="M146" s="8"/>
      <c r="N146" s="10"/>
      <c r="O146" s="10"/>
    </row>
    <row r="147" spans="1:15" ht="42.75" customHeight="1" x14ac:dyDescent="0.25">
      <c r="A147" s="7"/>
      <c r="B147" s="7"/>
      <c r="C147" s="7"/>
      <c r="D147" s="7"/>
      <c r="E147" s="11"/>
      <c r="F147" s="8"/>
      <c r="G147" s="8"/>
      <c r="H147" s="9"/>
      <c r="I147" s="10"/>
      <c r="J147" s="9"/>
      <c r="K147" s="10"/>
      <c r="L147" s="8"/>
      <c r="M147" s="8"/>
      <c r="N147" s="10"/>
      <c r="O147" s="10"/>
    </row>
    <row r="148" spans="1:15" ht="42.75" customHeight="1" x14ac:dyDescent="0.25">
      <c r="A148" s="7"/>
      <c r="B148" s="7"/>
      <c r="C148" s="7"/>
      <c r="D148" s="7"/>
      <c r="E148" s="11"/>
      <c r="F148" s="8"/>
      <c r="G148" s="8"/>
      <c r="H148" s="9"/>
      <c r="I148" s="10"/>
      <c r="J148" s="9"/>
      <c r="K148" s="10"/>
      <c r="L148" s="8"/>
      <c r="M148" s="8"/>
      <c r="N148" s="10"/>
      <c r="O148" s="10"/>
    </row>
    <row r="149" spans="1:15" ht="42.75" customHeight="1" x14ac:dyDescent="0.25">
      <c r="A149" s="7"/>
      <c r="B149" s="7"/>
      <c r="C149" s="7"/>
      <c r="D149" s="7"/>
      <c r="E149" s="11"/>
      <c r="F149" s="8"/>
      <c r="G149" s="8"/>
      <c r="H149" s="9"/>
      <c r="I149" s="10"/>
      <c r="J149" s="9"/>
      <c r="K149" s="10"/>
      <c r="L149" s="8"/>
      <c r="M149" s="8"/>
      <c r="N149" s="10"/>
      <c r="O149" s="10"/>
    </row>
    <row r="150" spans="1:15" ht="42.75" customHeight="1" x14ac:dyDescent="0.25">
      <c r="A150" s="7"/>
      <c r="B150" s="7"/>
      <c r="C150" s="7"/>
      <c r="D150" s="7"/>
      <c r="E150" s="11"/>
      <c r="F150" s="8"/>
      <c r="G150" s="8"/>
      <c r="H150" s="9"/>
      <c r="I150" s="10"/>
      <c r="J150" s="9"/>
      <c r="K150" s="10"/>
      <c r="L150" s="8"/>
      <c r="M150" s="8"/>
      <c r="N150" s="10"/>
      <c r="O150" s="10"/>
    </row>
    <row r="151" spans="1:15" ht="42.75" customHeight="1" x14ac:dyDescent="0.25">
      <c r="A151" s="7"/>
      <c r="B151" s="7"/>
      <c r="C151" s="7"/>
      <c r="D151" s="7"/>
      <c r="E151" s="11"/>
      <c r="F151" s="8"/>
      <c r="G151" s="8"/>
      <c r="H151" s="9"/>
      <c r="I151" s="10"/>
      <c r="J151" s="9"/>
      <c r="K151" s="10"/>
      <c r="L151" s="8"/>
      <c r="M151" s="8"/>
      <c r="N151" s="10"/>
      <c r="O151" s="10"/>
    </row>
    <row r="152" spans="1:15" ht="42.75" customHeight="1" x14ac:dyDescent="0.25">
      <c r="A152" s="7"/>
      <c r="B152" s="7"/>
      <c r="C152" s="7"/>
      <c r="D152" s="7"/>
      <c r="E152" s="11"/>
      <c r="F152" s="8"/>
      <c r="G152" s="8"/>
      <c r="H152" s="9"/>
      <c r="I152" s="10"/>
      <c r="J152" s="9"/>
      <c r="K152" s="10"/>
      <c r="L152" s="8"/>
      <c r="M152" s="8"/>
      <c r="N152" s="10"/>
      <c r="O152" s="10"/>
    </row>
    <row r="153" spans="1:15" ht="42.75" customHeight="1" x14ac:dyDescent="0.25">
      <c r="A153" s="7"/>
      <c r="B153" s="7"/>
      <c r="C153" s="7"/>
      <c r="D153" s="7"/>
      <c r="E153" s="11"/>
      <c r="F153" s="8"/>
      <c r="G153" s="8"/>
      <c r="H153" s="9"/>
      <c r="I153" s="10"/>
      <c r="J153" s="9"/>
      <c r="K153" s="10"/>
      <c r="L153" s="8"/>
      <c r="M153" s="8"/>
      <c r="N153" s="10"/>
      <c r="O153" s="10"/>
    </row>
    <row r="154" spans="1:15" ht="42.75" customHeight="1" x14ac:dyDescent="0.25">
      <c r="A154" s="7"/>
      <c r="B154" s="7"/>
      <c r="C154" s="7"/>
      <c r="D154" s="7"/>
      <c r="E154" s="11"/>
      <c r="F154" s="8"/>
      <c r="G154" s="8"/>
      <c r="H154" s="9"/>
      <c r="I154" s="10"/>
      <c r="J154" s="9"/>
      <c r="K154" s="10"/>
      <c r="L154" s="8"/>
      <c r="M154" s="8"/>
      <c r="N154" s="10"/>
      <c r="O154" s="10"/>
    </row>
    <row r="155" spans="1:15" ht="42.75" customHeight="1" x14ac:dyDescent="0.25">
      <c r="A155" s="7"/>
      <c r="B155" s="7"/>
      <c r="C155" s="7"/>
      <c r="D155" s="7"/>
      <c r="E155" s="11"/>
      <c r="F155" s="8"/>
      <c r="G155" s="8"/>
      <c r="H155" s="9"/>
      <c r="I155" s="10"/>
      <c r="J155" s="9"/>
      <c r="K155" s="10"/>
      <c r="L155" s="8"/>
      <c r="M155" s="8"/>
      <c r="N155" s="10"/>
      <c r="O155" s="10"/>
    </row>
    <row r="156" spans="1:15" ht="42.75" customHeight="1" x14ac:dyDescent="0.25">
      <c r="A156" s="7"/>
      <c r="B156" s="7"/>
      <c r="C156" s="7"/>
      <c r="D156" s="7"/>
      <c r="E156" s="11"/>
      <c r="F156" s="8"/>
      <c r="G156" s="8"/>
      <c r="H156" s="9"/>
      <c r="I156" s="10"/>
      <c r="J156" s="9"/>
      <c r="K156" s="10"/>
      <c r="L156" s="8"/>
      <c r="M156" s="8"/>
      <c r="N156" s="10"/>
      <c r="O156" s="10"/>
    </row>
    <row r="157" spans="1:15" ht="42.75" customHeight="1" x14ac:dyDescent="0.25">
      <c r="A157" s="7"/>
      <c r="B157" s="7"/>
      <c r="C157" s="7"/>
      <c r="D157" s="7"/>
      <c r="E157" s="11"/>
      <c r="F157" s="8"/>
      <c r="G157" s="8"/>
      <c r="H157" s="9"/>
      <c r="I157" s="10"/>
      <c r="J157" s="9"/>
      <c r="K157" s="10"/>
      <c r="L157" s="8"/>
      <c r="M157" s="8"/>
      <c r="N157" s="10"/>
      <c r="O157" s="10"/>
    </row>
    <row r="158" spans="1:15" ht="42.75" customHeight="1" x14ac:dyDescent="0.25">
      <c r="A158" s="7"/>
      <c r="B158" s="7"/>
      <c r="C158" s="7"/>
      <c r="D158" s="7"/>
      <c r="E158" s="11"/>
      <c r="F158" s="8"/>
      <c r="G158" s="8"/>
      <c r="H158" s="9"/>
      <c r="I158" s="10"/>
      <c r="J158" s="9"/>
      <c r="K158" s="10"/>
      <c r="L158" s="8"/>
      <c r="M158" s="8"/>
      <c r="N158" s="10"/>
      <c r="O158" s="10"/>
    </row>
    <row r="159" spans="1:15" ht="42.75" customHeight="1" x14ac:dyDescent="0.25">
      <c r="A159" s="7"/>
      <c r="B159" s="7"/>
      <c r="C159" s="7"/>
      <c r="D159" s="7"/>
      <c r="E159" s="11"/>
      <c r="F159" s="8"/>
      <c r="G159" s="8"/>
      <c r="H159" s="9"/>
      <c r="I159" s="10"/>
      <c r="J159" s="9"/>
      <c r="K159" s="10"/>
      <c r="L159" s="8"/>
      <c r="M159" s="8"/>
      <c r="N159" s="10"/>
      <c r="O159" s="10"/>
    </row>
    <row r="160" spans="1:15" ht="42.75" customHeight="1" x14ac:dyDescent="0.25">
      <c r="A160" s="7"/>
      <c r="B160" s="7"/>
      <c r="C160" s="7"/>
      <c r="D160" s="7"/>
      <c r="E160" s="11"/>
      <c r="F160" s="8"/>
      <c r="G160" s="8"/>
      <c r="H160" s="9"/>
      <c r="I160" s="10"/>
      <c r="J160" s="9"/>
      <c r="K160" s="10"/>
      <c r="L160" s="8"/>
      <c r="M160" s="8"/>
      <c r="N160" s="10"/>
      <c r="O160" s="10"/>
    </row>
    <row r="161" spans="1:15" ht="42.75" customHeight="1" x14ac:dyDescent="0.25">
      <c r="A161" s="7"/>
      <c r="B161" s="7"/>
      <c r="C161" s="7"/>
      <c r="D161" s="7"/>
      <c r="E161" s="11"/>
      <c r="F161" s="8"/>
      <c r="G161" s="8"/>
      <c r="H161" s="9"/>
      <c r="I161" s="10"/>
      <c r="J161" s="9"/>
      <c r="K161" s="10"/>
      <c r="L161" s="8"/>
      <c r="M161" s="8"/>
      <c r="N161" s="10"/>
      <c r="O161" s="10"/>
    </row>
    <row r="162" spans="1:15" ht="42.75" customHeight="1" x14ac:dyDescent="0.25">
      <c r="A162" s="7"/>
      <c r="B162" s="7"/>
      <c r="C162" s="7"/>
      <c r="D162" s="7"/>
      <c r="E162" s="11"/>
      <c r="F162" s="8"/>
      <c r="G162" s="8"/>
      <c r="H162" s="9"/>
      <c r="I162" s="10"/>
      <c r="J162" s="9"/>
      <c r="K162" s="10"/>
      <c r="L162" s="8"/>
      <c r="M162" s="8"/>
      <c r="N162" s="10"/>
      <c r="O162" s="10"/>
    </row>
    <row r="163" spans="1:15" ht="42.75" customHeight="1" x14ac:dyDescent="0.25">
      <c r="A163" s="7"/>
      <c r="B163" s="7"/>
      <c r="C163" s="7"/>
      <c r="D163" s="7"/>
      <c r="E163" s="11"/>
      <c r="F163" s="8"/>
      <c r="G163" s="8"/>
      <c r="H163" s="9"/>
      <c r="I163" s="10"/>
      <c r="J163" s="9"/>
      <c r="K163" s="10"/>
      <c r="L163" s="8"/>
      <c r="M163" s="8"/>
      <c r="N163" s="10"/>
      <c r="O163" s="10"/>
    </row>
    <row r="164" spans="1:15" ht="42.75" customHeight="1" x14ac:dyDescent="0.25">
      <c r="A164" s="7"/>
      <c r="B164" s="7"/>
      <c r="C164" s="7"/>
      <c r="D164" s="7"/>
      <c r="E164" s="11"/>
      <c r="F164" s="8"/>
      <c r="G164" s="8"/>
      <c r="H164" s="9"/>
      <c r="I164" s="10"/>
      <c r="J164" s="9"/>
      <c r="K164" s="10"/>
      <c r="L164" s="8"/>
      <c r="M164" s="8"/>
      <c r="N164" s="10"/>
      <c r="O164" s="10"/>
    </row>
    <row r="165" spans="1:15" ht="42.75" customHeight="1" x14ac:dyDescent="0.25">
      <c r="A165" s="7"/>
      <c r="B165" s="7"/>
      <c r="C165" s="7"/>
      <c r="D165" s="7"/>
      <c r="E165" s="11"/>
      <c r="F165" s="8"/>
      <c r="G165" s="8"/>
      <c r="H165" s="9"/>
      <c r="I165" s="10"/>
      <c r="J165" s="9"/>
      <c r="K165" s="10"/>
      <c r="L165" s="8"/>
      <c r="M165" s="8"/>
      <c r="N165" s="10"/>
      <c r="O165" s="10"/>
    </row>
    <row r="166" spans="1:15" ht="42.75" customHeight="1" x14ac:dyDescent="0.25">
      <c r="A166" s="7"/>
      <c r="B166" s="7"/>
      <c r="C166" s="7"/>
      <c r="D166" s="7"/>
      <c r="E166" s="11"/>
      <c r="F166" s="8"/>
      <c r="G166" s="8"/>
      <c r="H166" s="9"/>
      <c r="I166" s="10"/>
      <c r="J166" s="9"/>
      <c r="K166" s="10"/>
      <c r="L166" s="8"/>
      <c r="M166" s="8"/>
      <c r="N166" s="10"/>
      <c r="O166" s="10"/>
    </row>
    <row r="167" spans="1:15" ht="42.75" customHeight="1" x14ac:dyDescent="0.25">
      <c r="A167" s="7"/>
      <c r="B167" s="7"/>
      <c r="C167" s="7"/>
      <c r="D167" s="7"/>
      <c r="E167" s="11"/>
      <c r="F167" s="8"/>
      <c r="G167" s="8"/>
      <c r="H167" s="9"/>
      <c r="I167" s="10"/>
      <c r="J167" s="9"/>
      <c r="K167" s="10"/>
      <c r="L167" s="8"/>
      <c r="M167" s="8"/>
      <c r="N167" s="10"/>
      <c r="O167" s="10"/>
    </row>
    <row r="168" spans="1:15" ht="42.75" customHeight="1" x14ac:dyDescent="0.25">
      <c r="A168" s="7"/>
      <c r="B168" s="7"/>
      <c r="C168" s="7"/>
      <c r="D168" s="7"/>
      <c r="E168" s="11"/>
      <c r="F168" s="8"/>
      <c r="G168" s="8"/>
      <c r="H168" s="9"/>
      <c r="I168" s="10"/>
      <c r="J168" s="9"/>
      <c r="K168" s="10"/>
      <c r="L168" s="8"/>
      <c r="M168" s="8"/>
      <c r="N168" s="10"/>
      <c r="O168" s="10"/>
    </row>
    <row r="169" spans="1:15" ht="42.75" customHeight="1" x14ac:dyDescent="0.25">
      <c r="A169" s="7"/>
      <c r="B169" s="7"/>
      <c r="C169" s="7"/>
      <c r="D169" s="7"/>
      <c r="E169" s="11"/>
      <c r="F169" s="8"/>
      <c r="G169" s="8"/>
      <c r="H169" s="9"/>
      <c r="I169" s="10"/>
      <c r="J169" s="9"/>
      <c r="K169" s="10"/>
      <c r="L169" s="8"/>
      <c r="M169" s="8"/>
      <c r="N169" s="10"/>
      <c r="O169" s="10"/>
    </row>
    <row r="170" spans="1:15" ht="42.75" customHeight="1" x14ac:dyDescent="0.25">
      <c r="A170" s="7"/>
      <c r="B170" s="7"/>
      <c r="C170" s="7"/>
      <c r="D170" s="7"/>
      <c r="E170" s="11"/>
      <c r="F170" s="8"/>
      <c r="G170" s="8"/>
      <c r="H170" s="9"/>
      <c r="I170" s="10"/>
      <c r="J170" s="9"/>
      <c r="K170" s="10"/>
      <c r="L170" s="8"/>
      <c r="M170" s="8"/>
      <c r="N170" s="10"/>
      <c r="O170" s="10"/>
    </row>
    <row r="171" spans="1:15" ht="42.75" customHeight="1" x14ac:dyDescent="0.25">
      <c r="A171" s="7"/>
      <c r="B171" s="7"/>
      <c r="C171" s="7"/>
      <c r="D171" s="7"/>
      <c r="E171" s="11"/>
      <c r="F171" s="8"/>
      <c r="G171" s="8"/>
      <c r="H171" s="9"/>
      <c r="I171" s="10"/>
      <c r="J171" s="9"/>
      <c r="K171" s="10"/>
      <c r="L171" s="8"/>
      <c r="M171" s="8"/>
      <c r="N171" s="10"/>
      <c r="O171" s="10"/>
    </row>
    <row r="172" spans="1:15" ht="42.75" customHeight="1" x14ac:dyDescent="0.25">
      <c r="A172" s="7"/>
      <c r="B172" s="7"/>
      <c r="C172" s="7"/>
      <c r="D172" s="7"/>
      <c r="E172" s="11"/>
      <c r="F172" s="8"/>
      <c r="G172" s="8"/>
      <c r="H172" s="9"/>
      <c r="I172" s="10"/>
      <c r="J172" s="9"/>
      <c r="K172" s="10"/>
      <c r="L172" s="8"/>
      <c r="M172" s="8"/>
      <c r="N172" s="10"/>
      <c r="O172" s="10"/>
    </row>
    <row r="173" spans="1:15" ht="42.75" customHeight="1" x14ac:dyDescent="0.25">
      <c r="A173" s="7"/>
      <c r="B173" s="7"/>
      <c r="C173" s="7"/>
      <c r="D173" s="7"/>
      <c r="E173" s="11"/>
      <c r="F173" s="8"/>
      <c r="G173" s="8"/>
      <c r="H173" s="9"/>
      <c r="I173" s="10"/>
      <c r="J173" s="9"/>
      <c r="K173" s="10"/>
      <c r="L173" s="8"/>
      <c r="M173" s="8"/>
      <c r="N173" s="10"/>
      <c r="O173" s="10"/>
    </row>
    <row r="174" spans="1:15" ht="42.75" customHeight="1" x14ac:dyDescent="0.25">
      <c r="A174" s="7"/>
      <c r="B174" s="7"/>
      <c r="C174" s="7"/>
      <c r="D174" s="7"/>
      <c r="E174" s="11"/>
      <c r="F174" s="8"/>
      <c r="G174" s="8"/>
      <c r="H174" s="9"/>
      <c r="I174" s="10"/>
      <c r="J174" s="9"/>
      <c r="K174" s="10"/>
      <c r="L174" s="8"/>
      <c r="M174" s="8"/>
      <c r="N174" s="10"/>
      <c r="O174" s="10"/>
    </row>
    <row r="175" spans="1:15" ht="42.75" customHeight="1" x14ac:dyDescent="0.25">
      <c r="A175" s="7"/>
      <c r="B175" s="7"/>
      <c r="C175" s="7"/>
      <c r="D175" s="7"/>
      <c r="E175" s="11"/>
      <c r="F175" s="8"/>
      <c r="G175" s="8"/>
      <c r="H175" s="9"/>
      <c r="I175" s="10"/>
      <c r="J175" s="9"/>
      <c r="K175" s="10"/>
      <c r="L175" s="8"/>
      <c r="M175" s="8"/>
      <c r="N175" s="10"/>
      <c r="O175" s="10"/>
    </row>
    <row r="176" spans="1:15" ht="42.75" customHeight="1" x14ac:dyDescent="0.25">
      <c r="A176" s="7"/>
      <c r="B176" s="7"/>
      <c r="C176" s="7"/>
      <c r="D176" s="7"/>
      <c r="E176" s="11"/>
      <c r="F176" s="8"/>
      <c r="G176" s="8"/>
      <c r="H176" s="9"/>
      <c r="I176" s="10"/>
      <c r="J176" s="9"/>
      <c r="K176" s="10"/>
      <c r="L176" s="8"/>
      <c r="M176" s="8"/>
      <c r="N176" s="10"/>
      <c r="O176" s="10"/>
    </row>
    <row r="177" spans="1:15" ht="42.75" customHeight="1" x14ac:dyDescent="0.25">
      <c r="A177" s="7"/>
      <c r="B177" s="7"/>
      <c r="C177" s="7"/>
      <c r="D177" s="7"/>
      <c r="E177" s="11"/>
      <c r="F177" s="8"/>
      <c r="G177" s="8"/>
      <c r="H177" s="9"/>
      <c r="I177" s="10"/>
      <c r="J177" s="9"/>
      <c r="K177" s="10"/>
      <c r="L177" s="8"/>
      <c r="M177" s="8"/>
      <c r="N177" s="10"/>
      <c r="O177" s="10"/>
    </row>
    <row r="178" spans="1:15" ht="42.75" customHeight="1" x14ac:dyDescent="0.25">
      <c r="A178" s="7"/>
      <c r="B178" s="7"/>
      <c r="C178" s="7"/>
      <c r="D178" s="7"/>
      <c r="E178" s="11"/>
      <c r="F178" s="8"/>
      <c r="G178" s="8"/>
      <c r="H178" s="9"/>
      <c r="I178" s="10"/>
      <c r="J178" s="9"/>
      <c r="K178" s="10"/>
      <c r="L178" s="8"/>
      <c r="M178" s="8"/>
      <c r="N178" s="10"/>
      <c r="O178" s="10"/>
    </row>
    <row r="179" spans="1:15" ht="42.75" customHeight="1" x14ac:dyDescent="0.25">
      <c r="A179" s="7"/>
      <c r="B179" s="7"/>
      <c r="C179" s="7"/>
      <c r="D179" s="7"/>
      <c r="E179" s="11"/>
      <c r="F179" s="8"/>
      <c r="G179" s="8"/>
      <c r="H179" s="9"/>
      <c r="I179" s="10"/>
      <c r="J179" s="9"/>
      <c r="K179" s="10"/>
      <c r="L179" s="8"/>
      <c r="M179" s="8"/>
      <c r="N179" s="10"/>
      <c r="O179" s="10"/>
    </row>
    <row r="180" spans="1:15" ht="42.75" customHeight="1" x14ac:dyDescent="0.25">
      <c r="A180" s="7"/>
      <c r="B180" s="7"/>
      <c r="C180" s="7"/>
      <c r="D180" s="7"/>
      <c r="E180" s="11"/>
      <c r="F180" s="8"/>
      <c r="G180" s="8"/>
      <c r="H180" s="9"/>
      <c r="I180" s="10"/>
      <c r="J180" s="9"/>
      <c r="K180" s="10"/>
      <c r="L180" s="8"/>
      <c r="M180" s="8"/>
      <c r="N180" s="10"/>
      <c r="O180" s="10"/>
    </row>
    <row r="181" spans="1:15" ht="42.75" customHeight="1" x14ac:dyDescent="0.25">
      <c r="A181" s="7"/>
      <c r="B181" s="7"/>
      <c r="C181" s="7"/>
      <c r="D181" s="7"/>
      <c r="E181" s="11"/>
      <c r="F181" s="8"/>
      <c r="G181" s="8"/>
      <c r="H181" s="9"/>
      <c r="I181" s="10"/>
      <c r="J181" s="9"/>
      <c r="K181" s="10"/>
      <c r="L181" s="8"/>
      <c r="M181" s="8"/>
      <c r="N181" s="10"/>
      <c r="O181" s="10"/>
    </row>
    <row r="182" spans="1:15" ht="42.75" customHeight="1" x14ac:dyDescent="0.25">
      <c r="A182" s="7"/>
      <c r="B182" s="7"/>
      <c r="C182" s="7"/>
      <c r="D182" s="7"/>
      <c r="E182" s="11"/>
      <c r="F182" s="8"/>
      <c r="G182" s="8"/>
      <c r="H182" s="9"/>
      <c r="I182" s="10"/>
      <c r="J182" s="9"/>
      <c r="K182" s="10"/>
      <c r="L182" s="8"/>
      <c r="M182" s="8"/>
      <c r="N182" s="10"/>
      <c r="O182" s="10"/>
    </row>
    <row r="183" spans="1:15" ht="42.75" customHeight="1" x14ac:dyDescent="0.25">
      <c r="A183" s="7"/>
      <c r="B183" s="7"/>
      <c r="C183" s="7"/>
      <c r="D183" s="7"/>
      <c r="E183" s="11"/>
      <c r="F183" s="8"/>
      <c r="G183" s="8"/>
      <c r="H183" s="9"/>
      <c r="I183" s="10"/>
      <c r="J183" s="9"/>
      <c r="K183" s="10"/>
      <c r="L183" s="8"/>
      <c r="M183" s="8"/>
      <c r="N183" s="10"/>
      <c r="O183" s="10"/>
    </row>
    <row r="184" spans="1:15" ht="42.75" customHeight="1" x14ac:dyDescent="0.25">
      <c r="A184" s="7"/>
      <c r="B184" s="7"/>
      <c r="C184" s="7"/>
      <c r="D184" s="7"/>
      <c r="E184" s="11"/>
      <c r="F184" s="8"/>
      <c r="G184" s="8"/>
      <c r="H184" s="9"/>
      <c r="I184" s="10"/>
      <c r="J184" s="9"/>
      <c r="K184" s="10"/>
      <c r="L184" s="8"/>
      <c r="M184" s="8"/>
      <c r="N184" s="10"/>
      <c r="O184" s="10"/>
    </row>
    <row r="185" spans="1:15" ht="42.75" customHeight="1" x14ac:dyDescent="0.25">
      <c r="A185" s="7"/>
      <c r="B185" s="7"/>
      <c r="C185" s="7"/>
      <c r="D185" s="7"/>
      <c r="E185" s="11"/>
      <c r="F185" s="8"/>
      <c r="G185" s="8"/>
      <c r="H185" s="9"/>
      <c r="I185" s="10"/>
      <c r="J185" s="9"/>
      <c r="K185" s="10"/>
      <c r="L185" s="8"/>
      <c r="M185" s="8"/>
      <c r="N185" s="10"/>
      <c r="O185" s="10"/>
    </row>
    <row r="186" spans="1:15" ht="42.75" customHeight="1" x14ac:dyDescent="0.25">
      <c r="A186" s="7"/>
      <c r="B186" s="7"/>
      <c r="C186" s="7"/>
      <c r="D186" s="7"/>
      <c r="E186" s="11"/>
      <c r="F186" s="8"/>
      <c r="G186" s="8"/>
      <c r="H186" s="9"/>
      <c r="I186" s="10"/>
      <c r="J186" s="9"/>
      <c r="K186" s="10"/>
      <c r="L186" s="8"/>
      <c r="M186" s="8"/>
      <c r="N186" s="10"/>
      <c r="O186" s="10"/>
    </row>
    <row r="187" spans="1:15" ht="42.75" customHeight="1" x14ac:dyDescent="0.25">
      <c r="A187" s="7"/>
      <c r="B187" s="7"/>
      <c r="C187" s="7"/>
      <c r="D187" s="7"/>
      <c r="E187" s="11"/>
      <c r="F187" s="8"/>
      <c r="G187" s="8"/>
      <c r="H187" s="9"/>
      <c r="I187" s="10"/>
      <c r="J187" s="9"/>
      <c r="K187" s="10"/>
      <c r="L187" s="8"/>
      <c r="M187" s="8"/>
      <c r="N187" s="10"/>
      <c r="O187" s="10"/>
    </row>
    <row r="188" spans="1:15" ht="42.75" customHeight="1" x14ac:dyDescent="0.25">
      <c r="A188" s="7"/>
      <c r="B188" s="7"/>
      <c r="C188" s="7"/>
      <c r="D188" s="7"/>
      <c r="E188" s="11"/>
      <c r="F188" s="8"/>
      <c r="G188" s="8"/>
      <c r="H188" s="9"/>
      <c r="I188" s="10"/>
      <c r="J188" s="9"/>
      <c r="K188" s="10"/>
      <c r="L188" s="8"/>
      <c r="M188" s="8"/>
      <c r="N188" s="10"/>
      <c r="O188" s="10"/>
    </row>
    <row r="189" spans="1:15" ht="42.75" customHeight="1" x14ac:dyDescent="0.25">
      <c r="A189" s="7"/>
      <c r="B189" s="7"/>
      <c r="C189" s="7"/>
      <c r="D189" s="7"/>
      <c r="E189" s="11"/>
      <c r="F189" s="8"/>
      <c r="G189" s="8"/>
      <c r="H189" s="9"/>
      <c r="I189" s="10"/>
      <c r="J189" s="9"/>
      <c r="K189" s="10"/>
      <c r="L189" s="8"/>
      <c r="M189" s="8"/>
      <c r="N189" s="10"/>
      <c r="O189" s="10"/>
    </row>
    <row r="190" spans="1:15" ht="42.75" customHeight="1" x14ac:dyDescent="0.25">
      <c r="A190" s="7"/>
      <c r="B190" s="7"/>
      <c r="C190" s="7"/>
      <c r="D190" s="7"/>
      <c r="E190" s="11"/>
      <c r="F190" s="8"/>
      <c r="G190" s="8"/>
      <c r="H190" s="9"/>
      <c r="I190" s="10"/>
      <c r="J190" s="9"/>
      <c r="K190" s="10"/>
      <c r="L190" s="8"/>
      <c r="M190" s="8"/>
      <c r="N190" s="10"/>
      <c r="O190" s="10"/>
    </row>
    <row r="191" spans="1:15" ht="42.75" customHeight="1" x14ac:dyDescent="0.25">
      <c r="A191" s="7"/>
      <c r="B191" s="7"/>
      <c r="C191" s="7"/>
      <c r="D191" s="7"/>
      <c r="E191" s="11"/>
      <c r="F191" s="8"/>
      <c r="G191" s="8"/>
      <c r="H191" s="9"/>
      <c r="I191" s="10"/>
      <c r="J191" s="9"/>
      <c r="K191" s="10"/>
      <c r="L191" s="8"/>
      <c r="M191" s="8"/>
      <c r="N191" s="10"/>
      <c r="O191" s="10"/>
    </row>
    <row r="192" spans="1:15" ht="42.75" customHeight="1" x14ac:dyDescent="0.25">
      <c r="A192" s="7"/>
      <c r="B192" s="7"/>
      <c r="C192" s="7"/>
      <c r="D192" s="7"/>
      <c r="E192" s="11"/>
      <c r="F192" s="8"/>
      <c r="G192" s="8"/>
      <c r="H192" s="9"/>
      <c r="I192" s="10"/>
      <c r="J192" s="9"/>
      <c r="K192" s="10"/>
      <c r="L192" s="8"/>
      <c r="M192" s="8"/>
      <c r="N192" s="10"/>
      <c r="O192" s="10"/>
    </row>
    <row r="193" spans="1:15" ht="42.75" customHeight="1" x14ac:dyDescent="0.25">
      <c r="A193" s="7"/>
      <c r="B193" s="7"/>
      <c r="C193" s="7"/>
      <c r="D193" s="7"/>
      <c r="E193" s="11"/>
      <c r="F193" s="8"/>
      <c r="G193" s="8"/>
      <c r="H193" s="9"/>
      <c r="I193" s="10"/>
      <c r="J193" s="9"/>
      <c r="K193" s="10"/>
      <c r="L193" s="8"/>
      <c r="M193" s="8"/>
      <c r="N193" s="10"/>
      <c r="O193" s="10"/>
    </row>
    <row r="194" spans="1:15" ht="42.75" customHeight="1" x14ac:dyDescent="0.25">
      <c r="A194" s="7"/>
      <c r="B194" s="7"/>
      <c r="C194" s="7"/>
      <c r="D194" s="7"/>
      <c r="E194" s="11"/>
      <c r="F194" s="8"/>
      <c r="G194" s="8"/>
      <c r="H194" s="9"/>
      <c r="I194" s="10"/>
      <c r="J194" s="9"/>
      <c r="K194" s="10"/>
      <c r="L194" s="8"/>
      <c r="M194" s="8"/>
      <c r="N194" s="10"/>
      <c r="O194" s="10"/>
    </row>
    <row r="195" spans="1:15" ht="42.75" customHeight="1" x14ac:dyDescent="0.25">
      <c r="A195" s="7"/>
      <c r="B195" s="7"/>
      <c r="C195" s="7"/>
      <c r="D195" s="7"/>
      <c r="E195" s="11"/>
      <c r="F195" s="8"/>
      <c r="G195" s="8"/>
      <c r="H195" s="9"/>
      <c r="I195" s="10"/>
      <c r="J195" s="9"/>
      <c r="K195" s="10"/>
      <c r="L195" s="8"/>
      <c r="M195" s="8"/>
      <c r="N195" s="10"/>
      <c r="O195" s="10"/>
    </row>
    <row r="196" spans="1:15" ht="42.75" customHeight="1" x14ac:dyDescent="0.25">
      <c r="A196" s="7"/>
      <c r="B196" s="7"/>
      <c r="C196" s="7"/>
      <c r="D196" s="7"/>
      <c r="E196" s="11"/>
      <c r="F196" s="8"/>
      <c r="G196" s="8"/>
      <c r="H196" s="9"/>
      <c r="I196" s="10"/>
      <c r="J196" s="9"/>
      <c r="K196" s="10"/>
      <c r="L196" s="8"/>
      <c r="M196" s="8"/>
      <c r="N196" s="10"/>
      <c r="O196" s="10"/>
    </row>
    <row r="197" spans="1:15" ht="42.75" customHeight="1" x14ac:dyDescent="0.25">
      <c r="A197" s="7"/>
      <c r="B197" s="7"/>
      <c r="C197" s="7"/>
      <c r="D197" s="7"/>
      <c r="E197" s="11"/>
      <c r="F197" s="8"/>
      <c r="G197" s="8"/>
      <c r="H197" s="9"/>
      <c r="I197" s="10"/>
      <c r="J197" s="9"/>
      <c r="K197" s="10"/>
      <c r="L197" s="8"/>
      <c r="M197" s="8"/>
      <c r="N197" s="10"/>
      <c r="O197" s="10"/>
    </row>
    <row r="198" spans="1:15" ht="42.75" customHeight="1" x14ac:dyDescent="0.25">
      <c r="A198" s="7"/>
      <c r="B198" s="7"/>
      <c r="C198" s="7"/>
      <c r="D198" s="7"/>
      <c r="E198" s="11"/>
      <c r="F198" s="8"/>
      <c r="G198" s="8"/>
      <c r="H198" s="9"/>
      <c r="I198" s="10"/>
      <c r="J198" s="9"/>
      <c r="K198" s="10"/>
      <c r="L198" s="8"/>
      <c r="M198" s="8"/>
      <c r="N198" s="10"/>
      <c r="O198" s="10"/>
    </row>
    <row r="199" spans="1:15" ht="42.75" customHeight="1" x14ac:dyDescent="0.25">
      <c r="A199" s="7"/>
      <c r="B199" s="7"/>
      <c r="C199" s="7"/>
      <c r="D199" s="7"/>
      <c r="E199" s="11"/>
      <c r="F199" s="8"/>
      <c r="G199" s="8"/>
      <c r="H199" s="9"/>
      <c r="I199" s="10"/>
      <c r="J199" s="9"/>
      <c r="K199" s="10"/>
      <c r="L199" s="8"/>
      <c r="M199" s="8"/>
      <c r="N199" s="10"/>
      <c r="O199" s="10"/>
    </row>
    <row r="200" spans="1:15" ht="42.75" customHeight="1" x14ac:dyDescent="0.25">
      <c r="A200" s="7"/>
      <c r="B200" s="7"/>
      <c r="C200" s="7"/>
      <c r="D200" s="7"/>
      <c r="E200" s="11"/>
      <c r="F200" s="8"/>
      <c r="G200" s="8"/>
      <c r="H200" s="9"/>
      <c r="I200" s="10"/>
      <c r="J200" s="9"/>
      <c r="K200" s="10"/>
      <c r="L200" s="8"/>
      <c r="M200" s="8"/>
      <c r="N200" s="10"/>
      <c r="O200" s="10"/>
    </row>
    <row r="201" spans="1:15" ht="42.75" customHeight="1" x14ac:dyDescent="0.25">
      <c r="A201" s="7"/>
      <c r="B201" s="7"/>
      <c r="C201" s="7"/>
      <c r="D201" s="7"/>
      <c r="E201" s="11"/>
      <c r="F201" s="8"/>
      <c r="G201" s="8"/>
      <c r="H201" s="9"/>
      <c r="I201" s="10"/>
      <c r="J201" s="9"/>
      <c r="K201" s="10"/>
      <c r="L201" s="8"/>
      <c r="M201" s="8"/>
      <c r="N201" s="10"/>
      <c r="O201" s="10"/>
    </row>
    <row r="202" spans="1:15" ht="42.75" customHeight="1" x14ac:dyDescent="0.25">
      <c r="A202" s="7"/>
      <c r="B202" s="7"/>
      <c r="C202" s="7"/>
      <c r="D202" s="7"/>
      <c r="E202" s="11"/>
      <c r="F202" s="8"/>
      <c r="G202" s="8"/>
      <c r="H202" s="9"/>
      <c r="I202" s="10"/>
      <c r="J202" s="9"/>
      <c r="K202" s="10"/>
      <c r="L202" s="8"/>
      <c r="M202" s="8"/>
      <c r="N202" s="10"/>
      <c r="O202" s="10"/>
    </row>
    <row r="203" spans="1:15" ht="42.75" customHeight="1" x14ac:dyDescent="0.25">
      <c r="A203" s="7"/>
      <c r="B203" s="7"/>
      <c r="C203" s="7"/>
      <c r="D203" s="7"/>
      <c r="E203" s="11"/>
      <c r="F203" s="8"/>
      <c r="G203" s="8"/>
      <c r="H203" s="9"/>
      <c r="I203" s="10"/>
      <c r="J203" s="9"/>
      <c r="K203" s="10"/>
      <c r="L203" s="8"/>
      <c r="M203" s="8"/>
      <c r="N203" s="10"/>
      <c r="O203" s="10"/>
    </row>
    <row r="204" spans="1:15" ht="42.75" customHeight="1" x14ac:dyDescent="0.25">
      <c r="A204" s="7"/>
      <c r="B204" s="7"/>
      <c r="C204" s="7"/>
      <c r="D204" s="7"/>
      <c r="E204" s="11"/>
      <c r="F204" s="8"/>
      <c r="G204" s="8"/>
      <c r="H204" s="9"/>
      <c r="I204" s="10"/>
      <c r="J204" s="9"/>
      <c r="K204" s="10"/>
      <c r="L204" s="8"/>
      <c r="M204" s="8"/>
      <c r="N204" s="10"/>
      <c r="O204" s="10"/>
    </row>
    <row r="205" spans="1:15" ht="42.75" customHeight="1" x14ac:dyDescent="0.25">
      <c r="A205" s="7"/>
      <c r="B205" s="7"/>
      <c r="C205" s="7"/>
      <c r="D205" s="7"/>
      <c r="E205" s="11"/>
      <c r="F205" s="8"/>
      <c r="G205" s="8"/>
      <c r="H205" s="9"/>
      <c r="I205" s="10"/>
      <c r="J205" s="9"/>
      <c r="K205" s="10"/>
      <c r="L205" s="8"/>
      <c r="M205" s="8"/>
      <c r="N205" s="10"/>
      <c r="O205" s="10"/>
    </row>
    <row r="206" spans="1:15" ht="42.75" customHeight="1" x14ac:dyDescent="0.25">
      <c r="A206" s="7"/>
      <c r="B206" s="7"/>
      <c r="C206" s="7"/>
      <c r="D206" s="7"/>
      <c r="E206" s="11"/>
      <c r="F206" s="8"/>
      <c r="G206" s="8"/>
      <c r="H206" s="9"/>
      <c r="I206" s="10"/>
      <c r="J206" s="9"/>
      <c r="K206" s="10"/>
      <c r="L206" s="8"/>
      <c r="M206" s="8"/>
      <c r="N206" s="10"/>
      <c r="O206" s="10"/>
    </row>
    <row r="207" spans="1:15" ht="42.75" customHeight="1" x14ac:dyDescent="0.25">
      <c r="A207" s="7"/>
      <c r="B207" s="7"/>
      <c r="C207" s="7"/>
      <c r="D207" s="7"/>
      <c r="E207" s="11"/>
      <c r="F207" s="8"/>
      <c r="G207" s="8"/>
      <c r="H207" s="9"/>
      <c r="I207" s="10"/>
      <c r="J207" s="9"/>
      <c r="K207" s="10"/>
      <c r="L207" s="8"/>
      <c r="M207" s="8"/>
      <c r="N207" s="10"/>
      <c r="O207" s="10"/>
    </row>
    <row r="208" spans="1:15" ht="42.75" customHeight="1" x14ac:dyDescent="0.25">
      <c r="A208" s="7"/>
      <c r="B208" s="7"/>
      <c r="C208" s="7"/>
      <c r="D208" s="7"/>
      <c r="E208" s="11"/>
      <c r="F208" s="8"/>
      <c r="G208" s="8"/>
      <c r="H208" s="9"/>
      <c r="I208" s="10"/>
      <c r="J208" s="9"/>
      <c r="K208" s="10"/>
      <c r="L208" s="8"/>
      <c r="M208" s="8"/>
      <c r="N208" s="10"/>
      <c r="O208" s="10"/>
    </row>
    <row r="209" spans="1:15" ht="42.75" customHeight="1" x14ac:dyDescent="0.25">
      <c r="A209" s="7"/>
      <c r="B209" s="7"/>
      <c r="C209" s="7"/>
      <c r="D209" s="7"/>
      <c r="E209" s="11"/>
      <c r="F209" s="8"/>
      <c r="G209" s="8"/>
      <c r="H209" s="9"/>
      <c r="I209" s="10"/>
      <c r="J209" s="9"/>
      <c r="K209" s="10"/>
      <c r="L209" s="8"/>
      <c r="M209" s="8"/>
      <c r="N209" s="10"/>
      <c r="O209" s="10"/>
    </row>
    <row r="210" spans="1:15" ht="42.75" customHeight="1" x14ac:dyDescent="0.25">
      <c r="A210" s="7"/>
      <c r="B210" s="7"/>
      <c r="C210" s="7"/>
      <c r="D210" s="7"/>
      <c r="E210" s="11"/>
      <c r="F210" s="8"/>
      <c r="G210" s="8"/>
      <c r="H210" s="9"/>
      <c r="I210" s="10"/>
      <c r="J210" s="9"/>
      <c r="K210" s="10"/>
      <c r="L210" s="8"/>
      <c r="M210" s="8"/>
      <c r="N210" s="10"/>
      <c r="O210" s="10"/>
    </row>
    <row r="211" spans="1:15" ht="42.75" customHeight="1" x14ac:dyDescent="0.25">
      <c r="A211" s="7"/>
      <c r="B211" s="7"/>
      <c r="C211" s="7"/>
      <c r="D211" s="7"/>
      <c r="E211" s="11"/>
      <c r="F211" s="8"/>
      <c r="G211" s="8"/>
      <c r="H211" s="9"/>
      <c r="I211" s="10"/>
      <c r="J211" s="9"/>
      <c r="K211" s="10"/>
      <c r="L211" s="8"/>
      <c r="M211" s="8"/>
      <c r="N211" s="10"/>
      <c r="O211" s="10"/>
    </row>
    <row r="212" spans="1:15" ht="42.75" customHeight="1" x14ac:dyDescent="0.25">
      <c r="A212" s="7"/>
      <c r="B212" s="7"/>
      <c r="C212" s="7"/>
      <c r="D212" s="7"/>
      <c r="E212" s="11"/>
      <c r="F212" s="8"/>
      <c r="G212" s="8"/>
      <c r="H212" s="9"/>
      <c r="I212" s="10"/>
      <c r="J212" s="9"/>
      <c r="K212" s="10"/>
      <c r="L212" s="8"/>
      <c r="M212" s="8"/>
      <c r="N212" s="10"/>
      <c r="O212" s="10"/>
    </row>
    <row r="213" spans="1:15" ht="42.75" customHeight="1" x14ac:dyDescent="0.25">
      <c r="A213" s="7"/>
      <c r="B213" s="7"/>
      <c r="C213" s="7"/>
      <c r="D213" s="7"/>
      <c r="E213" s="11"/>
      <c r="F213" s="8"/>
      <c r="G213" s="8"/>
      <c r="H213" s="9"/>
      <c r="I213" s="10"/>
      <c r="J213" s="9"/>
      <c r="K213" s="10"/>
      <c r="L213" s="8"/>
      <c r="M213" s="8"/>
      <c r="N213" s="10"/>
      <c r="O213" s="10"/>
    </row>
    <row r="214" spans="1:15" ht="42.75" customHeight="1" x14ac:dyDescent="0.25">
      <c r="A214" s="7"/>
      <c r="B214" s="7"/>
      <c r="C214" s="7"/>
      <c r="D214" s="7"/>
      <c r="E214" s="11"/>
      <c r="F214" s="8"/>
      <c r="G214" s="8"/>
      <c r="H214" s="9"/>
      <c r="I214" s="10"/>
      <c r="J214" s="9"/>
      <c r="K214" s="10"/>
      <c r="L214" s="8"/>
      <c r="M214" s="8"/>
      <c r="N214" s="10"/>
      <c r="O214" s="10"/>
    </row>
    <row r="215" spans="1:15" ht="42.75" customHeight="1" x14ac:dyDescent="0.25">
      <c r="A215" s="7"/>
      <c r="B215" s="7"/>
      <c r="C215" s="7"/>
      <c r="D215" s="7"/>
      <c r="E215" s="11"/>
      <c r="F215" s="8"/>
      <c r="G215" s="8"/>
      <c r="H215" s="9"/>
      <c r="I215" s="10"/>
      <c r="J215" s="9"/>
      <c r="K215" s="10"/>
      <c r="L215" s="8"/>
      <c r="M215" s="8"/>
      <c r="N215" s="10"/>
      <c r="O215" s="10"/>
    </row>
    <row r="216" spans="1:15" ht="42.75" customHeight="1" x14ac:dyDescent="0.25">
      <c r="A216" s="7"/>
      <c r="B216" s="7"/>
      <c r="C216" s="7"/>
      <c r="D216" s="7"/>
      <c r="E216" s="11"/>
      <c r="F216" s="8"/>
      <c r="G216" s="8"/>
      <c r="H216" s="9"/>
      <c r="I216" s="10"/>
      <c r="J216" s="9"/>
      <c r="K216" s="10"/>
      <c r="L216" s="8"/>
      <c r="M216" s="8"/>
      <c r="N216" s="10"/>
      <c r="O216" s="10"/>
    </row>
    <row r="217" spans="1:15" ht="42.75" customHeight="1" x14ac:dyDescent="0.25">
      <c r="A217" s="7"/>
      <c r="B217" s="7"/>
      <c r="C217" s="7"/>
      <c r="D217" s="7"/>
      <c r="E217" s="11"/>
      <c r="F217" s="8"/>
      <c r="G217" s="8"/>
      <c r="H217" s="9"/>
      <c r="I217" s="10"/>
      <c r="J217" s="9"/>
      <c r="K217" s="10"/>
      <c r="L217" s="8"/>
      <c r="M217" s="8"/>
      <c r="N217" s="10"/>
      <c r="O217" s="10"/>
    </row>
    <row r="218" spans="1:15" ht="42.75" customHeight="1" x14ac:dyDescent="0.25">
      <c r="A218" s="7"/>
      <c r="B218" s="7"/>
      <c r="C218" s="7"/>
      <c r="D218" s="7"/>
      <c r="E218" s="11"/>
      <c r="F218" s="8"/>
      <c r="G218" s="8"/>
      <c r="H218" s="9"/>
      <c r="I218" s="10"/>
      <c r="J218" s="9"/>
      <c r="K218" s="10"/>
      <c r="L218" s="8"/>
      <c r="M218" s="8"/>
      <c r="N218" s="10"/>
      <c r="O218" s="10"/>
    </row>
    <row r="219" spans="1:15" ht="42.75" customHeight="1" x14ac:dyDescent="0.25">
      <c r="A219" s="7"/>
      <c r="B219" s="7"/>
      <c r="C219" s="7"/>
      <c r="D219" s="7"/>
      <c r="E219" s="11"/>
      <c r="F219" s="8"/>
      <c r="G219" s="8"/>
      <c r="H219" s="9"/>
      <c r="I219" s="10"/>
      <c r="J219" s="9"/>
      <c r="K219" s="10"/>
      <c r="L219" s="8"/>
      <c r="M219" s="8"/>
      <c r="N219" s="10"/>
      <c r="O219" s="10"/>
    </row>
    <row r="220" spans="1:15" ht="42.75" customHeight="1" x14ac:dyDescent="0.25">
      <c r="A220" s="7"/>
      <c r="B220" s="7"/>
      <c r="C220" s="7"/>
      <c r="D220" s="7"/>
      <c r="E220" s="11"/>
      <c r="F220" s="8"/>
      <c r="G220" s="8"/>
      <c r="H220" s="9"/>
      <c r="I220" s="10"/>
      <c r="J220" s="9"/>
      <c r="K220" s="10"/>
      <c r="L220" s="8"/>
      <c r="M220" s="8"/>
      <c r="N220" s="10"/>
      <c r="O220" s="10"/>
    </row>
    <row r="221" spans="1:15" ht="42.75" customHeight="1" x14ac:dyDescent="0.25">
      <c r="A221" s="7"/>
      <c r="B221" s="7"/>
      <c r="C221" s="7"/>
      <c r="D221" s="7"/>
      <c r="E221" s="11"/>
      <c r="F221" s="8"/>
      <c r="G221" s="8"/>
      <c r="H221" s="9"/>
      <c r="I221" s="10"/>
      <c r="J221" s="9"/>
      <c r="K221" s="10"/>
      <c r="L221" s="8"/>
      <c r="M221" s="8"/>
      <c r="N221" s="10"/>
      <c r="O221" s="10"/>
    </row>
    <row r="222" spans="1:15" ht="42.75" customHeight="1" x14ac:dyDescent="0.25">
      <c r="A222" s="7"/>
      <c r="B222" s="7"/>
      <c r="C222" s="7"/>
      <c r="D222" s="7"/>
      <c r="E222" s="11"/>
      <c r="F222" s="8"/>
      <c r="G222" s="8"/>
      <c r="H222" s="9"/>
      <c r="I222" s="10"/>
      <c r="J222" s="9"/>
      <c r="K222" s="10"/>
      <c r="L222" s="8"/>
      <c r="M222" s="8"/>
      <c r="N222" s="10"/>
      <c r="O222" s="10"/>
    </row>
    <row r="223" spans="1:15" ht="42.75" customHeight="1" x14ac:dyDescent="0.25">
      <c r="A223" s="7"/>
      <c r="B223" s="7"/>
      <c r="C223" s="7"/>
      <c r="D223" s="7"/>
      <c r="E223" s="11"/>
      <c r="F223" s="8"/>
      <c r="G223" s="8"/>
      <c r="H223" s="9"/>
      <c r="I223" s="10"/>
      <c r="J223" s="9"/>
      <c r="K223" s="10"/>
      <c r="L223" s="8"/>
      <c r="M223" s="8"/>
      <c r="N223" s="10"/>
      <c r="O223" s="10"/>
    </row>
    <row r="224" spans="1:15" ht="42.75" customHeight="1" x14ac:dyDescent="0.25">
      <c r="A224" s="7"/>
      <c r="B224" s="7"/>
      <c r="C224" s="7"/>
      <c r="D224" s="7"/>
      <c r="E224" s="11"/>
      <c r="F224" s="8"/>
      <c r="G224" s="8"/>
      <c r="H224" s="9"/>
      <c r="I224" s="10"/>
      <c r="J224" s="9"/>
      <c r="K224" s="10"/>
      <c r="L224" s="8"/>
      <c r="M224" s="8"/>
      <c r="N224" s="10"/>
      <c r="O224" s="10"/>
    </row>
    <row r="225" spans="1:15" ht="42.75" customHeight="1" x14ac:dyDescent="0.25">
      <c r="A225" s="7"/>
      <c r="B225" s="7"/>
      <c r="C225" s="7"/>
      <c r="D225" s="7"/>
      <c r="E225" s="11"/>
      <c r="F225" s="8"/>
      <c r="G225" s="8"/>
      <c r="H225" s="9"/>
      <c r="I225" s="10"/>
      <c r="J225" s="9"/>
      <c r="K225" s="10"/>
      <c r="L225" s="8"/>
      <c r="M225" s="8"/>
      <c r="N225" s="10"/>
      <c r="O225" s="10"/>
    </row>
    <row r="226" spans="1:15" ht="42.75" customHeight="1" x14ac:dyDescent="0.25">
      <c r="A226" s="7"/>
      <c r="B226" s="7"/>
      <c r="C226" s="7"/>
      <c r="D226" s="7"/>
      <c r="E226" s="11"/>
      <c r="F226" s="8"/>
      <c r="G226" s="8"/>
      <c r="H226" s="9"/>
      <c r="I226" s="10"/>
      <c r="J226" s="9"/>
      <c r="K226" s="10"/>
      <c r="L226" s="8"/>
      <c r="M226" s="8"/>
      <c r="N226" s="10"/>
      <c r="O226" s="10"/>
    </row>
    <row r="227" spans="1:15" ht="42.75" customHeight="1" x14ac:dyDescent="0.25">
      <c r="A227" s="7"/>
      <c r="B227" s="7"/>
      <c r="C227" s="7"/>
      <c r="D227" s="7"/>
      <c r="E227" s="11"/>
      <c r="F227" s="8"/>
      <c r="G227" s="8"/>
      <c r="H227" s="9"/>
      <c r="I227" s="10"/>
      <c r="J227" s="9"/>
      <c r="K227" s="10"/>
      <c r="L227" s="8"/>
      <c r="M227" s="8"/>
      <c r="N227" s="10"/>
      <c r="O227" s="10"/>
    </row>
    <row r="228" spans="1:15" ht="42.75" customHeight="1" x14ac:dyDescent="0.25">
      <c r="A228" s="7"/>
      <c r="B228" s="7"/>
      <c r="C228" s="7"/>
      <c r="D228" s="7"/>
      <c r="E228" s="11"/>
      <c r="F228" s="8"/>
      <c r="G228" s="8"/>
      <c r="H228" s="9"/>
      <c r="I228" s="10"/>
      <c r="J228" s="9"/>
      <c r="K228" s="10"/>
      <c r="L228" s="8"/>
      <c r="M228" s="8"/>
      <c r="N228" s="10"/>
      <c r="O228" s="10"/>
    </row>
    <row r="229" spans="1:15" ht="42.75" customHeight="1" x14ac:dyDescent="0.25">
      <c r="A229" s="7"/>
      <c r="B229" s="7"/>
      <c r="C229" s="7"/>
      <c r="D229" s="7"/>
      <c r="E229" s="11"/>
      <c r="F229" s="8"/>
      <c r="G229" s="8"/>
      <c r="H229" s="9"/>
      <c r="I229" s="10"/>
      <c r="J229" s="9"/>
      <c r="K229" s="10"/>
      <c r="L229" s="8"/>
      <c r="M229" s="8"/>
      <c r="N229" s="10"/>
      <c r="O229" s="10"/>
    </row>
    <row r="230" spans="1:15" ht="42.75" customHeight="1" x14ac:dyDescent="0.25">
      <c r="A230" s="7"/>
      <c r="B230" s="7"/>
      <c r="C230" s="7"/>
      <c r="D230" s="7"/>
      <c r="E230" s="11"/>
      <c r="F230" s="8"/>
      <c r="G230" s="8"/>
      <c r="H230" s="9"/>
      <c r="I230" s="10"/>
      <c r="J230" s="9"/>
      <c r="K230" s="10"/>
      <c r="L230" s="8"/>
      <c r="M230" s="8"/>
      <c r="N230" s="10"/>
      <c r="O230" s="10"/>
    </row>
    <row r="231" spans="1:15" ht="42.75" customHeight="1" x14ac:dyDescent="0.25">
      <c r="A231" s="7"/>
      <c r="B231" s="7"/>
      <c r="C231" s="7"/>
      <c r="D231" s="7"/>
      <c r="E231" s="11"/>
      <c r="F231" s="8"/>
      <c r="G231" s="8"/>
      <c r="H231" s="9"/>
      <c r="I231" s="10"/>
      <c r="J231" s="9"/>
      <c r="K231" s="10"/>
      <c r="L231" s="8"/>
      <c r="M231" s="8"/>
      <c r="N231" s="10"/>
      <c r="O231" s="10"/>
    </row>
    <row r="232" spans="1:15" ht="42.75" customHeight="1" x14ac:dyDescent="0.25">
      <c r="A232" s="7"/>
      <c r="B232" s="7"/>
      <c r="C232" s="7"/>
      <c r="D232" s="7"/>
      <c r="E232" s="11"/>
      <c r="F232" s="8"/>
      <c r="G232" s="8"/>
      <c r="H232" s="9"/>
      <c r="I232" s="10"/>
      <c r="J232" s="9"/>
      <c r="K232" s="10"/>
      <c r="L232" s="8"/>
      <c r="M232" s="8"/>
      <c r="N232" s="10"/>
      <c r="O232" s="10"/>
    </row>
    <row r="233" spans="1:15" ht="42.75" customHeight="1" x14ac:dyDescent="0.25">
      <c r="A233" s="7"/>
      <c r="B233" s="7"/>
      <c r="C233" s="7"/>
      <c r="D233" s="7"/>
      <c r="E233" s="11"/>
      <c r="F233" s="8"/>
      <c r="G233" s="8"/>
      <c r="H233" s="9"/>
      <c r="I233" s="10"/>
      <c r="J233" s="9"/>
      <c r="K233" s="10"/>
      <c r="L233" s="8"/>
      <c r="M233" s="8"/>
      <c r="N233" s="10"/>
      <c r="O233" s="10"/>
    </row>
    <row r="234" spans="1:15" ht="42.75" customHeight="1" x14ac:dyDescent="0.25">
      <c r="A234" s="7"/>
      <c r="B234" s="7"/>
      <c r="C234" s="7"/>
      <c r="D234" s="7"/>
      <c r="E234" s="11"/>
      <c r="F234" s="8"/>
      <c r="G234" s="8"/>
      <c r="H234" s="9"/>
      <c r="I234" s="10"/>
      <c r="J234" s="9"/>
      <c r="K234" s="10"/>
      <c r="L234" s="8"/>
      <c r="M234" s="8"/>
      <c r="N234" s="10"/>
      <c r="O234" s="10"/>
    </row>
    <row r="235" spans="1:15" ht="42.75" customHeight="1" x14ac:dyDescent="0.25">
      <c r="A235" s="7"/>
      <c r="B235" s="7"/>
      <c r="C235" s="7"/>
      <c r="D235" s="7"/>
      <c r="E235" s="11"/>
      <c r="F235" s="8"/>
      <c r="G235" s="8"/>
      <c r="H235" s="9"/>
      <c r="I235" s="10"/>
      <c r="J235" s="9"/>
      <c r="K235" s="10"/>
      <c r="L235" s="8"/>
      <c r="M235" s="8"/>
      <c r="N235" s="10"/>
      <c r="O235" s="10"/>
    </row>
    <row r="236" spans="1:15" ht="42.75" customHeight="1" x14ac:dyDescent="0.25">
      <c r="A236" s="7"/>
      <c r="B236" s="7"/>
      <c r="C236" s="7"/>
      <c r="D236" s="7"/>
      <c r="E236" s="11"/>
      <c r="F236" s="8"/>
      <c r="G236" s="8"/>
      <c r="H236" s="9"/>
      <c r="I236" s="10"/>
      <c r="J236" s="9"/>
      <c r="K236" s="10"/>
      <c r="L236" s="8"/>
      <c r="M236" s="8"/>
      <c r="N236" s="10"/>
      <c r="O236" s="10"/>
    </row>
    <row r="237" spans="1:15" ht="42.75" customHeight="1" x14ac:dyDescent="0.25">
      <c r="A237" s="7"/>
      <c r="B237" s="7"/>
      <c r="C237" s="7"/>
      <c r="D237" s="7"/>
      <c r="E237" s="11"/>
      <c r="F237" s="8"/>
      <c r="G237" s="8"/>
      <c r="H237" s="9"/>
      <c r="I237" s="10"/>
      <c r="J237" s="9"/>
      <c r="K237" s="10"/>
      <c r="L237" s="8"/>
      <c r="M237" s="8"/>
      <c r="N237" s="10"/>
      <c r="O237" s="10"/>
    </row>
    <row r="238" spans="1:15" ht="42.75" customHeight="1" x14ac:dyDescent="0.25">
      <c r="A238" s="7"/>
      <c r="B238" s="7"/>
      <c r="C238" s="7"/>
      <c r="D238" s="7"/>
      <c r="E238" s="11"/>
      <c r="F238" s="8"/>
      <c r="G238" s="8"/>
      <c r="H238" s="9"/>
      <c r="I238" s="10"/>
      <c r="J238" s="9"/>
      <c r="K238" s="10"/>
      <c r="L238" s="8"/>
      <c r="M238" s="8"/>
      <c r="N238" s="10"/>
      <c r="O238" s="10"/>
    </row>
    <row r="239" spans="1:15" ht="42.75" customHeight="1" x14ac:dyDescent="0.25">
      <c r="A239" s="7"/>
      <c r="B239" s="7"/>
      <c r="C239" s="7"/>
      <c r="D239" s="7"/>
      <c r="E239" s="11"/>
      <c r="F239" s="8"/>
      <c r="G239" s="8"/>
      <c r="H239" s="9"/>
      <c r="I239" s="10"/>
      <c r="J239" s="9"/>
      <c r="K239" s="10"/>
      <c r="L239" s="8"/>
      <c r="M239" s="8"/>
      <c r="N239" s="10"/>
      <c r="O239" s="10"/>
    </row>
    <row r="240" spans="1:15" ht="42.75" customHeight="1" x14ac:dyDescent="0.25">
      <c r="A240" s="7"/>
      <c r="B240" s="7"/>
      <c r="C240" s="7"/>
      <c r="D240" s="7"/>
      <c r="E240" s="11"/>
      <c r="F240" s="8"/>
      <c r="G240" s="8"/>
      <c r="H240" s="9"/>
      <c r="I240" s="10"/>
      <c r="J240" s="9"/>
      <c r="K240" s="10"/>
      <c r="L240" s="8"/>
      <c r="M240" s="8"/>
      <c r="N240" s="10"/>
      <c r="O240" s="10"/>
    </row>
    <row r="241" spans="1:15" ht="42.75" customHeight="1" x14ac:dyDescent="0.25">
      <c r="A241" s="7"/>
      <c r="B241" s="7"/>
      <c r="C241" s="7"/>
      <c r="D241" s="7"/>
      <c r="E241" s="11"/>
      <c r="F241" s="8"/>
      <c r="G241" s="8"/>
      <c r="H241" s="9"/>
      <c r="I241" s="10"/>
      <c r="J241" s="9"/>
      <c r="K241" s="10"/>
      <c r="L241" s="8"/>
      <c r="M241" s="8"/>
      <c r="N241" s="10"/>
      <c r="O241" s="10"/>
    </row>
    <row r="242" spans="1:15" ht="42.75" customHeight="1" x14ac:dyDescent="0.25">
      <c r="A242" s="7"/>
      <c r="B242" s="7"/>
      <c r="C242" s="7"/>
      <c r="D242" s="7"/>
      <c r="E242" s="11"/>
      <c r="F242" s="8"/>
      <c r="G242" s="8"/>
      <c r="H242" s="9"/>
      <c r="I242" s="10"/>
      <c r="J242" s="9"/>
      <c r="K242" s="10"/>
      <c r="L242" s="8"/>
      <c r="M242" s="8"/>
      <c r="N242" s="10"/>
      <c r="O242" s="10"/>
    </row>
    <row r="243" spans="1:15" ht="42.75" customHeight="1" x14ac:dyDescent="0.25">
      <c r="A243" s="7"/>
      <c r="B243" s="7"/>
      <c r="C243" s="7"/>
      <c r="D243" s="7"/>
      <c r="E243" s="11"/>
      <c r="F243" s="8"/>
      <c r="G243" s="8"/>
      <c r="H243" s="9"/>
      <c r="I243" s="10"/>
      <c r="J243" s="9"/>
      <c r="K243" s="10"/>
      <c r="L243" s="8"/>
      <c r="M243" s="8"/>
      <c r="N243" s="10"/>
      <c r="O243" s="10"/>
    </row>
    <row r="244" spans="1:15" ht="42.75" customHeight="1" x14ac:dyDescent="0.25">
      <c r="A244" s="7"/>
      <c r="B244" s="7"/>
      <c r="C244" s="7"/>
      <c r="D244" s="7"/>
      <c r="E244" s="11"/>
      <c r="F244" s="8"/>
      <c r="G244" s="8"/>
      <c r="H244" s="9"/>
      <c r="I244" s="10"/>
      <c r="J244" s="9"/>
      <c r="K244" s="10"/>
      <c r="L244" s="8"/>
      <c r="M244" s="8"/>
      <c r="N244" s="10"/>
      <c r="O244" s="10"/>
    </row>
    <row r="245" spans="1:15" ht="42.75" customHeight="1" x14ac:dyDescent="0.25">
      <c r="A245" s="7"/>
      <c r="B245" s="7"/>
      <c r="C245" s="7"/>
      <c r="D245" s="7"/>
      <c r="E245" s="11"/>
      <c r="F245" s="8"/>
      <c r="G245" s="8"/>
      <c r="H245" s="9"/>
      <c r="I245" s="10"/>
      <c r="J245" s="9"/>
      <c r="K245" s="10"/>
      <c r="L245" s="8"/>
      <c r="M245" s="8"/>
      <c r="N245" s="10"/>
      <c r="O245" s="10"/>
    </row>
    <row r="246" spans="1:15" ht="42.75" customHeight="1" x14ac:dyDescent="0.25">
      <c r="A246" s="7"/>
      <c r="B246" s="7"/>
      <c r="C246" s="7"/>
      <c r="D246" s="7"/>
      <c r="E246" s="11"/>
      <c r="F246" s="8"/>
      <c r="G246" s="8"/>
      <c r="H246" s="9"/>
      <c r="I246" s="10"/>
      <c r="J246" s="9"/>
      <c r="K246" s="10"/>
      <c r="L246" s="8"/>
      <c r="M246" s="8"/>
      <c r="N246" s="10"/>
      <c r="O246" s="10"/>
    </row>
    <row r="247" spans="1:15" ht="42.75" customHeight="1" x14ac:dyDescent="0.25">
      <c r="A247" s="7"/>
      <c r="B247" s="7"/>
      <c r="C247" s="7"/>
      <c r="D247" s="7"/>
      <c r="E247" s="11"/>
      <c r="F247" s="8"/>
      <c r="G247" s="8"/>
      <c r="H247" s="9"/>
      <c r="I247" s="10"/>
      <c r="J247" s="9"/>
      <c r="K247" s="10"/>
      <c r="L247" s="8"/>
      <c r="M247" s="8"/>
      <c r="N247" s="10"/>
      <c r="O247" s="10"/>
    </row>
    <row r="248" spans="1:15" ht="42.75" customHeight="1" x14ac:dyDescent="0.25">
      <c r="A248" s="7"/>
      <c r="B248" s="7"/>
      <c r="C248" s="7"/>
      <c r="D248" s="7"/>
      <c r="E248" s="11"/>
      <c r="F248" s="8"/>
      <c r="G248" s="8"/>
      <c r="H248" s="9"/>
      <c r="I248" s="10"/>
      <c r="J248" s="9"/>
      <c r="K248" s="10"/>
      <c r="L248" s="8"/>
      <c r="M248" s="8"/>
      <c r="N248" s="10"/>
      <c r="O248" s="10"/>
    </row>
    <row r="249" spans="1:15" ht="42.75" customHeight="1" x14ac:dyDescent="0.25">
      <c r="A249" s="7"/>
      <c r="B249" s="7"/>
      <c r="C249" s="7"/>
      <c r="D249" s="7"/>
      <c r="E249" s="11"/>
      <c r="F249" s="8"/>
      <c r="G249" s="8"/>
      <c r="H249" s="9"/>
      <c r="I249" s="10"/>
      <c r="J249" s="9"/>
      <c r="K249" s="10"/>
      <c r="L249" s="8"/>
      <c r="M249" s="8"/>
      <c r="N249" s="10"/>
      <c r="O249" s="10"/>
    </row>
    <row r="250" spans="1:15" ht="42.75" customHeight="1" x14ac:dyDescent="0.25">
      <c r="A250" s="7"/>
      <c r="B250" s="7"/>
      <c r="C250" s="7"/>
      <c r="D250" s="7"/>
      <c r="E250" s="11"/>
      <c r="F250" s="8"/>
      <c r="G250" s="8"/>
      <c r="H250" s="9"/>
      <c r="I250" s="10"/>
      <c r="J250" s="9"/>
      <c r="K250" s="10"/>
      <c r="L250" s="8"/>
      <c r="M250" s="8"/>
      <c r="N250" s="10"/>
      <c r="O250" s="10"/>
    </row>
    <row r="251" spans="1:15" ht="42.75" customHeight="1" x14ac:dyDescent="0.25">
      <c r="A251" s="7"/>
      <c r="B251" s="7"/>
      <c r="C251" s="7"/>
      <c r="D251" s="7"/>
      <c r="E251" s="11"/>
      <c r="F251" s="8"/>
      <c r="G251" s="8"/>
      <c r="H251" s="9"/>
      <c r="I251" s="10"/>
      <c r="J251" s="9"/>
      <c r="K251" s="10"/>
      <c r="L251" s="8"/>
      <c r="M251" s="8"/>
      <c r="N251" s="10"/>
      <c r="O251" s="10"/>
    </row>
    <row r="252" spans="1:15" ht="42.75" customHeight="1" x14ac:dyDescent="0.25">
      <c r="A252" s="7"/>
      <c r="B252" s="7"/>
      <c r="C252" s="7"/>
      <c r="D252" s="7"/>
      <c r="E252" s="11"/>
      <c r="F252" s="8"/>
      <c r="G252" s="8"/>
      <c r="H252" s="9"/>
      <c r="I252" s="10"/>
      <c r="J252" s="9"/>
      <c r="K252" s="10"/>
      <c r="L252" s="8"/>
      <c r="M252" s="8"/>
      <c r="N252" s="10"/>
      <c r="O252" s="10"/>
    </row>
    <row r="253" spans="1:15" ht="42.75" customHeight="1" x14ac:dyDescent="0.25">
      <c r="A253" s="7"/>
      <c r="B253" s="7"/>
      <c r="C253" s="7"/>
      <c r="D253" s="7"/>
      <c r="E253" s="11"/>
      <c r="F253" s="8"/>
      <c r="G253" s="8"/>
      <c r="H253" s="9"/>
      <c r="I253" s="10"/>
      <c r="J253" s="9"/>
      <c r="K253" s="10"/>
      <c r="L253" s="8"/>
      <c r="M253" s="8"/>
      <c r="N253" s="10"/>
      <c r="O253" s="10"/>
    </row>
    <row r="254" spans="1:15" ht="42.75" customHeight="1" x14ac:dyDescent="0.25">
      <c r="A254" s="7"/>
      <c r="B254" s="7"/>
      <c r="C254" s="7"/>
      <c r="D254" s="7"/>
      <c r="E254" s="11"/>
      <c r="F254" s="8"/>
      <c r="G254" s="8"/>
      <c r="H254" s="9"/>
      <c r="I254" s="10"/>
      <c r="J254" s="9"/>
      <c r="K254" s="10"/>
      <c r="L254" s="8"/>
      <c r="M254" s="8"/>
      <c r="N254" s="10"/>
      <c r="O254" s="10"/>
    </row>
    <row r="255" spans="1:15" ht="42.75" customHeight="1" x14ac:dyDescent="0.25">
      <c r="A255" s="7"/>
      <c r="B255" s="7"/>
      <c r="C255" s="7"/>
      <c r="D255" s="7"/>
      <c r="E255" s="11"/>
      <c r="F255" s="8"/>
      <c r="G255" s="8"/>
      <c r="H255" s="9"/>
      <c r="I255" s="10"/>
      <c r="J255" s="9"/>
      <c r="K255" s="10"/>
      <c r="L255" s="8"/>
      <c r="M255" s="8"/>
      <c r="N255" s="10"/>
      <c r="O255" s="10"/>
    </row>
    <row r="256" spans="1:15" ht="42.75" customHeight="1" x14ac:dyDescent="0.25">
      <c r="A256" s="7"/>
      <c r="B256" s="7"/>
      <c r="C256" s="7"/>
      <c r="D256" s="7"/>
      <c r="E256" s="11">
        <v>254</v>
      </c>
      <c r="F256" s="8"/>
      <c r="G256" s="8"/>
      <c r="H256" s="9"/>
      <c r="I256" s="10"/>
      <c r="J256" s="9"/>
      <c r="K256" s="10"/>
      <c r="L256" s="8"/>
      <c r="M256" s="8"/>
      <c r="N256" s="10"/>
      <c r="O256" s="10"/>
    </row>
    <row r="257" spans="1:15" ht="42.75" customHeight="1" x14ac:dyDescent="0.25">
      <c r="A257" s="7"/>
      <c r="B257" s="7"/>
      <c r="C257" s="7"/>
      <c r="D257" s="7"/>
      <c r="E257" s="11">
        <v>255</v>
      </c>
      <c r="F257" s="8"/>
      <c r="G257" s="8"/>
      <c r="H257" s="9"/>
      <c r="I257" s="10"/>
      <c r="J257" s="9"/>
      <c r="K257" s="10"/>
      <c r="L257" s="8"/>
      <c r="M257" s="8"/>
      <c r="N257" s="10"/>
      <c r="O257" s="10"/>
    </row>
    <row r="258" spans="1:15" ht="42.75" customHeight="1" x14ac:dyDescent="0.25">
      <c r="A258" s="7"/>
      <c r="B258" s="7"/>
      <c r="C258" s="7"/>
      <c r="D258" s="7"/>
      <c r="E258" s="11">
        <v>256</v>
      </c>
      <c r="F258" s="8"/>
      <c r="G258" s="8"/>
      <c r="H258" s="9"/>
      <c r="I258" s="10"/>
      <c r="J258" s="9"/>
      <c r="K258" s="10"/>
      <c r="L258" s="8"/>
      <c r="M258" s="8"/>
      <c r="N258" s="10"/>
      <c r="O258" s="10"/>
    </row>
    <row r="259" spans="1:15" ht="42.75" customHeight="1" x14ac:dyDescent="0.25">
      <c r="A259" s="7"/>
      <c r="B259" s="7"/>
      <c r="C259" s="7"/>
      <c r="D259" s="7"/>
      <c r="E259" s="11">
        <v>257</v>
      </c>
      <c r="F259" s="8"/>
      <c r="G259" s="8"/>
      <c r="H259" s="9"/>
      <c r="I259" s="10"/>
      <c r="J259" s="9"/>
      <c r="K259" s="10"/>
      <c r="L259" s="8"/>
      <c r="M259" s="8"/>
      <c r="N259" s="10"/>
      <c r="O259" s="10"/>
    </row>
    <row r="260" spans="1:15" ht="42.75" customHeight="1" x14ac:dyDescent="0.25">
      <c r="A260" s="7"/>
      <c r="B260" s="7"/>
      <c r="C260" s="7"/>
      <c r="D260" s="7"/>
      <c r="E260" s="11">
        <v>258</v>
      </c>
      <c r="F260" s="8"/>
      <c r="G260" s="8"/>
      <c r="H260" s="9"/>
      <c r="I260" s="10"/>
      <c r="J260" s="9"/>
      <c r="K260" s="10"/>
      <c r="L260" s="8"/>
      <c r="M260" s="8"/>
      <c r="N260" s="10"/>
      <c r="O260" s="10"/>
    </row>
    <row r="261" spans="1:15" ht="42.75" customHeight="1" x14ac:dyDescent="0.25">
      <c r="A261" s="7"/>
      <c r="B261" s="7"/>
      <c r="C261" s="7"/>
      <c r="D261" s="7"/>
      <c r="E261" s="11">
        <v>259</v>
      </c>
      <c r="F261" s="8"/>
      <c r="G261" s="8"/>
      <c r="H261" s="9"/>
      <c r="I261" s="10"/>
      <c r="J261" s="9"/>
      <c r="K261" s="10"/>
      <c r="L261" s="8"/>
      <c r="M261" s="8"/>
      <c r="N261" s="10"/>
      <c r="O261" s="10"/>
    </row>
    <row r="262" spans="1:15" ht="42.75" customHeight="1" x14ac:dyDescent="0.25">
      <c r="A262" s="7"/>
      <c r="B262" s="7"/>
      <c r="C262" s="7"/>
      <c r="D262" s="7"/>
      <c r="E262" s="11">
        <v>260</v>
      </c>
      <c r="F262" s="8"/>
      <c r="G262" s="8"/>
      <c r="H262" s="9"/>
      <c r="I262" s="10"/>
      <c r="J262" s="9"/>
      <c r="K262" s="10"/>
      <c r="L262" s="8"/>
      <c r="M262" s="8"/>
      <c r="N262" s="10"/>
      <c r="O262" s="10"/>
    </row>
    <row r="263" spans="1:15" ht="42.75" customHeight="1" x14ac:dyDescent="0.25">
      <c r="A263" s="7"/>
      <c r="B263" s="7"/>
      <c r="C263" s="7"/>
      <c r="D263" s="7"/>
      <c r="E263" s="11">
        <v>261</v>
      </c>
      <c r="F263" s="8"/>
      <c r="G263" s="8"/>
      <c r="H263" s="9"/>
      <c r="I263" s="10"/>
      <c r="J263" s="9"/>
      <c r="K263" s="10"/>
      <c r="L263" s="8"/>
      <c r="M263" s="8"/>
      <c r="N263" s="10"/>
      <c r="O263" s="10"/>
    </row>
    <row r="264" spans="1:15" ht="42.75" customHeight="1" x14ac:dyDescent="0.25">
      <c r="A264" s="7"/>
      <c r="B264" s="7"/>
      <c r="C264" s="7"/>
      <c r="D264" s="7"/>
      <c r="E264" s="11">
        <v>262</v>
      </c>
      <c r="F264" s="8"/>
      <c r="G264" s="8"/>
      <c r="H264" s="9"/>
      <c r="I264" s="10"/>
      <c r="J264" s="9"/>
      <c r="K264" s="10"/>
      <c r="L264" s="8"/>
      <c r="M264" s="8"/>
      <c r="N264" s="10"/>
      <c r="O264" s="10"/>
    </row>
    <row r="265" spans="1:15" ht="42.75" customHeight="1" x14ac:dyDescent="0.25">
      <c r="A265" s="7"/>
      <c r="B265" s="7"/>
      <c r="C265" s="7"/>
      <c r="D265" s="7"/>
      <c r="E265" s="11">
        <v>263</v>
      </c>
      <c r="F265" s="8"/>
      <c r="G265" s="8"/>
      <c r="H265" s="9"/>
      <c r="I265" s="10"/>
      <c r="J265" s="9"/>
      <c r="K265" s="10"/>
      <c r="L265" s="8"/>
      <c r="M265" s="8"/>
      <c r="N265" s="10"/>
      <c r="O265" s="10"/>
    </row>
    <row r="266" spans="1:15" ht="42.75" customHeight="1" x14ac:dyDescent="0.25">
      <c r="A266" s="7"/>
      <c r="B266" s="7"/>
      <c r="C266" s="7"/>
      <c r="D266" s="7"/>
      <c r="E266" s="11">
        <v>264</v>
      </c>
      <c r="F266" s="8"/>
      <c r="G266" s="8"/>
      <c r="H266" s="9"/>
      <c r="I266" s="10"/>
      <c r="J266" s="9"/>
      <c r="K266" s="10"/>
      <c r="L266" s="8"/>
      <c r="M266" s="8"/>
      <c r="N266" s="10"/>
      <c r="O266" s="10"/>
    </row>
    <row r="267" spans="1:15" ht="42.75" customHeight="1" x14ac:dyDescent="0.25">
      <c r="A267" s="7"/>
      <c r="B267" s="7"/>
      <c r="C267" s="7"/>
      <c r="D267" s="7"/>
      <c r="E267" s="11">
        <v>265</v>
      </c>
      <c r="F267" s="8"/>
      <c r="G267" s="8"/>
      <c r="H267" s="9"/>
      <c r="I267" s="10"/>
      <c r="J267" s="9"/>
      <c r="K267" s="10"/>
      <c r="L267" s="8"/>
      <c r="M267" s="8"/>
      <c r="N267" s="10"/>
      <c r="O267" s="10"/>
    </row>
    <row r="268" spans="1:15" ht="42.75" customHeight="1" x14ac:dyDescent="0.25">
      <c r="A268" s="7"/>
      <c r="B268" s="7"/>
      <c r="C268" s="7"/>
      <c r="D268" s="7"/>
      <c r="E268" s="11">
        <v>266</v>
      </c>
      <c r="F268" s="8"/>
      <c r="G268" s="8"/>
      <c r="H268" s="9"/>
      <c r="I268" s="10"/>
      <c r="J268" s="9"/>
      <c r="K268" s="10"/>
      <c r="L268" s="8"/>
      <c r="M268" s="8"/>
      <c r="N268" s="10"/>
      <c r="O268" s="10"/>
    </row>
    <row r="269" spans="1:15" ht="42.75" customHeight="1" x14ac:dyDescent="0.25">
      <c r="A269" s="7"/>
      <c r="B269" s="7"/>
      <c r="C269" s="7"/>
      <c r="D269" s="7"/>
      <c r="E269" s="11">
        <v>267</v>
      </c>
      <c r="F269" s="8"/>
      <c r="G269" s="8"/>
      <c r="H269" s="9"/>
      <c r="I269" s="10"/>
      <c r="J269" s="9"/>
      <c r="K269" s="10"/>
      <c r="L269" s="8"/>
      <c r="M269" s="8"/>
      <c r="N269" s="10"/>
      <c r="O269" s="10"/>
    </row>
    <row r="270" spans="1:15" ht="42.75" customHeight="1" x14ac:dyDescent="0.25">
      <c r="A270" s="7"/>
      <c r="B270" s="7"/>
      <c r="C270" s="7"/>
      <c r="D270" s="7"/>
      <c r="E270" s="11">
        <v>268</v>
      </c>
      <c r="F270" s="8"/>
      <c r="G270" s="8"/>
      <c r="H270" s="9"/>
      <c r="I270" s="10"/>
      <c r="J270" s="9"/>
      <c r="K270" s="10"/>
      <c r="L270" s="8"/>
      <c r="M270" s="8"/>
      <c r="N270" s="10"/>
      <c r="O270" s="10"/>
    </row>
    <row r="271" spans="1:15" ht="42.75" customHeight="1" x14ac:dyDescent="0.25">
      <c r="A271" s="7"/>
      <c r="B271" s="7"/>
      <c r="C271" s="7"/>
      <c r="D271" s="7"/>
      <c r="E271" s="11">
        <v>269</v>
      </c>
      <c r="F271" s="8"/>
      <c r="G271" s="8"/>
      <c r="H271" s="9"/>
      <c r="I271" s="10"/>
      <c r="J271" s="9"/>
      <c r="K271" s="10"/>
      <c r="L271" s="8"/>
      <c r="M271" s="8"/>
      <c r="N271" s="10"/>
      <c r="O271" s="10"/>
    </row>
    <row r="272" spans="1:15" ht="42.75" customHeight="1" x14ac:dyDescent="0.25">
      <c r="A272" s="7"/>
      <c r="B272" s="7"/>
      <c r="C272" s="7"/>
      <c r="D272" s="7"/>
      <c r="E272" s="11">
        <v>270</v>
      </c>
      <c r="F272" s="8"/>
      <c r="G272" s="8"/>
      <c r="H272" s="9"/>
      <c r="I272" s="10"/>
      <c r="J272" s="9"/>
      <c r="K272" s="10"/>
      <c r="L272" s="8"/>
      <c r="M272" s="8"/>
      <c r="N272" s="10"/>
      <c r="O272" s="10"/>
    </row>
    <row r="273" spans="1:15" ht="42.75" customHeight="1" x14ac:dyDescent="0.25">
      <c r="A273" s="7"/>
      <c r="B273" s="7"/>
      <c r="C273" s="7"/>
      <c r="D273" s="7"/>
      <c r="E273" s="11">
        <v>271</v>
      </c>
      <c r="F273" s="8"/>
      <c r="G273" s="8"/>
      <c r="H273" s="9"/>
      <c r="I273" s="10"/>
      <c r="J273" s="9"/>
      <c r="K273" s="10"/>
      <c r="L273" s="8"/>
      <c r="M273" s="8"/>
      <c r="N273" s="10"/>
      <c r="O273" s="10"/>
    </row>
    <row r="274" spans="1:15" ht="42.75" customHeight="1" x14ac:dyDescent="0.25">
      <c r="A274" s="7"/>
      <c r="B274" s="7"/>
      <c r="C274" s="7"/>
      <c r="D274" s="7"/>
      <c r="E274" s="11">
        <v>272</v>
      </c>
      <c r="F274" s="8"/>
      <c r="G274" s="8"/>
      <c r="H274" s="9"/>
      <c r="I274" s="10"/>
      <c r="J274" s="9"/>
      <c r="K274" s="10"/>
      <c r="L274" s="8"/>
      <c r="M274" s="8"/>
      <c r="N274" s="10"/>
      <c r="O274" s="10"/>
    </row>
    <row r="275" spans="1:15" ht="42.75" customHeight="1" x14ac:dyDescent="0.25">
      <c r="A275" s="7"/>
      <c r="B275" s="7"/>
      <c r="C275" s="7"/>
      <c r="D275" s="7"/>
      <c r="E275" s="11">
        <v>273</v>
      </c>
      <c r="F275" s="8"/>
      <c r="G275" s="8"/>
      <c r="H275" s="9"/>
      <c r="I275" s="10"/>
      <c r="J275" s="9"/>
      <c r="K275" s="10"/>
      <c r="L275" s="8"/>
      <c r="M275" s="8"/>
      <c r="N275" s="10"/>
      <c r="O275" s="10"/>
    </row>
    <row r="276" spans="1:15" ht="42.75" customHeight="1" x14ac:dyDescent="0.25">
      <c r="A276" s="7"/>
      <c r="B276" s="7"/>
      <c r="C276" s="7"/>
      <c r="D276" s="7"/>
      <c r="E276" s="11">
        <v>274</v>
      </c>
      <c r="F276" s="8"/>
      <c r="G276" s="8"/>
      <c r="H276" s="9"/>
      <c r="I276" s="10"/>
      <c r="J276" s="9"/>
      <c r="K276" s="10"/>
      <c r="L276" s="8"/>
      <c r="M276" s="8"/>
      <c r="N276" s="10"/>
      <c r="O276" s="10"/>
    </row>
    <row r="277" spans="1:15" ht="42.75" customHeight="1" x14ac:dyDescent="0.25">
      <c r="A277" s="7"/>
      <c r="B277" s="7"/>
      <c r="C277" s="7"/>
      <c r="D277" s="7"/>
      <c r="E277" s="11">
        <v>275</v>
      </c>
      <c r="F277" s="8"/>
      <c r="G277" s="8"/>
      <c r="H277" s="9"/>
      <c r="I277" s="10"/>
      <c r="J277" s="9"/>
      <c r="K277" s="10"/>
      <c r="L277" s="8"/>
      <c r="M277" s="8"/>
      <c r="N277" s="10"/>
      <c r="O277" s="10"/>
    </row>
    <row r="278" spans="1:15" ht="42.75" customHeight="1" x14ac:dyDescent="0.25">
      <c r="A278" s="7"/>
      <c r="B278" s="7"/>
      <c r="C278" s="7"/>
      <c r="D278" s="7"/>
      <c r="E278" s="11">
        <v>276</v>
      </c>
      <c r="F278" s="8"/>
      <c r="G278" s="8"/>
      <c r="H278" s="9"/>
      <c r="I278" s="10"/>
      <c r="J278" s="9"/>
      <c r="K278" s="10"/>
      <c r="L278" s="8"/>
      <c r="M278" s="8"/>
      <c r="N278" s="10"/>
      <c r="O278" s="10"/>
    </row>
    <row r="279" spans="1:15" ht="42.75" customHeight="1" x14ac:dyDescent="0.25">
      <c r="A279" s="7"/>
      <c r="B279" s="7"/>
      <c r="C279" s="7"/>
      <c r="D279" s="7"/>
      <c r="E279" s="11">
        <v>277</v>
      </c>
      <c r="F279" s="8"/>
      <c r="G279" s="8"/>
      <c r="H279" s="9"/>
      <c r="I279" s="10"/>
      <c r="J279" s="9"/>
      <c r="K279" s="10"/>
      <c r="L279" s="8"/>
      <c r="M279" s="8"/>
      <c r="N279" s="10"/>
      <c r="O279" s="10"/>
    </row>
    <row r="280" spans="1:15" ht="42.75" customHeight="1" x14ac:dyDescent="0.25">
      <c r="A280" s="7"/>
      <c r="B280" s="7"/>
      <c r="C280" s="7"/>
      <c r="D280" s="7"/>
      <c r="E280" s="11">
        <v>278</v>
      </c>
      <c r="F280" s="8"/>
      <c r="G280" s="8"/>
      <c r="H280" s="9"/>
      <c r="I280" s="10"/>
      <c r="J280" s="9"/>
      <c r="K280" s="10"/>
      <c r="L280" s="8"/>
      <c r="M280" s="8"/>
      <c r="N280" s="10"/>
      <c r="O280" s="10"/>
    </row>
    <row r="281" spans="1:15" ht="42.75" customHeight="1" x14ac:dyDescent="0.25">
      <c r="A281" s="7"/>
      <c r="B281" s="7"/>
      <c r="C281" s="7"/>
      <c r="D281" s="7"/>
      <c r="E281" s="11">
        <v>279</v>
      </c>
      <c r="F281" s="8"/>
      <c r="G281" s="8"/>
      <c r="H281" s="9"/>
      <c r="I281" s="10"/>
      <c r="J281" s="9"/>
      <c r="K281" s="10"/>
      <c r="L281" s="8"/>
      <c r="M281" s="8"/>
      <c r="N281" s="10"/>
      <c r="O281" s="10"/>
    </row>
    <row r="282" spans="1:15" ht="42.75" customHeight="1" x14ac:dyDescent="0.25">
      <c r="A282" s="7"/>
      <c r="B282" s="7"/>
      <c r="C282" s="7"/>
      <c r="D282" s="7"/>
      <c r="E282" s="11">
        <v>280</v>
      </c>
      <c r="F282" s="8"/>
      <c r="G282" s="8"/>
      <c r="H282" s="9"/>
      <c r="I282" s="10"/>
      <c r="J282" s="9"/>
      <c r="K282" s="10"/>
      <c r="L282" s="8"/>
      <c r="M282" s="8"/>
      <c r="N282" s="10"/>
      <c r="O282" s="10"/>
    </row>
    <row r="283" spans="1:15" ht="42.75" customHeight="1" x14ac:dyDescent="0.25">
      <c r="A283" s="7"/>
      <c r="B283" s="7"/>
      <c r="C283" s="7"/>
      <c r="D283" s="7"/>
      <c r="E283" s="11">
        <v>281</v>
      </c>
      <c r="F283" s="8"/>
      <c r="G283" s="8"/>
      <c r="H283" s="9"/>
      <c r="I283" s="10"/>
      <c r="J283" s="9"/>
      <c r="K283" s="10"/>
      <c r="L283" s="8"/>
      <c r="M283" s="8"/>
      <c r="N283" s="10"/>
      <c r="O283" s="10"/>
    </row>
    <row r="284" spans="1:15" ht="42.75" customHeight="1" x14ac:dyDescent="0.25">
      <c r="A284" s="7"/>
      <c r="B284" s="7"/>
      <c r="C284" s="7"/>
      <c r="D284" s="7"/>
      <c r="E284" s="11">
        <v>282</v>
      </c>
      <c r="F284" s="8"/>
      <c r="G284" s="8"/>
      <c r="H284" s="9"/>
      <c r="I284" s="10"/>
      <c r="J284" s="9"/>
      <c r="K284" s="10"/>
      <c r="L284" s="8"/>
      <c r="M284" s="8"/>
      <c r="N284" s="10"/>
      <c r="O284" s="10"/>
    </row>
    <row r="285" spans="1:15" ht="42.75" customHeight="1" x14ac:dyDescent="0.25">
      <c r="A285" s="7"/>
      <c r="B285" s="7"/>
      <c r="C285" s="7"/>
      <c r="D285" s="7"/>
      <c r="E285" s="11">
        <v>283</v>
      </c>
      <c r="F285" s="8"/>
      <c r="G285" s="8"/>
      <c r="H285" s="9"/>
      <c r="I285" s="10"/>
      <c r="J285" s="9"/>
      <c r="K285" s="10"/>
      <c r="L285" s="8"/>
      <c r="M285" s="8"/>
      <c r="N285" s="10"/>
      <c r="O285" s="10"/>
    </row>
    <row r="286" spans="1:15" ht="42.75" customHeight="1" x14ac:dyDescent="0.25">
      <c r="A286" s="7"/>
      <c r="B286" s="7"/>
      <c r="C286" s="7"/>
      <c r="D286" s="7"/>
      <c r="E286" s="11">
        <v>284</v>
      </c>
      <c r="F286" s="8"/>
      <c r="G286" s="8"/>
      <c r="H286" s="9"/>
      <c r="I286" s="10"/>
      <c r="J286" s="9"/>
      <c r="K286" s="10"/>
      <c r="L286" s="8"/>
      <c r="M286" s="8"/>
      <c r="N286" s="10"/>
      <c r="O286" s="10"/>
    </row>
    <row r="287" spans="1:15" ht="42.75" customHeight="1" x14ac:dyDescent="0.25">
      <c r="A287" s="7"/>
      <c r="B287" s="7"/>
      <c r="C287" s="7"/>
      <c r="D287" s="7"/>
      <c r="E287" s="11">
        <v>285</v>
      </c>
      <c r="F287" s="8"/>
      <c r="G287" s="8"/>
      <c r="H287" s="9"/>
      <c r="I287" s="10"/>
      <c r="J287" s="9"/>
      <c r="K287" s="10"/>
      <c r="L287" s="8"/>
      <c r="M287" s="8"/>
      <c r="N287" s="10"/>
      <c r="O287" s="10"/>
    </row>
    <row r="288" spans="1:15" ht="42.75" customHeight="1" x14ac:dyDescent="0.25">
      <c r="A288" s="7"/>
      <c r="B288" s="7"/>
      <c r="C288" s="7"/>
      <c r="D288" s="7"/>
      <c r="E288" s="11">
        <v>286</v>
      </c>
      <c r="F288" s="8"/>
      <c r="G288" s="8"/>
      <c r="H288" s="9"/>
      <c r="I288" s="10"/>
      <c r="J288" s="9"/>
      <c r="K288" s="10"/>
      <c r="L288" s="8"/>
      <c r="M288" s="8"/>
      <c r="N288" s="10"/>
      <c r="O288" s="10"/>
    </row>
    <row r="289" spans="1:15" ht="42.75" customHeight="1" x14ac:dyDescent="0.25">
      <c r="A289" s="7"/>
      <c r="B289" s="7"/>
      <c r="C289" s="7"/>
      <c r="D289" s="7"/>
      <c r="E289" s="11">
        <v>287</v>
      </c>
      <c r="F289" s="8"/>
      <c r="G289" s="8"/>
      <c r="H289" s="9"/>
      <c r="I289" s="10"/>
      <c r="J289" s="9"/>
      <c r="K289" s="10"/>
      <c r="L289" s="8"/>
      <c r="M289" s="8"/>
      <c r="N289" s="10"/>
      <c r="O289" s="10"/>
    </row>
    <row r="290" spans="1:15" ht="42.75" customHeight="1" x14ac:dyDescent="0.25">
      <c r="A290" s="7"/>
      <c r="B290" s="7"/>
      <c r="C290" s="7"/>
      <c r="D290" s="7"/>
      <c r="E290" s="11">
        <v>288</v>
      </c>
      <c r="F290" s="8"/>
      <c r="G290" s="8"/>
      <c r="H290" s="9"/>
      <c r="I290" s="10"/>
      <c r="J290" s="9"/>
      <c r="K290" s="10"/>
      <c r="L290" s="8"/>
      <c r="M290" s="8"/>
      <c r="N290" s="10"/>
      <c r="O290" s="10"/>
    </row>
    <row r="291" spans="1:15" ht="42.75" customHeight="1" x14ac:dyDescent="0.25">
      <c r="A291" s="7"/>
      <c r="B291" s="7"/>
      <c r="C291" s="7"/>
      <c r="D291" s="7"/>
      <c r="E291" s="11">
        <v>289</v>
      </c>
      <c r="F291" s="8"/>
      <c r="G291" s="8"/>
      <c r="H291" s="9"/>
      <c r="I291" s="10"/>
      <c r="J291" s="9"/>
      <c r="K291" s="10"/>
      <c r="L291" s="8"/>
      <c r="M291" s="8"/>
      <c r="N291" s="10"/>
      <c r="O291" s="10"/>
    </row>
    <row r="292" spans="1:15" ht="42.75" customHeight="1" x14ac:dyDescent="0.25">
      <c r="A292" s="7"/>
      <c r="B292" s="7"/>
      <c r="C292" s="7"/>
      <c r="D292" s="7"/>
      <c r="E292" s="11">
        <v>290</v>
      </c>
      <c r="F292" s="8"/>
      <c r="G292" s="8"/>
      <c r="H292" s="9"/>
      <c r="I292" s="10"/>
      <c r="J292" s="9"/>
      <c r="K292" s="10"/>
      <c r="L292" s="8"/>
      <c r="M292" s="8"/>
      <c r="N292" s="10"/>
      <c r="O292" s="10"/>
    </row>
    <row r="293" spans="1:15" ht="42.75" customHeight="1" x14ac:dyDescent="0.25">
      <c r="A293" s="7"/>
      <c r="B293" s="7"/>
      <c r="C293" s="7"/>
      <c r="D293" s="7"/>
      <c r="E293" s="11">
        <v>291</v>
      </c>
      <c r="F293" s="8"/>
      <c r="G293" s="8"/>
      <c r="H293" s="9"/>
      <c r="I293" s="10"/>
      <c r="J293" s="9"/>
      <c r="K293" s="10"/>
      <c r="L293" s="8"/>
      <c r="M293" s="8"/>
      <c r="N293" s="10"/>
      <c r="O293" s="10"/>
    </row>
    <row r="294" spans="1:15" ht="42.75" customHeight="1" x14ac:dyDescent="0.25">
      <c r="A294" s="7"/>
      <c r="B294" s="7"/>
      <c r="C294" s="7"/>
      <c r="D294" s="7"/>
      <c r="E294" s="11">
        <v>292</v>
      </c>
      <c r="F294" s="8"/>
      <c r="G294" s="8"/>
      <c r="H294" s="9"/>
      <c r="I294" s="10"/>
      <c r="J294" s="9"/>
      <c r="K294" s="10"/>
      <c r="L294" s="8"/>
      <c r="M294" s="8"/>
      <c r="N294" s="10"/>
      <c r="O294" s="10"/>
    </row>
    <row r="295" spans="1:15" ht="42.75" customHeight="1" x14ac:dyDescent="0.25">
      <c r="A295" s="7"/>
      <c r="B295" s="7"/>
      <c r="C295" s="7"/>
      <c r="D295" s="7"/>
      <c r="E295" s="11">
        <v>293</v>
      </c>
      <c r="F295" s="8"/>
      <c r="G295" s="8"/>
      <c r="H295" s="9"/>
      <c r="I295" s="10"/>
      <c r="J295" s="9"/>
      <c r="K295" s="10"/>
      <c r="L295" s="8"/>
      <c r="M295" s="8"/>
      <c r="N295" s="10"/>
      <c r="O295" s="10"/>
    </row>
    <row r="296" spans="1:15" ht="42.75" customHeight="1" x14ac:dyDescent="0.25">
      <c r="A296" s="7"/>
      <c r="B296" s="7"/>
      <c r="C296" s="7"/>
      <c r="D296" s="7"/>
      <c r="E296" s="11">
        <v>294</v>
      </c>
      <c r="F296" s="8"/>
      <c r="G296" s="8"/>
      <c r="H296" s="9"/>
      <c r="I296" s="10"/>
      <c r="J296" s="9"/>
      <c r="K296" s="10"/>
      <c r="L296" s="8"/>
      <c r="M296" s="8"/>
      <c r="N296" s="10"/>
      <c r="O296" s="10"/>
    </row>
    <row r="297" spans="1:15" ht="42.75" customHeight="1" x14ac:dyDescent="0.25">
      <c r="A297" s="7"/>
      <c r="B297" s="7"/>
      <c r="C297" s="7"/>
      <c r="D297" s="7"/>
      <c r="E297" s="11">
        <v>295</v>
      </c>
      <c r="F297" s="8"/>
      <c r="G297" s="8"/>
      <c r="H297" s="9"/>
      <c r="I297" s="10"/>
      <c r="J297" s="9"/>
      <c r="K297" s="10"/>
      <c r="L297" s="8"/>
      <c r="M297" s="8"/>
      <c r="N297" s="10"/>
      <c r="O297" s="10"/>
    </row>
    <row r="298" spans="1:15" ht="42.75" customHeight="1" x14ac:dyDescent="0.25">
      <c r="A298" s="7"/>
      <c r="B298" s="7"/>
      <c r="C298" s="7"/>
      <c r="D298" s="7"/>
      <c r="E298" s="11">
        <v>296</v>
      </c>
      <c r="F298" s="8"/>
      <c r="G298" s="8"/>
      <c r="H298" s="9"/>
      <c r="I298" s="10"/>
      <c r="J298" s="9"/>
      <c r="K298" s="10"/>
      <c r="L298" s="8"/>
      <c r="M298" s="8"/>
      <c r="N298" s="10"/>
      <c r="O298" s="10"/>
    </row>
    <row r="299" spans="1:15" ht="42.75" customHeight="1" x14ac:dyDescent="0.25">
      <c r="A299" s="7"/>
      <c r="B299" s="7"/>
      <c r="C299" s="7"/>
      <c r="D299" s="7"/>
      <c r="E299" s="11">
        <v>297</v>
      </c>
      <c r="F299" s="8"/>
      <c r="G299" s="8"/>
      <c r="H299" s="9"/>
      <c r="I299" s="10"/>
      <c r="J299" s="9"/>
      <c r="K299" s="10"/>
      <c r="L299" s="8"/>
      <c r="M299" s="8"/>
      <c r="N299" s="10"/>
      <c r="O299" s="10"/>
    </row>
    <row r="300" spans="1:15" ht="42.75" customHeight="1" x14ac:dyDescent="0.25">
      <c r="A300" s="7"/>
      <c r="B300" s="7"/>
      <c r="C300" s="7"/>
      <c r="D300" s="7"/>
      <c r="E300" s="11">
        <v>298</v>
      </c>
      <c r="F300" s="8"/>
      <c r="G300" s="8"/>
      <c r="H300" s="9"/>
      <c r="I300" s="10"/>
      <c r="J300" s="9"/>
      <c r="K300" s="10"/>
      <c r="L300" s="8"/>
      <c r="M300" s="8"/>
      <c r="N300" s="10"/>
      <c r="O300" s="10"/>
    </row>
    <row r="301" spans="1:15" ht="42.75" customHeight="1" x14ac:dyDescent="0.25">
      <c r="A301" s="7"/>
      <c r="B301" s="7"/>
      <c r="C301" s="7"/>
      <c r="D301" s="7"/>
      <c r="E301" s="11">
        <v>299</v>
      </c>
      <c r="F301" s="8"/>
      <c r="G301" s="8"/>
      <c r="H301" s="9"/>
      <c r="I301" s="10"/>
      <c r="J301" s="9"/>
      <c r="K301" s="10"/>
      <c r="L301" s="8"/>
      <c r="M301" s="8"/>
      <c r="N301" s="10"/>
      <c r="O301" s="10"/>
    </row>
    <row r="302" spans="1:15" ht="42.75" customHeight="1" x14ac:dyDescent="0.25">
      <c r="A302" s="7"/>
      <c r="B302" s="7"/>
      <c r="C302" s="7"/>
      <c r="D302" s="7"/>
      <c r="E302" s="11">
        <v>300</v>
      </c>
      <c r="F302" s="8"/>
      <c r="G302" s="8"/>
      <c r="H302" s="9"/>
      <c r="I302" s="10"/>
      <c r="J302" s="9"/>
      <c r="K302" s="10"/>
      <c r="L302" s="8"/>
      <c r="M302" s="8"/>
      <c r="N302" s="10"/>
      <c r="O302" s="10"/>
    </row>
    <row r="303" spans="1:15" ht="42.75" customHeight="1" x14ac:dyDescent="0.25">
      <c r="A303" s="7"/>
      <c r="B303" s="7"/>
      <c r="C303" s="7"/>
      <c r="D303" s="7"/>
      <c r="E303" s="11">
        <v>301</v>
      </c>
      <c r="F303" s="8"/>
      <c r="G303" s="8"/>
      <c r="H303" s="9"/>
      <c r="I303" s="10"/>
      <c r="J303" s="9"/>
      <c r="K303" s="10"/>
      <c r="L303" s="8"/>
      <c r="M303" s="8"/>
      <c r="N303" s="10"/>
      <c r="O303" s="10"/>
    </row>
    <row r="304" spans="1:15" ht="42.75" customHeight="1" x14ac:dyDescent="0.25">
      <c r="A304" s="7"/>
      <c r="B304" s="7"/>
      <c r="C304" s="7"/>
      <c r="D304" s="7"/>
      <c r="E304" s="11">
        <v>302</v>
      </c>
      <c r="F304" s="8"/>
      <c r="G304" s="8"/>
      <c r="H304" s="9"/>
      <c r="I304" s="10"/>
      <c r="J304" s="9"/>
      <c r="K304" s="10"/>
      <c r="L304" s="8"/>
      <c r="M304" s="8"/>
      <c r="N304" s="10"/>
      <c r="O304" s="10"/>
    </row>
    <row r="305" spans="1:15" ht="42.75" customHeight="1" x14ac:dyDescent="0.25">
      <c r="A305" s="7"/>
      <c r="B305" s="7"/>
      <c r="C305" s="7"/>
      <c r="D305" s="7"/>
      <c r="E305" s="11">
        <v>303</v>
      </c>
      <c r="F305" s="8"/>
      <c r="G305" s="8"/>
      <c r="H305" s="9"/>
      <c r="I305" s="10"/>
      <c r="J305" s="9"/>
      <c r="K305" s="10"/>
      <c r="L305" s="8"/>
      <c r="M305" s="8"/>
      <c r="N305" s="10"/>
      <c r="O305" s="10"/>
    </row>
    <row r="306" spans="1:15" ht="42.75" customHeight="1" x14ac:dyDescent="0.25">
      <c r="A306" s="7"/>
      <c r="B306" s="7"/>
      <c r="C306" s="7"/>
      <c r="D306" s="7"/>
      <c r="E306" s="11">
        <v>304</v>
      </c>
      <c r="F306" s="8"/>
      <c r="G306" s="8"/>
      <c r="H306" s="9"/>
      <c r="I306" s="10"/>
      <c r="J306" s="9"/>
      <c r="K306" s="10"/>
      <c r="L306" s="8"/>
      <c r="M306" s="8"/>
      <c r="N306" s="10"/>
      <c r="O306" s="10"/>
    </row>
    <row r="307" spans="1:15" ht="42.75" customHeight="1" x14ac:dyDescent="0.25">
      <c r="A307" s="7"/>
      <c r="B307" s="7"/>
      <c r="C307" s="7"/>
      <c r="D307" s="7"/>
      <c r="E307" s="11">
        <v>305</v>
      </c>
      <c r="F307" s="8"/>
      <c r="G307" s="8"/>
      <c r="H307" s="9"/>
      <c r="I307" s="10"/>
      <c r="J307" s="9"/>
      <c r="K307" s="10"/>
      <c r="L307" s="8"/>
      <c r="M307" s="8"/>
      <c r="N307" s="10"/>
      <c r="O307" s="10"/>
    </row>
    <row r="308" spans="1:15" ht="42.75" customHeight="1" x14ac:dyDescent="0.25">
      <c r="A308" s="7"/>
      <c r="B308" s="7"/>
      <c r="C308" s="7"/>
      <c r="D308" s="7"/>
      <c r="E308" s="11">
        <v>306</v>
      </c>
      <c r="F308" s="8"/>
      <c r="G308" s="8"/>
      <c r="H308" s="9"/>
      <c r="I308" s="10"/>
      <c r="J308" s="9"/>
      <c r="K308" s="10"/>
      <c r="L308" s="8"/>
      <c r="M308" s="8"/>
      <c r="N308" s="10"/>
      <c r="O308" s="10"/>
    </row>
    <row r="309" spans="1:15" ht="42.75" customHeight="1" x14ac:dyDescent="0.25">
      <c r="A309" s="7"/>
      <c r="B309" s="7"/>
      <c r="C309" s="7"/>
      <c r="D309" s="7"/>
      <c r="E309" s="11">
        <v>307</v>
      </c>
      <c r="F309" s="8"/>
      <c r="G309" s="8"/>
      <c r="H309" s="9"/>
      <c r="I309" s="10"/>
      <c r="J309" s="9"/>
      <c r="K309" s="10"/>
      <c r="L309" s="8"/>
      <c r="M309" s="8"/>
      <c r="N309" s="10"/>
      <c r="O309" s="10"/>
    </row>
    <row r="310" spans="1:15" ht="42.75" customHeight="1" x14ac:dyDescent="0.25">
      <c r="A310" s="7"/>
      <c r="B310" s="7"/>
      <c r="C310" s="7"/>
      <c r="D310" s="7"/>
      <c r="E310" s="11">
        <v>308</v>
      </c>
      <c r="F310" s="8"/>
      <c r="G310" s="8"/>
      <c r="H310" s="9"/>
      <c r="I310" s="10"/>
      <c r="J310" s="9"/>
      <c r="K310" s="10"/>
      <c r="L310" s="8"/>
      <c r="M310" s="8"/>
      <c r="N310" s="10"/>
      <c r="O310" s="10"/>
    </row>
    <row r="311" spans="1:15" ht="42.75" customHeight="1" x14ac:dyDescent="0.25">
      <c r="A311" s="7"/>
      <c r="B311" s="7"/>
      <c r="C311" s="7"/>
      <c r="D311" s="7"/>
      <c r="E311" s="11">
        <v>309</v>
      </c>
      <c r="F311" s="8"/>
      <c r="G311" s="8"/>
      <c r="H311" s="9"/>
      <c r="I311" s="10"/>
      <c r="J311" s="9"/>
      <c r="K311" s="10"/>
      <c r="L311" s="8"/>
      <c r="M311" s="8"/>
      <c r="N311" s="10"/>
      <c r="O311" s="10"/>
    </row>
    <row r="312" spans="1:15" ht="42.75" customHeight="1" x14ac:dyDescent="0.25">
      <c r="A312" s="7"/>
      <c r="B312" s="7"/>
      <c r="C312" s="7"/>
      <c r="D312" s="7"/>
      <c r="E312" s="11">
        <v>310</v>
      </c>
      <c r="F312" s="8"/>
      <c r="G312" s="8"/>
      <c r="H312" s="9"/>
      <c r="I312" s="10"/>
      <c r="J312" s="9"/>
      <c r="K312" s="10"/>
      <c r="L312" s="8"/>
      <c r="M312" s="8"/>
      <c r="N312" s="10"/>
      <c r="O312" s="10"/>
    </row>
    <row r="313" spans="1:15" ht="42.75" customHeight="1" x14ac:dyDescent="0.25">
      <c r="A313" s="7"/>
      <c r="B313" s="7"/>
      <c r="C313" s="7"/>
      <c r="D313" s="7"/>
      <c r="E313" s="11">
        <v>311</v>
      </c>
      <c r="F313" s="8"/>
      <c r="G313" s="8"/>
      <c r="H313" s="9"/>
      <c r="I313" s="10"/>
      <c r="J313" s="9"/>
      <c r="K313" s="10"/>
      <c r="L313" s="8"/>
      <c r="M313" s="8"/>
      <c r="N313" s="10"/>
      <c r="O313" s="10"/>
    </row>
    <row r="314" spans="1:15" ht="42.75" customHeight="1" x14ac:dyDescent="0.25">
      <c r="A314" s="7"/>
      <c r="B314" s="7"/>
      <c r="C314" s="7"/>
      <c r="D314" s="7"/>
      <c r="E314" s="11">
        <v>312</v>
      </c>
      <c r="F314" s="8"/>
      <c r="G314" s="8"/>
      <c r="H314" s="9"/>
      <c r="I314" s="10"/>
      <c r="J314" s="9"/>
      <c r="K314" s="10"/>
      <c r="L314" s="8"/>
      <c r="M314" s="8"/>
      <c r="N314" s="10"/>
      <c r="O314" s="10"/>
    </row>
    <row r="315" spans="1:15" ht="42.75" customHeight="1" x14ac:dyDescent="0.25">
      <c r="A315" s="7"/>
      <c r="B315" s="7"/>
      <c r="C315" s="7"/>
      <c r="D315" s="7"/>
      <c r="E315" s="11">
        <v>313</v>
      </c>
      <c r="F315" s="8"/>
      <c r="G315" s="8"/>
      <c r="H315" s="9"/>
      <c r="I315" s="10"/>
      <c r="J315" s="9"/>
      <c r="K315" s="10"/>
      <c r="L315" s="8"/>
      <c r="M315" s="8"/>
      <c r="N315" s="10"/>
      <c r="O315" s="10"/>
    </row>
    <row r="316" spans="1:15" ht="42.75" customHeight="1" x14ac:dyDescent="0.25">
      <c r="A316" s="7"/>
      <c r="B316" s="7"/>
      <c r="C316" s="7"/>
      <c r="D316" s="7"/>
      <c r="E316" s="11">
        <v>314</v>
      </c>
      <c r="F316" s="8"/>
      <c r="G316" s="8"/>
      <c r="H316" s="9"/>
      <c r="I316" s="10"/>
      <c r="J316" s="9"/>
      <c r="K316" s="10"/>
      <c r="L316" s="8"/>
      <c r="M316" s="8"/>
      <c r="N316" s="10"/>
      <c r="O316" s="10"/>
    </row>
    <row r="317" spans="1:15" ht="42.75" customHeight="1" x14ac:dyDescent="0.25">
      <c r="A317" s="7"/>
      <c r="B317" s="7"/>
      <c r="C317" s="7"/>
      <c r="D317" s="7"/>
      <c r="E317" s="11">
        <v>315</v>
      </c>
      <c r="F317" s="8"/>
      <c r="G317" s="8"/>
      <c r="H317" s="9"/>
      <c r="I317" s="10"/>
      <c r="J317" s="9"/>
      <c r="K317" s="10"/>
      <c r="L317" s="8"/>
      <c r="M317" s="8"/>
      <c r="N317" s="10"/>
      <c r="O317" s="10"/>
    </row>
    <row r="318" spans="1:15" ht="42.75" customHeight="1" x14ac:dyDescent="0.25">
      <c r="A318" s="7"/>
      <c r="B318" s="7"/>
      <c r="C318" s="7"/>
      <c r="D318" s="7"/>
      <c r="E318" s="11">
        <v>316</v>
      </c>
      <c r="F318" s="8"/>
      <c r="G318" s="8"/>
      <c r="H318" s="9"/>
      <c r="I318" s="10"/>
      <c r="J318" s="9"/>
      <c r="K318" s="10"/>
      <c r="L318" s="8"/>
      <c r="M318" s="8"/>
      <c r="N318" s="10"/>
      <c r="O318" s="10"/>
    </row>
    <row r="319" spans="1:15" ht="42.75" customHeight="1" x14ac:dyDescent="0.25">
      <c r="A319" s="7"/>
      <c r="B319" s="7"/>
      <c r="C319" s="7"/>
      <c r="D319" s="7"/>
      <c r="E319" s="11">
        <v>317</v>
      </c>
      <c r="F319" s="8"/>
      <c r="G319" s="8"/>
      <c r="H319" s="9"/>
      <c r="I319" s="10"/>
      <c r="J319" s="9"/>
      <c r="K319" s="10"/>
      <c r="L319" s="8"/>
      <c r="M319" s="8"/>
      <c r="N319" s="10"/>
      <c r="O319" s="10"/>
    </row>
    <row r="320" spans="1:15" ht="42.75" customHeight="1" x14ac:dyDescent="0.25">
      <c r="A320" s="7"/>
      <c r="B320" s="7"/>
      <c r="C320" s="7"/>
      <c r="D320" s="7"/>
      <c r="E320" s="11">
        <v>318</v>
      </c>
      <c r="F320" s="8"/>
      <c r="G320" s="8"/>
      <c r="H320" s="9"/>
      <c r="I320" s="10"/>
      <c r="J320" s="9"/>
      <c r="K320" s="10"/>
      <c r="L320" s="8"/>
      <c r="M320" s="8"/>
      <c r="N320" s="10"/>
      <c r="O320" s="10"/>
    </row>
    <row r="321" spans="1:15" ht="42.75" customHeight="1" x14ac:dyDescent="0.25">
      <c r="A321" s="7"/>
      <c r="B321" s="7"/>
      <c r="C321" s="7"/>
      <c r="D321" s="7"/>
      <c r="E321" s="11">
        <v>319</v>
      </c>
      <c r="F321" s="8"/>
      <c r="G321" s="8"/>
      <c r="H321" s="9"/>
      <c r="I321" s="10"/>
      <c r="J321" s="9"/>
      <c r="K321" s="10"/>
      <c r="L321" s="8"/>
      <c r="M321" s="8"/>
      <c r="N321" s="10"/>
      <c r="O321" s="10"/>
    </row>
    <row r="322" spans="1:15" ht="42.75" customHeight="1" x14ac:dyDescent="0.25">
      <c r="A322" s="7"/>
      <c r="B322" s="7"/>
      <c r="C322" s="7"/>
      <c r="D322" s="7"/>
      <c r="E322" s="11">
        <v>320</v>
      </c>
      <c r="F322" s="8"/>
      <c r="G322" s="8"/>
      <c r="H322" s="9"/>
      <c r="I322" s="10"/>
      <c r="J322" s="9"/>
      <c r="K322" s="10"/>
      <c r="L322" s="8"/>
      <c r="M322" s="8"/>
      <c r="N322" s="10"/>
      <c r="O322" s="10"/>
    </row>
    <row r="323" spans="1:15" ht="42.75" customHeight="1" x14ac:dyDescent="0.25">
      <c r="A323" s="7"/>
      <c r="B323" s="7"/>
      <c r="C323" s="7"/>
      <c r="D323" s="7"/>
      <c r="E323" s="11">
        <v>321</v>
      </c>
      <c r="F323" s="8"/>
      <c r="G323" s="8"/>
      <c r="H323" s="9"/>
      <c r="I323" s="10"/>
      <c r="J323" s="9"/>
      <c r="K323" s="10"/>
      <c r="L323" s="8"/>
      <c r="M323" s="8"/>
      <c r="N323" s="10"/>
      <c r="O323" s="10"/>
    </row>
    <row r="324" spans="1:15" ht="42.75" customHeight="1" x14ac:dyDescent="0.25">
      <c r="A324" s="7"/>
      <c r="B324" s="7"/>
      <c r="C324" s="7"/>
      <c r="D324" s="7"/>
      <c r="E324" s="11">
        <v>322</v>
      </c>
      <c r="F324" s="8"/>
      <c r="G324" s="8"/>
      <c r="H324" s="9"/>
      <c r="I324" s="10"/>
      <c r="J324" s="9"/>
      <c r="K324" s="10"/>
      <c r="L324" s="8"/>
      <c r="M324" s="8"/>
      <c r="N324" s="10"/>
      <c r="O324" s="10"/>
    </row>
    <row r="325" spans="1:15" ht="42.75" customHeight="1" x14ac:dyDescent="0.25">
      <c r="A325" s="7"/>
      <c r="B325" s="7"/>
      <c r="C325" s="7"/>
      <c r="D325" s="7"/>
      <c r="E325" s="11">
        <v>323</v>
      </c>
      <c r="F325" s="8"/>
      <c r="G325" s="8"/>
      <c r="H325" s="9"/>
      <c r="I325" s="10"/>
      <c r="J325" s="9"/>
      <c r="K325" s="10"/>
      <c r="L325" s="8"/>
      <c r="M325" s="8"/>
      <c r="N325" s="10"/>
      <c r="O325" s="10"/>
    </row>
    <row r="326" spans="1:15" ht="42.75" customHeight="1" x14ac:dyDescent="0.25">
      <c r="A326" s="7"/>
      <c r="B326" s="7"/>
      <c r="C326" s="7"/>
      <c r="D326" s="7"/>
      <c r="E326" s="11">
        <v>324</v>
      </c>
      <c r="F326" s="8"/>
      <c r="G326" s="8"/>
      <c r="H326" s="9"/>
      <c r="I326" s="10"/>
      <c r="J326" s="9"/>
      <c r="K326" s="10"/>
      <c r="L326" s="8"/>
      <c r="M326" s="8"/>
      <c r="N326" s="10"/>
      <c r="O326" s="10"/>
    </row>
    <row r="327" spans="1:15" ht="42.75" customHeight="1" x14ac:dyDescent="0.25">
      <c r="A327" s="7"/>
      <c r="B327" s="7"/>
      <c r="C327" s="7"/>
      <c r="D327" s="7"/>
      <c r="E327" s="11">
        <v>325</v>
      </c>
      <c r="F327" s="8"/>
      <c r="G327" s="8"/>
      <c r="H327" s="9"/>
      <c r="I327" s="10"/>
      <c r="J327" s="9"/>
      <c r="K327" s="10"/>
      <c r="L327" s="8"/>
      <c r="M327" s="8"/>
      <c r="N327" s="10"/>
      <c r="O327" s="10"/>
    </row>
    <row r="328" spans="1:15" ht="42.75" customHeight="1" x14ac:dyDescent="0.25">
      <c r="A328" s="7"/>
      <c r="B328" s="7"/>
      <c r="C328" s="7"/>
      <c r="D328" s="7"/>
      <c r="E328" s="11">
        <v>326</v>
      </c>
      <c r="F328" s="8"/>
      <c r="G328" s="8"/>
      <c r="H328" s="9"/>
      <c r="I328" s="10"/>
      <c r="J328" s="9"/>
      <c r="K328" s="10"/>
      <c r="L328" s="8"/>
      <c r="M328" s="8"/>
      <c r="N328" s="10"/>
      <c r="O328" s="10"/>
    </row>
    <row r="329" spans="1:15" ht="42.75" customHeight="1" x14ac:dyDescent="0.25">
      <c r="A329" s="7"/>
      <c r="B329" s="7"/>
      <c r="C329" s="7"/>
      <c r="D329" s="7"/>
      <c r="E329" s="11">
        <v>327</v>
      </c>
      <c r="F329" s="8"/>
      <c r="G329" s="8"/>
      <c r="H329" s="9"/>
      <c r="I329" s="10"/>
      <c r="J329" s="9"/>
      <c r="K329" s="10"/>
      <c r="L329" s="8"/>
      <c r="M329" s="8"/>
      <c r="N329" s="10"/>
      <c r="O329" s="10"/>
    </row>
    <row r="330" spans="1:15" ht="42.75" customHeight="1" x14ac:dyDescent="0.25">
      <c r="A330" s="7"/>
      <c r="B330" s="7"/>
      <c r="C330" s="7"/>
      <c r="D330" s="7"/>
      <c r="E330" s="11">
        <v>328</v>
      </c>
      <c r="F330" s="8"/>
      <c r="G330" s="8"/>
      <c r="H330" s="9"/>
      <c r="I330" s="10"/>
      <c r="J330" s="9"/>
      <c r="K330" s="10"/>
      <c r="L330" s="8"/>
      <c r="M330" s="8"/>
      <c r="N330" s="10"/>
      <c r="O330" s="10"/>
    </row>
    <row r="331" spans="1:15" ht="42.75" customHeight="1" x14ac:dyDescent="0.25">
      <c r="A331" s="7"/>
      <c r="B331" s="7"/>
      <c r="C331" s="7"/>
      <c r="D331" s="7"/>
      <c r="E331" s="11">
        <v>329</v>
      </c>
      <c r="F331" s="8"/>
      <c r="G331" s="8"/>
      <c r="H331" s="9"/>
      <c r="I331" s="10"/>
      <c r="J331" s="9"/>
      <c r="K331" s="10"/>
      <c r="L331" s="8"/>
      <c r="M331" s="8"/>
      <c r="N331" s="10"/>
      <c r="O331" s="10"/>
    </row>
    <row r="332" spans="1:15" ht="42.75" customHeight="1" x14ac:dyDescent="0.25">
      <c r="A332" s="7"/>
      <c r="B332" s="7"/>
      <c r="C332" s="7"/>
      <c r="D332" s="7"/>
      <c r="E332" s="11">
        <v>330</v>
      </c>
      <c r="F332" s="8"/>
      <c r="G332" s="8"/>
      <c r="H332" s="9"/>
      <c r="I332" s="10"/>
      <c r="J332" s="9"/>
      <c r="K332" s="10"/>
      <c r="L332" s="8"/>
      <c r="M332" s="8"/>
      <c r="N332" s="10"/>
      <c r="O332" s="10"/>
    </row>
    <row r="333" spans="1:15" ht="42.75" customHeight="1" x14ac:dyDescent="0.25">
      <c r="A333" s="7"/>
      <c r="B333" s="7"/>
      <c r="C333" s="7"/>
      <c r="D333" s="7"/>
      <c r="E333" s="11">
        <v>331</v>
      </c>
      <c r="F333" s="8"/>
      <c r="G333" s="8"/>
      <c r="H333" s="9"/>
      <c r="I333" s="10"/>
      <c r="J333" s="9"/>
      <c r="K333" s="10"/>
      <c r="L333" s="8"/>
      <c r="M333" s="8"/>
      <c r="N333" s="10"/>
      <c r="O333" s="10"/>
    </row>
    <row r="334" spans="1:15" ht="42.75" customHeight="1" x14ac:dyDescent="0.25">
      <c r="A334" s="7"/>
      <c r="B334" s="7"/>
      <c r="C334" s="7"/>
      <c r="D334" s="7"/>
      <c r="E334" s="11">
        <v>332</v>
      </c>
      <c r="F334" s="8"/>
      <c r="G334" s="8"/>
      <c r="H334" s="9"/>
      <c r="I334" s="10"/>
      <c r="J334" s="9"/>
      <c r="K334" s="10"/>
      <c r="L334" s="8"/>
      <c r="M334" s="8"/>
      <c r="N334" s="10"/>
      <c r="O334" s="10"/>
    </row>
    <row r="335" spans="1:15" ht="42.75" customHeight="1" x14ac:dyDescent="0.25">
      <c r="A335" s="7"/>
      <c r="B335" s="7"/>
      <c r="C335" s="7"/>
      <c r="D335" s="7"/>
      <c r="E335" s="11">
        <v>333</v>
      </c>
      <c r="F335" s="8"/>
      <c r="G335" s="8"/>
      <c r="H335" s="9"/>
      <c r="I335" s="10"/>
      <c r="J335" s="9"/>
      <c r="K335" s="10"/>
      <c r="L335" s="8"/>
      <c r="M335" s="8"/>
      <c r="N335" s="10"/>
      <c r="O335" s="10"/>
    </row>
    <row r="336" spans="1:15" ht="42.75" customHeight="1" x14ac:dyDescent="0.25">
      <c r="A336" s="7"/>
      <c r="B336" s="7"/>
      <c r="C336" s="7"/>
      <c r="D336" s="7"/>
      <c r="E336" s="11">
        <v>334</v>
      </c>
      <c r="F336" s="8"/>
      <c r="G336" s="8"/>
      <c r="H336" s="9"/>
      <c r="I336" s="10"/>
      <c r="J336" s="9"/>
      <c r="K336" s="10"/>
      <c r="L336" s="8"/>
      <c r="M336" s="8"/>
      <c r="N336" s="10"/>
      <c r="O336" s="10"/>
    </row>
    <row r="337" spans="1:15" ht="42.75" customHeight="1" x14ac:dyDescent="0.25">
      <c r="A337" s="7"/>
      <c r="B337" s="7"/>
      <c r="C337" s="7"/>
      <c r="D337" s="7"/>
      <c r="E337" s="11">
        <v>335</v>
      </c>
      <c r="F337" s="8"/>
      <c r="G337" s="8"/>
      <c r="H337" s="9"/>
      <c r="I337" s="10"/>
      <c r="J337" s="9"/>
      <c r="K337" s="10"/>
      <c r="L337" s="8"/>
      <c r="M337" s="8"/>
      <c r="N337" s="10"/>
      <c r="O337" s="10"/>
    </row>
    <row r="338" spans="1:15" ht="42.75" customHeight="1" x14ac:dyDescent="0.25">
      <c r="A338" s="7"/>
      <c r="B338" s="7"/>
      <c r="C338" s="7"/>
      <c r="D338" s="7"/>
      <c r="E338" s="11">
        <v>336</v>
      </c>
      <c r="F338" s="8"/>
      <c r="G338" s="8"/>
      <c r="H338" s="9"/>
      <c r="I338" s="10"/>
      <c r="J338" s="9"/>
      <c r="K338" s="10"/>
      <c r="L338" s="8"/>
      <c r="M338" s="8"/>
      <c r="N338" s="10"/>
      <c r="O338" s="10"/>
    </row>
    <row r="339" spans="1:15" ht="42.75" customHeight="1" x14ac:dyDescent="0.25">
      <c r="A339" s="7"/>
      <c r="B339" s="7"/>
      <c r="C339" s="7"/>
      <c r="D339" s="7"/>
      <c r="E339" s="11">
        <v>337</v>
      </c>
      <c r="F339" s="8"/>
      <c r="G339" s="8"/>
      <c r="H339" s="9"/>
      <c r="I339" s="10"/>
      <c r="J339" s="9"/>
      <c r="K339" s="10"/>
      <c r="L339" s="8"/>
      <c r="M339" s="8"/>
      <c r="N339" s="10"/>
      <c r="O339" s="10"/>
    </row>
    <row r="340" spans="1:15" ht="42.75" customHeight="1" x14ac:dyDescent="0.25">
      <c r="A340" s="7"/>
      <c r="B340" s="7"/>
      <c r="C340" s="7"/>
      <c r="D340" s="7"/>
      <c r="E340" s="11">
        <v>338</v>
      </c>
      <c r="F340" s="8"/>
      <c r="G340" s="8"/>
      <c r="H340" s="9"/>
      <c r="I340" s="10"/>
      <c r="J340" s="9"/>
      <c r="K340" s="10"/>
      <c r="L340" s="8"/>
      <c r="M340" s="8"/>
      <c r="N340" s="10"/>
      <c r="O340" s="10"/>
    </row>
    <row r="341" spans="1:15" ht="42.75" customHeight="1" x14ac:dyDescent="0.25">
      <c r="A341" s="7"/>
      <c r="B341" s="7"/>
      <c r="C341" s="7"/>
      <c r="D341" s="7"/>
      <c r="E341" s="11">
        <v>339</v>
      </c>
      <c r="F341" s="8"/>
      <c r="G341" s="8"/>
      <c r="H341" s="9"/>
      <c r="I341" s="10"/>
      <c r="J341" s="9"/>
      <c r="K341" s="10"/>
      <c r="L341" s="8"/>
      <c r="M341" s="8"/>
      <c r="N341" s="10"/>
      <c r="O341" s="10"/>
    </row>
    <row r="342" spans="1:15" ht="42.75" customHeight="1" x14ac:dyDescent="0.25">
      <c r="A342" s="7"/>
      <c r="B342" s="7"/>
      <c r="C342" s="7"/>
      <c r="D342" s="7"/>
      <c r="E342" s="11">
        <v>340</v>
      </c>
      <c r="F342" s="8"/>
      <c r="G342" s="8"/>
      <c r="H342" s="9"/>
      <c r="I342" s="10"/>
      <c r="J342" s="9"/>
      <c r="K342" s="10"/>
      <c r="L342" s="8"/>
      <c r="M342" s="8"/>
      <c r="N342" s="10"/>
      <c r="O342" s="10"/>
    </row>
    <row r="343" spans="1:15" ht="42.75" customHeight="1" x14ac:dyDescent="0.25">
      <c r="A343" s="7"/>
      <c r="B343" s="7"/>
      <c r="C343" s="7"/>
      <c r="D343" s="7"/>
      <c r="E343" s="11">
        <v>341</v>
      </c>
      <c r="F343" s="8"/>
      <c r="G343" s="8"/>
      <c r="H343" s="9"/>
      <c r="I343" s="10"/>
      <c r="J343" s="9"/>
      <c r="K343" s="10"/>
      <c r="L343" s="8"/>
      <c r="M343" s="8"/>
      <c r="N343" s="10"/>
      <c r="O343" s="10"/>
    </row>
    <row r="344" spans="1:15" ht="42.75" customHeight="1" x14ac:dyDescent="0.25">
      <c r="A344" s="7"/>
      <c r="B344" s="7"/>
      <c r="C344" s="7"/>
      <c r="D344" s="7"/>
      <c r="E344" s="11">
        <v>342</v>
      </c>
      <c r="F344" s="8"/>
      <c r="G344" s="8"/>
      <c r="H344" s="9"/>
      <c r="I344" s="10"/>
      <c r="J344" s="9"/>
      <c r="K344" s="10"/>
      <c r="L344" s="8"/>
      <c r="M344" s="8"/>
      <c r="N344" s="10"/>
      <c r="O344" s="10"/>
    </row>
    <row r="345" spans="1:15" ht="42.75" customHeight="1" x14ac:dyDescent="0.25">
      <c r="A345" s="7"/>
      <c r="B345" s="7"/>
      <c r="C345" s="7"/>
      <c r="D345" s="7"/>
      <c r="E345" s="11">
        <v>343</v>
      </c>
      <c r="F345" s="8"/>
      <c r="G345" s="8"/>
      <c r="H345" s="9"/>
      <c r="I345" s="10"/>
      <c r="J345" s="9"/>
      <c r="K345" s="10"/>
      <c r="L345" s="8"/>
      <c r="M345" s="8"/>
      <c r="N345" s="10"/>
      <c r="O345" s="10"/>
    </row>
    <row r="346" spans="1:15" ht="42.75" customHeight="1" x14ac:dyDescent="0.25">
      <c r="A346" s="7"/>
      <c r="B346" s="7"/>
      <c r="C346" s="7"/>
      <c r="D346" s="7"/>
      <c r="E346" s="11">
        <v>344</v>
      </c>
      <c r="F346" s="8"/>
      <c r="G346" s="8"/>
      <c r="H346" s="9"/>
      <c r="I346" s="10"/>
      <c r="J346" s="9"/>
      <c r="K346" s="10"/>
      <c r="L346" s="8"/>
      <c r="M346" s="8"/>
      <c r="N346" s="10"/>
      <c r="O346" s="10"/>
    </row>
    <row r="347" spans="1:15" ht="42.75" customHeight="1" x14ac:dyDescent="0.25">
      <c r="A347" s="7"/>
      <c r="B347" s="7"/>
      <c r="C347" s="7"/>
      <c r="D347" s="7"/>
      <c r="E347" s="11">
        <v>345</v>
      </c>
      <c r="F347" s="8"/>
      <c r="G347" s="8"/>
      <c r="H347" s="9"/>
      <c r="I347" s="10"/>
      <c r="J347" s="9"/>
      <c r="K347" s="10"/>
      <c r="L347" s="8"/>
      <c r="M347" s="8"/>
      <c r="N347" s="10"/>
      <c r="O347" s="10"/>
    </row>
    <row r="348" spans="1:15" ht="42.75" customHeight="1" x14ac:dyDescent="0.25">
      <c r="A348" s="7"/>
      <c r="B348" s="7"/>
      <c r="C348" s="7"/>
      <c r="D348" s="7"/>
      <c r="E348" s="11">
        <v>346</v>
      </c>
      <c r="F348" s="8"/>
      <c r="G348" s="8"/>
      <c r="H348" s="9"/>
      <c r="I348" s="10"/>
      <c r="J348" s="9"/>
      <c r="K348" s="10"/>
      <c r="L348" s="8"/>
      <c r="M348" s="8"/>
      <c r="N348" s="10"/>
      <c r="O348" s="10"/>
    </row>
    <row r="349" spans="1:15" ht="42.75" customHeight="1" x14ac:dyDescent="0.25">
      <c r="A349" s="7"/>
      <c r="B349" s="7"/>
      <c r="C349" s="7"/>
      <c r="D349" s="7"/>
      <c r="E349" s="11">
        <v>347</v>
      </c>
      <c r="F349" s="8"/>
      <c r="G349" s="8"/>
      <c r="H349" s="9"/>
      <c r="I349" s="10"/>
      <c r="J349" s="9"/>
      <c r="K349" s="10"/>
      <c r="L349" s="8"/>
      <c r="M349" s="8"/>
      <c r="N349" s="10"/>
      <c r="O349" s="10"/>
    </row>
    <row r="350" spans="1:15" ht="42.75" customHeight="1" x14ac:dyDescent="0.25">
      <c r="A350" s="7"/>
      <c r="B350" s="7"/>
      <c r="C350" s="7"/>
      <c r="D350" s="7"/>
      <c r="E350" s="11">
        <v>348</v>
      </c>
      <c r="F350" s="8"/>
      <c r="G350" s="8"/>
      <c r="H350" s="9"/>
      <c r="I350" s="10"/>
      <c r="J350" s="9"/>
      <c r="K350" s="10"/>
      <c r="L350" s="8"/>
      <c r="M350" s="8"/>
      <c r="N350" s="10"/>
      <c r="O350" s="10"/>
    </row>
    <row r="351" spans="1:15" ht="42.75" customHeight="1" x14ac:dyDescent="0.25">
      <c r="A351" s="7"/>
      <c r="B351" s="7"/>
      <c r="C351" s="7"/>
      <c r="D351" s="7"/>
      <c r="E351" s="11">
        <v>349</v>
      </c>
      <c r="F351" s="8"/>
      <c r="G351" s="8"/>
      <c r="H351" s="9"/>
      <c r="I351" s="10"/>
      <c r="J351" s="9"/>
      <c r="K351" s="10"/>
      <c r="L351" s="8"/>
      <c r="M351" s="8"/>
      <c r="N351" s="10"/>
      <c r="O351" s="10"/>
    </row>
    <row r="352" spans="1:15" ht="42.75" customHeight="1" x14ac:dyDescent="0.25">
      <c r="A352" s="7"/>
      <c r="B352" s="7"/>
      <c r="C352" s="7"/>
      <c r="D352" s="7"/>
      <c r="E352" s="11">
        <v>350</v>
      </c>
      <c r="F352" s="8"/>
      <c r="G352" s="8"/>
      <c r="H352" s="9"/>
      <c r="I352" s="10"/>
      <c r="J352" s="9"/>
      <c r="K352" s="10"/>
      <c r="L352" s="8"/>
      <c r="M352" s="8"/>
      <c r="N352" s="10"/>
      <c r="O352" s="10"/>
    </row>
    <row r="353" spans="1:15" ht="42.75" customHeight="1" x14ac:dyDescent="0.25">
      <c r="A353" s="7"/>
      <c r="B353" s="7"/>
      <c r="C353" s="7"/>
      <c r="D353" s="7"/>
      <c r="E353" s="11">
        <v>351</v>
      </c>
      <c r="F353" s="8"/>
      <c r="G353" s="8"/>
      <c r="H353" s="9"/>
      <c r="I353" s="10"/>
      <c r="J353" s="9"/>
      <c r="K353" s="10"/>
      <c r="L353" s="8"/>
      <c r="M353" s="8"/>
      <c r="N353" s="10"/>
      <c r="O353" s="10"/>
    </row>
    <row r="354" spans="1:15" ht="42.75" customHeight="1" x14ac:dyDescent="0.25">
      <c r="A354" s="7"/>
      <c r="B354" s="7"/>
      <c r="C354" s="7"/>
      <c r="D354" s="7"/>
      <c r="E354" s="11">
        <v>352</v>
      </c>
      <c r="F354" s="8"/>
      <c r="G354" s="8"/>
      <c r="H354" s="9"/>
      <c r="I354" s="10"/>
      <c r="J354" s="9"/>
      <c r="K354" s="10"/>
      <c r="L354" s="8"/>
      <c r="M354" s="8"/>
      <c r="N354" s="10"/>
      <c r="O354" s="10"/>
    </row>
    <row r="355" spans="1:15" ht="42.75" customHeight="1" x14ac:dyDescent="0.25">
      <c r="A355" s="7"/>
      <c r="B355" s="7"/>
      <c r="C355" s="7"/>
      <c r="D355" s="7"/>
      <c r="E355" s="11">
        <v>353</v>
      </c>
      <c r="F355" s="8"/>
      <c r="G355" s="8"/>
      <c r="H355" s="9"/>
      <c r="I355" s="10"/>
      <c r="J355" s="9"/>
      <c r="K355" s="10"/>
      <c r="L355" s="8"/>
      <c r="M355" s="8"/>
      <c r="N355" s="10"/>
      <c r="O355" s="10"/>
    </row>
    <row r="356" spans="1:15" ht="42.75" customHeight="1" x14ac:dyDescent="0.25">
      <c r="A356" s="7"/>
      <c r="B356" s="7"/>
      <c r="C356" s="7"/>
      <c r="D356" s="7"/>
      <c r="E356" s="11">
        <v>354</v>
      </c>
      <c r="F356" s="8"/>
      <c r="G356" s="8"/>
      <c r="H356" s="9"/>
      <c r="I356" s="10"/>
      <c r="J356" s="9"/>
      <c r="K356" s="10"/>
      <c r="L356" s="8"/>
      <c r="M356" s="8"/>
      <c r="N356" s="10"/>
      <c r="O356" s="10"/>
    </row>
    <row r="357" spans="1:15" ht="42.75" customHeight="1" x14ac:dyDescent="0.25">
      <c r="A357" s="7"/>
      <c r="B357" s="7"/>
      <c r="C357" s="7"/>
      <c r="D357" s="7"/>
      <c r="E357" s="11">
        <v>355</v>
      </c>
      <c r="F357" s="8"/>
      <c r="G357" s="8"/>
      <c r="H357" s="9"/>
      <c r="I357" s="10"/>
      <c r="J357" s="9"/>
      <c r="K357" s="10"/>
      <c r="L357" s="8"/>
      <c r="M357" s="8"/>
      <c r="N357" s="10"/>
      <c r="O357" s="10"/>
    </row>
    <row r="358" spans="1:15" ht="42.75" customHeight="1" x14ac:dyDescent="0.25">
      <c r="A358" s="7"/>
      <c r="B358" s="7"/>
      <c r="C358" s="7"/>
      <c r="D358" s="7"/>
      <c r="E358" s="11">
        <v>356</v>
      </c>
      <c r="F358" s="8"/>
      <c r="G358" s="8"/>
      <c r="H358" s="9"/>
      <c r="I358" s="10"/>
      <c r="J358" s="9"/>
      <c r="K358" s="10"/>
      <c r="L358" s="8"/>
      <c r="M358" s="8"/>
      <c r="N358" s="10"/>
      <c r="O358" s="10"/>
    </row>
    <row r="359" spans="1:15" ht="42.75" customHeight="1" x14ac:dyDescent="0.25">
      <c r="A359" s="7"/>
      <c r="B359" s="7"/>
      <c r="C359" s="7"/>
      <c r="D359" s="7"/>
      <c r="E359" s="11">
        <v>357</v>
      </c>
      <c r="F359" s="8"/>
      <c r="G359" s="8"/>
      <c r="H359" s="9"/>
      <c r="I359" s="10"/>
      <c r="J359" s="9"/>
      <c r="K359" s="10"/>
      <c r="L359" s="8"/>
      <c r="M359" s="8"/>
      <c r="N359" s="10"/>
      <c r="O359" s="10"/>
    </row>
    <row r="360" spans="1:15" ht="42.75" customHeight="1" x14ac:dyDescent="0.25">
      <c r="A360" s="7"/>
      <c r="B360" s="7"/>
      <c r="C360" s="7"/>
      <c r="D360" s="7"/>
      <c r="E360" s="11">
        <v>358</v>
      </c>
      <c r="F360" s="8"/>
      <c r="G360" s="8"/>
      <c r="H360" s="9"/>
      <c r="I360" s="10"/>
      <c r="J360" s="9"/>
      <c r="K360" s="10"/>
      <c r="L360" s="8"/>
      <c r="M360" s="8"/>
      <c r="N360" s="10"/>
      <c r="O360" s="10"/>
    </row>
    <row r="361" spans="1:15" ht="42.75" customHeight="1" x14ac:dyDescent="0.25">
      <c r="A361" s="7"/>
      <c r="B361" s="7"/>
      <c r="C361" s="7"/>
      <c r="D361" s="7"/>
      <c r="E361" s="11">
        <v>359</v>
      </c>
      <c r="F361" s="8"/>
      <c r="G361" s="8"/>
      <c r="H361" s="9"/>
      <c r="I361" s="10"/>
      <c r="J361" s="9"/>
      <c r="K361" s="10"/>
      <c r="L361" s="8"/>
      <c r="M361" s="8"/>
      <c r="N361" s="10"/>
      <c r="O361" s="10"/>
    </row>
    <row r="362" spans="1:15" ht="42.75" customHeight="1" x14ac:dyDescent="0.25">
      <c r="A362" s="7"/>
      <c r="B362" s="7"/>
      <c r="C362" s="7"/>
      <c r="D362" s="7"/>
      <c r="E362" s="11">
        <v>360</v>
      </c>
      <c r="F362" s="8"/>
      <c r="G362" s="8"/>
      <c r="H362" s="9"/>
      <c r="I362" s="10"/>
      <c r="J362" s="9"/>
      <c r="K362" s="10"/>
      <c r="L362" s="8"/>
      <c r="M362" s="8"/>
      <c r="N362" s="10"/>
      <c r="O362" s="10"/>
    </row>
    <row r="363" spans="1:15" ht="42.75" customHeight="1" x14ac:dyDescent="0.25">
      <c r="A363" s="7"/>
      <c r="B363" s="7"/>
      <c r="C363" s="7"/>
      <c r="D363" s="7"/>
      <c r="E363" s="11">
        <v>361</v>
      </c>
      <c r="F363" s="8"/>
      <c r="G363" s="8"/>
      <c r="H363" s="9"/>
      <c r="I363" s="10"/>
      <c r="J363" s="9"/>
      <c r="K363" s="10"/>
      <c r="L363" s="8"/>
      <c r="M363" s="8"/>
      <c r="N363" s="10"/>
      <c r="O363" s="10"/>
    </row>
    <row r="364" spans="1:15" ht="42.75" customHeight="1" x14ac:dyDescent="0.25">
      <c r="A364" s="7"/>
      <c r="B364" s="7"/>
      <c r="C364" s="7"/>
      <c r="D364" s="7"/>
      <c r="E364" s="11">
        <v>362</v>
      </c>
      <c r="F364" s="8"/>
      <c r="G364" s="8"/>
      <c r="H364" s="9"/>
      <c r="I364" s="10"/>
      <c r="J364" s="9"/>
      <c r="K364" s="10"/>
      <c r="L364" s="8"/>
      <c r="M364" s="8"/>
      <c r="N364" s="10"/>
      <c r="O364" s="10"/>
    </row>
    <row r="365" spans="1:15" ht="42.75" customHeight="1" x14ac:dyDescent="0.25">
      <c r="A365" s="7"/>
      <c r="B365" s="7"/>
      <c r="C365" s="7"/>
      <c r="D365" s="7"/>
      <c r="E365" s="11">
        <v>363</v>
      </c>
      <c r="F365" s="8"/>
      <c r="G365" s="8"/>
      <c r="H365" s="9"/>
      <c r="I365" s="10"/>
      <c r="J365" s="9"/>
      <c r="K365" s="10"/>
      <c r="L365" s="8"/>
      <c r="M365" s="8"/>
      <c r="N365" s="10"/>
      <c r="O365" s="10"/>
    </row>
    <row r="366" spans="1:15" ht="42.75" customHeight="1" x14ac:dyDescent="0.25">
      <c r="A366" s="7"/>
      <c r="B366" s="7"/>
      <c r="C366" s="7"/>
      <c r="D366" s="7"/>
      <c r="E366" s="11">
        <v>364</v>
      </c>
      <c r="F366" s="8"/>
      <c r="G366" s="8"/>
      <c r="H366" s="9"/>
      <c r="I366" s="10"/>
      <c r="J366" s="9"/>
      <c r="K366" s="10"/>
      <c r="L366" s="8"/>
      <c r="M366" s="8"/>
      <c r="N366" s="10"/>
      <c r="O366" s="10"/>
    </row>
    <row r="367" spans="1:15" ht="42.75" customHeight="1" x14ac:dyDescent="0.25">
      <c r="A367" s="7"/>
      <c r="B367" s="7"/>
      <c r="C367" s="7"/>
      <c r="D367" s="7"/>
      <c r="E367" s="11">
        <v>365</v>
      </c>
      <c r="F367" s="8"/>
      <c r="G367" s="8"/>
      <c r="H367" s="9"/>
      <c r="I367" s="10"/>
      <c r="J367" s="9"/>
      <c r="K367" s="10"/>
      <c r="L367" s="8"/>
      <c r="M367" s="8"/>
      <c r="N367" s="10"/>
      <c r="O367" s="10"/>
    </row>
    <row r="368" spans="1:15" ht="42.75" customHeight="1" x14ac:dyDescent="0.25">
      <c r="A368" s="7"/>
      <c r="B368" s="7"/>
      <c r="C368" s="7"/>
      <c r="D368" s="7"/>
      <c r="E368" s="11">
        <v>366</v>
      </c>
      <c r="F368" s="8"/>
      <c r="G368" s="8"/>
      <c r="H368" s="9"/>
      <c r="I368" s="10"/>
      <c r="J368" s="9"/>
      <c r="K368" s="10"/>
      <c r="L368" s="8"/>
      <c r="M368" s="8"/>
      <c r="N368" s="10"/>
      <c r="O368" s="10"/>
    </row>
    <row r="369" spans="1:15" ht="42.75" customHeight="1" x14ac:dyDescent="0.25">
      <c r="A369" s="7"/>
      <c r="B369" s="7"/>
      <c r="C369" s="7"/>
      <c r="D369" s="7"/>
      <c r="E369" s="11">
        <v>367</v>
      </c>
      <c r="F369" s="8"/>
      <c r="G369" s="8"/>
      <c r="H369" s="9"/>
      <c r="I369" s="10"/>
      <c r="J369" s="9"/>
      <c r="K369" s="10"/>
      <c r="L369" s="8"/>
      <c r="M369" s="8"/>
      <c r="N369" s="10"/>
      <c r="O369" s="10"/>
    </row>
    <row r="370" spans="1:15" ht="42.75" customHeight="1" x14ac:dyDescent="0.25">
      <c r="A370" s="7"/>
      <c r="B370" s="7"/>
      <c r="C370" s="7"/>
      <c r="D370" s="7"/>
      <c r="E370" s="11">
        <v>368</v>
      </c>
      <c r="F370" s="8"/>
      <c r="G370" s="8"/>
      <c r="H370" s="9"/>
      <c r="I370" s="10"/>
      <c r="J370" s="9"/>
      <c r="K370" s="10"/>
      <c r="L370" s="8"/>
      <c r="M370" s="8"/>
      <c r="N370" s="10"/>
      <c r="O370" s="10"/>
    </row>
    <row r="371" spans="1:15" ht="42.75" customHeight="1" x14ac:dyDescent="0.25">
      <c r="A371" s="7"/>
      <c r="B371" s="7"/>
      <c r="C371" s="7"/>
      <c r="D371" s="7"/>
      <c r="E371" s="11">
        <v>369</v>
      </c>
      <c r="F371" s="8"/>
      <c r="G371" s="8"/>
      <c r="H371" s="9"/>
      <c r="I371" s="10"/>
      <c r="J371" s="9"/>
      <c r="K371" s="10"/>
      <c r="L371" s="8"/>
      <c r="M371" s="8"/>
      <c r="N371" s="10"/>
      <c r="O371" s="10"/>
    </row>
    <row r="372" spans="1:15" ht="42.75" customHeight="1" x14ac:dyDescent="0.25">
      <c r="A372" s="7"/>
      <c r="B372" s="7"/>
      <c r="C372" s="7"/>
      <c r="D372" s="7"/>
      <c r="E372" s="11">
        <v>370</v>
      </c>
      <c r="F372" s="8"/>
      <c r="G372" s="8"/>
      <c r="H372" s="9"/>
      <c r="I372" s="10"/>
      <c r="J372" s="9"/>
      <c r="K372" s="10"/>
      <c r="L372" s="8"/>
      <c r="M372" s="8"/>
      <c r="N372" s="10"/>
      <c r="O372" s="10"/>
    </row>
    <row r="373" spans="1:15" ht="42.75" customHeight="1" x14ac:dyDescent="0.25">
      <c r="A373" s="7"/>
      <c r="B373" s="7"/>
      <c r="C373" s="7"/>
      <c r="D373" s="7"/>
      <c r="E373" s="11">
        <v>371</v>
      </c>
      <c r="F373" s="8"/>
      <c r="G373" s="8"/>
      <c r="H373" s="9"/>
      <c r="I373" s="10"/>
      <c r="J373" s="9"/>
      <c r="K373" s="10"/>
      <c r="L373" s="8"/>
      <c r="M373" s="8"/>
      <c r="N373" s="10"/>
      <c r="O373" s="10"/>
    </row>
    <row r="374" spans="1:15" ht="42.75" customHeight="1" x14ac:dyDescent="0.25">
      <c r="A374" s="7"/>
      <c r="B374" s="7"/>
      <c r="C374" s="7"/>
      <c r="D374" s="7"/>
      <c r="E374" s="11">
        <v>372</v>
      </c>
      <c r="F374" s="8"/>
      <c r="G374" s="8"/>
      <c r="H374" s="9"/>
      <c r="I374" s="10"/>
      <c r="J374" s="9"/>
      <c r="K374" s="10"/>
      <c r="L374" s="8"/>
      <c r="M374" s="8"/>
      <c r="N374" s="10"/>
      <c r="O374" s="10"/>
    </row>
    <row r="375" spans="1:15" ht="42.75" customHeight="1" x14ac:dyDescent="0.25">
      <c r="A375" s="7"/>
      <c r="B375" s="7"/>
      <c r="C375" s="7"/>
      <c r="D375" s="7"/>
      <c r="E375" s="11">
        <v>373</v>
      </c>
      <c r="F375" s="8"/>
      <c r="G375" s="8"/>
      <c r="H375" s="9"/>
      <c r="I375" s="10"/>
      <c r="J375" s="9"/>
      <c r="K375" s="10"/>
      <c r="L375" s="8"/>
      <c r="M375" s="8"/>
      <c r="N375" s="10"/>
      <c r="O375" s="10"/>
    </row>
    <row r="376" spans="1:15" ht="42.75" customHeight="1" x14ac:dyDescent="0.25">
      <c r="A376" s="7"/>
      <c r="B376" s="7"/>
      <c r="C376" s="7"/>
      <c r="D376" s="7"/>
      <c r="E376" s="11">
        <v>374</v>
      </c>
      <c r="F376" s="8"/>
      <c r="G376" s="8"/>
      <c r="H376" s="9"/>
      <c r="I376" s="10"/>
      <c r="J376" s="9"/>
      <c r="K376" s="10"/>
      <c r="L376" s="8"/>
      <c r="M376" s="8"/>
      <c r="N376" s="10"/>
      <c r="O376" s="10"/>
    </row>
    <row r="377" spans="1:15" ht="42.75" customHeight="1" x14ac:dyDescent="0.25">
      <c r="A377" s="7"/>
      <c r="B377" s="7"/>
      <c r="C377" s="7"/>
      <c r="D377" s="7"/>
      <c r="E377" s="11">
        <v>375</v>
      </c>
      <c r="F377" s="8"/>
      <c r="G377" s="8"/>
      <c r="H377" s="9"/>
      <c r="I377" s="10"/>
      <c r="J377" s="9"/>
      <c r="K377" s="10"/>
      <c r="L377" s="8"/>
      <c r="M377" s="8"/>
      <c r="N377" s="10"/>
      <c r="O377" s="10"/>
    </row>
    <row r="378" spans="1:15" ht="42.75" customHeight="1" x14ac:dyDescent="0.25">
      <c r="A378" s="7"/>
      <c r="B378" s="7"/>
      <c r="C378" s="7"/>
      <c r="D378" s="7"/>
      <c r="E378" s="11">
        <v>376</v>
      </c>
      <c r="F378" s="8"/>
      <c r="G378" s="8"/>
      <c r="H378" s="9"/>
      <c r="I378" s="10"/>
      <c r="J378" s="9"/>
      <c r="K378" s="10"/>
      <c r="L378" s="8"/>
      <c r="M378" s="8"/>
      <c r="N378" s="10"/>
      <c r="O378" s="10"/>
    </row>
    <row r="379" spans="1:15" ht="42.75" customHeight="1" x14ac:dyDescent="0.25">
      <c r="A379" s="7"/>
      <c r="B379" s="7"/>
      <c r="C379" s="7"/>
      <c r="D379" s="7"/>
      <c r="E379" s="11">
        <v>377</v>
      </c>
      <c r="F379" s="8"/>
      <c r="G379" s="8"/>
      <c r="H379" s="9"/>
      <c r="I379" s="10"/>
      <c r="J379" s="9"/>
      <c r="K379" s="10"/>
      <c r="L379" s="8"/>
      <c r="M379" s="8"/>
      <c r="N379" s="10"/>
      <c r="O379" s="10"/>
    </row>
    <row r="380" spans="1:15" ht="42.75" customHeight="1" x14ac:dyDescent="0.25">
      <c r="A380" s="7"/>
      <c r="B380" s="7"/>
      <c r="C380" s="7"/>
      <c r="D380" s="7"/>
      <c r="E380" s="11">
        <v>378</v>
      </c>
      <c r="F380" s="8"/>
      <c r="G380" s="8"/>
      <c r="H380" s="9"/>
      <c r="I380" s="10"/>
      <c r="J380" s="9"/>
      <c r="K380" s="10"/>
      <c r="L380" s="8"/>
      <c r="M380" s="8"/>
      <c r="N380" s="10"/>
      <c r="O380" s="10"/>
    </row>
    <row r="381" spans="1:15" ht="42.75" customHeight="1" x14ac:dyDescent="0.25">
      <c r="A381" s="7"/>
      <c r="B381" s="7"/>
      <c r="C381" s="7"/>
      <c r="D381" s="7"/>
      <c r="E381" s="11">
        <v>379</v>
      </c>
      <c r="F381" s="8"/>
      <c r="G381" s="8"/>
      <c r="H381" s="9"/>
      <c r="I381" s="10"/>
      <c r="J381" s="9"/>
      <c r="K381" s="10"/>
      <c r="L381" s="8"/>
      <c r="M381" s="8"/>
      <c r="N381" s="10"/>
      <c r="O381" s="10"/>
    </row>
    <row r="382" spans="1:15" ht="42.75" customHeight="1" x14ac:dyDescent="0.25">
      <c r="A382" s="7"/>
      <c r="B382" s="7"/>
      <c r="C382" s="7"/>
      <c r="D382" s="7"/>
      <c r="E382" s="11">
        <v>380</v>
      </c>
      <c r="F382" s="8"/>
      <c r="G382" s="8"/>
      <c r="H382" s="9"/>
      <c r="I382" s="10"/>
      <c r="J382" s="9"/>
      <c r="K382" s="10"/>
      <c r="L382" s="8"/>
      <c r="M382" s="8"/>
      <c r="N382" s="10"/>
      <c r="O382" s="10"/>
    </row>
    <row r="383" spans="1:15" ht="42.75" customHeight="1" x14ac:dyDescent="0.25">
      <c r="A383" s="7"/>
      <c r="B383" s="7"/>
      <c r="C383" s="7"/>
      <c r="D383" s="7"/>
      <c r="E383" s="11">
        <v>381</v>
      </c>
      <c r="F383" s="8"/>
      <c r="G383" s="8"/>
      <c r="H383" s="9"/>
      <c r="I383" s="10"/>
      <c r="J383" s="9"/>
      <c r="K383" s="10"/>
      <c r="L383" s="8"/>
      <c r="M383" s="8"/>
      <c r="N383" s="10"/>
      <c r="O383" s="10"/>
    </row>
    <row r="384" spans="1:15" ht="42.75" customHeight="1" x14ac:dyDescent="0.25">
      <c r="A384" s="7"/>
      <c r="B384" s="7"/>
      <c r="C384" s="7"/>
      <c r="D384" s="7"/>
      <c r="E384" s="11">
        <v>382</v>
      </c>
      <c r="F384" s="8"/>
      <c r="G384" s="8"/>
      <c r="H384" s="9"/>
      <c r="I384" s="10"/>
      <c r="J384" s="9"/>
      <c r="K384" s="10"/>
      <c r="L384" s="8"/>
      <c r="M384" s="8"/>
      <c r="N384" s="10"/>
      <c r="O384" s="10"/>
    </row>
    <row r="385" spans="1:15" ht="42.75" customHeight="1" x14ac:dyDescent="0.25">
      <c r="A385" s="7"/>
      <c r="B385" s="7"/>
      <c r="C385" s="7"/>
      <c r="D385" s="7"/>
      <c r="E385" s="11">
        <v>383</v>
      </c>
      <c r="F385" s="8"/>
      <c r="G385" s="8"/>
      <c r="H385" s="9"/>
      <c r="I385" s="10"/>
      <c r="J385" s="9"/>
      <c r="K385" s="10"/>
      <c r="L385" s="8"/>
      <c r="M385" s="8"/>
      <c r="N385" s="10"/>
      <c r="O385" s="10"/>
    </row>
    <row r="386" spans="1:15" ht="42.75" customHeight="1" x14ac:dyDescent="0.25">
      <c r="A386" s="7"/>
      <c r="B386" s="7"/>
      <c r="C386" s="7"/>
      <c r="D386" s="7"/>
      <c r="E386" s="11">
        <v>384</v>
      </c>
      <c r="F386" s="8"/>
      <c r="G386" s="8"/>
      <c r="H386" s="9"/>
      <c r="I386" s="10"/>
      <c r="J386" s="9"/>
      <c r="K386" s="10"/>
      <c r="L386" s="8"/>
      <c r="M386" s="8"/>
      <c r="N386" s="10"/>
      <c r="O386" s="10"/>
    </row>
    <row r="387" spans="1:15" ht="42.75" customHeight="1" x14ac:dyDescent="0.25">
      <c r="A387" s="7"/>
      <c r="B387" s="7"/>
      <c r="C387" s="7"/>
      <c r="D387" s="7"/>
      <c r="E387" s="11">
        <v>385</v>
      </c>
      <c r="F387" s="8"/>
      <c r="G387" s="8"/>
      <c r="H387" s="9"/>
      <c r="I387" s="10"/>
      <c r="J387" s="9"/>
      <c r="K387" s="10"/>
      <c r="L387" s="8"/>
      <c r="M387" s="8"/>
      <c r="N387" s="10"/>
      <c r="O387" s="10"/>
    </row>
    <row r="388" spans="1:15" ht="42.75" customHeight="1" x14ac:dyDescent="0.25">
      <c r="A388" s="7"/>
      <c r="B388" s="7"/>
      <c r="C388" s="7"/>
      <c r="D388" s="7"/>
      <c r="E388" s="11">
        <v>386</v>
      </c>
      <c r="F388" s="8"/>
      <c r="G388" s="8"/>
      <c r="H388" s="9"/>
      <c r="I388" s="10"/>
      <c r="J388" s="9"/>
      <c r="K388" s="10"/>
      <c r="L388" s="8"/>
      <c r="M388" s="8"/>
      <c r="N388" s="10"/>
      <c r="O388" s="10"/>
    </row>
    <row r="389" spans="1:15" ht="42.75" customHeight="1" x14ac:dyDescent="0.25">
      <c r="A389" s="7"/>
      <c r="B389" s="7"/>
      <c r="C389" s="7"/>
      <c r="D389" s="7"/>
      <c r="E389" s="11">
        <v>387</v>
      </c>
      <c r="F389" s="8"/>
      <c r="G389" s="8"/>
      <c r="H389" s="9"/>
      <c r="I389" s="10"/>
      <c r="J389" s="9"/>
      <c r="K389" s="10"/>
      <c r="L389" s="8"/>
      <c r="M389" s="8"/>
      <c r="N389" s="10"/>
      <c r="O389" s="10"/>
    </row>
    <row r="390" spans="1:15" ht="42.75" customHeight="1" x14ac:dyDescent="0.25">
      <c r="A390" s="7"/>
      <c r="B390" s="7"/>
      <c r="C390" s="7"/>
      <c r="D390" s="7"/>
      <c r="E390" s="11">
        <v>388</v>
      </c>
      <c r="F390" s="8"/>
      <c r="G390" s="8"/>
      <c r="H390" s="9"/>
      <c r="I390" s="10"/>
      <c r="J390" s="9"/>
      <c r="K390" s="10"/>
      <c r="L390" s="8"/>
      <c r="M390" s="8"/>
      <c r="N390" s="10"/>
      <c r="O390" s="10"/>
    </row>
    <row r="391" spans="1:15" ht="42.75" customHeight="1" x14ac:dyDescent="0.25">
      <c r="A391" s="7"/>
      <c r="B391" s="7"/>
      <c r="C391" s="7"/>
      <c r="D391" s="7"/>
      <c r="E391" s="11">
        <v>389</v>
      </c>
      <c r="F391" s="8"/>
      <c r="G391" s="8"/>
      <c r="H391" s="9"/>
      <c r="I391" s="10"/>
      <c r="J391" s="9"/>
      <c r="K391" s="10"/>
      <c r="L391" s="8"/>
      <c r="M391" s="8"/>
      <c r="N391" s="10"/>
      <c r="O391" s="10"/>
    </row>
    <row r="392" spans="1:15" ht="42.75" customHeight="1" x14ac:dyDescent="0.25">
      <c r="A392" s="7"/>
      <c r="B392" s="7"/>
      <c r="C392" s="7"/>
      <c r="D392" s="7"/>
      <c r="E392" s="11">
        <v>390</v>
      </c>
      <c r="F392" s="8"/>
      <c r="G392" s="8"/>
      <c r="H392" s="9"/>
      <c r="I392" s="10"/>
      <c r="J392" s="9"/>
      <c r="K392" s="10"/>
      <c r="L392" s="8"/>
      <c r="M392" s="8"/>
      <c r="N392" s="10"/>
      <c r="O392" s="10"/>
    </row>
    <row r="393" spans="1:15" ht="42.75" customHeight="1" x14ac:dyDescent="0.25">
      <c r="A393" s="7"/>
      <c r="B393" s="7"/>
      <c r="C393" s="7"/>
      <c r="D393" s="7"/>
      <c r="E393" s="11">
        <v>391</v>
      </c>
      <c r="F393" s="8"/>
      <c r="G393" s="8"/>
      <c r="H393" s="9"/>
      <c r="I393" s="10"/>
      <c r="J393" s="9"/>
      <c r="K393" s="10"/>
      <c r="L393" s="8"/>
      <c r="M393" s="8"/>
      <c r="N393" s="10"/>
      <c r="O393" s="10"/>
    </row>
    <row r="394" spans="1:15" ht="42.75" customHeight="1" x14ac:dyDescent="0.25">
      <c r="A394" s="7"/>
      <c r="B394" s="7"/>
      <c r="C394" s="7"/>
      <c r="D394" s="7"/>
      <c r="E394" s="11">
        <v>392</v>
      </c>
      <c r="F394" s="8"/>
      <c r="G394" s="8"/>
      <c r="H394" s="9"/>
      <c r="I394" s="10"/>
      <c r="J394" s="9"/>
      <c r="K394" s="10"/>
      <c r="L394" s="8"/>
      <c r="M394" s="8"/>
      <c r="N394" s="10"/>
      <c r="O394" s="10"/>
    </row>
    <row r="395" spans="1:15" ht="42.75" customHeight="1" x14ac:dyDescent="0.25">
      <c r="A395" s="7"/>
      <c r="B395" s="7"/>
      <c r="C395" s="7"/>
      <c r="D395" s="7"/>
      <c r="E395" s="11">
        <v>393</v>
      </c>
      <c r="F395" s="8"/>
      <c r="G395" s="8"/>
      <c r="H395" s="9"/>
      <c r="I395" s="10"/>
      <c r="J395" s="9"/>
      <c r="K395" s="10"/>
      <c r="L395" s="8"/>
      <c r="M395" s="8"/>
      <c r="N395" s="10"/>
      <c r="O395" s="10"/>
    </row>
    <row r="396" spans="1:15" ht="42.75" customHeight="1" x14ac:dyDescent="0.25">
      <c r="A396" s="7"/>
      <c r="B396" s="7"/>
      <c r="C396" s="7"/>
      <c r="D396" s="7"/>
      <c r="E396" s="11">
        <v>394</v>
      </c>
      <c r="F396" s="8"/>
      <c r="G396" s="8"/>
      <c r="H396" s="9"/>
      <c r="I396" s="10"/>
      <c r="J396" s="9"/>
      <c r="K396" s="10"/>
      <c r="L396" s="8"/>
      <c r="M396" s="8"/>
      <c r="N396" s="10"/>
      <c r="O396" s="10"/>
    </row>
    <row r="397" spans="1:15" ht="42.75" customHeight="1" x14ac:dyDescent="0.25">
      <c r="A397" s="7"/>
      <c r="B397" s="7"/>
      <c r="C397" s="7"/>
      <c r="D397" s="7"/>
      <c r="E397" s="11">
        <v>395</v>
      </c>
      <c r="F397" s="8"/>
      <c r="G397" s="8"/>
      <c r="H397" s="9"/>
      <c r="I397" s="10"/>
      <c r="J397" s="9"/>
      <c r="K397" s="10"/>
      <c r="L397" s="8"/>
      <c r="M397" s="8"/>
      <c r="N397" s="10"/>
      <c r="O397" s="10"/>
    </row>
    <row r="398" spans="1:15" ht="42.75" customHeight="1" x14ac:dyDescent="0.25">
      <c r="A398" s="7"/>
      <c r="B398" s="7"/>
      <c r="C398" s="7"/>
      <c r="D398" s="7"/>
      <c r="E398" s="11">
        <v>396</v>
      </c>
      <c r="F398" s="8"/>
      <c r="G398" s="8"/>
      <c r="H398" s="9"/>
      <c r="I398" s="10"/>
      <c r="J398" s="9"/>
      <c r="K398" s="10"/>
      <c r="L398" s="8"/>
      <c r="M398" s="8"/>
      <c r="N398" s="10"/>
      <c r="O398" s="10"/>
    </row>
    <row r="399" spans="1:15" ht="42.75" customHeight="1" x14ac:dyDescent="0.25">
      <c r="A399" s="7"/>
      <c r="B399" s="7"/>
      <c r="C399" s="7"/>
      <c r="D399" s="7"/>
      <c r="E399" s="11">
        <v>397</v>
      </c>
      <c r="F399" s="8"/>
      <c r="G399" s="8"/>
      <c r="H399" s="9"/>
      <c r="I399" s="10"/>
      <c r="J399" s="9"/>
      <c r="K399" s="10"/>
      <c r="L399" s="8"/>
      <c r="M399" s="8"/>
      <c r="N399" s="10"/>
      <c r="O399" s="10"/>
    </row>
    <row r="400" spans="1:15" ht="42.75" customHeight="1" x14ac:dyDescent="0.25">
      <c r="A400" s="7"/>
      <c r="B400" s="7"/>
      <c r="C400" s="7"/>
      <c r="D400" s="7"/>
      <c r="E400" s="11">
        <v>398</v>
      </c>
      <c r="F400" s="8"/>
      <c r="G400" s="8"/>
      <c r="H400" s="9"/>
      <c r="I400" s="10"/>
      <c r="J400" s="9"/>
      <c r="K400" s="10"/>
      <c r="L400" s="8"/>
      <c r="M400" s="8"/>
      <c r="N400" s="10"/>
      <c r="O400" s="10"/>
    </row>
    <row r="401" spans="1:15" ht="42.75" customHeight="1" x14ac:dyDescent="0.25">
      <c r="A401" s="7"/>
      <c r="B401" s="7"/>
      <c r="C401" s="7"/>
      <c r="D401" s="7"/>
      <c r="E401" s="11">
        <v>399</v>
      </c>
      <c r="F401" s="8"/>
      <c r="G401" s="8"/>
      <c r="H401" s="9"/>
      <c r="I401" s="10"/>
      <c r="J401" s="9"/>
      <c r="K401" s="10"/>
      <c r="L401" s="8"/>
      <c r="M401" s="8"/>
      <c r="N401" s="10"/>
      <c r="O401" s="10"/>
    </row>
    <row r="402" spans="1:15" ht="42.75" customHeight="1" x14ac:dyDescent="0.25">
      <c r="A402" s="7"/>
      <c r="B402" s="7"/>
      <c r="C402" s="7"/>
      <c r="D402" s="7"/>
      <c r="E402" s="11">
        <v>400</v>
      </c>
      <c r="F402" s="8"/>
      <c r="G402" s="8"/>
      <c r="H402" s="9"/>
      <c r="I402" s="10"/>
      <c r="J402" s="9"/>
      <c r="K402" s="10"/>
      <c r="L402" s="8"/>
      <c r="M402" s="8"/>
      <c r="N402" s="10"/>
      <c r="O402" s="10"/>
    </row>
    <row r="403" spans="1:15" ht="42.75" customHeight="1" x14ac:dyDescent="0.25">
      <c r="A403" s="7"/>
      <c r="B403" s="7"/>
      <c r="C403" s="7"/>
      <c r="D403" s="7"/>
      <c r="E403" s="11">
        <v>401</v>
      </c>
      <c r="F403" s="8"/>
      <c r="G403" s="8"/>
      <c r="H403" s="9"/>
      <c r="I403" s="10"/>
      <c r="J403" s="9"/>
      <c r="K403" s="10"/>
      <c r="L403" s="8"/>
      <c r="M403" s="8"/>
      <c r="N403" s="10"/>
      <c r="O403" s="10"/>
    </row>
    <row r="404" spans="1:15" ht="42.75" customHeight="1" x14ac:dyDescent="0.25">
      <c r="A404" s="7"/>
      <c r="B404" s="7"/>
      <c r="C404" s="7"/>
      <c r="D404" s="7"/>
      <c r="E404" s="11">
        <v>402</v>
      </c>
      <c r="F404" s="8"/>
      <c r="G404" s="8"/>
      <c r="H404" s="9"/>
      <c r="I404" s="10"/>
      <c r="J404" s="9"/>
      <c r="K404" s="10"/>
      <c r="L404" s="8"/>
      <c r="M404" s="8"/>
      <c r="N404" s="10"/>
      <c r="O404" s="10"/>
    </row>
    <row r="405" spans="1:15" ht="42.75" customHeight="1" x14ac:dyDescent="0.25">
      <c r="A405" s="7"/>
      <c r="B405" s="7"/>
      <c r="C405" s="7"/>
      <c r="D405" s="7"/>
      <c r="E405" s="11">
        <v>403</v>
      </c>
      <c r="F405" s="8"/>
      <c r="G405" s="8"/>
      <c r="H405" s="9"/>
      <c r="I405" s="10"/>
      <c r="J405" s="9"/>
      <c r="K405" s="10"/>
      <c r="L405" s="8"/>
      <c r="M405" s="8"/>
      <c r="N405" s="10"/>
      <c r="O405" s="10"/>
    </row>
    <row r="406" spans="1:15" ht="42.75" customHeight="1" x14ac:dyDescent="0.25">
      <c r="A406" s="7"/>
      <c r="B406" s="7"/>
      <c r="C406" s="7"/>
      <c r="D406" s="7"/>
      <c r="E406" s="11">
        <v>404</v>
      </c>
      <c r="F406" s="8"/>
      <c r="G406" s="8"/>
      <c r="H406" s="9"/>
      <c r="I406" s="10"/>
      <c r="J406" s="9"/>
      <c r="K406" s="10"/>
      <c r="L406" s="8"/>
      <c r="M406" s="8"/>
      <c r="N406" s="10"/>
      <c r="O406" s="10"/>
    </row>
    <row r="407" spans="1:15" ht="42.75" customHeight="1" x14ac:dyDescent="0.25">
      <c r="A407" s="7"/>
      <c r="B407" s="7"/>
      <c r="C407" s="7"/>
      <c r="D407" s="7"/>
      <c r="E407" s="11">
        <v>405</v>
      </c>
      <c r="F407" s="8"/>
      <c r="G407" s="8"/>
      <c r="H407" s="9"/>
      <c r="I407" s="10"/>
      <c r="J407" s="9"/>
      <c r="K407" s="10"/>
      <c r="L407" s="8"/>
      <c r="M407" s="8"/>
      <c r="N407" s="10"/>
      <c r="O407" s="10"/>
    </row>
    <row r="408" spans="1:15" ht="42.75" customHeight="1" x14ac:dyDescent="0.25">
      <c r="A408" s="7"/>
      <c r="B408" s="7"/>
      <c r="C408" s="7"/>
      <c r="D408" s="7"/>
      <c r="E408" s="11">
        <v>406</v>
      </c>
      <c r="F408" s="8"/>
      <c r="G408" s="8"/>
      <c r="H408" s="9"/>
      <c r="I408" s="10"/>
      <c r="J408" s="9"/>
      <c r="K408" s="10"/>
      <c r="L408" s="8"/>
      <c r="M408" s="8"/>
      <c r="N408" s="10"/>
      <c r="O408" s="10"/>
    </row>
    <row r="409" spans="1:15" ht="42.75" customHeight="1" x14ac:dyDescent="0.25">
      <c r="A409" s="7"/>
      <c r="B409" s="7"/>
      <c r="C409" s="7"/>
      <c r="D409" s="7"/>
      <c r="E409" s="11">
        <v>407</v>
      </c>
      <c r="F409" s="8"/>
      <c r="G409" s="8"/>
      <c r="H409" s="9"/>
      <c r="I409" s="10"/>
      <c r="J409" s="9"/>
      <c r="K409" s="10"/>
      <c r="L409" s="8"/>
      <c r="M409" s="8"/>
      <c r="N409" s="10"/>
      <c r="O409" s="10"/>
    </row>
    <row r="410" spans="1:15" ht="42.75" customHeight="1" x14ac:dyDescent="0.25">
      <c r="A410" s="7"/>
      <c r="B410" s="7"/>
      <c r="C410" s="7"/>
      <c r="D410" s="7"/>
      <c r="E410" s="11">
        <v>408</v>
      </c>
      <c r="F410" s="8"/>
      <c r="G410" s="8"/>
      <c r="H410" s="9"/>
      <c r="I410" s="10"/>
      <c r="J410" s="9"/>
      <c r="K410" s="10"/>
      <c r="L410" s="8"/>
      <c r="M410" s="8"/>
      <c r="N410" s="10"/>
      <c r="O410" s="10"/>
    </row>
    <row r="411" spans="1:15" ht="42.75" customHeight="1" x14ac:dyDescent="0.25">
      <c r="A411" s="7"/>
      <c r="B411" s="7"/>
      <c r="C411" s="7"/>
      <c r="D411" s="7"/>
      <c r="E411" s="11">
        <v>409</v>
      </c>
      <c r="F411" s="8"/>
      <c r="G411" s="8"/>
      <c r="H411" s="9"/>
      <c r="I411" s="10"/>
      <c r="J411" s="9"/>
      <c r="K411" s="10"/>
      <c r="L411" s="8"/>
      <c r="M411" s="8"/>
      <c r="N411" s="10"/>
      <c r="O411" s="10"/>
    </row>
    <row r="412" spans="1:15" ht="42.75" customHeight="1" x14ac:dyDescent="0.25">
      <c r="A412" s="7"/>
      <c r="B412" s="7"/>
      <c r="C412" s="7"/>
      <c r="D412" s="7"/>
      <c r="E412" s="11">
        <v>410</v>
      </c>
      <c r="F412" s="8"/>
      <c r="G412" s="8"/>
      <c r="H412" s="9"/>
      <c r="I412" s="10"/>
      <c r="J412" s="9"/>
      <c r="K412" s="10"/>
      <c r="L412" s="8"/>
      <c r="M412" s="8"/>
      <c r="N412" s="10"/>
      <c r="O412" s="10"/>
    </row>
    <row r="413" spans="1:15" ht="42.75" customHeight="1" x14ac:dyDescent="0.25">
      <c r="A413" s="7"/>
      <c r="B413" s="7"/>
      <c r="C413" s="7"/>
      <c r="D413" s="7"/>
      <c r="E413" s="11">
        <v>411</v>
      </c>
      <c r="F413" s="8"/>
      <c r="G413" s="8"/>
      <c r="H413" s="9"/>
      <c r="I413" s="10"/>
      <c r="J413" s="9"/>
      <c r="K413" s="10"/>
      <c r="L413" s="8"/>
      <c r="M413" s="8"/>
      <c r="N413" s="10"/>
      <c r="O413" s="10"/>
    </row>
    <row r="414" spans="1:15" ht="42.75" customHeight="1" x14ac:dyDescent="0.25">
      <c r="A414" s="7"/>
      <c r="B414" s="7"/>
      <c r="C414" s="7"/>
      <c r="D414" s="7"/>
      <c r="E414" s="11">
        <v>412</v>
      </c>
      <c r="F414" s="8"/>
      <c r="G414" s="8"/>
      <c r="H414" s="9"/>
      <c r="I414" s="10"/>
      <c r="J414" s="9"/>
      <c r="K414" s="10"/>
      <c r="L414" s="8"/>
      <c r="M414" s="8"/>
      <c r="N414" s="10"/>
      <c r="O414" s="10"/>
    </row>
    <row r="415" spans="1:15" ht="42.75" customHeight="1" x14ac:dyDescent="0.25">
      <c r="A415" s="7"/>
      <c r="B415" s="7"/>
      <c r="C415" s="7"/>
      <c r="D415" s="7"/>
      <c r="E415" s="11">
        <v>413</v>
      </c>
      <c r="F415" s="8"/>
      <c r="G415" s="8"/>
      <c r="H415" s="9"/>
      <c r="I415" s="10"/>
      <c r="J415" s="9"/>
      <c r="K415" s="10"/>
      <c r="L415" s="8"/>
      <c r="M415" s="8"/>
      <c r="N415" s="10"/>
      <c r="O415" s="10"/>
    </row>
    <row r="416" spans="1:15" ht="42.75" customHeight="1" x14ac:dyDescent="0.25">
      <c r="A416" s="7"/>
      <c r="B416" s="7"/>
      <c r="C416" s="7"/>
      <c r="D416" s="7"/>
      <c r="E416" s="11">
        <v>414</v>
      </c>
      <c r="F416" s="8"/>
      <c r="G416" s="8"/>
      <c r="H416" s="9"/>
      <c r="I416" s="10"/>
      <c r="J416" s="9"/>
      <c r="K416" s="10"/>
      <c r="L416" s="8"/>
      <c r="M416" s="8"/>
      <c r="N416" s="10"/>
      <c r="O416" s="10"/>
    </row>
    <row r="417" spans="1:15" ht="42.75" customHeight="1" x14ac:dyDescent="0.25">
      <c r="A417" s="7"/>
      <c r="B417" s="7"/>
      <c r="C417" s="7"/>
      <c r="D417" s="7"/>
      <c r="E417" s="11">
        <v>415</v>
      </c>
      <c r="F417" s="8"/>
      <c r="G417" s="8"/>
      <c r="H417" s="9"/>
      <c r="I417" s="10"/>
      <c r="J417" s="9"/>
      <c r="K417" s="10"/>
      <c r="L417" s="8"/>
      <c r="M417" s="8"/>
      <c r="N417" s="10"/>
      <c r="O417" s="10"/>
    </row>
    <row r="418" spans="1:15" ht="42.75" customHeight="1" x14ac:dyDescent="0.25">
      <c r="A418" s="7"/>
      <c r="B418" s="7"/>
      <c r="C418" s="7"/>
      <c r="D418" s="7"/>
      <c r="E418" s="11">
        <v>416</v>
      </c>
      <c r="F418" s="8"/>
      <c r="G418" s="8"/>
      <c r="H418" s="9"/>
      <c r="I418" s="10"/>
      <c r="J418" s="9"/>
      <c r="K418" s="10"/>
      <c r="L418" s="8"/>
      <c r="M418" s="8"/>
      <c r="N418" s="10"/>
      <c r="O418" s="10"/>
    </row>
    <row r="419" spans="1:15" ht="42.75" customHeight="1" x14ac:dyDescent="0.25">
      <c r="A419" s="7"/>
      <c r="B419" s="7"/>
      <c r="C419" s="7"/>
      <c r="D419" s="7"/>
      <c r="E419" s="11">
        <v>417</v>
      </c>
      <c r="F419" s="8"/>
      <c r="G419" s="8"/>
      <c r="H419" s="9"/>
      <c r="I419" s="10"/>
      <c r="J419" s="9"/>
      <c r="K419" s="10"/>
      <c r="L419" s="8"/>
      <c r="M419" s="8"/>
      <c r="N419" s="10"/>
      <c r="O419" s="10"/>
    </row>
    <row r="420" spans="1:15" ht="42.75" customHeight="1" x14ac:dyDescent="0.25">
      <c r="A420" s="7"/>
      <c r="B420" s="7"/>
      <c r="C420" s="7"/>
      <c r="D420" s="7"/>
      <c r="E420" s="11">
        <v>418</v>
      </c>
      <c r="F420" s="8"/>
      <c r="G420" s="8"/>
      <c r="H420" s="9"/>
      <c r="I420" s="10"/>
      <c r="J420" s="9"/>
      <c r="K420" s="10"/>
      <c r="L420" s="8"/>
      <c r="M420" s="8"/>
      <c r="N420" s="10"/>
      <c r="O420" s="10"/>
    </row>
    <row r="421" spans="1:15" ht="42.75" customHeight="1" x14ac:dyDescent="0.25">
      <c r="A421" s="7"/>
      <c r="B421" s="7"/>
      <c r="C421" s="7"/>
      <c r="D421" s="7"/>
      <c r="E421" s="11">
        <v>419</v>
      </c>
      <c r="F421" s="8"/>
      <c r="G421" s="8"/>
      <c r="H421" s="9"/>
      <c r="I421" s="10"/>
      <c r="J421" s="9"/>
      <c r="K421" s="10"/>
      <c r="L421" s="8"/>
      <c r="M421" s="8"/>
      <c r="N421" s="10"/>
      <c r="O421" s="10"/>
    </row>
    <row r="422" spans="1:15" ht="42.75" customHeight="1" x14ac:dyDescent="0.25">
      <c r="A422" s="7"/>
      <c r="B422" s="7"/>
      <c r="C422" s="7"/>
      <c r="D422" s="7"/>
      <c r="E422" s="11">
        <v>420</v>
      </c>
      <c r="F422" s="8"/>
      <c r="G422" s="8"/>
      <c r="H422" s="9"/>
      <c r="I422" s="10"/>
      <c r="J422" s="9"/>
      <c r="K422" s="10"/>
      <c r="L422" s="8"/>
      <c r="M422" s="8"/>
      <c r="N422" s="10"/>
      <c r="O422" s="10"/>
    </row>
    <row r="423" spans="1:15" ht="42.75" customHeight="1" x14ac:dyDescent="0.25">
      <c r="A423" s="7"/>
      <c r="B423" s="7"/>
      <c r="C423" s="7"/>
      <c r="D423" s="7"/>
      <c r="E423" s="11">
        <v>421</v>
      </c>
      <c r="F423" s="8"/>
      <c r="G423" s="8"/>
      <c r="H423" s="9"/>
      <c r="I423" s="10"/>
      <c r="J423" s="9"/>
      <c r="K423" s="10"/>
      <c r="L423" s="8"/>
      <c r="M423" s="8"/>
      <c r="N423" s="10"/>
      <c r="O423" s="10"/>
    </row>
    <row r="424" spans="1:15" ht="42.75" customHeight="1" x14ac:dyDescent="0.25">
      <c r="A424" s="7"/>
      <c r="B424" s="7"/>
      <c r="C424" s="7"/>
      <c r="D424" s="7"/>
      <c r="E424" s="11">
        <v>422</v>
      </c>
      <c r="F424" s="8"/>
      <c r="G424" s="8"/>
      <c r="H424" s="9"/>
      <c r="I424" s="10"/>
      <c r="J424" s="9"/>
      <c r="K424" s="10"/>
      <c r="L424" s="8"/>
      <c r="M424" s="8"/>
      <c r="N424" s="10"/>
      <c r="O424" s="10"/>
    </row>
    <row r="425" spans="1:15" ht="42.75" customHeight="1" x14ac:dyDescent="0.25">
      <c r="A425" s="7"/>
      <c r="B425" s="7"/>
      <c r="C425" s="7"/>
      <c r="D425" s="7"/>
      <c r="E425" s="11">
        <v>423</v>
      </c>
      <c r="F425" s="8"/>
      <c r="G425" s="8"/>
      <c r="H425" s="9"/>
      <c r="I425" s="10"/>
      <c r="J425" s="9"/>
      <c r="K425" s="10"/>
      <c r="L425" s="8"/>
      <c r="M425" s="8"/>
      <c r="N425" s="10"/>
      <c r="O425" s="10"/>
    </row>
    <row r="426" spans="1:15" ht="42.75" customHeight="1" x14ac:dyDescent="0.25">
      <c r="A426" s="7"/>
      <c r="B426" s="7"/>
      <c r="C426" s="7"/>
      <c r="D426" s="7"/>
      <c r="E426" s="11">
        <v>424</v>
      </c>
      <c r="F426" s="8"/>
      <c r="G426" s="8"/>
      <c r="H426" s="9"/>
      <c r="I426" s="10"/>
      <c r="J426" s="9"/>
      <c r="K426" s="10"/>
      <c r="L426" s="8"/>
      <c r="M426" s="8"/>
      <c r="N426" s="10"/>
      <c r="O426" s="10"/>
    </row>
    <row r="427" spans="1:15" ht="42.75" customHeight="1" x14ac:dyDescent="0.25">
      <c r="A427" s="7"/>
      <c r="B427" s="7"/>
      <c r="C427" s="7"/>
      <c r="D427" s="7"/>
      <c r="E427" s="11">
        <v>425</v>
      </c>
      <c r="F427" s="8"/>
      <c r="G427" s="8"/>
      <c r="H427" s="9"/>
      <c r="I427" s="10"/>
      <c r="J427" s="9"/>
      <c r="K427" s="10"/>
      <c r="L427" s="8"/>
      <c r="M427" s="8"/>
      <c r="N427" s="10"/>
      <c r="O427" s="10"/>
    </row>
    <row r="428" spans="1:15" ht="42.75" customHeight="1" x14ac:dyDescent="0.25">
      <c r="A428" s="7"/>
      <c r="B428" s="7"/>
      <c r="C428" s="7"/>
      <c r="D428" s="7"/>
      <c r="E428" s="11">
        <v>426</v>
      </c>
      <c r="F428" s="8"/>
      <c r="G428" s="8"/>
      <c r="H428" s="9"/>
      <c r="I428" s="10"/>
      <c r="J428" s="9"/>
      <c r="K428" s="10"/>
      <c r="L428" s="8"/>
      <c r="M428" s="8"/>
      <c r="N428" s="10"/>
      <c r="O428" s="10"/>
    </row>
    <row r="429" spans="1:15" ht="42.75" customHeight="1" x14ac:dyDescent="0.25">
      <c r="A429" s="7"/>
      <c r="B429" s="7"/>
      <c r="C429" s="7"/>
      <c r="D429" s="7"/>
      <c r="E429" s="11">
        <v>427</v>
      </c>
      <c r="F429" s="8"/>
      <c r="G429" s="8"/>
      <c r="H429" s="9"/>
      <c r="I429" s="10"/>
      <c r="J429" s="9"/>
      <c r="K429" s="10"/>
      <c r="L429" s="8"/>
      <c r="M429" s="8"/>
      <c r="N429" s="10"/>
      <c r="O429" s="10"/>
    </row>
    <row r="430" spans="1:15" ht="42.75" customHeight="1" x14ac:dyDescent="0.25">
      <c r="A430" s="7"/>
      <c r="B430" s="7"/>
      <c r="C430" s="7"/>
      <c r="D430" s="7"/>
      <c r="E430" s="11">
        <v>428</v>
      </c>
      <c r="F430" s="8"/>
      <c r="G430" s="8"/>
      <c r="H430" s="9"/>
      <c r="I430" s="10"/>
      <c r="J430" s="9"/>
      <c r="K430" s="10"/>
      <c r="L430" s="8"/>
      <c r="M430" s="8"/>
      <c r="N430" s="10"/>
      <c r="O430" s="10"/>
    </row>
    <row r="431" spans="1:15" ht="42.75" customHeight="1" x14ac:dyDescent="0.25">
      <c r="A431" s="7"/>
      <c r="B431" s="7"/>
      <c r="C431" s="7"/>
      <c r="D431" s="7"/>
      <c r="E431" s="11">
        <v>429</v>
      </c>
      <c r="F431" s="8"/>
      <c r="G431" s="8"/>
      <c r="H431" s="9"/>
      <c r="I431" s="10"/>
      <c r="J431" s="9"/>
      <c r="K431" s="10"/>
      <c r="L431" s="8"/>
      <c r="M431" s="8"/>
      <c r="N431" s="10"/>
      <c r="O431" s="10"/>
    </row>
    <row r="432" spans="1:15" ht="42.75" customHeight="1" x14ac:dyDescent="0.25">
      <c r="A432" s="7"/>
      <c r="B432" s="7"/>
      <c r="C432" s="7"/>
      <c r="D432" s="7"/>
      <c r="E432" s="11">
        <v>430</v>
      </c>
      <c r="F432" s="8"/>
      <c r="G432" s="8"/>
      <c r="H432" s="9"/>
      <c r="I432" s="10"/>
      <c r="J432" s="9"/>
      <c r="K432" s="10"/>
      <c r="L432" s="8"/>
      <c r="M432" s="8"/>
      <c r="N432" s="10"/>
      <c r="O432" s="10"/>
    </row>
    <row r="433" spans="1:15" ht="42.75" customHeight="1" x14ac:dyDescent="0.25">
      <c r="A433" s="7"/>
      <c r="B433" s="7"/>
      <c r="C433" s="7"/>
      <c r="D433" s="7"/>
      <c r="E433" s="11">
        <v>431</v>
      </c>
      <c r="F433" s="8"/>
      <c r="G433" s="8"/>
      <c r="H433" s="9"/>
      <c r="I433" s="10"/>
      <c r="J433" s="9"/>
      <c r="K433" s="10"/>
      <c r="L433" s="8"/>
      <c r="M433" s="8"/>
      <c r="N433" s="10"/>
      <c r="O433" s="10"/>
    </row>
    <row r="434" spans="1:15" ht="42.75" customHeight="1" x14ac:dyDescent="0.25">
      <c r="A434" s="7"/>
      <c r="B434" s="7"/>
      <c r="C434" s="7"/>
      <c r="D434" s="7"/>
      <c r="E434" s="11">
        <v>432</v>
      </c>
      <c r="F434" s="8"/>
      <c r="G434" s="8"/>
      <c r="H434" s="9"/>
      <c r="I434" s="10"/>
      <c r="J434" s="9"/>
      <c r="K434" s="10"/>
      <c r="L434" s="8"/>
      <c r="M434" s="8"/>
      <c r="N434" s="10"/>
      <c r="O434" s="10"/>
    </row>
    <row r="435" spans="1:15" ht="42.75" customHeight="1" x14ac:dyDescent="0.25">
      <c r="A435" s="7"/>
      <c r="B435" s="7"/>
      <c r="C435" s="7"/>
      <c r="D435" s="7"/>
      <c r="E435" s="11">
        <v>433</v>
      </c>
      <c r="F435" s="8"/>
      <c r="G435" s="8"/>
      <c r="H435" s="9"/>
      <c r="I435" s="10"/>
      <c r="J435" s="9"/>
      <c r="K435" s="10"/>
      <c r="L435" s="8"/>
      <c r="M435" s="8"/>
      <c r="N435" s="10"/>
      <c r="O435" s="10"/>
    </row>
    <row r="436" spans="1:15" ht="42.75" customHeight="1" x14ac:dyDescent="0.25">
      <c r="A436" s="7"/>
      <c r="B436" s="7"/>
      <c r="C436" s="7"/>
      <c r="D436" s="7"/>
      <c r="E436" s="11">
        <v>434</v>
      </c>
      <c r="F436" s="8"/>
      <c r="G436" s="8"/>
      <c r="H436" s="9"/>
      <c r="I436" s="10"/>
      <c r="J436" s="9"/>
      <c r="K436" s="10"/>
      <c r="L436" s="8"/>
      <c r="M436" s="8"/>
      <c r="N436" s="10"/>
      <c r="O436" s="10"/>
    </row>
    <row r="437" spans="1:15" ht="42.75" customHeight="1" x14ac:dyDescent="0.25">
      <c r="A437" s="7"/>
      <c r="B437" s="7"/>
      <c r="C437" s="7"/>
      <c r="D437" s="7"/>
      <c r="E437" s="11">
        <v>435</v>
      </c>
      <c r="F437" s="8"/>
      <c r="G437" s="8"/>
      <c r="H437" s="9"/>
      <c r="I437" s="10"/>
      <c r="J437" s="9"/>
      <c r="K437" s="10"/>
      <c r="L437" s="8"/>
      <c r="M437" s="8"/>
      <c r="N437" s="10"/>
      <c r="O437" s="10"/>
    </row>
    <row r="438" spans="1:15" ht="42.75" customHeight="1" x14ac:dyDescent="0.25">
      <c r="A438" s="7"/>
      <c r="B438" s="7"/>
      <c r="C438" s="7"/>
      <c r="D438" s="7"/>
      <c r="E438" s="11">
        <v>436</v>
      </c>
      <c r="F438" s="8"/>
      <c r="G438" s="8"/>
      <c r="H438" s="9"/>
      <c r="I438" s="10"/>
      <c r="J438" s="9"/>
      <c r="K438" s="10"/>
      <c r="L438" s="8"/>
      <c r="M438" s="8"/>
      <c r="N438" s="10"/>
      <c r="O438" s="10"/>
    </row>
    <row r="439" spans="1:15" ht="42.75" customHeight="1" x14ac:dyDescent="0.25">
      <c r="A439" s="7"/>
      <c r="B439" s="7"/>
      <c r="C439" s="7"/>
      <c r="D439" s="7"/>
      <c r="E439" s="11">
        <v>437</v>
      </c>
      <c r="F439" s="8"/>
      <c r="G439" s="8"/>
      <c r="H439" s="9"/>
      <c r="I439" s="10"/>
      <c r="J439" s="9"/>
      <c r="K439" s="10"/>
      <c r="L439" s="8"/>
      <c r="M439" s="8"/>
      <c r="N439" s="10"/>
      <c r="O439" s="10"/>
    </row>
    <row r="440" spans="1:15" ht="42.75" customHeight="1" x14ac:dyDescent="0.25">
      <c r="A440" s="7"/>
      <c r="B440" s="7"/>
      <c r="C440" s="7"/>
      <c r="D440" s="7"/>
      <c r="E440" s="11">
        <v>438</v>
      </c>
      <c r="F440" s="8"/>
      <c r="G440" s="8"/>
      <c r="H440" s="9"/>
      <c r="I440" s="10"/>
      <c r="J440" s="9"/>
      <c r="K440" s="10"/>
      <c r="L440" s="8"/>
      <c r="M440" s="8"/>
      <c r="N440" s="10"/>
      <c r="O440" s="10"/>
    </row>
    <row r="441" spans="1:15" ht="42.75" customHeight="1" x14ac:dyDescent="0.25">
      <c r="A441" s="7"/>
      <c r="B441" s="7"/>
      <c r="C441" s="7"/>
      <c r="D441" s="7"/>
      <c r="E441" s="11">
        <v>439</v>
      </c>
      <c r="F441" s="8"/>
      <c r="G441" s="8"/>
      <c r="H441" s="9"/>
      <c r="I441" s="10"/>
      <c r="J441" s="9"/>
      <c r="K441" s="10"/>
      <c r="L441" s="8"/>
      <c r="M441" s="8"/>
      <c r="N441" s="10"/>
      <c r="O441" s="10"/>
    </row>
    <row r="442" spans="1:15" ht="42.75" customHeight="1" x14ac:dyDescent="0.25">
      <c r="A442" s="7"/>
      <c r="B442" s="7"/>
      <c r="C442" s="7"/>
      <c r="D442" s="7"/>
      <c r="E442" s="11">
        <v>440</v>
      </c>
      <c r="F442" s="8"/>
      <c r="G442" s="8"/>
      <c r="H442" s="9"/>
      <c r="I442" s="10"/>
      <c r="J442" s="9"/>
      <c r="K442" s="10"/>
      <c r="L442" s="8"/>
      <c r="M442" s="8"/>
      <c r="N442" s="10"/>
      <c r="O442" s="10"/>
    </row>
    <row r="443" spans="1:15" ht="42.75" customHeight="1" x14ac:dyDescent="0.25">
      <c r="A443" s="7"/>
      <c r="B443" s="7"/>
      <c r="C443" s="7"/>
      <c r="D443" s="7"/>
      <c r="E443" s="11">
        <v>441</v>
      </c>
      <c r="F443" s="8"/>
      <c r="G443" s="8"/>
      <c r="H443" s="9"/>
      <c r="I443" s="10"/>
      <c r="J443" s="9"/>
      <c r="K443" s="10"/>
      <c r="L443" s="8"/>
      <c r="M443" s="8"/>
      <c r="N443" s="10"/>
      <c r="O443" s="10"/>
    </row>
    <row r="444" spans="1:15" ht="42.75" customHeight="1" x14ac:dyDescent="0.25">
      <c r="A444" s="7"/>
      <c r="B444" s="7"/>
      <c r="C444" s="7"/>
      <c r="D444" s="7"/>
      <c r="E444" s="11">
        <v>442</v>
      </c>
      <c r="F444" s="8"/>
      <c r="G444" s="8"/>
      <c r="H444" s="9"/>
      <c r="I444" s="10"/>
      <c r="J444" s="9"/>
      <c r="K444" s="10"/>
      <c r="L444" s="8"/>
      <c r="M444" s="8"/>
      <c r="N444" s="10"/>
      <c r="O444" s="10"/>
    </row>
    <row r="445" spans="1:15" ht="42.75" customHeight="1" x14ac:dyDescent="0.25">
      <c r="A445" s="7"/>
      <c r="B445" s="7"/>
      <c r="C445" s="7"/>
      <c r="D445" s="7"/>
      <c r="E445" s="11">
        <v>443</v>
      </c>
      <c r="F445" s="8"/>
      <c r="G445" s="8"/>
      <c r="H445" s="9"/>
      <c r="I445" s="10"/>
      <c r="J445" s="9"/>
      <c r="K445" s="10"/>
      <c r="L445" s="8"/>
      <c r="M445" s="8"/>
      <c r="N445" s="10"/>
      <c r="O445" s="10"/>
    </row>
    <row r="446" spans="1:15" ht="42.75" customHeight="1" x14ac:dyDescent="0.25">
      <c r="A446" s="7"/>
      <c r="B446" s="7"/>
      <c r="C446" s="7"/>
      <c r="D446" s="7"/>
      <c r="E446" s="11">
        <v>444</v>
      </c>
      <c r="F446" s="8"/>
      <c r="G446" s="8"/>
      <c r="H446" s="9"/>
      <c r="I446" s="10"/>
      <c r="J446" s="9"/>
      <c r="K446" s="10"/>
      <c r="L446" s="8"/>
      <c r="M446" s="8"/>
      <c r="N446" s="10"/>
      <c r="O446" s="10"/>
    </row>
    <row r="447" spans="1:15" ht="42.75" customHeight="1" x14ac:dyDescent="0.25">
      <c r="A447" s="7"/>
      <c r="B447" s="7"/>
      <c r="C447" s="7"/>
      <c r="D447" s="7"/>
      <c r="E447" s="11">
        <v>445</v>
      </c>
      <c r="F447" s="8"/>
      <c r="G447" s="8"/>
      <c r="H447" s="9"/>
      <c r="I447" s="10"/>
      <c r="J447" s="9"/>
      <c r="K447" s="10"/>
      <c r="L447" s="8"/>
      <c r="M447" s="8"/>
      <c r="N447" s="10"/>
      <c r="O447" s="10"/>
    </row>
    <row r="448" spans="1:15" ht="42.75" customHeight="1" x14ac:dyDescent="0.25">
      <c r="A448" s="7"/>
      <c r="B448" s="7"/>
      <c r="C448" s="7"/>
      <c r="D448" s="7"/>
      <c r="E448" s="11">
        <v>446</v>
      </c>
      <c r="F448" s="8"/>
      <c r="G448" s="8"/>
      <c r="H448" s="9"/>
      <c r="I448" s="10"/>
      <c r="J448" s="9"/>
      <c r="K448" s="10"/>
      <c r="L448" s="8"/>
      <c r="M448" s="8"/>
      <c r="N448" s="10"/>
      <c r="O448" s="10"/>
    </row>
    <row r="449" spans="1:15" ht="42.75" customHeight="1" x14ac:dyDescent="0.25">
      <c r="A449" s="7"/>
      <c r="B449" s="7"/>
      <c r="C449" s="7"/>
      <c r="D449" s="7"/>
      <c r="E449" s="11">
        <v>447</v>
      </c>
      <c r="F449" s="8"/>
      <c r="G449" s="8"/>
      <c r="H449" s="9"/>
      <c r="I449" s="10"/>
      <c r="J449" s="9"/>
      <c r="K449" s="10"/>
      <c r="L449" s="8"/>
      <c r="M449" s="8"/>
      <c r="N449" s="10"/>
      <c r="O449" s="10"/>
    </row>
    <row r="450" spans="1:15" ht="42.75" customHeight="1" x14ac:dyDescent="0.25">
      <c r="A450" s="7"/>
      <c r="B450" s="7"/>
      <c r="C450" s="7"/>
      <c r="D450" s="7"/>
      <c r="E450" s="11">
        <v>448</v>
      </c>
      <c r="F450" s="8"/>
      <c r="G450" s="8"/>
      <c r="H450" s="9"/>
      <c r="I450" s="10"/>
      <c r="J450" s="9"/>
      <c r="K450" s="10"/>
      <c r="L450" s="8"/>
      <c r="M450" s="8"/>
      <c r="N450" s="10"/>
      <c r="O450" s="10"/>
    </row>
    <row r="451" spans="1:15" ht="42.75" customHeight="1" x14ac:dyDescent="0.25">
      <c r="A451" s="7"/>
      <c r="B451" s="7"/>
      <c r="C451" s="7"/>
      <c r="D451" s="7"/>
      <c r="E451" s="11">
        <v>449</v>
      </c>
      <c r="F451" s="8"/>
      <c r="G451" s="8"/>
      <c r="H451" s="9"/>
      <c r="I451" s="10"/>
      <c r="J451" s="9"/>
      <c r="K451" s="10"/>
      <c r="L451" s="8"/>
      <c r="M451" s="8"/>
      <c r="N451" s="10"/>
      <c r="O451" s="10"/>
    </row>
    <row r="452" spans="1:15" ht="42.75" customHeight="1" x14ac:dyDescent="0.25">
      <c r="A452" s="7"/>
      <c r="B452" s="7"/>
      <c r="C452" s="7"/>
      <c r="D452" s="7"/>
      <c r="E452" s="11">
        <v>450</v>
      </c>
      <c r="F452" s="8"/>
      <c r="G452" s="8"/>
      <c r="H452" s="9"/>
      <c r="I452" s="10"/>
      <c r="J452" s="9"/>
      <c r="K452" s="10"/>
      <c r="L452" s="8"/>
      <c r="M452" s="8"/>
      <c r="N452" s="10"/>
      <c r="O452" s="10"/>
    </row>
    <row r="453" spans="1:15" ht="42.75" customHeight="1" x14ac:dyDescent="0.25">
      <c r="A453" s="7"/>
      <c r="B453" s="7"/>
      <c r="C453" s="7"/>
      <c r="D453" s="7"/>
      <c r="E453" s="11">
        <v>451</v>
      </c>
      <c r="F453" s="8"/>
      <c r="G453" s="8"/>
      <c r="H453" s="9"/>
      <c r="I453" s="10"/>
      <c r="J453" s="9"/>
      <c r="K453" s="10"/>
      <c r="L453" s="8"/>
      <c r="M453" s="8"/>
      <c r="N453" s="10"/>
      <c r="O453" s="10"/>
    </row>
    <row r="454" spans="1:15" ht="42.75" customHeight="1" x14ac:dyDescent="0.25">
      <c r="A454" s="7"/>
      <c r="B454" s="7"/>
      <c r="C454" s="7"/>
      <c r="D454" s="7"/>
      <c r="E454" s="11">
        <v>452</v>
      </c>
      <c r="F454" s="8"/>
      <c r="G454" s="8"/>
      <c r="H454" s="9"/>
      <c r="I454" s="10"/>
      <c r="J454" s="9"/>
      <c r="K454" s="10"/>
      <c r="L454" s="8"/>
      <c r="M454" s="8"/>
      <c r="N454" s="10"/>
      <c r="O454" s="10"/>
    </row>
    <row r="455" spans="1:15" ht="42.75" customHeight="1" x14ac:dyDescent="0.25">
      <c r="A455" s="7"/>
      <c r="B455" s="7"/>
      <c r="C455" s="7"/>
      <c r="D455" s="7"/>
      <c r="E455" s="11">
        <v>453</v>
      </c>
      <c r="F455" s="8"/>
      <c r="G455" s="8"/>
      <c r="H455" s="9"/>
      <c r="I455" s="10"/>
      <c r="J455" s="9"/>
      <c r="K455" s="10"/>
      <c r="L455" s="8"/>
      <c r="M455" s="8"/>
      <c r="N455" s="10"/>
      <c r="O455" s="10"/>
    </row>
    <row r="456" spans="1:15" ht="42.75" customHeight="1" x14ac:dyDescent="0.25">
      <c r="A456" s="7"/>
      <c r="B456" s="7"/>
      <c r="C456" s="7"/>
      <c r="D456" s="7"/>
      <c r="E456" s="11">
        <v>454</v>
      </c>
      <c r="F456" s="8"/>
      <c r="G456" s="8"/>
      <c r="H456" s="9"/>
      <c r="I456" s="10"/>
      <c r="J456" s="9"/>
      <c r="K456" s="10"/>
      <c r="L456" s="8"/>
      <c r="M456" s="8"/>
      <c r="N456" s="10"/>
      <c r="O456" s="10"/>
    </row>
    <row r="457" spans="1:15" ht="42.75" customHeight="1" x14ac:dyDescent="0.25">
      <c r="A457" s="7"/>
      <c r="B457" s="7"/>
      <c r="C457" s="7"/>
      <c r="D457" s="7"/>
      <c r="E457" s="11">
        <v>455</v>
      </c>
      <c r="F457" s="8"/>
      <c r="G457" s="8"/>
      <c r="H457" s="9"/>
      <c r="I457" s="10"/>
      <c r="J457" s="9"/>
      <c r="K457" s="10"/>
      <c r="L457" s="8"/>
      <c r="M457" s="8"/>
      <c r="N457" s="10"/>
      <c r="O457" s="10"/>
    </row>
    <row r="458" spans="1:15" ht="42.75" customHeight="1" x14ac:dyDescent="0.25">
      <c r="A458" s="7"/>
      <c r="B458" s="7"/>
      <c r="C458" s="7"/>
      <c r="D458" s="7"/>
      <c r="E458" s="11">
        <v>456</v>
      </c>
      <c r="F458" s="8"/>
      <c r="G458" s="8"/>
      <c r="H458" s="9"/>
      <c r="I458" s="10"/>
      <c r="J458" s="9"/>
      <c r="K458" s="10"/>
      <c r="L458" s="8"/>
      <c r="M458" s="8"/>
      <c r="N458" s="10"/>
      <c r="O458" s="10"/>
    </row>
    <row r="459" spans="1:15" ht="42.75" customHeight="1" x14ac:dyDescent="0.25">
      <c r="A459" s="7"/>
      <c r="B459" s="7"/>
      <c r="C459" s="7"/>
      <c r="D459" s="7"/>
      <c r="E459" s="11">
        <v>457</v>
      </c>
      <c r="F459" s="8"/>
      <c r="G459" s="8"/>
      <c r="H459" s="9"/>
      <c r="I459" s="10"/>
      <c r="J459" s="9"/>
      <c r="K459" s="10"/>
      <c r="L459" s="8"/>
      <c r="M459" s="8"/>
      <c r="N459" s="10"/>
      <c r="O459" s="10"/>
    </row>
    <row r="460" spans="1:15" ht="42.75" customHeight="1" x14ac:dyDescent="0.25">
      <c r="A460" s="7"/>
      <c r="B460" s="7"/>
      <c r="C460" s="7"/>
      <c r="D460" s="7"/>
      <c r="E460" s="11">
        <v>458</v>
      </c>
      <c r="F460" s="8"/>
      <c r="G460" s="8"/>
      <c r="H460" s="9"/>
      <c r="I460" s="10"/>
      <c r="J460" s="9"/>
      <c r="K460" s="10"/>
      <c r="L460" s="8"/>
      <c r="M460" s="8"/>
      <c r="N460" s="10"/>
      <c r="O460" s="10"/>
    </row>
    <row r="461" spans="1:15" ht="42.75" customHeight="1" x14ac:dyDescent="0.25">
      <c r="A461" s="7"/>
      <c r="B461" s="7"/>
      <c r="C461" s="7"/>
      <c r="D461" s="7"/>
      <c r="E461" s="11">
        <v>459</v>
      </c>
      <c r="F461" s="8"/>
      <c r="G461" s="8"/>
      <c r="H461" s="9"/>
      <c r="I461" s="10"/>
      <c r="J461" s="9"/>
      <c r="K461" s="10"/>
      <c r="L461" s="8"/>
      <c r="M461" s="8"/>
      <c r="N461" s="10"/>
      <c r="O461" s="10"/>
    </row>
    <row r="462" spans="1:15" ht="42.75" customHeight="1" x14ac:dyDescent="0.25">
      <c r="A462" s="7"/>
      <c r="B462" s="7"/>
      <c r="C462" s="7"/>
      <c r="D462" s="7"/>
      <c r="E462" s="11">
        <v>460</v>
      </c>
      <c r="F462" s="8"/>
      <c r="G462" s="8"/>
      <c r="H462" s="9"/>
      <c r="I462" s="10"/>
      <c r="J462" s="9"/>
      <c r="K462" s="10"/>
      <c r="L462" s="8"/>
      <c r="M462" s="8"/>
      <c r="N462" s="10"/>
      <c r="O462" s="10"/>
    </row>
    <row r="463" spans="1:15" ht="42.75" customHeight="1" x14ac:dyDescent="0.25">
      <c r="A463" s="7"/>
      <c r="B463" s="7"/>
      <c r="C463" s="7"/>
      <c r="D463" s="7"/>
      <c r="E463" s="11">
        <v>461</v>
      </c>
      <c r="F463" s="8"/>
      <c r="G463" s="8"/>
      <c r="H463" s="9"/>
      <c r="I463" s="10"/>
      <c r="J463" s="9"/>
      <c r="K463" s="10"/>
      <c r="L463" s="8"/>
      <c r="M463" s="8"/>
      <c r="N463" s="10"/>
      <c r="O463" s="10"/>
    </row>
    <row r="464" spans="1:15" ht="42.75" customHeight="1" x14ac:dyDescent="0.25">
      <c r="A464" s="7"/>
      <c r="B464" s="7"/>
      <c r="C464" s="7"/>
      <c r="D464" s="7"/>
      <c r="E464" s="11">
        <v>462</v>
      </c>
      <c r="F464" s="8"/>
      <c r="G464" s="8"/>
      <c r="H464" s="9"/>
      <c r="I464" s="10"/>
      <c r="J464" s="9"/>
      <c r="K464" s="10"/>
      <c r="L464" s="8"/>
      <c r="M464" s="8"/>
      <c r="N464" s="10"/>
      <c r="O464" s="10"/>
    </row>
    <row r="465" spans="1:15" ht="42.75" customHeight="1" x14ac:dyDescent="0.25">
      <c r="A465" s="7"/>
      <c r="B465" s="7"/>
      <c r="C465" s="7"/>
      <c r="D465" s="7"/>
      <c r="E465" s="11">
        <v>463</v>
      </c>
      <c r="F465" s="8"/>
      <c r="G465" s="8"/>
      <c r="H465" s="9"/>
      <c r="I465" s="10"/>
      <c r="J465" s="9"/>
      <c r="K465" s="10"/>
      <c r="L465" s="8"/>
      <c r="M465" s="8"/>
      <c r="N465" s="10"/>
      <c r="O465" s="10"/>
    </row>
    <row r="466" spans="1:15" ht="42.75" customHeight="1" x14ac:dyDescent="0.25">
      <c r="A466" s="7"/>
      <c r="B466" s="7"/>
      <c r="C466" s="7"/>
      <c r="D466" s="7"/>
      <c r="E466" s="11">
        <v>464</v>
      </c>
      <c r="F466" s="8"/>
      <c r="G466" s="8"/>
      <c r="H466" s="9"/>
      <c r="I466" s="10"/>
      <c r="J466" s="9"/>
      <c r="K466" s="10"/>
      <c r="L466" s="8"/>
      <c r="M466" s="8"/>
      <c r="N466" s="10"/>
      <c r="O466" s="10"/>
    </row>
    <row r="467" spans="1:15" ht="42.75" customHeight="1" x14ac:dyDescent="0.25">
      <c r="A467" s="7"/>
      <c r="B467" s="7"/>
      <c r="C467" s="7"/>
      <c r="D467" s="7"/>
      <c r="E467" s="11">
        <v>465</v>
      </c>
      <c r="F467" s="8"/>
      <c r="G467" s="8"/>
      <c r="H467" s="9"/>
      <c r="I467" s="10"/>
      <c r="J467" s="9"/>
      <c r="K467" s="10"/>
      <c r="L467" s="8"/>
      <c r="M467" s="8"/>
      <c r="N467" s="10"/>
      <c r="O467" s="10"/>
    </row>
    <row r="468" spans="1:15" ht="42.75" customHeight="1" x14ac:dyDescent="0.25">
      <c r="A468" s="7"/>
      <c r="B468" s="7"/>
      <c r="C468" s="7"/>
      <c r="D468" s="7"/>
      <c r="E468" s="11">
        <v>466</v>
      </c>
      <c r="F468" s="8"/>
      <c r="G468" s="8"/>
      <c r="H468" s="9"/>
      <c r="I468" s="10"/>
      <c r="J468" s="9"/>
      <c r="K468" s="10"/>
      <c r="L468" s="8"/>
      <c r="M468" s="8"/>
      <c r="N468" s="10"/>
      <c r="O468" s="10"/>
    </row>
    <row r="469" spans="1:15" ht="42.75" customHeight="1" x14ac:dyDescent="0.25">
      <c r="A469" s="7"/>
      <c r="B469" s="7"/>
      <c r="C469" s="7"/>
      <c r="D469" s="7"/>
      <c r="E469" s="11">
        <v>467</v>
      </c>
      <c r="F469" s="8"/>
      <c r="G469" s="8"/>
      <c r="H469" s="9"/>
      <c r="I469" s="10"/>
      <c r="J469" s="9"/>
      <c r="K469" s="10"/>
      <c r="L469" s="8"/>
      <c r="M469" s="8"/>
      <c r="N469" s="10"/>
      <c r="O469" s="10"/>
    </row>
    <row r="470" spans="1:15" ht="42.75" customHeight="1" x14ac:dyDescent="0.25">
      <c r="A470" s="7"/>
      <c r="B470" s="7"/>
      <c r="C470" s="7"/>
      <c r="D470" s="7"/>
      <c r="E470" s="11">
        <v>468</v>
      </c>
      <c r="F470" s="8"/>
      <c r="G470" s="8"/>
      <c r="H470" s="9"/>
      <c r="I470" s="10"/>
      <c r="J470" s="9"/>
      <c r="K470" s="10"/>
      <c r="L470" s="8"/>
      <c r="M470" s="8"/>
      <c r="N470" s="10"/>
      <c r="O470" s="10"/>
    </row>
    <row r="471" spans="1:15" ht="42.75" customHeight="1" x14ac:dyDescent="0.25">
      <c r="A471" s="7"/>
      <c r="B471" s="7"/>
      <c r="C471" s="7"/>
      <c r="D471" s="7"/>
      <c r="E471" s="11">
        <v>469</v>
      </c>
      <c r="F471" s="8"/>
      <c r="G471" s="8"/>
      <c r="H471" s="9"/>
      <c r="I471" s="10"/>
      <c r="J471" s="9"/>
      <c r="K471" s="10"/>
      <c r="L471" s="8"/>
      <c r="M471" s="8"/>
      <c r="N471" s="10"/>
      <c r="O471" s="10"/>
    </row>
    <row r="472" spans="1:15" ht="42.75" customHeight="1" x14ac:dyDescent="0.25">
      <c r="A472" s="7"/>
      <c r="B472" s="7"/>
      <c r="C472" s="7"/>
      <c r="D472" s="7"/>
      <c r="E472" s="11">
        <v>470</v>
      </c>
      <c r="F472" s="8"/>
      <c r="G472" s="8"/>
      <c r="H472" s="9"/>
      <c r="I472" s="10"/>
      <c r="J472" s="9"/>
      <c r="K472" s="10"/>
      <c r="L472" s="8"/>
      <c r="M472" s="8"/>
      <c r="N472" s="10"/>
      <c r="O472" s="10"/>
    </row>
    <row r="473" spans="1:15" ht="42.75" customHeight="1" x14ac:dyDescent="0.25">
      <c r="A473" s="7"/>
      <c r="B473" s="7"/>
      <c r="C473" s="7"/>
      <c r="D473" s="7"/>
      <c r="E473" s="11">
        <v>471</v>
      </c>
      <c r="F473" s="8"/>
      <c r="G473" s="8"/>
      <c r="H473" s="9"/>
      <c r="I473" s="10"/>
      <c r="J473" s="9"/>
      <c r="K473" s="10"/>
      <c r="L473" s="8"/>
      <c r="M473" s="8"/>
      <c r="N473" s="10"/>
      <c r="O473" s="10"/>
    </row>
    <row r="474" spans="1:15" ht="42.75" customHeight="1" x14ac:dyDescent="0.25">
      <c r="A474" s="7"/>
      <c r="B474" s="7"/>
      <c r="C474" s="7"/>
      <c r="D474" s="7"/>
      <c r="E474" s="11">
        <v>472</v>
      </c>
      <c r="F474" s="8"/>
      <c r="G474" s="8"/>
      <c r="H474" s="9"/>
      <c r="I474" s="10"/>
      <c r="J474" s="9"/>
      <c r="K474" s="10"/>
      <c r="L474" s="8"/>
      <c r="M474" s="8"/>
      <c r="N474" s="10"/>
      <c r="O474" s="10"/>
    </row>
    <row r="475" spans="1:15" ht="42.75" customHeight="1" x14ac:dyDescent="0.25">
      <c r="A475" s="7"/>
      <c r="B475" s="7"/>
      <c r="C475" s="7"/>
      <c r="D475" s="7"/>
      <c r="E475" s="11">
        <v>473</v>
      </c>
      <c r="F475" s="8"/>
      <c r="G475" s="8"/>
      <c r="H475" s="9"/>
      <c r="I475" s="10"/>
      <c r="J475" s="9"/>
      <c r="K475" s="10"/>
      <c r="L475" s="8"/>
      <c r="M475" s="8"/>
      <c r="N475" s="10"/>
      <c r="O475" s="10"/>
    </row>
    <row r="476" spans="1:15" ht="42.75" customHeight="1" x14ac:dyDescent="0.25">
      <c r="A476" s="7"/>
      <c r="B476" s="7"/>
      <c r="C476" s="7"/>
      <c r="D476" s="7"/>
      <c r="E476" s="11">
        <v>474</v>
      </c>
      <c r="F476" s="8"/>
      <c r="G476" s="8"/>
      <c r="H476" s="9"/>
      <c r="I476" s="10"/>
      <c r="J476" s="9"/>
      <c r="K476" s="10"/>
      <c r="L476" s="8"/>
      <c r="M476" s="8"/>
      <c r="N476" s="10"/>
      <c r="O476" s="10"/>
    </row>
    <row r="477" spans="1:15" ht="42.75" customHeight="1" x14ac:dyDescent="0.25">
      <c r="A477" s="7"/>
      <c r="B477" s="7"/>
      <c r="C477" s="7"/>
      <c r="D477" s="7"/>
      <c r="E477" s="11">
        <v>475</v>
      </c>
      <c r="F477" s="8"/>
      <c r="G477" s="8"/>
      <c r="H477" s="9"/>
      <c r="I477" s="10"/>
      <c r="J477" s="9"/>
      <c r="K477" s="10"/>
      <c r="L477" s="8"/>
      <c r="M477" s="8"/>
      <c r="N477" s="10"/>
      <c r="O477" s="10"/>
    </row>
    <row r="478" spans="1:15" ht="42.75" customHeight="1" x14ac:dyDescent="0.25">
      <c r="A478" s="7"/>
      <c r="B478" s="7"/>
      <c r="C478" s="7"/>
      <c r="D478" s="7"/>
      <c r="E478" s="11">
        <v>476</v>
      </c>
      <c r="F478" s="8"/>
      <c r="G478" s="8"/>
      <c r="H478" s="9"/>
      <c r="I478" s="10"/>
      <c r="J478" s="9"/>
      <c r="K478" s="10"/>
      <c r="L478" s="8"/>
      <c r="M478" s="8"/>
      <c r="N478" s="10"/>
      <c r="O478" s="10"/>
    </row>
    <row r="479" spans="1:15" ht="42.75" customHeight="1" x14ac:dyDescent="0.25">
      <c r="A479" s="7"/>
      <c r="B479" s="7"/>
      <c r="C479" s="7"/>
      <c r="D479" s="7"/>
      <c r="E479" s="11">
        <v>477</v>
      </c>
      <c r="F479" s="8"/>
      <c r="G479" s="8"/>
      <c r="H479" s="9"/>
      <c r="I479" s="10"/>
      <c r="J479" s="9"/>
      <c r="K479" s="10"/>
      <c r="L479" s="8"/>
      <c r="M479" s="8"/>
      <c r="N479" s="10"/>
      <c r="O479" s="10"/>
    </row>
    <row r="480" spans="1:15" ht="42.75" customHeight="1" x14ac:dyDescent="0.25">
      <c r="A480" s="7"/>
      <c r="B480" s="7"/>
      <c r="C480" s="7"/>
      <c r="D480" s="7"/>
      <c r="E480" s="11">
        <v>478</v>
      </c>
      <c r="F480" s="8"/>
      <c r="G480" s="8"/>
      <c r="H480" s="9"/>
      <c r="I480" s="10"/>
      <c r="J480" s="9"/>
      <c r="K480" s="10"/>
      <c r="L480" s="8"/>
      <c r="M480" s="8"/>
      <c r="N480" s="10"/>
      <c r="O480" s="10"/>
    </row>
    <row r="481" spans="1:15" ht="42.75" customHeight="1" x14ac:dyDescent="0.25">
      <c r="A481" s="7"/>
      <c r="B481" s="7"/>
      <c r="C481" s="7"/>
      <c r="D481" s="7"/>
      <c r="E481" s="11">
        <v>479</v>
      </c>
      <c r="F481" s="8"/>
      <c r="G481" s="8"/>
      <c r="H481" s="9"/>
      <c r="I481" s="10"/>
      <c r="J481" s="9"/>
      <c r="K481" s="10"/>
      <c r="L481" s="8"/>
      <c r="M481" s="8"/>
      <c r="N481" s="10"/>
      <c r="O481" s="10"/>
    </row>
    <row r="482" spans="1:15" ht="42.75" customHeight="1" x14ac:dyDescent="0.25">
      <c r="A482" s="7"/>
      <c r="B482" s="7"/>
      <c r="C482" s="7"/>
      <c r="D482" s="7"/>
      <c r="E482" s="11">
        <v>480</v>
      </c>
      <c r="F482" s="8"/>
      <c r="G482" s="8"/>
      <c r="H482" s="9"/>
      <c r="I482" s="10"/>
      <c r="J482" s="9"/>
      <c r="K482" s="10"/>
      <c r="L482" s="8"/>
      <c r="M482" s="8"/>
      <c r="N482" s="10"/>
      <c r="O482" s="10"/>
    </row>
    <row r="483" spans="1:15" ht="42.75" customHeight="1" x14ac:dyDescent="0.25">
      <c r="A483" s="7"/>
      <c r="B483" s="7"/>
      <c r="C483" s="7"/>
      <c r="D483" s="7"/>
      <c r="E483" s="11">
        <v>481</v>
      </c>
      <c r="F483" s="8"/>
      <c r="G483" s="8"/>
      <c r="H483" s="9"/>
      <c r="I483" s="10"/>
      <c r="J483" s="9"/>
      <c r="K483" s="10"/>
      <c r="L483" s="8"/>
      <c r="M483" s="8"/>
      <c r="N483" s="10"/>
      <c r="O483" s="10"/>
    </row>
    <row r="484" spans="1:15" ht="42.75" customHeight="1" x14ac:dyDescent="0.25">
      <c r="A484" s="7"/>
      <c r="B484" s="7"/>
      <c r="C484" s="7"/>
      <c r="D484" s="7"/>
      <c r="E484" s="11">
        <v>482</v>
      </c>
      <c r="F484" s="8"/>
      <c r="G484" s="8"/>
      <c r="H484" s="9"/>
      <c r="I484" s="10"/>
      <c r="J484" s="9"/>
      <c r="K484" s="10"/>
      <c r="L484" s="8"/>
      <c r="M484" s="8"/>
      <c r="N484" s="10"/>
      <c r="O484" s="10"/>
    </row>
    <row r="485" spans="1:15" ht="42.75" customHeight="1" x14ac:dyDescent="0.25">
      <c r="A485" s="7"/>
      <c r="B485" s="7"/>
      <c r="C485" s="7"/>
      <c r="D485" s="7"/>
      <c r="E485" s="11">
        <v>483</v>
      </c>
      <c r="F485" s="8"/>
      <c r="G485" s="8"/>
      <c r="H485" s="9"/>
      <c r="I485" s="10"/>
      <c r="J485" s="9"/>
      <c r="K485" s="10"/>
      <c r="L485" s="8"/>
      <c r="M485" s="8"/>
      <c r="N485" s="10"/>
      <c r="O485" s="10"/>
    </row>
    <row r="486" spans="1:15" ht="42.75" customHeight="1" x14ac:dyDescent="0.25">
      <c r="A486" s="7"/>
      <c r="B486" s="7"/>
      <c r="C486" s="7"/>
      <c r="D486" s="7"/>
      <c r="E486" s="11">
        <v>484</v>
      </c>
      <c r="F486" s="8"/>
      <c r="G486" s="8"/>
      <c r="H486" s="9"/>
      <c r="I486" s="10"/>
      <c r="J486" s="9"/>
      <c r="K486" s="10"/>
      <c r="L486" s="8"/>
      <c r="M486" s="8"/>
      <c r="N486" s="10"/>
      <c r="O486" s="10"/>
    </row>
    <row r="487" spans="1:15" ht="42.75" customHeight="1" x14ac:dyDescent="0.25">
      <c r="A487" s="7"/>
      <c r="B487" s="7"/>
      <c r="C487" s="7"/>
      <c r="D487" s="7"/>
      <c r="E487" s="11">
        <v>485</v>
      </c>
      <c r="F487" s="8"/>
      <c r="G487" s="8"/>
      <c r="H487" s="9"/>
      <c r="I487" s="10"/>
      <c r="J487" s="9"/>
      <c r="K487" s="10"/>
      <c r="L487" s="8"/>
      <c r="M487" s="8"/>
      <c r="N487" s="10"/>
      <c r="O487" s="10"/>
    </row>
    <row r="488" spans="1:15" ht="42.75" customHeight="1" x14ac:dyDescent="0.25">
      <c r="A488" s="7"/>
      <c r="B488" s="7"/>
      <c r="C488" s="7"/>
      <c r="D488" s="7"/>
      <c r="E488" s="11">
        <v>486</v>
      </c>
      <c r="F488" s="8"/>
      <c r="G488" s="8"/>
      <c r="H488" s="9"/>
      <c r="I488" s="10"/>
      <c r="J488" s="9"/>
      <c r="K488" s="10"/>
      <c r="L488" s="8"/>
      <c r="M488" s="8"/>
      <c r="N488" s="10"/>
      <c r="O488" s="10"/>
    </row>
    <row r="489" spans="1:15" ht="42.75" customHeight="1" x14ac:dyDescent="0.25">
      <c r="A489" s="7"/>
      <c r="B489" s="7"/>
      <c r="C489" s="7"/>
      <c r="D489" s="7"/>
      <c r="E489" s="11">
        <v>487</v>
      </c>
      <c r="F489" s="8"/>
      <c r="G489" s="8"/>
      <c r="H489" s="9"/>
      <c r="I489" s="10"/>
      <c r="J489" s="9"/>
      <c r="K489" s="10"/>
      <c r="L489" s="8"/>
      <c r="M489" s="8"/>
      <c r="N489" s="10"/>
      <c r="O489" s="10"/>
    </row>
    <row r="490" spans="1:15" ht="42.75" customHeight="1" x14ac:dyDescent="0.25">
      <c r="A490" s="7"/>
      <c r="B490" s="7"/>
      <c r="C490" s="7"/>
      <c r="D490" s="7"/>
      <c r="E490" s="11">
        <v>488</v>
      </c>
      <c r="F490" s="8"/>
      <c r="G490" s="8"/>
      <c r="H490" s="9"/>
      <c r="I490" s="10"/>
      <c r="J490" s="9"/>
      <c r="K490" s="10"/>
      <c r="L490" s="8"/>
      <c r="M490" s="8"/>
      <c r="N490" s="10"/>
      <c r="O490" s="10"/>
    </row>
    <row r="491" spans="1:15" ht="42.75" customHeight="1" x14ac:dyDescent="0.25">
      <c r="A491" s="7"/>
      <c r="B491" s="7"/>
      <c r="C491" s="7"/>
      <c r="D491" s="7"/>
      <c r="E491" s="11">
        <v>489</v>
      </c>
      <c r="F491" s="8"/>
      <c r="G491" s="8"/>
      <c r="H491" s="9"/>
      <c r="I491" s="10"/>
      <c r="J491" s="9"/>
      <c r="K491" s="10"/>
      <c r="L491" s="8"/>
      <c r="M491" s="8"/>
      <c r="N491" s="10"/>
      <c r="O491" s="10"/>
    </row>
    <row r="492" spans="1:15" ht="42.75" customHeight="1" x14ac:dyDescent="0.25">
      <c r="A492" s="7"/>
      <c r="B492" s="7"/>
      <c r="C492" s="7"/>
      <c r="D492" s="7"/>
      <c r="E492" s="11">
        <v>490</v>
      </c>
      <c r="F492" s="8"/>
      <c r="G492" s="8"/>
      <c r="H492" s="9"/>
      <c r="I492" s="10"/>
      <c r="J492" s="9"/>
      <c r="K492" s="10"/>
      <c r="L492" s="8"/>
      <c r="M492" s="8"/>
      <c r="N492" s="10"/>
      <c r="O492" s="10"/>
    </row>
    <row r="493" spans="1:15" ht="42.75" customHeight="1" x14ac:dyDescent="0.25">
      <c r="A493" s="7"/>
      <c r="B493" s="7"/>
      <c r="C493" s="7"/>
      <c r="D493" s="7"/>
      <c r="E493" s="11">
        <v>491</v>
      </c>
      <c r="F493" s="8"/>
      <c r="G493" s="8"/>
      <c r="H493" s="9"/>
      <c r="I493" s="10"/>
      <c r="J493" s="9"/>
      <c r="K493" s="10"/>
      <c r="L493" s="8"/>
      <c r="M493" s="8"/>
      <c r="N493" s="10"/>
      <c r="O493" s="10"/>
    </row>
    <row r="494" spans="1:15" ht="42.75" customHeight="1" x14ac:dyDescent="0.25">
      <c r="A494" s="7"/>
      <c r="B494" s="7"/>
      <c r="C494" s="7"/>
      <c r="D494" s="7"/>
      <c r="E494" s="11">
        <v>492</v>
      </c>
      <c r="F494" s="8"/>
      <c r="G494" s="8"/>
      <c r="H494" s="9"/>
      <c r="I494" s="10"/>
      <c r="J494" s="9"/>
      <c r="K494" s="10"/>
      <c r="L494" s="8"/>
      <c r="M494" s="8"/>
      <c r="N494" s="10"/>
      <c r="O494" s="10"/>
    </row>
    <row r="495" spans="1:15" ht="42.75" customHeight="1" x14ac:dyDescent="0.25">
      <c r="A495" s="7"/>
      <c r="B495" s="7"/>
      <c r="C495" s="7"/>
      <c r="D495" s="7"/>
      <c r="E495" s="11">
        <v>493</v>
      </c>
      <c r="F495" s="8"/>
      <c r="G495" s="8"/>
      <c r="H495" s="9"/>
      <c r="I495" s="10"/>
      <c r="J495" s="9"/>
      <c r="K495" s="10"/>
      <c r="L495" s="8"/>
      <c r="M495" s="8"/>
      <c r="N495" s="10"/>
      <c r="O495" s="10"/>
    </row>
    <row r="496" spans="1:15" ht="42.75" customHeight="1" x14ac:dyDescent="0.25">
      <c r="A496" s="7"/>
      <c r="B496" s="7"/>
      <c r="C496" s="7"/>
      <c r="D496" s="7"/>
      <c r="E496" s="11">
        <v>494</v>
      </c>
      <c r="F496" s="8"/>
      <c r="G496" s="8"/>
      <c r="H496" s="9"/>
      <c r="I496" s="10"/>
      <c r="J496" s="9"/>
      <c r="K496" s="10"/>
      <c r="L496" s="8"/>
      <c r="M496" s="8"/>
      <c r="N496" s="10"/>
      <c r="O496" s="10"/>
    </row>
    <row r="497" spans="1:15" ht="42.75" customHeight="1" x14ac:dyDescent="0.25">
      <c r="A497" s="7"/>
      <c r="B497" s="7"/>
      <c r="C497" s="7"/>
      <c r="D497" s="7"/>
      <c r="E497" s="11">
        <v>495</v>
      </c>
      <c r="F497" s="8"/>
      <c r="G497" s="8"/>
      <c r="H497" s="9"/>
      <c r="I497" s="10"/>
      <c r="J497" s="9"/>
      <c r="K497" s="10"/>
      <c r="L497" s="8"/>
      <c r="M497" s="8"/>
      <c r="N497" s="10"/>
      <c r="O497" s="10"/>
    </row>
    <row r="498" spans="1:15" ht="42.75" customHeight="1" x14ac:dyDescent="0.25">
      <c r="A498" s="7"/>
      <c r="B498" s="7"/>
      <c r="C498" s="7"/>
      <c r="D498" s="7"/>
      <c r="E498" s="11">
        <v>496</v>
      </c>
      <c r="F498" s="8"/>
      <c r="G498" s="8"/>
      <c r="H498" s="9"/>
      <c r="I498" s="10"/>
      <c r="J498" s="9"/>
      <c r="K498" s="10"/>
      <c r="L498" s="8"/>
      <c r="M498" s="8"/>
      <c r="N498" s="10"/>
      <c r="O498" s="10"/>
    </row>
    <row r="499" spans="1:15" ht="42.75" customHeight="1" x14ac:dyDescent="0.25">
      <c r="A499" s="7"/>
      <c r="B499" s="7"/>
      <c r="C499" s="7"/>
      <c r="D499" s="7"/>
      <c r="E499" s="11">
        <v>497</v>
      </c>
      <c r="F499" s="8"/>
      <c r="G499" s="8"/>
      <c r="H499" s="9"/>
      <c r="I499" s="10"/>
      <c r="J499" s="9"/>
      <c r="K499" s="10"/>
      <c r="L499" s="8"/>
      <c r="M499" s="8"/>
      <c r="N499" s="10"/>
      <c r="O499" s="10"/>
    </row>
    <row r="500" spans="1:15" ht="42.75" customHeight="1" x14ac:dyDescent="0.25">
      <c r="A500" s="7"/>
      <c r="B500" s="7"/>
      <c r="C500" s="7"/>
      <c r="D500" s="7"/>
      <c r="E500" s="11">
        <v>498</v>
      </c>
      <c r="F500" s="8"/>
      <c r="G500" s="8"/>
      <c r="H500" s="9"/>
      <c r="I500" s="10"/>
      <c r="J500" s="9"/>
      <c r="K500" s="10"/>
      <c r="L500" s="8"/>
      <c r="M500" s="8"/>
      <c r="N500" s="10"/>
      <c r="O500" s="10"/>
    </row>
    <row r="501" spans="1:15" ht="42.75" customHeight="1" x14ac:dyDescent="0.25">
      <c r="A501" s="7"/>
      <c r="B501" s="7"/>
      <c r="C501" s="7"/>
      <c r="D501" s="7"/>
      <c r="E501" s="11">
        <v>499</v>
      </c>
      <c r="F501" s="8"/>
      <c r="G501" s="8"/>
      <c r="H501" s="9"/>
      <c r="I501" s="10"/>
      <c r="J501" s="9"/>
      <c r="K501" s="10"/>
      <c r="L501" s="8"/>
      <c r="M501" s="8"/>
      <c r="N501" s="10"/>
      <c r="O501" s="10"/>
    </row>
    <row r="502" spans="1:15" ht="42.75" customHeight="1" x14ac:dyDescent="0.25">
      <c r="A502" s="7"/>
      <c r="B502" s="7"/>
      <c r="C502" s="7"/>
      <c r="D502" s="7"/>
      <c r="E502" s="11">
        <v>500</v>
      </c>
      <c r="F502" s="8"/>
      <c r="G502" s="8"/>
      <c r="H502" s="9"/>
      <c r="I502" s="10"/>
      <c r="J502" s="9"/>
      <c r="K502" s="10"/>
      <c r="L502" s="8"/>
      <c r="M502" s="8"/>
      <c r="N502" s="10"/>
      <c r="O502" s="10"/>
    </row>
    <row r="503" spans="1:15" ht="42.75" customHeight="1" x14ac:dyDescent="0.25">
      <c r="A503" s="7"/>
      <c r="B503" s="7"/>
      <c r="C503" s="7"/>
      <c r="D503" s="7"/>
      <c r="E503" s="11">
        <v>501</v>
      </c>
      <c r="F503" s="8"/>
      <c r="G503" s="8"/>
      <c r="H503" s="9"/>
      <c r="I503" s="10"/>
      <c r="J503" s="9"/>
      <c r="K503" s="10"/>
      <c r="L503" s="8"/>
      <c r="M503" s="8"/>
      <c r="N503" s="10"/>
      <c r="O503" s="10"/>
    </row>
    <row r="504" spans="1:15" ht="42.75" customHeight="1" x14ac:dyDescent="0.25">
      <c r="A504" s="7"/>
      <c r="B504" s="7"/>
      <c r="C504" s="7"/>
      <c r="D504" s="7"/>
      <c r="E504" s="11">
        <v>502</v>
      </c>
      <c r="F504" s="8"/>
      <c r="G504" s="8"/>
      <c r="H504" s="9"/>
      <c r="I504" s="10"/>
      <c r="J504" s="9"/>
      <c r="K504" s="10"/>
      <c r="L504" s="8"/>
      <c r="M504" s="8"/>
      <c r="N504" s="10"/>
      <c r="O504" s="10"/>
    </row>
    <row r="505" spans="1:15" ht="42.75" customHeight="1" x14ac:dyDescent="0.25">
      <c r="A505" s="7"/>
      <c r="B505" s="7"/>
      <c r="C505" s="7"/>
      <c r="D505" s="7"/>
      <c r="E505" s="11">
        <v>503</v>
      </c>
      <c r="F505" s="8"/>
      <c r="G505" s="8"/>
      <c r="H505" s="9"/>
      <c r="I505" s="10"/>
      <c r="J505" s="9"/>
      <c r="K505" s="10"/>
      <c r="L505" s="8"/>
      <c r="M505" s="8"/>
      <c r="N505" s="10"/>
      <c r="O505" s="10"/>
    </row>
    <row r="506" spans="1:15" ht="42.75" customHeight="1" x14ac:dyDescent="0.25">
      <c r="A506" s="7"/>
      <c r="B506" s="7"/>
      <c r="C506" s="7"/>
      <c r="D506" s="7"/>
      <c r="E506" s="11">
        <v>504</v>
      </c>
      <c r="F506" s="8"/>
      <c r="G506" s="8"/>
      <c r="H506" s="9"/>
      <c r="I506" s="10"/>
      <c r="J506" s="9"/>
      <c r="K506" s="10"/>
      <c r="L506" s="8"/>
      <c r="M506" s="8"/>
      <c r="N506" s="10"/>
      <c r="O506" s="10"/>
    </row>
    <row r="507" spans="1:15" ht="42.75" customHeight="1" x14ac:dyDescent="0.25">
      <c r="A507" s="7"/>
      <c r="B507" s="7"/>
      <c r="C507" s="7"/>
      <c r="D507" s="7"/>
      <c r="E507" s="11">
        <v>505</v>
      </c>
      <c r="F507" s="8"/>
      <c r="G507" s="8"/>
      <c r="H507" s="9"/>
      <c r="I507" s="10"/>
      <c r="J507" s="9"/>
      <c r="K507" s="10"/>
      <c r="L507" s="8"/>
      <c r="M507" s="8"/>
      <c r="N507" s="10"/>
      <c r="O507" s="10"/>
    </row>
    <row r="508" spans="1:15" ht="42.75" customHeight="1" x14ac:dyDescent="0.25">
      <c r="A508" s="7"/>
      <c r="B508" s="7"/>
      <c r="C508" s="7"/>
      <c r="D508" s="7"/>
      <c r="E508" s="11">
        <v>506</v>
      </c>
      <c r="F508" s="8"/>
      <c r="G508" s="8"/>
      <c r="H508" s="9"/>
      <c r="I508" s="10"/>
      <c r="J508" s="9"/>
      <c r="K508" s="10"/>
      <c r="L508" s="8"/>
      <c r="M508" s="8"/>
      <c r="N508" s="10"/>
      <c r="O508" s="10"/>
    </row>
    <row r="509" spans="1:15" ht="42.75" customHeight="1" x14ac:dyDescent="0.25">
      <c r="A509" s="7"/>
      <c r="B509" s="7"/>
      <c r="C509" s="7"/>
      <c r="D509" s="7"/>
      <c r="E509" s="11">
        <v>507</v>
      </c>
      <c r="F509" s="8"/>
      <c r="G509" s="8"/>
      <c r="H509" s="9"/>
      <c r="I509" s="10"/>
      <c r="J509" s="9"/>
      <c r="K509" s="10"/>
      <c r="L509" s="8"/>
      <c r="M509" s="8"/>
      <c r="N509" s="10"/>
      <c r="O509" s="10"/>
    </row>
    <row r="510" spans="1:15" ht="42.75" customHeight="1" x14ac:dyDescent="0.25">
      <c r="A510" s="7"/>
      <c r="B510" s="7"/>
      <c r="C510" s="7"/>
      <c r="D510" s="7"/>
      <c r="E510" s="11">
        <v>508</v>
      </c>
      <c r="F510" s="8"/>
      <c r="G510" s="8"/>
      <c r="H510" s="9"/>
      <c r="I510" s="10"/>
      <c r="J510" s="9"/>
      <c r="K510" s="10"/>
      <c r="L510" s="8"/>
      <c r="M510" s="8"/>
      <c r="N510" s="10"/>
      <c r="O510" s="10"/>
    </row>
    <row r="511" spans="1:15" ht="42.75" customHeight="1" x14ac:dyDescent="0.25">
      <c r="A511" s="7"/>
      <c r="B511" s="7"/>
      <c r="C511" s="7"/>
      <c r="D511" s="7"/>
      <c r="E511" s="11">
        <v>509</v>
      </c>
      <c r="F511" s="8"/>
      <c r="G511" s="8"/>
      <c r="H511" s="9"/>
      <c r="I511" s="10"/>
      <c r="J511" s="9"/>
      <c r="K511" s="10"/>
      <c r="L511" s="8"/>
      <c r="M511" s="8"/>
      <c r="N511" s="10"/>
      <c r="O511" s="10"/>
    </row>
    <row r="512" spans="1:15" ht="42.75" customHeight="1" x14ac:dyDescent="0.25">
      <c r="A512" s="7"/>
      <c r="B512" s="7"/>
      <c r="C512" s="7"/>
      <c r="D512" s="7"/>
      <c r="E512" s="11">
        <v>510</v>
      </c>
      <c r="F512" s="8"/>
      <c r="G512" s="8"/>
      <c r="H512" s="9"/>
      <c r="I512" s="10"/>
      <c r="J512" s="9"/>
      <c r="K512" s="10"/>
      <c r="L512" s="8"/>
      <c r="M512" s="8"/>
      <c r="N512" s="10"/>
      <c r="O512" s="10"/>
    </row>
    <row r="513" spans="1:15" ht="42.75" customHeight="1" x14ac:dyDescent="0.25">
      <c r="A513" s="7"/>
      <c r="B513" s="7"/>
      <c r="C513" s="7"/>
      <c r="D513" s="7"/>
      <c r="E513" s="11">
        <v>511</v>
      </c>
      <c r="F513" s="8"/>
      <c r="G513" s="8"/>
      <c r="H513" s="9"/>
      <c r="I513" s="10"/>
      <c r="J513" s="9"/>
      <c r="K513" s="10"/>
      <c r="L513" s="8"/>
      <c r="M513" s="8"/>
      <c r="N513" s="10"/>
      <c r="O513" s="10"/>
    </row>
    <row r="514" spans="1:15" ht="42.75" customHeight="1" x14ac:dyDescent="0.25">
      <c r="A514" s="7"/>
      <c r="B514" s="7"/>
      <c r="C514" s="7"/>
      <c r="D514" s="7"/>
      <c r="E514" s="11">
        <v>512</v>
      </c>
      <c r="F514" s="8"/>
      <c r="G514" s="8"/>
      <c r="H514" s="9"/>
      <c r="I514" s="10"/>
      <c r="J514" s="9"/>
      <c r="K514" s="10"/>
      <c r="L514" s="8"/>
      <c r="M514" s="8"/>
      <c r="N514" s="10"/>
      <c r="O514" s="10"/>
    </row>
    <row r="515" spans="1:15" ht="42.75" customHeight="1" x14ac:dyDescent="0.25">
      <c r="A515" s="7"/>
      <c r="B515" s="7"/>
      <c r="C515" s="7"/>
      <c r="D515" s="7"/>
      <c r="E515" s="11">
        <v>513</v>
      </c>
      <c r="F515" s="8"/>
      <c r="G515" s="8"/>
      <c r="H515" s="9"/>
      <c r="I515" s="10"/>
      <c r="J515" s="9"/>
      <c r="K515" s="10"/>
      <c r="L515" s="8"/>
      <c r="M515" s="8"/>
      <c r="N515" s="10"/>
      <c r="O515" s="10"/>
    </row>
    <row r="516" spans="1:15" ht="42.75" customHeight="1" x14ac:dyDescent="0.25">
      <c r="A516" s="7"/>
      <c r="B516" s="7"/>
      <c r="C516" s="7"/>
      <c r="D516" s="7"/>
      <c r="E516" s="11">
        <v>514</v>
      </c>
      <c r="F516" s="8"/>
      <c r="G516" s="8"/>
      <c r="H516" s="9"/>
      <c r="I516" s="10"/>
      <c r="J516" s="9"/>
      <c r="K516" s="10"/>
      <c r="L516" s="8"/>
      <c r="M516" s="8"/>
      <c r="N516" s="10"/>
      <c r="O516" s="10"/>
    </row>
    <row r="517" spans="1:15" ht="42.75" customHeight="1" x14ac:dyDescent="0.25">
      <c r="A517" s="7"/>
      <c r="B517" s="7"/>
      <c r="C517" s="7"/>
      <c r="D517" s="7"/>
      <c r="E517" s="11">
        <v>515</v>
      </c>
      <c r="F517" s="8"/>
      <c r="G517" s="8"/>
      <c r="H517" s="9"/>
      <c r="I517" s="10"/>
      <c r="J517" s="9"/>
      <c r="K517" s="10"/>
      <c r="L517" s="8"/>
      <c r="M517" s="8"/>
      <c r="N517" s="10"/>
      <c r="O517" s="10"/>
    </row>
    <row r="518" spans="1:15" ht="42.75" customHeight="1" x14ac:dyDescent="0.25">
      <c r="A518" s="7"/>
      <c r="B518" s="7"/>
      <c r="C518" s="7"/>
      <c r="D518" s="7"/>
      <c r="E518" s="11">
        <v>516</v>
      </c>
      <c r="F518" s="8"/>
      <c r="G518" s="8"/>
      <c r="H518" s="9"/>
      <c r="I518" s="10"/>
      <c r="J518" s="9"/>
      <c r="K518" s="10"/>
      <c r="L518" s="8"/>
      <c r="M518" s="8"/>
      <c r="N518" s="10"/>
      <c r="O518" s="10"/>
    </row>
    <row r="519" spans="1:15" ht="42.75" customHeight="1" x14ac:dyDescent="0.25">
      <c r="A519" s="7"/>
      <c r="B519" s="7"/>
      <c r="C519" s="7"/>
      <c r="D519" s="7"/>
      <c r="E519" s="11">
        <v>517</v>
      </c>
      <c r="F519" s="8"/>
      <c r="G519" s="8"/>
      <c r="H519" s="9"/>
      <c r="I519" s="10"/>
      <c r="J519" s="9"/>
      <c r="K519" s="10"/>
      <c r="L519" s="8"/>
      <c r="M519" s="8"/>
      <c r="N519" s="10"/>
      <c r="O519" s="10"/>
    </row>
    <row r="520" spans="1:15" ht="42.75" customHeight="1" x14ac:dyDescent="0.25">
      <c r="A520" s="7"/>
      <c r="B520" s="7"/>
      <c r="C520" s="7"/>
      <c r="D520" s="7"/>
      <c r="E520" s="11">
        <v>518</v>
      </c>
      <c r="F520" s="8"/>
      <c r="G520" s="8"/>
      <c r="H520" s="9"/>
      <c r="I520" s="10"/>
      <c r="J520" s="9"/>
      <c r="K520" s="10"/>
      <c r="L520" s="8"/>
      <c r="M520" s="8"/>
      <c r="N520" s="10"/>
      <c r="O520" s="10"/>
    </row>
    <row r="521" spans="1:15" ht="42.75" customHeight="1" x14ac:dyDescent="0.25">
      <c r="A521" s="7"/>
      <c r="B521" s="7"/>
      <c r="C521" s="7"/>
      <c r="D521" s="7"/>
      <c r="E521" s="11">
        <v>519</v>
      </c>
      <c r="F521" s="8"/>
      <c r="G521" s="8"/>
      <c r="H521" s="9"/>
      <c r="I521" s="10"/>
      <c r="J521" s="9"/>
      <c r="K521" s="10"/>
      <c r="L521" s="8"/>
      <c r="M521" s="8"/>
      <c r="N521" s="10"/>
      <c r="O521" s="10"/>
    </row>
    <row r="522" spans="1:15" ht="42.75" customHeight="1" x14ac:dyDescent="0.25">
      <c r="A522" s="7"/>
      <c r="B522" s="7"/>
      <c r="C522" s="7"/>
      <c r="D522" s="7"/>
      <c r="E522" s="11">
        <v>520</v>
      </c>
      <c r="F522" s="8"/>
      <c r="G522" s="8"/>
      <c r="H522" s="9"/>
      <c r="I522" s="10"/>
      <c r="J522" s="9"/>
      <c r="K522" s="10"/>
      <c r="L522" s="8"/>
      <c r="M522" s="8"/>
      <c r="N522" s="10"/>
      <c r="O522" s="10"/>
    </row>
    <row r="523" spans="1:15" ht="42.75" customHeight="1" x14ac:dyDescent="0.25">
      <c r="A523" s="7"/>
      <c r="B523" s="7"/>
      <c r="C523" s="7"/>
      <c r="D523" s="7"/>
      <c r="E523" s="11">
        <v>521</v>
      </c>
      <c r="F523" s="8"/>
      <c r="G523" s="8"/>
      <c r="H523" s="9"/>
      <c r="I523" s="10"/>
      <c r="J523" s="9"/>
      <c r="K523" s="10"/>
      <c r="L523" s="8"/>
      <c r="M523" s="8"/>
      <c r="N523" s="10"/>
      <c r="O523" s="10"/>
    </row>
    <row r="524" spans="1:15" ht="42.75" customHeight="1" x14ac:dyDescent="0.25">
      <c r="A524" s="7"/>
      <c r="B524" s="7"/>
      <c r="C524" s="7"/>
      <c r="D524" s="7"/>
      <c r="E524" s="11">
        <v>522</v>
      </c>
      <c r="F524" s="8"/>
      <c r="G524" s="8"/>
      <c r="H524" s="9"/>
      <c r="I524" s="10"/>
      <c r="J524" s="9"/>
      <c r="K524" s="10"/>
      <c r="L524" s="8"/>
      <c r="M524" s="8"/>
      <c r="N524" s="10"/>
      <c r="O524" s="10"/>
    </row>
    <row r="525" spans="1:15" ht="42.75" customHeight="1" x14ac:dyDescent="0.25">
      <c r="A525" s="7"/>
      <c r="B525" s="7"/>
      <c r="C525" s="7"/>
      <c r="D525" s="7"/>
      <c r="E525" s="11">
        <v>523</v>
      </c>
      <c r="F525" s="8"/>
      <c r="G525" s="8"/>
      <c r="H525" s="9"/>
      <c r="I525" s="10"/>
      <c r="J525" s="9"/>
      <c r="K525" s="10"/>
      <c r="L525" s="8"/>
      <c r="M525" s="8"/>
      <c r="N525" s="10"/>
      <c r="O525" s="10"/>
    </row>
    <row r="526" spans="1:15" ht="42.75" customHeight="1" x14ac:dyDescent="0.25">
      <c r="A526" s="7"/>
      <c r="B526" s="7"/>
      <c r="C526" s="7"/>
      <c r="D526" s="7"/>
      <c r="E526" s="11">
        <v>524</v>
      </c>
      <c r="F526" s="8"/>
      <c r="G526" s="8"/>
      <c r="H526" s="9"/>
      <c r="I526" s="10"/>
      <c r="J526" s="9"/>
      <c r="K526" s="10"/>
      <c r="L526" s="8"/>
      <c r="M526" s="8"/>
      <c r="N526" s="10"/>
      <c r="O526" s="10"/>
    </row>
    <row r="527" spans="1:15" ht="42.75" customHeight="1" x14ac:dyDescent="0.25">
      <c r="A527" s="7"/>
      <c r="B527" s="7"/>
      <c r="C527" s="7"/>
      <c r="D527" s="7"/>
      <c r="E527" s="11">
        <v>525</v>
      </c>
      <c r="F527" s="8"/>
      <c r="G527" s="8"/>
      <c r="H527" s="9"/>
      <c r="I527" s="10"/>
      <c r="J527" s="9"/>
      <c r="K527" s="10"/>
      <c r="L527" s="8"/>
      <c r="M527" s="8"/>
      <c r="N527" s="10"/>
      <c r="O527" s="10"/>
    </row>
    <row r="528" spans="1:15" ht="42.75" customHeight="1" x14ac:dyDescent="0.25">
      <c r="A528" s="7"/>
      <c r="B528" s="7"/>
      <c r="C528" s="7"/>
      <c r="D528" s="7"/>
      <c r="E528" s="11">
        <v>526</v>
      </c>
      <c r="F528" s="8"/>
      <c r="G528" s="8"/>
      <c r="H528" s="9"/>
      <c r="I528" s="10"/>
      <c r="J528" s="9"/>
      <c r="K528" s="10"/>
      <c r="L528" s="8"/>
      <c r="M528" s="8"/>
      <c r="N528" s="10"/>
      <c r="O528" s="10"/>
    </row>
    <row r="529" spans="1:15" ht="42.75" customHeight="1" x14ac:dyDescent="0.25">
      <c r="A529" s="7"/>
      <c r="B529" s="7"/>
      <c r="C529" s="7"/>
      <c r="D529" s="7"/>
      <c r="E529" s="11">
        <v>527</v>
      </c>
      <c r="F529" s="8"/>
      <c r="G529" s="8"/>
      <c r="H529" s="9"/>
      <c r="I529" s="10"/>
      <c r="J529" s="9"/>
      <c r="K529" s="10"/>
      <c r="L529" s="8"/>
      <c r="M529" s="8"/>
      <c r="N529" s="10"/>
      <c r="O529" s="10"/>
    </row>
    <row r="530" spans="1:15" ht="42.75" customHeight="1" x14ac:dyDescent="0.25">
      <c r="A530" s="7"/>
      <c r="B530" s="7"/>
      <c r="C530" s="7"/>
      <c r="D530" s="7"/>
      <c r="E530" s="11">
        <v>528</v>
      </c>
      <c r="F530" s="8"/>
      <c r="G530" s="8"/>
      <c r="H530" s="9"/>
      <c r="I530" s="10"/>
      <c r="J530" s="9"/>
      <c r="K530" s="10"/>
      <c r="L530" s="8"/>
      <c r="M530" s="8"/>
      <c r="N530" s="10"/>
      <c r="O530" s="10"/>
    </row>
    <row r="531" spans="1:15" ht="42.75" customHeight="1" x14ac:dyDescent="0.25">
      <c r="A531" s="7"/>
      <c r="B531" s="7"/>
      <c r="C531" s="7"/>
      <c r="D531" s="7"/>
      <c r="E531" s="11">
        <v>529</v>
      </c>
      <c r="F531" s="8"/>
      <c r="G531" s="8"/>
      <c r="H531" s="9"/>
      <c r="I531" s="10"/>
      <c r="J531" s="9"/>
      <c r="K531" s="10"/>
      <c r="L531" s="8"/>
      <c r="M531" s="8"/>
      <c r="N531" s="10"/>
      <c r="O531" s="10"/>
    </row>
    <row r="532" spans="1:15" ht="42.75" customHeight="1" x14ac:dyDescent="0.25">
      <c r="A532" s="7"/>
      <c r="B532" s="7"/>
      <c r="C532" s="7"/>
      <c r="D532" s="7"/>
      <c r="E532" s="11">
        <v>530</v>
      </c>
      <c r="F532" s="8"/>
      <c r="G532" s="8"/>
      <c r="H532" s="9"/>
      <c r="I532" s="10"/>
      <c r="J532" s="9"/>
      <c r="K532" s="10"/>
      <c r="L532" s="8"/>
      <c r="M532" s="8"/>
      <c r="N532" s="10"/>
      <c r="O532" s="10"/>
    </row>
    <row r="533" spans="1:15" ht="42.75" customHeight="1" x14ac:dyDescent="0.25">
      <c r="A533" s="7"/>
      <c r="B533" s="7"/>
      <c r="C533" s="7"/>
      <c r="D533" s="7"/>
      <c r="E533" s="11">
        <v>531</v>
      </c>
      <c r="F533" s="8"/>
      <c r="G533" s="8"/>
      <c r="H533" s="9"/>
      <c r="I533" s="10"/>
      <c r="J533" s="9"/>
      <c r="K533" s="10"/>
      <c r="L533" s="8"/>
      <c r="M533" s="8"/>
      <c r="N533" s="10"/>
      <c r="O533" s="10"/>
    </row>
    <row r="534" spans="1:15" ht="42.75" customHeight="1" x14ac:dyDescent="0.25">
      <c r="A534" s="7"/>
      <c r="B534" s="7"/>
      <c r="C534" s="7"/>
      <c r="D534" s="7"/>
      <c r="E534" s="11">
        <v>532</v>
      </c>
      <c r="F534" s="8"/>
      <c r="G534" s="8"/>
      <c r="H534" s="9"/>
      <c r="I534" s="10"/>
      <c r="J534" s="9"/>
      <c r="K534" s="10"/>
      <c r="L534" s="8"/>
      <c r="M534" s="8"/>
      <c r="N534" s="10"/>
      <c r="O534" s="10"/>
    </row>
    <row r="535" spans="1:15" ht="42.75" customHeight="1" x14ac:dyDescent="0.25">
      <c r="A535" s="7"/>
      <c r="B535" s="7"/>
      <c r="C535" s="7"/>
      <c r="D535" s="7"/>
      <c r="E535" s="11">
        <v>533</v>
      </c>
      <c r="F535" s="8"/>
      <c r="G535" s="8"/>
      <c r="H535" s="9"/>
      <c r="I535" s="10"/>
      <c r="J535" s="9"/>
      <c r="K535" s="10"/>
      <c r="L535" s="8"/>
      <c r="M535" s="8"/>
      <c r="N535" s="10"/>
      <c r="O535" s="10"/>
    </row>
    <row r="536" spans="1:15" ht="42.75" customHeight="1" x14ac:dyDescent="0.25">
      <c r="A536" s="7"/>
      <c r="B536" s="7"/>
      <c r="C536" s="7"/>
      <c r="D536" s="7"/>
      <c r="E536" s="11">
        <v>534</v>
      </c>
      <c r="F536" s="8"/>
      <c r="G536" s="8"/>
      <c r="H536" s="9"/>
      <c r="I536" s="10"/>
      <c r="J536" s="9"/>
      <c r="K536" s="10"/>
      <c r="L536" s="8"/>
      <c r="M536" s="8"/>
      <c r="N536" s="10"/>
      <c r="O536" s="10"/>
    </row>
    <row r="537" spans="1:15" ht="42.75" customHeight="1" x14ac:dyDescent="0.25">
      <c r="A537" s="7"/>
      <c r="B537" s="7"/>
      <c r="C537" s="7"/>
      <c r="D537" s="7"/>
      <c r="E537" s="11">
        <v>535</v>
      </c>
      <c r="F537" s="8"/>
      <c r="G537" s="8"/>
      <c r="H537" s="9"/>
      <c r="I537" s="10"/>
      <c r="J537" s="9"/>
      <c r="K537" s="10"/>
      <c r="L537" s="8"/>
      <c r="M537" s="8"/>
      <c r="N537" s="10"/>
      <c r="O537" s="10"/>
    </row>
    <row r="538" spans="1:15" ht="42.75" customHeight="1" x14ac:dyDescent="0.25">
      <c r="A538" s="7"/>
      <c r="B538" s="7"/>
      <c r="C538" s="7"/>
      <c r="D538" s="7"/>
      <c r="E538" s="11">
        <v>536</v>
      </c>
      <c r="F538" s="8"/>
      <c r="G538" s="8"/>
      <c r="H538" s="9"/>
      <c r="I538" s="10"/>
      <c r="J538" s="9"/>
      <c r="K538" s="10"/>
      <c r="L538" s="8"/>
      <c r="M538" s="8"/>
      <c r="N538" s="10"/>
      <c r="O538" s="10"/>
    </row>
    <row r="539" spans="1:15" ht="42.75" customHeight="1" x14ac:dyDescent="0.25">
      <c r="A539" s="7"/>
      <c r="B539" s="7"/>
      <c r="C539" s="7"/>
      <c r="D539" s="7"/>
      <c r="E539" s="11">
        <v>537</v>
      </c>
      <c r="F539" s="8"/>
      <c r="G539" s="8"/>
      <c r="H539" s="9"/>
      <c r="I539" s="10"/>
      <c r="J539" s="9"/>
      <c r="K539" s="10"/>
      <c r="L539" s="8"/>
      <c r="M539" s="8"/>
      <c r="N539" s="10"/>
      <c r="O539" s="10"/>
    </row>
    <row r="540" spans="1:15" ht="42.75" customHeight="1" x14ac:dyDescent="0.25">
      <c r="A540" s="7"/>
      <c r="B540" s="7"/>
      <c r="C540" s="7"/>
      <c r="D540" s="7"/>
      <c r="E540" s="11">
        <v>538</v>
      </c>
      <c r="F540" s="8"/>
      <c r="G540" s="8"/>
      <c r="H540" s="9"/>
      <c r="I540" s="10"/>
      <c r="J540" s="9"/>
      <c r="K540" s="10"/>
      <c r="L540" s="8"/>
      <c r="M540" s="8"/>
      <c r="N540" s="10"/>
      <c r="O540" s="10"/>
    </row>
    <row r="541" spans="1:15" ht="42.75" customHeight="1" x14ac:dyDescent="0.25">
      <c r="A541" s="7"/>
      <c r="B541" s="7"/>
      <c r="C541" s="7"/>
      <c r="D541" s="7"/>
      <c r="E541" s="11">
        <v>539</v>
      </c>
      <c r="F541" s="8"/>
      <c r="G541" s="8"/>
      <c r="H541" s="9"/>
      <c r="I541" s="10"/>
      <c r="J541" s="9"/>
      <c r="K541" s="10"/>
      <c r="L541" s="8"/>
      <c r="M541" s="8"/>
      <c r="N541" s="10"/>
      <c r="O541" s="10"/>
    </row>
    <row r="542" spans="1:15" ht="42.75" customHeight="1" x14ac:dyDescent="0.25">
      <c r="A542" s="7"/>
      <c r="B542" s="7"/>
      <c r="C542" s="7"/>
      <c r="D542" s="7"/>
      <c r="E542" s="11">
        <v>540</v>
      </c>
      <c r="F542" s="8"/>
      <c r="G542" s="8"/>
      <c r="H542" s="9"/>
      <c r="I542" s="10"/>
      <c r="J542" s="9"/>
      <c r="K542" s="10"/>
      <c r="L542" s="8"/>
      <c r="M542" s="8"/>
      <c r="N542" s="10"/>
      <c r="O542" s="10"/>
    </row>
    <row r="543" spans="1:15" ht="42.75" customHeight="1" x14ac:dyDescent="0.25">
      <c r="A543" s="7"/>
      <c r="B543" s="7"/>
      <c r="C543" s="7"/>
      <c r="D543" s="7"/>
      <c r="E543" s="11">
        <v>541</v>
      </c>
      <c r="F543" s="8"/>
      <c r="G543" s="8"/>
      <c r="H543" s="9"/>
      <c r="I543" s="10"/>
      <c r="J543" s="9"/>
      <c r="K543" s="10"/>
      <c r="L543" s="8"/>
      <c r="M543" s="8"/>
      <c r="N543" s="10"/>
      <c r="O543" s="10"/>
    </row>
    <row r="544" spans="1:15" ht="42.75" customHeight="1" x14ac:dyDescent="0.25">
      <c r="A544" s="7"/>
      <c r="B544" s="7"/>
      <c r="C544" s="7"/>
      <c r="D544" s="7"/>
      <c r="E544" s="11">
        <v>542</v>
      </c>
      <c r="F544" s="8"/>
      <c r="G544" s="8"/>
      <c r="H544" s="9"/>
      <c r="I544" s="10"/>
      <c r="J544" s="9"/>
      <c r="K544" s="10"/>
      <c r="L544" s="8"/>
      <c r="M544" s="8"/>
      <c r="N544" s="10"/>
      <c r="O544" s="10"/>
    </row>
    <row r="545" spans="1:15" ht="42.75" customHeight="1" x14ac:dyDescent="0.25">
      <c r="A545" s="7"/>
      <c r="B545" s="7"/>
      <c r="C545" s="7"/>
      <c r="D545" s="7"/>
      <c r="E545" s="11">
        <v>543</v>
      </c>
      <c r="F545" s="8"/>
      <c r="G545" s="8"/>
      <c r="H545" s="9"/>
      <c r="I545" s="10"/>
      <c r="J545" s="9"/>
      <c r="K545" s="10"/>
      <c r="L545" s="8"/>
      <c r="M545" s="8"/>
      <c r="N545" s="10"/>
      <c r="O545" s="10"/>
    </row>
    <row r="546" spans="1:15" ht="42.75" customHeight="1" x14ac:dyDescent="0.25">
      <c r="A546" s="7"/>
      <c r="B546" s="7"/>
      <c r="C546" s="7"/>
      <c r="D546" s="7"/>
      <c r="E546" s="11">
        <v>544</v>
      </c>
      <c r="F546" s="8"/>
      <c r="G546" s="8"/>
      <c r="H546" s="9"/>
      <c r="I546" s="10"/>
      <c r="J546" s="9"/>
      <c r="K546" s="10"/>
      <c r="L546" s="8"/>
      <c r="M546" s="8"/>
      <c r="N546" s="10"/>
      <c r="O546" s="10"/>
    </row>
    <row r="547" spans="1:15" ht="42.75" customHeight="1" x14ac:dyDescent="0.25">
      <c r="A547" s="7"/>
      <c r="B547" s="7"/>
      <c r="C547" s="7"/>
      <c r="D547" s="7"/>
      <c r="E547" s="11">
        <v>545</v>
      </c>
      <c r="F547" s="8"/>
      <c r="G547" s="8"/>
      <c r="H547" s="9"/>
      <c r="I547" s="10"/>
      <c r="J547" s="9"/>
      <c r="K547" s="10"/>
      <c r="L547" s="8"/>
      <c r="M547" s="8"/>
      <c r="N547" s="10"/>
      <c r="O547" s="10"/>
    </row>
    <row r="548" spans="1:15" ht="42.75" customHeight="1" x14ac:dyDescent="0.25">
      <c r="A548" s="7"/>
      <c r="B548" s="7"/>
      <c r="C548" s="7"/>
      <c r="D548" s="7"/>
      <c r="E548" s="11">
        <v>546</v>
      </c>
      <c r="F548" s="8"/>
      <c r="G548" s="8"/>
      <c r="H548" s="9"/>
      <c r="I548" s="10"/>
      <c r="J548" s="9"/>
      <c r="K548" s="10"/>
      <c r="L548" s="8"/>
      <c r="M548" s="8"/>
      <c r="N548" s="10"/>
      <c r="O548" s="10"/>
    </row>
    <row r="549" spans="1:15" ht="42.75" customHeight="1" x14ac:dyDescent="0.25">
      <c r="A549" s="7"/>
      <c r="B549" s="7"/>
      <c r="C549" s="7"/>
      <c r="D549" s="7"/>
      <c r="E549" s="11">
        <v>547</v>
      </c>
      <c r="F549" s="8"/>
      <c r="G549" s="8"/>
      <c r="H549" s="9"/>
      <c r="I549" s="10"/>
      <c r="J549" s="9"/>
      <c r="K549" s="10"/>
      <c r="L549" s="8"/>
      <c r="M549" s="8"/>
      <c r="N549" s="10"/>
      <c r="O549" s="10"/>
    </row>
    <row r="550" spans="1:15" ht="42.75" customHeight="1" x14ac:dyDescent="0.25">
      <c r="A550" s="7"/>
      <c r="B550" s="7"/>
      <c r="C550" s="7"/>
      <c r="D550" s="7"/>
      <c r="E550" s="11">
        <v>548</v>
      </c>
      <c r="F550" s="8"/>
      <c r="G550" s="8"/>
      <c r="H550" s="9"/>
      <c r="I550" s="10"/>
      <c r="J550" s="9"/>
      <c r="K550" s="10"/>
      <c r="L550" s="8"/>
      <c r="M550" s="8"/>
      <c r="N550" s="10"/>
      <c r="O550" s="10"/>
    </row>
    <row r="551" spans="1:15" ht="42.75" customHeight="1" x14ac:dyDescent="0.25">
      <c r="A551" s="7"/>
      <c r="B551" s="7"/>
      <c r="C551" s="7"/>
      <c r="D551" s="7"/>
      <c r="E551" s="11">
        <v>549</v>
      </c>
      <c r="F551" s="8"/>
      <c r="G551" s="8"/>
      <c r="H551" s="9"/>
      <c r="I551" s="10"/>
      <c r="J551" s="9"/>
      <c r="K551" s="10"/>
      <c r="L551" s="8"/>
      <c r="M551" s="8"/>
      <c r="N551" s="10"/>
      <c r="O551" s="10"/>
    </row>
    <row r="552" spans="1:15" ht="42.75" customHeight="1" x14ac:dyDescent="0.25">
      <c r="A552" s="7"/>
      <c r="B552" s="7"/>
      <c r="C552" s="7"/>
      <c r="D552" s="7"/>
      <c r="E552" s="11">
        <v>550</v>
      </c>
      <c r="F552" s="8"/>
      <c r="G552" s="8"/>
      <c r="H552" s="9"/>
      <c r="I552" s="10"/>
      <c r="J552" s="9"/>
      <c r="K552" s="10"/>
      <c r="L552" s="8"/>
      <c r="M552" s="8"/>
      <c r="N552" s="10"/>
      <c r="O552" s="10"/>
    </row>
    <row r="553" spans="1:15" ht="42.75" customHeight="1" x14ac:dyDescent="0.25">
      <c r="A553" s="7"/>
      <c r="B553" s="7"/>
      <c r="C553" s="7"/>
      <c r="D553" s="7"/>
      <c r="E553" s="11">
        <v>551</v>
      </c>
      <c r="F553" s="8"/>
      <c r="G553" s="8"/>
      <c r="H553" s="9"/>
      <c r="I553" s="10"/>
      <c r="J553" s="9"/>
      <c r="K553" s="10"/>
      <c r="L553" s="8"/>
      <c r="M553" s="8"/>
      <c r="N553" s="10"/>
      <c r="O553" s="10"/>
    </row>
    <row r="554" spans="1:15" ht="42.75" customHeight="1" x14ac:dyDescent="0.25">
      <c r="A554" s="7"/>
      <c r="B554" s="7"/>
      <c r="C554" s="7"/>
      <c r="D554" s="7"/>
      <c r="E554" s="11">
        <v>552</v>
      </c>
      <c r="F554" s="8"/>
      <c r="G554" s="8"/>
      <c r="H554" s="9"/>
      <c r="I554" s="10"/>
      <c r="J554" s="9"/>
      <c r="K554" s="10"/>
      <c r="L554" s="8"/>
      <c r="M554" s="8"/>
      <c r="N554" s="10"/>
      <c r="O554" s="10"/>
    </row>
    <row r="555" spans="1:15" ht="42.75" customHeight="1" x14ac:dyDescent="0.25">
      <c r="A555" s="7"/>
      <c r="B555" s="7"/>
      <c r="C555" s="7"/>
      <c r="D555" s="7"/>
      <c r="E555" s="11">
        <v>553</v>
      </c>
      <c r="F555" s="8"/>
      <c r="G555" s="8"/>
      <c r="H555" s="9"/>
      <c r="I555" s="10"/>
      <c r="J555" s="9"/>
      <c r="K555" s="10"/>
      <c r="L555" s="8"/>
      <c r="M555" s="8"/>
      <c r="N555" s="10"/>
      <c r="O555" s="10"/>
    </row>
    <row r="556" spans="1:15" ht="42.75" customHeight="1" x14ac:dyDescent="0.25">
      <c r="A556" s="7"/>
      <c r="B556" s="7"/>
      <c r="C556" s="7"/>
      <c r="D556" s="7"/>
      <c r="E556" s="11">
        <v>554</v>
      </c>
      <c r="F556" s="8"/>
      <c r="G556" s="8"/>
      <c r="H556" s="9"/>
      <c r="I556" s="10"/>
      <c r="J556" s="9"/>
      <c r="K556" s="10"/>
      <c r="L556" s="8"/>
      <c r="M556" s="8"/>
      <c r="N556" s="10"/>
      <c r="O556" s="10"/>
    </row>
    <row r="557" spans="1:15" ht="42.75" customHeight="1" x14ac:dyDescent="0.25">
      <c r="A557" s="7"/>
      <c r="B557" s="7"/>
      <c r="C557" s="7"/>
      <c r="D557" s="7"/>
      <c r="E557" s="11">
        <v>555</v>
      </c>
      <c r="F557" s="8"/>
      <c r="G557" s="8"/>
      <c r="H557" s="9"/>
      <c r="I557" s="10"/>
      <c r="J557" s="9"/>
      <c r="K557" s="10"/>
      <c r="L557" s="8"/>
      <c r="M557" s="8"/>
      <c r="N557" s="10"/>
      <c r="O557" s="10"/>
    </row>
    <row r="558" spans="1:15" ht="42.75" customHeight="1" x14ac:dyDescent="0.25">
      <c r="A558" s="7"/>
      <c r="B558" s="7"/>
      <c r="C558" s="7"/>
      <c r="D558" s="7"/>
      <c r="E558" s="11">
        <v>556</v>
      </c>
      <c r="F558" s="8"/>
      <c r="G558" s="8"/>
      <c r="H558" s="9"/>
      <c r="I558" s="10"/>
      <c r="J558" s="9"/>
      <c r="K558" s="10"/>
      <c r="L558" s="8"/>
      <c r="M558" s="8"/>
      <c r="N558" s="10"/>
      <c r="O558" s="10"/>
    </row>
    <row r="559" spans="1:15" ht="42.75" customHeight="1" x14ac:dyDescent="0.25">
      <c r="A559" s="7"/>
      <c r="B559" s="7"/>
      <c r="C559" s="7"/>
      <c r="D559" s="7"/>
      <c r="E559" s="11">
        <v>557</v>
      </c>
      <c r="F559" s="8"/>
      <c r="G559" s="8"/>
      <c r="H559" s="9"/>
      <c r="I559" s="10"/>
      <c r="J559" s="9"/>
      <c r="K559" s="10"/>
      <c r="L559" s="8"/>
      <c r="M559" s="8"/>
      <c r="N559" s="10"/>
      <c r="O559" s="10"/>
    </row>
    <row r="560" spans="1:15" ht="42.75" customHeight="1" x14ac:dyDescent="0.25">
      <c r="A560" s="7"/>
      <c r="B560" s="7"/>
      <c r="C560" s="7"/>
      <c r="D560" s="7"/>
      <c r="E560" s="11">
        <v>558</v>
      </c>
      <c r="F560" s="8"/>
      <c r="G560" s="8"/>
      <c r="H560" s="9"/>
      <c r="I560" s="10"/>
      <c r="J560" s="9"/>
      <c r="K560" s="10"/>
      <c r="L560" s="8"/>
      <c r="M560" s="8"/>
      <c r="N560" s="10"/>
      <c r="O560" s="10"/>
    </row>
    <row r="561" spans="1:15" ht="42.75" customHeight="1" x14ac:dyDescent="0.25">
      <c r="A561" s="7"/>
      <c r="B561" s="7"/>
      <c r="C561" s="7"/>
      <c r="D561" s="7"/>
      <c r="E561" s="11">
        <v>559</v>
      </c>
      <c r="F561" s="8"/>
      <c r="G561" s="8"/>
      <c r="H561" s="9"/>
      <c r="I561" s="10"/>
      <c r="J561" s="9"/>
      <c r="K561" s="10"/>
      <c r="L561" s="8"/>
      <c r="M561" s="8"/>
      <c r="N561" s="10"/>
      <c r="O561" s="10"/>
    </row>
    <row r="562" spans="1:15" ht="42.75" customHeight="1" x14ac:dyDescent="0.25">
      <c r="A562" s="7"/>
      <c r="B562" s="7"/>
      <c r="C562" s="7"/>
      <c r="D562" s="7"/>
      <c r="E562" s="11">
        <v>560</v>
      </c>
      <c r="F562" s="8"/>
      <c r="G562" s="8"/>
      <c r="H562" s="9"/>
      <c r="I562" s="10"/>
      <c r="J562" s="9"/>
      <c r="K562" s="10"/>
      <c r="L562" s="8"/>
      <c r="M562" s="8"/>
      <c r="N562" s="10"/>
      <c r="O562" s="10"/>
    </row>
    <row r="563" spans="1:15" ht="42.75" customHeight="1" x14ac:dyDescent="0.25">
      <c r="A563" s="7"/>
      <c r="B563" s="7"/>
      <c r="C563" s="7"/>
      <c r="D563" s="7"/>
      <c r="E563" s="11">
        <v>561</v>
      </c>
      <c r="F563" s="8"/>
      <c r="G563" s="8"/>
      <c r="H563" s="9"/>
      <c r="I563" s="10"/>
      <c r="J563" s="9"/>
      <c r="K563" s="10"/>
      <c r="L563" s="8"/>
      <c r="M563" s="8"/>
      <c r="N563" s="10"/>
      <c r="O563" s="10"/>
    </row>
    <row r="564" spans="1:15" ht="42.75" customHeight="1" x14ac:dyDescent="0.25">
      <c r="A564" s="7"/>
      <c r="B564" s="7"/>
      <c r="C564" s="7"/>
      <c r="D564" s="7"/>
      <c r="E564" s="11">
        <v>562</v>
      </c>
      <c r="F564" s="8"/>
      <c r="G564" s="8"/>
      <c r="H564" s="9"/>
      <c r="I564" s="10"/>
      <c r="J564" s="9"/>
      <c r="K564" s="10"/>
      <c r="L564" s="8"/>
      <c r="M564" s="8"/>
      <c r="N564" s="10"/>
      <c r="O564" s="10"/>
    </row>
    <row r="565" spans="1:15" ht="42.75" customHeight="1" x14ac:dyDescent="0.25">
      <c r="A565" s="7"/>
      <c r="B565" s="7"/>
      <c r="C565" s="7"/>
      <c r="D565" s="7"/>
      <c r="E565" s="11">
        <v>563</v>
      </c>
      <c r="F565" s="8"/>
      <c r="G565" s="8"/>
      <c r="H565" s="9"/>
      <c r="I565" s="10"/>
      <c r="J565" s="9"/>
      <c r="K565" s="10"/>
      <c r="L565" s="8"/>
      <c r="M565" s="8"/>
      <c r="N565" s="10"/>
      <c r="O565" s="10"/>
    </row>
    <row r="566" spans="1:15" ht="42.75" customHeight="1" x14ac:dyDescent="0.25">
      <c r="A566" s="7"/>
      <c r="B566" s="7"/>
      <c r="C566" s="7"/>
      <c r="D566" s="7"/>
      <c r="E566" s="11">
        <v>564</v>
      </c>
      <c r="F566" s="8"/>
      <c r="G566" s="8"/>
      <c r="H566" s="9"/>
      <c r="I566" s="10"/>
      <c r="J566" s="9"/>
      <c r="K566" s="10"/>
      <c r="L566" s="8"/>
      <c r="M566" s="8"/>
      <c r="N566" s="10"/>
      <c r="O566" s="10"/>
    </row>
    <row r="567" spans="1:15" ht="42.75" customHeight="1" x14ac:dyDescent="0.25">
      <c r="A567" s="7"/>
      <c r="B567" s="7"/>
      <c r="C567" s="7"/>
      <c r="D567" s="7"/>
      <c r="E567" s="11">
        <v>565</v>
      </c>
      <c r="F567" s="8"/>
      <c r="G567" s="8"/>
      <c r="H567" s="9"/>
      <c r="I567" s="10"/>
      <c r="J567" s="9"/>
      <c r="K567" s="10"/>
      <c r="L567" s="8"/>
      <c r="M567" s="8"/>
      <c r="N567" s="10"/>
      <c r="O567" s="10"/>
    </row>
    <row r="568" spans="1:15" ht="42.75" customHeight="1" x14ac:dyDescent="0.25">
      <c r="A568" s="7"/>
      <c r="B568" s="7"/>
      <c r="C568" s="7"/>
      <c r="D568" s="7"/>
      <c r="E568" s="11">
        <v>566</v>
      </c>
      <c r="F568" s="8"/>
      <c r="G568" s="8"/>
      <c r="H568" s="9"/>
      <c r="I568" s="10"/>
      <c r="J568" s="9"/>
      <c r="K568" s="10"/>
      <c r="L568" s="8"/>
      <c r="M568" s="8"/>
      <c r="N568" s="10"/>
      <c r="O568" s="10"/>
    </row>
    <row r="569" spans="1:15" ht="42.75" customHeight="1" x14ac:dyDescent="0.25">
      <c r="A569" s="7"/>
      <c r="B569" s="7"/>
      <c r="C569" s="7"/>
      <c r="D569" s="7"/>
      <c r="E569" s="11">
        <v>567</v>
      </c>
      <c r="F569" s="8"/>
      <c r="G569" s="8"/>
      <c r="H569" s="9"/>
      <c r="I569" s="10"/>
      <c r="J569" s="9"/>
      <c r="K569" s="10"/>
      <c r="L569" s="8"/>
      <c r="M569" s="8"/>
      <c r="N569" s="10"/>
      <c r="O569" s="10"/>
    </row>
    <row r="570" spans="1:15" ht="42.75" customHeight="1" x14ac:dyDescent="0.25">
      <c r="A570" s="7"/>
      <c r="B570" s="7"/>
      <c r="C570" s="7"/>
      <c r="D570" s="7"/>
      <c r="E570" s="11">
        <v>568</v>
      </c>
      <c r="F570" s="8"/>
      <c r="G570" s="8"/>
      <c r="H570" s="9"/>
      <c r="I570" s="10"/>
      <c r="J570" s="9"/>
      <c r="K570" s="10"/>
      <c r="L570" s="8"/>
      <c r="M570" s="8"/>
      <c r="N570" s="10"/>
      <c r="O570" s="10"/>
    </row>
    <row r="571" spans="1:15" ht="42.75" customHeight="1" x14ac:dyDescent="0.25">
      <c r="A571" s="7"/>
      <c r="B571" s="7"/>
      <c r="C571" s="7"/>
      <c r="D571" s="7"/>
      <c r="E571" s="11">
        <v>569</v>
      </c>
      <c r="F571" s="8"/>
      <c r="G571" s="8"/>
      <c r="H571" s="9"/>
      <c r="I571" s="10"/>
      <c r="J571" s="9"/>
      <c r="K571" s="10"/>
      <c r="L571" s="8"/>
      <c r="M571" s="8"/>
      <c r="N571" s="10"/>
      <c r="O571" s="10"/>
    </row>
    <row r="572" spans="1:15" ht="42.75" customHeight="1" x14ac:dyDescent="0.25">
      <c r="A572" s="7"/>
      <c r="B572" s="7"/>
      <c r="C572" s="7"/>
      <c r="D572" s="7"/>
      <c r="E572" s="11">
        <v>570</v>
      </c>
      <c r="F572" s="8"/>
      <c r="G572" s="8"/>
      <c r="H572" s="9"/>
      <c r="I572" s="10"/>
      <c r="J572" s="9"/>
      <c r="K572" s="10"/>
      <c r="L572" s="8"/>
      <c r="M572" s="8"/>
      <c r="N572" s="10"/>
      <c r="O572" s="10"/>
    </row>
    <row r="573" spans="1:15" ht="42.75" customHeight="1" x14ac:dyDescent="0.25">
      <c r="A573" s="7"/>
      <c r="B573" s="7"/>
      <c r="C573" s="7"/>
      <c r="D573" s="7"/>
      <c r="E573" s="11">
        <v>571</v>
      </c>
      <c r="F573" s="8"/>
      <c r="G573" s="8"/>
      <c r="H573" s="9"/>
      <c r="I573" s="10"/>
      <c r="J573" s="9"/>
      <c r="K573" s="10"/>
      <c r="L573" s="8"/>
      <c r="M573" s="8"/>
      <c r="N573" s="10"/>
      <c r="O573" s="10"/>
    </row>
    <row r="574" spans="1:15" ht="42.75" customHeight="1" x14ac:dyDescent="0.25">
      <c r="A574" s="7"/>
      <c r="B574" s="7"/>
      <c r="C574" s="7"/>
      <c r="D574" s="7"/>
      <c r="E574" s="11">
        <v>572</v>
      </c>
      <c r="F574" s="8"/>
      <c r="G574" s="8"/>
      <c r="H574" s="9"/>
      <c r="I574" s="10"/>
      <c r="J574" s="9"/>
      <c r="K574" s="10"/>
      <c r="L574" s="8"/>
      <c r="M574" s="8"/>
      <c r="N574" s="10"/>
      <c r="O574" s="10"/>
    </row>
    <row r="575" spans="1:15" ht="42.75" customHeight="1" x14ac:dyDescent="0.25">
      <c r="A575" s="7"/>
      <c r="B575" s="7"/>
      <c r="C575" s="7"/>
      <c r="D575" s="7"/>
      <c r="E575" s="11">
        <v>573</v>
      </c>
      <c r="F575" s="8"/>
      <c r="G575" s="8"/>
      <c r="H575" s="9"/>
      <c r="I575" s="10"/>
      <c r="J575" s="9"/>
      <c r="K575" s="10"/>
      <c r="L575" s="8"/>
      <c r="M575" s="8"/>
      <c r="N575" s="10"/>
      <c r="O575" s="10"/>
    </row>
    <row r="576" spans="1:15" ht="42.75" customHeight="1" x14ac:dyDescent="0.25">
      <c r="A576" s="7"/>
      <c r="B576" s="7"/>
      <c r="C576" s="7"/>
      <c r="D576" s="7"/>
      <c r="E576" s="11">
        <v>574</v>
      </c>
      <c r="F576" s="8"/>
      <c r="G576" s="8"/>
      <c r="H576" s="9"/>
      <c r="I576" s="10"/>
      <c r="J576" s="9"/>
      <c r="K576" s="10"/>
      <c r="L576" s="8"/>
      <c r="M576" s="8"/>
      <c r="N576" s="10"/>
      <c r="O576" s="10"/>
    </row>
    <row r="577" spans="1:15" ht="42.75" customHeight="1" x14ac:dyDescent="0.25">
      <c r="A577" s="7"/>
      <c r="B577" s="7"/>
      <c r="C577" s="7"/>
      <c r="D577" s="7"/>
      <c r="E577" s="11">
        <v>575</v>
      </c>
      <c r="F577" s="8"/>
      <c r="G577" s="8"/>
      <c r="H577" s="9"/>
      <c r="I577" s="10"/>
      <c r="J577" s="9"/>
      <c r="K577" s="10"/>
      <c r="L577" s="8"/>
      <c r="M577" s="8"/>
      <c r="N577" s="10"/>
      <c r="O577" s="10"/>
    </row>
    <row r="578" spans="1:15" ht="42.75" customHeight="1" x14ac:dyDescent="0.25">
      <c r="A578" s="7"/>
      <c r="B578" s="7"/>
      <c r="C578" s="7"/>
      <c r="D578" s="7"/>
      <c r="E578" s="11">
        <v>576</v>
      </c>
      <c r="F578" s="8"/>
      <c r="G578" s="8"/>
      <c r="H578" s="9"/>
      <c r="I578" s="10"/>
      <c r="J578" s="9"/>
      <c r="K578" s="10"/>
      <c r="L578" s="8"/>
      <c r="M578" s="8"/>
      <c r="N578" s="10"/>
      <c r="O578" s="10"/>
    </row>
    <row r="579" spans="1:15" ht="42.75" customHeight="1" x14ac:dyDescent="0.25">
      <c r="A579" s="7"/>
      <c r="B579" s="7"/>
      <c r="C579" s="7"/>
      <c r="D579" s="7"/>
      <c r="E579" s="11">
        <v>577</v>
      </c>
      <c r="F579" s="8"/>
      <c r="G579" s="8"/>
      <c r="H579" s="9"/>
      <c r="I579" s="10"/>
      <c r="J579" s="9"/>
      <c r="K579" s="10"/>
      <c r="L579" s="8"/>
      <c r="M579" s="8"/>
      <c r="N579" s="10"/>
      <c r="O579" s="10"/>
    </row>
    <row r="580" spans="1:15" ht="42.75" customHeight="1" x14ac:dyDescent="0.25">
      <c r="A580" s="7"/>
      <c r="B580" s="7"/>
      <c r="C580" s="7"/>
      <c r="D580" s="7"/>
      <c r="E580" s="11">
        <v>578</v>
      </c>
      <c r="F580" s="8"/>
      <c r="G580" s="8"/>
      <c r="H580" s="9"/>
      <c r="I580" s="10"/>
      <c r="J580" s="9"/>
      <c r="K580" s="10"/>
      <c r="L580" s="8"/>
      <c r="M580" s="8"/>
      <c r="N580" s="10"/>
      <c r="O580" s="10"/>
    </row>
    <row r="581" spans="1:15" ht="42.75" customHeight="1" x14ac:dyDescent="0.25">
      <c r="A581" s="7"/>
      <c r="B581" s="7"/>
      <c r="C581" s="7"/>
      <c r="D581" s="7"/>
      <c r="E581" s="11">
        <v>579</v>
      </c>
      <c r="F581" s="8"/>
      <c r="G581" s="8"/>
      <c r="H581" s="9"/>
      <c r="I581" s="10"/>
      <c r="J581" s="9"/>
      <c r="K581" s="10"/>
      <c r="L581" s="8"/>
      <c r="M581" s="8"/>
      <c r="N581" s="10"/>
      <c r="O581" s="10"/>
    </row>
    <row r="582" spans="1:15" ht="42.75" customHeight="1" x14ac:dyDescent="0.25">
      <c r="A582" s="7"/>
      <c r="B582" s="7"/>
      <c r="C582" s="7"/>
      <c r="D582" s="7"/>
      <c r="E582" s="11">
        <v>580</v>
      </c>
      <c r="F582" s="8"/>
      <c r="G582" s="8"/>
      <c r="H582" s="9"/>
      <c r="I582" s="10"/>
      <c r="J582" s="9"/>
      <c r="K582" s="10"/>
      <c r="L582" s="8"/>
      <c r="M582" s="8"/>
      <c r="N582" s="10"/>
      <c r="O582" s="10"/>
    </row>
    <row r="583" spans="1:15" ht="42.75" customHeight="1" x14ac:dyDescent="0.25">
      <c r="A583" s="7"/>
      <c r="B583" s="7"/>
      <c r="C583" s="7"/>
      <c r="D583" s="7"/>
      <c r="E583" s="11">
        <v>581</v>
      </c>
      <c r="F583" s="8"/>
      <c r="G583" s="8"/>
      <c r="H583" s="9"/>
      <c r="I583" s="10"/>
      <c r="J583" s="9"/>
      <c r="K583" s="10"/>
      <c r="L583" s="8"/>
      <c r="M583" s="8"/>
      <c r="N583" s="10"/>
      <c r="O583" s="10"/>
    </row>
    <row r="584" spans="1:15" ht="42.75" customHeight="1" x14ac:dyDescent="0.25">
      <c r="A584" s="7"/>
      <c r="B584" s="7"/>
      <c r="C584" s="7"/>
      <c r="D584" s="7"/>
      <c r="E584" s="11">
        <v>582</v>
      </c>
      <c r="F584" s="8"/>
      <c r="G584" s="8"/>
      <c r="H584" s="9"/>
      <c r="I584" s="10"/>
      <c r="J584" s="9"/>
      <c r="K584" s="10"/>
      <c r="L584" s="8"/>
      <c r="M584" s="8"/>
      <c r="N584" s="10"/>
      <c r="O584" s="10"/>
    </row>
    <row r="585" spans="1:15" ht="42.75" customHeight="1" x14ac:dyDescent="0.25">
      <c r="A585" s="7"/>
      <c r="B585" s="7"/>
      <c r="C585" s="7"/>
      <c r="D585" s="7"/>
      <c r="E585" s="11">
        <v>583</v>
      </c>
      <c r="F585" s="8"/>
      <c r="G585" s="8"/>
      <c r="H585" s="9"/>
      <c r="I585" s="10"/>
      <c r="J585" s="9"/>
      <c r="K585" s="10"/>
      <c r="L585" s="8"/>
      <c r="M585" s="8"/>
      <c r="N585" s="10"/>
      <c r="O585" s="10"/>
    </row>
    <row r="586" spans="1:15" ht="42.75" customHeight="1" x14ac:dyDescent="0.25">
      <c r="A586" s="7"/>
      <c r="B586" s="7"/>
      <c r="C586" s="7"/>
      <c r="D586" s="7"/>
      <c r="E586" s="11">
        <v>584</v>
      </c>
      <c r="F586" s="8"/>
      <c r="G586" s="8"/>
      <c r="H586" s="9"/>
      <c r="I586" s="10"/>
      <c r="J586" s="9"/>
      <c r="K586" s="10"/>
      <c r="L586" s="8"/>
      <c r="M586" s="8"/>
      <c r="N586" s="10"/>
      <c r="O586" s="10"/>
    </row>
    <row r="587" spans="1:15" ht="42.75" customHeight="1" x14ac:dyDescent="0.25">
      <c r="A587" s="7"/>
      <c r="B587" s="7"/>
      <c r="C587" s="7"/>
      <c r="D587" s="7"/>
      <c r="E587" s="11">
        <v>585</v>
      </c>
      <c r="F587" s="8"/>
      <c r="G587" s="8"/>
      <c r="H587" s="9"/>
      <c r="I587" s="10"/>
      <c r="J587" s="9"/>
      <c r="K587" s="10"/>
      <c r="L587" s="8"/>
      <c r="M587" s="8"/>
      <c r="N587" s="10"/>
      <c r="O587" s="10"/>
    </row>
    <row r="588" spans="1:15" ht="42.75" customHeight="1" x14ac:dyDescent="0.25">
      <c r="A588" s="7"/>
      <c r="B588" s="7"/>
      <c r="C588" s="7"/>
      <c r="D588" s="7"/>
      <c r="E588" s="11">
        <v>586</v>
      </c>
      <c r="F588" s="8"/>
      <c r="G588" s="8"/>
      <c r="H588" s="9"/>
      <c r="I588" s="10"/>
      <c r="J588" s="9"/>
      <c r="K588" s="10"/>
      <c r="L588" s="8"/>
      <c r="M588" s="8"/>
      <c r="N588" s="10"/>
      <c r="O588" s="10"/>
    </row>
    <row r="589" spans="1:15" ht="42.75" customHeight="1" x14ac:dyDescent="0.25">
      <c r="A589" s="7"/>
      <c r="B589" s="7"/>
      <c r="C589" s="7"/>
      <c r="D589" s="7"/>
      <c r="E589" s="11">
        <v>587</v>
      </c>
      <c r="F589" s="8"/>
      <c r="G589" s="8"/>
      <c r="H589" s="9"/>
      <c r="I589" s="10"/>
      <c r="J589" s="9"/>
      <c r="K589" s="10"/>
      <c r="L589" s="8"/>
      <c r="M589" s="8"/>
      <c r="N589" s="10"/>
      <c r="O589" s="10"/>
    </row>
    <row r="590" spans="1:15" ht="42.75" customHeight="1" x14ac:dyDescent="0.25">
      <c r="A590" s="7"/>
      <c r="B590" s="7"/>
      <c r="C590" s="7"/>
      <c r="D590" s="7"/>
      <c r="E590" s="11">
        <v>588</v>
      </c>
      <c r="F590" s="8"/>
      <c r="G590" s="8"/>
      <c r="H590" s="9"/>
      <c r="I590" s="10"/>
      <c r="J590" s="9"/>
      <c r="K590" s="10"/>
      <c r="L590" s="8"/>
      <c r="M590" s="8"/>
      <c r="N590" s="10"/>
      <c r="O590" s="10"/>
    </row>
    <row r="591" spans="1:15" ht="42.75" customHeight="1" x14ac:dyDescent="0.25">
      <c r="A591" s="7"/>
      <c r="B591" s="7"/>
      <c r="C591" s="7"/>
      <c r="D591" s="7"/>
      <c r="E591" s="11">
        <v>589</v>
      </c>
      <c r="F591" s="8"/>
      <c r="G591" s="8"/>
      <c r="H591" s="9"/>
      <c r="I591" s="10"/>
      <c r="J591" s="9"/>
      <c r="K591" s="10"/>
      <c r="L591" s="8"/>
      <c r="M591" s="8"/>
      <c r="N591" s="10"/>
      <c r="O591" s="10"/>
    </row>
    <row r="592" spans="1:15" ht="42.75" customHeight="1" x14ac:dyDescent="0.25">
      <c r="A592" s="7"/>
      <c r="B592" s="7"/>
      <c r="C592" s="7"/>
      <c r="D592" s="7"/>
      <c r="E592" s="11">
        <v>590</v>
      </c>
      <c r="F592" s="8"/>
      <c r="G592" s="8"/>
      <c r="H592" s="9"/>
      <c r="I592" s="10"/>
      <c r="J592" s="9"/>
      <c r="K592" s="10"/>
      <c r="L592" s="8"/>
      <c r="M592" s="8"/>
      <c r="N592" s="10"/>
      <c r="O592" s="10"/>
    </row>
    <row r="593" spans="1:15" ht="42.75" customHeight="1" x14ac:dyDescent="0.25">
      <c r="A593" s="7"/>
      <c r="B593" s="7"/>
      <c r="C593" s="7"/>
      <c r="D593" s="7"/>
      <c r="E593" s="11">
        <v>591</v>
      </c>
      <c r="F593" s="8"/>
      <c r="G593" s="8"/>
      <c r="H593" s="9"/>
      <c r="I593" s="10"/>
      <c r="J593" s="9"/>
      <c r="K593" s="10"/>
      <c r="L593" s="8"/>
      <c r="M593" s="8"/>
      <c r="N593" s="10"/>
      <c r="O593" s="10"/>
    </row>
    <row r="594" spans="1:15" ht="42.75" customHeight="1" x14ac:dyDescent="0.25">
      <c r="A594" s="7"/>
      <c r="B594" s="7"/>
      <c r="C594" s="7"/>
      <c r="D594" s="7"/>
      <c r="E594" s="11">
        <v>592</v>
      </c>
      <c r="F594" s="8"/>
      <c r="G594" s="8"/>
      <c r="H594" s="9"/>
      <c r="I594" s="10"/>
      <c r="J594" s="9"/>
      <c r="K594" s="10"/>
      <c r="L594" s="8"/>
      <c r="M594" s="8"/>
      <c r="N594" s="10"/>
      <c r="O594" s="10"/>
    </row>
    <row r="595" spans="1:15" ht="42.75" customHeight="1" x14ac:dyDescent="0.25">
      <c r="A595" s="7"/>
      <c r="B595" s="7"/>
      <c r="C595" s="7"/>
      <c r="D595" s="7"/>
      <c r="E595" s="11">
        <v>593</v>
      </c>
      <c r="F595" s="8"/>
      <c r="G595" s="8"/>
      <c r="H595" s="9"/>
      <c r="I595" s="10"/>
      <c r="J595" s="9"/>
      <c r="K595" s="10"/>
      <c r="L595" s="8"/>
      <c r="M595" s="8"/>
      <c r="N595" s="10"/>
      <c r="O595" s="10"/>
    </row>
    <row r="596" spans="1:15" ht="42.75" customHeight="1" x14ac:dyDescent="0.25">
      <c r="A596" s="7"/>
      <c r="B596" s="7"/>
      <c r="C596" s="7"/>
      <c r="D596" s="7"/>
      <c r="E596" s="11">
        <v>594</v>
      </c>
      <c r="F596" s="8"/>
      <c r="G596" s="8"/>
      <c r="H596" s="9"/>
      <c r="I596" s="10"/>
      <c r="J596" s="9"/>
      <c r="K596" s="10"/>
      <c r="L596" s="8"/>
      <c r="M596" s="8"/>
      <c r="N596" s="10"/>
      <c r="O596" s="10"/>
    </row>
    <row r="597" spans="1:15" ht="42.75" customHeight="1" x14ac:dyDescent="0.25">
      <c r="A597" s="7"/>
      <c r="B597" s="7"/>
      <c r="C597" s="7"/>
      <c r="D597" s="7"/>
      <c r="E597" s="11">
        <v>595</v>
      </c>
      <c r="F597" s="8"/>
      <c r="G597" s="8"/>
      <c r="H597" s="9"/>
      <c r="I597" s="10"/>
      <c r="J597" s="9"/>
      <c r="K597" s="10"/>
      <c r="L597" s="8"/>
      <c r="M597" s="8"/>
      <c r="N597" s="10"/>
      <c r="O597" s="10"/>
    </row>
    <row r="598" spans="1:15" ht="42.75" customHeight="1" x14ac:dyDescent="0.25">
      <c r="A598" s="7"/>
      <c r="B598" s="7"/>
      <c r="C598" s="7"/>
      <c r="D598" s="7"/>
      <c r="E598" s="11">
        <v>596</v>
      </c>
      <c r="F598" s="8"/>
      <c r="G598" s="8"/>
      <c r="H598" s="9"/>
      <c r="I598" s="10"/>
      <c r="J598" s="9"/>
      <c r="K598" s="10"/>
      <c r="L598" s="8"/>
      <c r="M598" s="8"/>
      <c r="N598" s="10"/>
      <c r="O598" s="10"/>
    </row>
    <row r="599" spans="1:15" ht="42.75" customHeight="1" x14ac:dyDescent="0.25">
      <c r="A599" s="7"/>
      <c r="B599" s="7"/>
      <c r="C599" s="7"/>
      <c r="D599" s="7"/>
      <c r="E599" s="11">
        <v>597</v>
      </c>
      <c r="F599" s="8"/>
      <c r="G599" s="8"/>
      <c r="H599" s="9"/>
      <c r="I599" s="10"/>
      <c r="J599" s="9"/>
      <c r="K599" s="10"/>
      <c r="L599" s="8"/>
      <c r="M599" s="8"/>
      <c r="N599" s="10"/>
      <c r="O599" s="10"/>
    </row>
    <row r="600" spans="1:15" ht="42.75" customHeight="1" x14ac:dyDescent="0.25">
      <c r="A600" s="7"/>
      <c r="B600" s="7"/>
      <c r="C600" s="7"/>
      <c r="D600" s="7"/>
      <c r="E600" s="11">
        <v>598</v>
      </c>
      <c r="F600" s="8"/>
      <c r="G600" s="8"/>
      <c r="H600" s="9"/>
      <c r="I600" s="10"/>
      <c r="J600" s="9"/>
      <c r="K600" s="10"/>
      <c r="L600" s="8"/>
      <c r="M600" s="8"/>
      <c r="N600" s="10"/>
      <c r="O600" s="10"/>
    </row>
    <row r="601" spans="1:15" ht="42.75" customHeight="1" x14ac:dyDescent="0.25">
      <c r="A601" s="7"/>
      <c r="B601" s="7"/>
      <c r="C601" s="7"/>
      <c r="D601" s="7"/>
      <c r="E601" s="11">
        <v>599</v>
      </c>
      <c r="F601" s="8"/>
      <c r="G601" s="8"/>
      <c r="H601" s="9"/>
      <c r="I601" s="10"/>
      <c r="J601" s="9"/>
      <c r="K601" s="10"/>
      <c r="L601" s="8"/>
      <c r="M601" s="8"/>
      <c r="N601" s="10"/>
      <c r="O601" s="10"/>
    </row>
    <row r="602" spans="1:15" ht="42.75" customHeight="1" x14ac:dyDescent="0.25">
      <c r="A602" s="7"/>
      <c r="B602" s="7"/>
      <c r="C602" s="7"/>
      <c r="D602" s="7"/>
      <c r="E602" s="11">
        <v>600</v>
      </c>
      <c r="F602" s="8"/>
      <c r="G602" s="8"/>
      <c r="H602" s="9"/>
      <c r="I602" s="10"/>
      <c r="J602" s="9"/>
      <c r="K602" s="10"/>
      <c r="L602" s="8"/>
      <c r="M602" s="8"/>
      <c r="N602" s="10"/>
      <c r="O602" s="10"/>
    </row>
    <row r="603" spans="1:15" ht="42.75" customHeight="1" x14ac:dyDescent="0.25">
      <c r="A603" s="7"/>
      <c r="B603" s="7"/>
      <c r="C603" s="7"/>
      <c r="D603" s="7"/>
      <c r="E603" s="11">
        <v>601</v>
      </c>
      <c r="F603" s="8"/>
      <c r="G603" s="8"/>
      <c r="H603" s="9"/>
      <c r="I603" s="10"/>
      <c r="J603" s="9"/>
      <c r="K603" s="10"/>
      <c r="L603" s="8"/>
      <c r="M603" s="8"/>
      <c r="N603" s="10"/>
      <c r="O603" s="10"/>
    </row>
    <row r="604" spans="1:15" ht="42.75" customHeight="1" x14ac:dyDescent="0.25">
      <c r="A604" s="7"/>
      <c r="B604" s="7"/>
      <c r="C604" s="7"/>
      <c r="D604" s="7"/>
      <c r="E604" s="11">
        <v>602</v>
      </c>
      <c r="F604" s="8"/>
      <c r="G604" s="8"/>
      <c r="H604" s="9"/>
      <c r="I604" s="10"/>
      <c r="J604" s="9"/>
      <c r="K604" s="10"/>
      <c r="L604" s="8"/>
      <c r="M604" s="8"/>
      <c r="N604" s="10"/>
      <c r="O604" s="10"/>
    </row>
    <row r="605" spans="1:15" ht="42.75" customHeight="1" x14ac:dyDescent="0.25">
      <c r="A605" s="7"/>
      <c r="B605" s="7"/>
      <c r="C605" s="7"/>
      <c r="D605" s="7"/>
      <c r="E605" s="11">
        <v>603</v>
      </c>
      <c r="F605" s="8"/>
      <c r="G605" s="8"/>
      <c r="H605" s="9"/>
      <c r="I605" s="10"/>
      <c r="J605" s="9"/>
      <c r="K605" s="10"/>
      <c r="L605" s="8"/>
      <c r="M605" s="8"/>
      <c r="N605" s="10"/>
      <c r="O605" s="10"/>
    </row>
    <row r="606" spans="1:15" ht="42.75" customHeight="1" x14ac:dyDescent="0.25">
      <c r="A606" s="7"/>
      <c r="B606" s="7"/>
      <c r="C606" s="7"/>
      <c r="D606" s="7"/>
      <c r="E606" s="11">
        <v>604</v>
      </c>
      <c r="F606" s="8"/>
      <c r="G606" s="8"/>
      <c r="H606" s="9"/>
      <c r="I606" s="10"/>
      <c r="J606" s="9"/>
      <c r="K606" s="10"/>
      <c r="L606" s="8"/>
      <c r="M606" s="8"/>
      <c r="N606" s="10"/>
      <c r="O606" s="10"/>
    </row>
    <row r="607" spans="1:15" ht="42.75" customHeight="1" x14ac:dyDescent="0.25">
      <c r="A607" s="7"/>
      <c r="B607" s="7"/>
      <c r="C607" s="7"/>
      <c r="D607" s="7"/>
      <c r="E607" s="11">
        <v>605</v>
      </c>
      <c r="F607" s="8"/>
      <c r="G607" s="8"/>
      <c r="H607" s="9"/>
      <c r="I607" s="10"/>
      <c r="J607" s="9"/>
      <c r="K607" s="10"/>
      <c r="L607" s="8"/>
      <c r="M607" s="8"/>
      <c r="N607" s="10"/>
      <c r="O607" s="10"/>
    </row>
    <row r="608" spans="1:15" ht="42.75" customHeight="1" x14ac:dyDescent="0.25">
      <c r="A608" s="7"/>
      <c r="B608" s="7"/>
      <c r="C608" s="7"/>
      <c r="D608" s="7"/>
      <c r="E608" s="11">
        <v>606</v>
      </c>
      <c r="F608" s="8"/>
      <c r="G608" s="8"/>
      <c r="H608" s="9"/>
      <c r="I608" s="10"/>
      <c r="J608" s="9"/>
      <c r="K608" s="10"/>
      <c r="L608" s="8"/>
      <c r="M608" s="8"/>
      <c r="N608" s="10"/>
      <c r="O608" s="10"/>
    </row>
    <row r="609" spans="1:15" ht="42.75" customHeight="1" x14ac:dyDescent="0.25">
      <c r="A609" s="7"/>
      <c r="B609" s="7"/>
      <c r="C609" s="7"/>
      <c r="D609" s="7"/>
      <c r="E609" s="11">
        <v>607</v>
      </c>
      <c r="F609" s="8"/>
      <c r="G609" s="8"/>
      <c r="H609" s="9"/>
      <c r="I609" s="10"/>
      <c r="J609" s="9"/>
      <c r="K609" s="10"/>
      <c r="L609" s="8"/>
      <c r="M609" s="8"/>
      <c r="N609" s="10"/>
      <c r="O609" s="10"/>
    </row>
    <row r="610" spans="1:15" ht="42.75" customHeight="1" x14ac:dyDescent="0.25">
      <c r="A610" s="7"/>
      <c r="B610" s="7"/>
      <c r="C610" s="7"/>
      <c r="D610" s="7"/>
      <c r="E610" s="11">
        <v>608</v>
      </c>
      <c r="F610" s="8"/>
      <c r="G610" s="8"/>
      <c r="H610" s="9"/>
      <c r="I610" s="10"/>
      <c r="J610" s="9"/>
      <c r="K610" s="10"/>
      <c r="L610" s="8"/>
      <c r="M610" s="8"/>
      <c r="N610" s="10"/>
      <c r="O610" s="10"/>
    </row>
    <row r="611" spans="1:15" ht="42.75" customHeight="1" x14ac:dyDescent="0.25">
      <c r="A611" s="7"/>
      <c r="B611" s="7"/>
      <c r="C611" s="7"/>
      <c r="D611" s="7"/>
      <c r="E611" s="11">
        <v>609</v>
      </c>
      <c r="F611" s="8"/>
      <c r="G611" s="8"/>
      <c r="H611" s="9"/>
      <c r="I611" s="10"/>
      <c r="J611" s="9"/>
      <c r="K611" s="10"/>
      <c r="L611" s="8"/>
      <c r="M611" s="8"/>
      <c r="N611" s="10"/>
      <c r="O611" s="10"/>
    </row>
    <row r="612" spans="1:15" ht="42.75" customHeight="1" x14ac:dyDescent="0.25">
      <c r="A612" s="7"/>
      <c r="B612" s="7"/>
      <c r="C612" s="7"/>
      <c r="D612" s="7"/>
      <c r="E612" s="11">
        <v>610</v>
      </c>
      <c r="F612" s="8"/>
      <c r="G612" s="8"/>
      <c r="H612" s="9"/>
      <c r="I612" s="10"/>
      <c r="J612" s="9"/>
      <c r="K612" s="10"/>
      <c r="L612" s="8"/>
      <c r="M612" s="8"/>
      <c r="N612" s="10"/>
      <c r="O612" s="10"/>
    </row>
    <row r="613" spans="1:15" ht="42.75" customHeight="1" x14ac:dyDescent="0.25">
      <c r="A613" s="7"/>
      <c r="B613" s="7"/>
      <c r="C613" s="7"/>
      <c r="D613" s="7"/>
      <c r="E613" s="11">
        <v>611</v>
      </c>
      <c r="F613" s="8"/>
      <c r="G613" s="8"/>
      <c r="H613" s="9"/>
      <c r="I613" s="10"/>
      <c r="J613" s="9"/>
      <c r="K613" s="10"/>
      <c r="L613" s="8"/>
      <c r="M613" s="8"/>
      <c r="N613" s="10"/>
      <c r="O613" s="10"/>
    </row>
    <row r="614" spans="1:15" ht="42.75" customHeight="1" x14ac:dyDescent="0.25">
      <c r="A614" s="7"/>
      <c r="B614" s="7"/>
      <c r="C614" s="7"/>
      <c r="D614" s="7"/>
      <c r="E614" s="11">
        <v>612</v>
      </c>
      <c r="F614" s="8"/>
      <c r="G614" s="8"/>
      <c r="H614" s="9"/>
      <c r="I614" s="10"/>
      <c r="J614" s="9"/>
      <c r="K614" s="10"/>
      <c r="L614" s="8"/>
      <c r="M614" s="8"/>
      <c r="N614" s="10"/>
      <c r="O614" s="10"/>
    </row>
    <row r="615" spans="1:15" ht="42.75" customHeight="1" x14ac:dyDescent="0.25">
      <c r="A615" s="7"/>
      <c r="B615" s="7"/>
      <c r="C615" s="7"/>
      <c r="D615" s="7"/>
      <c r="E615" s="11">
        <v>613</v>
      </c>
      <c r="F615" s="8"/>
      <c r="G615" s="8"/>
      <c r="H615" s="9"/>
      <c r="I615" s="10"/>
      <c r="J615" s="9"/>
      <c r="K615" s="10"/>
      <c r="L615" s="8"/>
      <c r="M615" s="8"/>
      <c r="N615" s="10"/>
      <c r="O615" s="10"/>
    </row>
    <row r="616" spans="1:15" ht="42.75" customHeight="1" x14ac:dyDescent="0.25">
      <c r="A616" s="7"/>
      <c r="B616" s="7"/>
      <c r="C616" s="7"/>
      <c r="D616" s="7"/>
      <c r="E616" s="11">
        <v>614</v>
      </c>
      <c r="F616" s="8"/>
      <c r="G616" s="8"/>
      <c r="H616" s="9"/>
      <c r="I616" s="10"/>
      <c r="J616" s="9"/>
      <c r="K616" s="10"/>
      <c r="L616" s="8"/>
      <c r="M616" s="8"/>
      <c r="N616" s="10"/>
      <c r="O616" s="10"/>
    </row>
    <row r="617" spans="1:15" ht="42.75" customHeight="1" x14ac:dyDescent="0.25">
      <c r="A617" s="7"/>
      <c r="B617" s="7"/>
      <c r="C617" s="7"/>
      <c r="D617" s="7"/>
      <c r="E617" s="11">
        <v>615</v>
      </c>
      <c r="F617" s="8"/>
      <c r="G617" s="8"/>
      <c r="H617" s="9"/>
      <c r="I617" s="10"/>
      <c r="J617" s="9"/>
      <c r="K617" s="10"/>
      <c r="L617" s="8"/>
      <c r="M617" s="8"/>
      <c r="N617" s="10"/>
      <c r="O617" s="10"/>
    </row>
    <row r="618" spans="1:15" ht="42.75" customHeight="1" x14ac:dyDescent="0.25">
      <c r="A618" s="7"/>
      <c r="B618" s="7"/>
      <c r="C618" s="7"/>
      <c r="D618" s="7"/>
      <c r="E618" s="11">
        <v>616</v>
      </c>
      <c r="F618" s="8"/>
      <c r="G618" s="8"/>
      <c r="H618" s="9"/>
      <c r="I618" s="10"/>
      <c r="J618" s="9"/>
      <c r="K618" s="10"/>
      <c r="L618" s="8"/>
      <c r="M618" s="8"/>
      <c r="N618" s="10"/>
      <c r="O618" s="10"/>
    </row>
    <row r="619" spans="1:15" ht="42.75" customHeight="1" x14ac:dyDescent="0.25">
      <c r="A619" s="7"/>
      <c r="B619" s="7"/>
      <c r="C619" s="7"/>
      <c r="D619" s="7"/>
      <c r="E619" s="11">
        <v>617</v>
      </c>
      <c r="F619" s="8"/>
      <c r="G619" s="8"/>
      <c r="H619" s="9"/>
      <c r="I619" s="10"/>
      <c r="J619" s="9"/>
      <c r="K619" s="10"/>
      <c r="L619" s="8"/>
      <c r="M619" s="8"/>
      <c r="N619" s="10"/>
      <c r="O619" s="10"/>
    </row>
    <row r="620" spans="1:15" ht="42.75" customHeight="1" x14ac:dyDescent="0.25">
      <c r="A620" s="7"/>
      <c r="B620" s="7"/>
      <c r="C620" s="7"/>
      <c r="D620" s="7"/>
      <c r="E620" s="11">
        <v>618</v>
      </c>
      <c r="F620" s="8"/>
      <c r="G620" s="8"/>
      <c r="H620" s="9"/>
      <c r="I620" s="10"/>
      <c r="J620" s="9"/>
      <c r="K620" s="10"/>
      <c r="L620" s="8"/>
      <c r="M620" s="8"/>
      <c r="N620" s="10"/>
      <c r="O620" s="10"/>
    </row>
    <row r="621" spans="1:15" ht="42.75" customHeight="1" x14ac:dyDescent="0.25">
      <c r="A621" s="7"/>
      <c r="B621" s="7"/>
      <c r="C621" s="7"/>
      <c r="D621" s="7"/>
      <c r="E621" s="11">
        <v>619</v>
      </c>
      <c r="F621" s="8"/>
      <c r="G621" s="8"/>
      <c r="H621" s="9"/>
      <c r="I621" s="10"/>
      <c r="J621" s="9"/>
      <c r="K621" s="10"/>
      <c r="L621" s="8"/>
      <c r="M621" s="8"/>
      <c r="N621" s="10"/>
      <c r="O621" s="10"/>
    </row>
    <row r="622" spans="1:15" ht="42.75" customHeight="1" x14ac:dyDescent="0.25">
      <c r="A622" s="7"/>
      <c r="B622" s="7"/>
      <c r="C622" s="7"/>
      <c r="D622" s="7"/>
      <c r="E622" s="11">
        <v>620</v>
      </c>
      <c r="F622" s="8"/>
      <c r="G622" s="8"/>
      <c r="H622" s="9"/>
      <c r="I622" s="10"/>
      <c r="J622" s="9"/>
      <c r="K622" s="10"/>
      <c r="L622" s="8"/>
      <c r="M622" s="8"/>
      <c r="N622" s="10"/>
      <c r="O622" s="10"/>
    </row>
    <row r="623" spans="1:15" ht="42.75" customHeight="1" x14ac:dyDescent="0.25">
      <c r="A623" s="7"/>
      <c r="B623" s="7"/>
      <c r="C623" s="7"/>
      <c r="D623" s="7"/>
      <c r="E623" s="11">
        <v>621</v>
      </c>
      <c r="F623" s="8"/>
      <c r="G623" s="8"/>
      <c r="H623" s="9"/>
      <c r="I623" s="10"/>
      <c r="J623" s="9"/>
      <c r="K623" s="10"/>
      <c r="L623" s="8"/>
      <c r="M623" s="8"/>
      <c r="N623" s="10"/>
      <c r="O623" s="10"/>
    </row>
    <row r="624" spans="1:15" ht="42.75" customHeight="1" x14ac:dyDescent="0.25">
      <c r="A624" s="7"/>
      <c r="B624" s="7"/>
      <c r="C624" s="7"/>
      <c r="D624" s="7"/>
      <c r="E624" s="11">
        <v>622</v>
      </c>
      <c r="F624" s="8"/>
      <c r="G624" s="8"/>
      <c r="H624" s="9"/>
      <c r="I624" s="10"/>
      <c r="J624" s="9"/>
      <c r="K624" s="10"/>
      <c r="L624" s="8"/>
      <c r="M624" s="8"/>
      <c r="N624" s="10"/>
      <c r="O624" s="10"/>
    </row>
    <row r="625" spans="1:15" ht="42.75" customHeight="1" x14ac:dyDescent="0.25">
      <c r="A625" s="7"/>
      <c r="B625" s="7"/>
      <c r="C625" s="7"/>
      <c r="D625" s="7"/>
      <c r="E625" s="11">
        <v>623</v>
      </c>
      <c r="F625" s="8"/>
      <c r="G625" s="8"/>
      <c r="H625" s="9"/>
      <c r="I625" s="10"/>
      <c r="J625" s="9"/>
      <c r="K625" s="10"/>
      <c r="L625" s="8"/>
      <c r="M625" s="8"/>
      <c r="N625" s="10"/>
      <c r="O625" s="10"/>
    </row>
    <row r="626" spans="1:15" ht="42.75" customHeight="1" x14ac:dyDescent="0.25">
      <c r="A626" s="7"/>
      <c r="B626" s="7"/>
      <c r="C626" s="7"/>
      <c r="D626" s="7"/>
      <c r="E626" s="11">
        <v>624</v>
      </c>
      <c r="F626" s="8"/>
      <c r="G626" s="8"/>
      <c r="H626" s="9"/>
      <c r="I626" s="10"/>
      <c r="J626" s="9"/>
      <c r="K626" s="10"/>
      <c r="L626" s="8"/>
      <c r="M626" s="8"/>
      <c r="N626" s="10"/>
      <c r="O626" s="10"/>
    </row>
    <row r="627" spans="1:15" ht="42.75" customHeight="1" x14ac:dyDescent="0.25">
      <c r="A627" s="7"/>
      <c r="B627" s="7"/>
      <c r="C627" s="7"/>
      <c r="D627" s="7"/>
      <c r="E627" s="11">
        <v>625</v>
      </c>
      <c r="F627" s="8"/>
      <c r="G627" s="8"/>
      <c r="H627" s="9"/>
      <c r="I627" s="10"/>
      <c r="J627" s="9"/>
      <c r="K627" s="10"/>
      <c r="L627" s="8"/>
      <c r="M627" s="8"/>
      <c r="N627" s="10"/>
      <c r="O627" s="10"/>
    </row>
    <row r="628" spans="1:15" ht="42.75" customHeight="1" x14ac:dyDescent="0.25">
      <c r="A628" s="7"/>
      <c r="B628" s="7"/>
      <c r="C628" s="7"/>
      <c r="D628" s="7"/>
      <c r="E628" s="11">
        <v>626</v>
      </c>
      <c r="F628" s="8"/>
      <c r="G628" s="8"/>
      <c r="H628" s="9"/>
      <c r="I628" s="10"/>
      <c r="J628" s="9"/>
      <c r="K628" s="10"/>
      <c r="L628" s="8"/>
      <c r="M628" s="8"/>
      <c r="N628" s="10"/>
      <c r="O628" s="10"/>
    </row>
    <row r="629" spans="1:15" ht="42.75" customHeight="1" x14ac:dyDescent="0.25">
      <c r="A629" s="7"/>
      <c r="B629" s="7"/>
      <c r="C629" s="7"/>
      <c r="D629" s="7"/>
      <c r="E629" s="11">
        <v>627</v>
      </c>
      <c r="F629" s="8"/>
      <c r="G629" s="8"/>
      <c r="H629" s="9"/>
      <c r="I629" s="10"/>
      <c r="J629" s="9"/>
      <c r="K629" s="10"/>
      <c r="L629" s="8"/>
      <c r="M629" s="8"/>
      <c r="N629" s="10"/>
      <c r="O629" s="10"/>
    </row>
    <row r="630" spans="1:15" ht="42.75" customHeight="1" x14ac:dyDescent="0.25">
      <c r="A630" s="7"/>
      <c r="B630" s="7"/>
      <c r="C630" s="7"/>
      <c r="D630" s="7"/>
      <c r="E630" s="11">
        <v>628</v>
      </c>
      <c r="F630" s="8"/>
      <c r="G630" s="8"/>
      <c r="H630" s="9"/>
      <c r="I630" s="10"/>
      <c r="J630" s="9"/>
      <c r="K630" s="10"/>
      <c r="L630" s="8"/>
      <c r="M630" s="8"/>
      <c r="N630" s="10"/>
      <c r="O630" s="10"/>
    </row>
    <row r="631" spans="1:15" ht="42.75" customHeight="1" x14ac:dyDescent="0.25">
      <c r="A631" s="7"/>
      <c r="B631" s="7"/>
      <c r="C631" s="7"/>
      <c r="D631" s="7"/>
      <c r="E631" s="11">
        <v>629</v>
      </c>
      <c r="F631" s="8"/>
      <c r="G631" s="8"/>
      <c r="H631" s="9"/>
      <c r="I631" s="10"/>
      <c r="J631" s="9"/>
      <c r="K631" s="10"/>
      <c r="L631" s="8"/>
      <c r="M631" s="8"/>
      <c r="N631" s="10"/>
      <c r="O631" s="10"/>
    </row>
    <row r="632" spans="1:15" ht="42.75" customHeight="1" x14ac:dyDescent="0.25">
      <c r="A632" s="7"/>
      <c r="B632" s="7"/>
      <c r="C632" s="7"/>
      <c r="D632" s="7"/>
      <c r="E632" s="11">
        <v>630</v>
      </c>
      <c r="F632" s="8"/>
      <c r="G632" s="8"/>
      <c r="H632" s="9"/>
      <c r="I632" s="10"/>
      <c r="J632" s="9"/>
      <c r="K632" s="10"/>
      <c r="L632" s="8"/>
      <c r="M632" s="8"/>
      <c r="N632" s="10"/>
      <c r="O632" s="10"/>
    </row>
    <row r="633" spans="1:15" ht="42.75" customHeight="1" x14ac:dyDescent="0.25">
      <c r="A633" s="7"/>
      <c r="B633" s="7"/>
      <c r="C633" s="7"/>
      <c r="D633" s="7"/>
      <c r="E633" s="11">
        <v>631</v>
      </c>
      <c r="F633" s="8"/>
      <c r="G633" s="8"/>
      <c r="H633" s="9"/>
      <c r="I633" s="10"/>
      <c r="J633" s="9"/>
      <c r="K633" s="10"/>
      <c r="L633" s="8"/>
      <c r="M633" s="8"/>
      <c r="N633" s="10"/>
      <c r="O633" s="10"/>
    </row>
    <row r="634" spans="1:15" ht="42.75" customHeight="1" x14ac:dyDescent="0.25">
      <c r="A634" s="7"/>
      <c r="B634" s="7"/>
      <c r="C634" s="7"/>
      <c r="D634" s="7"/>
      <c r="E634" s="11">
        <v>632</v>
      </c>
      <c r="F634" s="8"/>
      <c r="G634" s="8"/>
      <c r="H634" s="9"/>
      <c r="I634" s="10"/>
      <c r="J634" s="9"/>
      <c r="K634" s="10"/>
      <c r="L634" s="8"/>
      <c r="M634" s="8"/>
      <c r="N634" s="10"/>
      <c r="O634" s="10"/>
    </row>
    <row r="635" spans="1:15" ht="42.75" customHeight="1" x14ac:dyDescent="0.25">
      <c r="A635" s="7"/>
      <c r="B635" s="7"/>
      <c r="C635" s="7"/>
      <c r="D635" s="7"/>
      <c r="E635" s="11">
        <v>633</v>
      </c>
      <c r="F635" s="8"/>
      <c r="G635" s="8"/>
      <c r="H635" s="9"/>
      <c r="I635" s="10"/>
      <c r="J635" s="9"/>
      <c r="K635" s="10"/>
      <c r="L635" s="8"/>
      <c r="M635" s="8"/>
      <c r="N635" s="10"/>
      <c r="O635" s="10"/>
    </row>
    <row r="636" spans="1:15" ht="42.75" customHeight="1" x14ac:dyDescent="0.25">
      <c r="A636" s="7"/>
      <c r="B636" s="7"/>
      <c r="C636" s="7"/>
      <c r="D636" s="7"/>
      <c r="E636" s="11">
        <v>634</v>
      </c>
      <c r="F636" s="8"/>
      <c r="G636" s="8"/>
      <c r="H636" s="9"/>
      <c r="I636" s="10"/>
      <c r="J636" s="9"/>
      <c r="K636" s="10"/>
      <c r="L636" s="8"/>
      <c r="M636" s="8"/>
      <c r="N636" s="10"/>
      <c r="O636" s="10"/>
    </row>
    <row r="637" spans="1:15" ht="42.75" customHeight="1" x14ac:dyDescent="0.25">
      <c r="A637" s="7"/>
      <c r="B637" s="7"/>
      <c r="C637" s="7"/>
      <c r="D637" s="7"/>
      <c r="E637" s="11">
        <v>635</v>
      </c>
      <c r="F637" s="8"/>
      <c r="G637" s="8"/>
      <c r="H637" s="9"/>
      <c r="I637" s="10"/>
      <c r="J637" s="9"/>
      <c r="K637" s="10"/>
      <c r="L637" s="8"/>
      <c r="M637" s="8"/>
      <c r="N637" s="10"/>
      <c r="O637" s="10"/>
    </row>
    <row r="638" spans="1:15" ht="42.75" customHeight="1" x14ac:dyDescent="0.25">
      <c r="A638" s="7"/>
      <c r="B638" s="7"/>
      <c r="C638" s="7"/>
      <c r="D638" s="7"/>
      <c r="E638" s="11">
        <v>636</v>
      </c>
      <c r="F638" s="8"/>
      <c r="G638" s="8"/>
      <c r="H638" s="9"/>
      <c r="I638" s="10"/>
      <c r="J638" s="9"/>
      <c r="K638" s="10"/>
      <c r="L638" s="8"/>
      <c r="M638" s="8"/>
      <c r="N638" s="10"/>
      <c r="O638" s="10"/>
    </row>
    <row r="639" spans="1:15" ht="42.75" customHeight="1" x14ac:dyDescent="0.25">
      <c r="A639" s="7"/>
      <c r="B639" s="7"/>
      <c r="C639" s="7"/>
      <c r="D639" s="7"/>
      <c r="E639" s="11">
        <v>637</v>
      </c>
      <c r="F639" s="8"/>
      <c r="G639" s="8"/>
      <c r="H639" s="9"/>
      <c r="I639" s="10"/>
      <c r="J639" s="9"/>
      <c r="K639" s="10"/>
      <c r="L639" s="8"/>
      <c r="M639" s="8"/>
      <c r="N639" s="10"/>
      <c r="O639" s="10"/>
    </row>
    <row r="640" spans="1:15" ht="42.75" customHeight="1" x14ac:dyDescent="0.25">
      <c r="A640" s="7"/>
      <c r="B640" s="7"/>
      <c r="C640" s="7"/>
      <c r="D640" s="7"/>
      <c r="E640" s="11">
        <v>638</v>
      </c>
      <c r="F640" s="8"/>
      <c r="G640" s="8"/>
      <c r="H640" s="9"/>
      <c r="I640" s="10"/>
      <c r="J640" s="9"/>
      <c r="K640" s="10"/>
      <c r="L640" s="8"/>
      <c r="M640" s="8"/>
      <c r="N640" s="10"/>
      <c r="O640" s="10"/>
    </row>
    <row r="641" spans="1:15" ht="42.75" customHeight="1" x14ac:dyDescent="0.25">
      <c r="A641" s="7"/>
      <c r="B641" s="7"/>
      <c r="C641" s="7"/>
      <c r="D641" s="7"/>
      <c r="E641" s="11">
        <v>639</v>
      </c>
      <c r="F641" s="8"/>
      <c r="G641" s="8"/>
      <c r="H641" s="9"/>
      <c r="I641" s="10"/>
      <c r="J641" s="9"/>
      <c r="K641" s="10"/>
      <c r="L641" s="8"/>
      <c r="M641" s="8"/>
      <c r="N641" s="10"/>
      <c r="O641" s="10"/>
    </row>
    <row r="642" spans="1:15" ht="42.75" customHeight="1" x14ac:dyDescent="0.25">
      <c r="A642" s="7"/>
      <c r="B642" s="7"/>
      <c r="C642" s="7"/>
      <c r="D642" s="7"/>
      <c r="E642" s="11">
        <v>640</v>
      </c>
      <c r="F642" s="8"/>
      <c r="G642" s="8"/>
      <c r="H642" s="9"/>
      <c r="I642" s="10"/>
      <c r="J642" s="9"/>
      <c r="K642" s="10"/>
      <c r="L642" s="8"/>
      <c r="M642" s="8"/>
      <c r="N642" s="10"/>
      <c r="O642" s="10"/>
    </row>
    <row r="643" spans="1:15" ht="42.75" customHeight="1" x14ac:dyDescent="0.25">
      <c r="A643" s="7"/>
      <c r="B643" s="7"/>
      <c r="C643" s="7"/>
      <c r="D643" s="7"/>
      <c r="E643" s="11">
        <v>641</v>
      </c>
      <c r="F643" s="8"/>
      <c r="G643" s="8"/>
      <c r="H643" s="9"/>
      <c r="I643" s="10"/>
      <c r="J643" s="9"/>
      <c r="K643" s="10"/>
      <c r="L643" s="8"/>
      <c r="M643" s="8"/>
      <c r="N643" s="10"/>
      <c r="O643" s="10"/>
    </row>
    <row r="644" spans="1:15" ht="42.75" customHeight="1" x14ac:dyDescent="0.25">
      <c r="A644" s="7"/>
      <c r="B644" s="7"/>
      <c r="C644" s="7"/>
      <c r="D644" s="7"/>
      <c r="E644" s="11">
        <v>642</v>
      </c>
      <c r="F644" s="8"/>
      <c r="G644" s="8"/>
      <c r="H644" s="9"/>
      <c r="I644" s="10"/>
      <c r="J644" s="9"/>
      <c r="K644" s="10"/>
      <c r="L644" s="8"/>
      <c r="M644" s="8"/>
      <c r="N644" s="10"/>
      <c r="O644" s="10"/>
    </row>
    <row r="645" spans="1:15" ht="42.75" customHeight="1" x14ac:dyDescent="0.25">
      <c r="A645" s="7"/>
      <c r="B645" s="7"/>
      <c r="C645" s="7"/>
      <c r="D645" s="7"/>
      <c r="E645" s="11">
        <v>643</v>
      </c>
      <c r="F645" s="8"/>
      <c r="G645" s="8"/>
      <c r="H645" s="9"/>
      <c r="I645" s="10"/>
      <c r="J645" s="9"/>
      <c r="K645" s="10"/>
      <c r="L645" s="8"/>
      <c r="M645" s="8"/>
      <c r="N645" s="10"/>
      <c r="O645" s="10"/>
    </row>
    <row r="646" spans="1:15" ht="42.75" customHeight="1" x14ac:dyDescent="0.25">
      <c r="A646" s="7"/>
      <c r="B646" s="7"/>
      <c r="C646" s="7"/>
      <c r="D646" s="7"/>
      <c r="E646" s="11">
        <v>644</v>
      </c>
      <c r="F646" s="8"/>
      <c r="G646" s="8"/>
      <c r="H646" s="9"/>
      <c r="I646" s="10"/>
      <c r="J646" s="9"/>
      <c r="K646" s="10"/>
      <c r="L646" s="8"/>
      <c r="M646" s="8"/>
      <c r="N646" s="10"/>
      <c r="O646" s="10"/>
    </row>
    <row r="647" spans="1:15" ht="42.75" customHeight="1" x14ac:dyDescent="0.25">
      <c r="A647" s="7"/>
      <c r="B647" s="7"/>
      <c r="C647" s="7"/>
      <c r="D647" s="7"/>
      <c r="E647" s="11">
        <v>645</v>
      </c>
      <c r="F647" s="8"/>
      <c r="G647" s="8"/>
      <c r="H647" s="9"/>
      <c r="I647" s="10"/>
      <c r="J647" s="9"/>
      <c r="K647" s="10"/>
      <c r="L647" s="8"/>
      <c r="M647" s="8"/>
      <c r="N647" s="10"/>
      <c r="O647" s="10"/>
    </row>
    <row r="648" spans="1:15" ht="42.75" customHeight="1" x14ac:dyDescent="0.25">
      <c r="A648" s="7"/>
      <c r="B648" s="7"/>
      <c r="C648" s="7"/>
      <c r="D648" s="7"/>
      <c r="E648" s="11">
        <v>646</v>
      </c>
      <c r="F648" s="8"/>
      <c r="G648" s="8"/>
      <c r="H648" s="9"/>
      <c r="I648" s="10"/>
      <c r="J648" s="9"/>
      <c r="K648" s="10"/>
      <c r="L648" s="8"/>
      <c r="M648" s="8"/>
      <c r="N648" s="10"/>
      <c r="O648" s="10"/>
    </row>
    <row r="649" spans="1:15" ht="42.75" customHeight="1" x14ac:dyDescent="0.25">
      <c r="A649" s="7"/>
      <c r="B649" s="7"/>
      <c r="C649" s="7"/>
      <c r="D649" s="7"/>
      <c r="E649" s="11">
        <v>647</v>
      </c>
      <c r="F649" s="8"/>
      <c r="G649" s="8"/>
      <c r="H649" s="9"/>
      <c r="I649" s="10"/>
      <c r="J649" s="9"/>
      <c r="K649" s="10"/>
      <c r="L649" s="8"/>
      <c r="M649" s="8"/>
      <c r="N649" s="10"/>
      <c r="O649" s="10"/>
    </row>
    <row r="650" spans="1:15" ht="42.75" customHeight="1" x14ac:dyDescent="0.25">
      <c r="A650" s="7"/>
      <c r="B650" s="7"/>
      <c r="C650" s="7"/>
      <c r="D650" s="7"/>
      <c r="E650" s="11">
        <v>648</v>
      </c>
      <c r="F650" s="8"/>
      <c r="G650" s="8"/>
      <c r="H650" s="9"/>
      <c r="I650" s="10"/>
      <c r="J650" s="9"/>
      <c r="K650" s="10"/>
      <c r="L650" s="8"/>
      <c r="M650" s="8"/>
      <c r="N650" s="10"/>
      <c r="O650" s="10"/>
    </row>
    <row r="651" spans="1:15" ht="42.75" customHeight="1" x14ac:dyDescent="0.25">
      <c r="A651" s="7"/>
      <c r="B651" s="7"/>
      <c r="C651" s="7"/>
      <c r="D651" s="7"/>
      <c r="E651" s="11">
        <v>649</v>
      </c>
      <c r="F651" s="8"/>
      <c r="G651" s="8"/>
      <c r="H651" s="9"/>
      <c r="I651" s="10"/>
      <c r="J651" s="9"/>
      <c r="K651" s="10"/>
      <c r="L651" s="8"/>
      <c r="M651" s="8"/>
      <c r="N651" s="10"/>
      <c r="O651" s="10"/>
    </row>
    <row r="652" spans="1:15" ht="42.75" customHeight="1" x14ac:dyDescent="0.25">
      <c r="A652" s="7"/>
      <c r="B652" s="7"/>
      <c r="C652" s="7"/>
      <c r="D652" s="7"/>
      <c r="E652" s="11">
        <v>650</v>
      </c>
      <c r="F652" s="8"/>
      <c r="G652" s="8"/>
      <c r="H652" s="9"/>
      <c r="I652" s="10"/>
      <c r="J652" s="9"/>
      <c r="K652" s="10"/>
      <c r="L652" s="8"/>
      <c r="M652" s="8"/>
      <c r="N652" s="10"/>
      <c r="O652" s="10"/>
    </row>
    <row r="653" spans="1:15" ht="42.75" customHeight="1" x14ac:dyDescent="0.25">
      <c r="A653" s="7"/>
      <c r="B653" s="7"/>
      <c r="C653" s="7"/>
      <c r="D653" s="7"/>
      <c r="E653" s="11">
        <v>651</v>
      </c>
      <c r="F653" s="8"/>
      <c r="G653" s="8"/>
      <c r="H653" s="9"/>
      <c r="I653" s="10"/>
      <c r="J653" s="9"/>
      <c r="K653" s="10"/>
      <c r="L653" s="8"/>
      <c r="M653" s="8"/>
      <c r="N653" s="10"/>
      <c r="O653" s="10"/>
    </row>
    <row r="654" spans="1:15" ht="42.75" customHeight="1" x14ac:dyDescent="0.25">
      <c r="A654" s="7"/>
      <c r="B654" s="7"/>
      <c r="C654" s="7"/>
      <c r="D654" s="7"/>
      <c r="E654" s="11">
        <v>652</v>
      </c>
      <c r="F654" s="8"/>
      <c r="G654" s="8"/>
      <c r="H654" s="9"/>
      <c r="I654" s="10"/>
      <c r="J654" s="9"/>
      <c r="K654" s="10"/>
      <c r="L654" s="8"/>
      <c r="M654" s="8"/>
      <c r="N654" s="10"/>
      <c r="O654" s="10"/>
    </row>
    <row r="655" spans="1:15" ht="42.75" customHeight="1" x14ac:dyDescent="0.25">
      <c r="A655" s="7"/>
      <c r="B655" s="7"/>
      <c r="C655" s="7"/>
      <c r="D655" s="7"/>
      <c r="E655" s="11">
        <v>653</v>
      </c>
      <c r="F655" s="8"/>
      <c r="G655" s="8"/>
      <c r="H655" s="9"/>
      <c r="I655" s="10"/>
      <c r="J655" s="9"/>
      <c r="K655" s="10"/>
      <c r="L655" s="8"/>
      <c r="M655" s="8"/>
      <c r="N655" s="10"/>
      <c r="O655" s="10"/>
    </row>
    <row r="656" spans="1:15" ht="42.75" customHeight="1" x14ac:dyDescent="0.25">
      <c r="A656" s="7"/>
      <c r="B656" s="7"/>
      <c r="C656" s="7"/>
      <c r="D656" s="7"/>
      <c r="E656" s="11">
        <v>654</v>
      </c>
      <c r="F656" s="8"/>
      <c r="G656" s="8"/>
      <c r="H656" s="9"/>
      <c r="I656" s="10"/>
      <c r="J656" s="9"/>
      <c r="K656" s="10"/>
      <c r="L656" s="8"/>
      <c r="M656" s="8"/>
      <c r="N656" s="10"/>
      <c r="O656" s="10"/>
    </row>
    <row r="657" spans="1:15" ht="42.75" customHeight="1" x14ac:dyDescent="0.25">
      <c r="A657" s="7"/>
      <c r="B657" s="7"/>
      <c r="C657" s="7"/>
      <c r="D657" s="7"/>
      <c r="E657" s="11">
        <v>655</v>
      </c>
      <c r="F657" s="8"/>
      <c r="G657" s="8"/>
      <c r="H657" s="9"/>
      <c r="I657" s="10"/>
      <c r="J657" s="9"/>
      <c r="K657" s="10"/>
      <c r="L657" s="8"/>
      <c r="M657" s="8"/>
      <c r="N657" s="10"/>
      <c r="O657" s="10"/>
    </row>
    <row r="658" spans="1:15" ht="42.75" customHeight="1" x14ac:dyDescent="0.25">
      <c r="A658" s="7"/>
      <c r="B658" s="7"/>
      <c r="C658" s="7"/>
      <c r="D658" s="7"/>
      <c r="E658" s="11">
        <v>656</v>
      </c>
      <c r="F658" s="8"/>
      <c r="G658" s="8"/>
      <c r="H658" s="9"/>
      <c r="I658" s="10"/>
      <c r="J658" s="9"/>
      <c r="K658" s="10"/>
      <c r="L658" s="8"/>
      <c r="M658" s="8"/>
      <c r="N658" s="10"/>
      <c r="O658" s="10"/>
    </row>
    <row r="659" spans="1:15" ht="42.75" customHeight="1" x14ac:dyDescent="0.25">
      <c r="A659" s="7"/>
      <c r="B659" s="7"/>
      <c r="C659" s="7"/>
      <c r="D659" s="7"/>
      <c r="E659" s="11">
        <v>657</v>
      </c>
      <c r="F659" s="8"/>
      <c r="G659" s="8"/>
      <c r="H659" s="9"/>
      <c r="I659" s="10"/>
      <c r="J659" s="9"/>
      <c r="K659" s="10"/>
      <c r="L659" s="8"/>
      <c r="M659" s="8"/>
      <c r="N659" s="10"/>
      <c r="O659" s="10"/>
    </row>
    <row r="660" spans="1:15" ht="42.75" customHeight="1" x14ac:dyDescent="0.25">
      <c r="A660" s="7"/>
      <c r="B660" s="7"/>
      <c r="C660" s="7"/>
      <c r="D660" s="7"/>
      <c r="E660" s="11">
        <v>658</v>
      </c>
      <c r="F660" s="8"/>
      <c r="G660" s="8"/>
      <c r="H660" s="9"/>
      <c r="I660" s="10"/>
      <c r="J660" s="9"/>
      <c r="K660" s="10"/>
      <c r="L660" s="8"/>
      <c r="M660" s="8"/>
      <c r="N660" s="10"/>
      <c r="O660" s="10"/>
    </row>
    <row r="661" spans="1:15" ht="42.75" customHeight="1" x14ac:dyDescent="0.25">
      <c r="A661" s="7"/>
      <c r="B661" s="7"/>
      <c r="C661" s="7"/>
      <c r="D661" s="7"/>
      <c r="E661" s="11">
        <v>659</v>
      </c>
      <c r="F661" s="8"/>
      <c r="G661" s="8"/>
      <c r="H661" s="9"/>
      <c r="I661" s="10"/>
      <c r="J661" s="9"/>
      <c r="K661" s="10"/>
      <c r="L661" s="8"/>
      <c r="M661" s="8"/>
      <c r="N661" s="10"/>
      <c r="O661" s="10"/>
    </row>
    <row r="662" spans="1:15" ht="42.75" customHeight="1" x14ac:dyDescent="0.25">
      <c r="A662" s="7"/>
      <c r="B662" s="7"/>
      <c r="C662" s="7"/>
      <c r="D662" s="7"/>
      <c r="E662" s="11">
        <v>660</v>
      </c>
      <c r="F662" s="8"/>
      <c r="G662" s="8"/>
      <c r="H662" s="9"/>
      <c r="I662" s="10"/>
      <c r="J662" s="9"/>
      <c r="K662" s="10"/>
      <c r="L662" s="8"/>
      <c r="M662" s="8"/>
      <c r="N662" s="10"/>
      <c r="O662" s="10"/>
    </row>
    <row r="663" spans="1:15" ht="42.75" customHeight="1" x14ac:dyDescent="0.25">
      <c r="A663" s="7"/>
      <c r="B663" s="7"/>
      <c r="C663" s="7"/>
      <c r="D663" s="7"/>
      <c r="E663" s="11">
        <v>661</v>
      </c>
      <c r="F663" s="8"/>
      <c r="G663" s="8"/>
      <c r="H663" s="9"/>
      <c r="I663" s="10"/>
      <c r="J663" s="9"/>
      <c r="K663" s="10"/>
      <c r="L663" s="8"/>
      <c r="M663" s="8"/>
      <c r="N663" s="10"/>
      <c r="O663" s="10"/>
    </row>
    <row r="664" spans="1:15" ht="42.75" customHeight="1" x14ac:dyDescent="0.25">
      <c r="A664" s="7"/>
      <c r="B664" s="7"/>
      <c r="C664" s="7"/>
      <c r="D664" s="7"/>
      <c r="E664" s="11">
        <v>662</v>
      </c>
      <c r="F664" s="8"/>
      <c r="G664" s="8"/>
      <c r="H664" s="9"/>
      <c r="I664" s="10"/>
      <c r="J664" s="9"/>
      <c r="K664" s="10"/>
      <c r="L664" s="8"/>
      <c r="M664" s="8"/>
      <c r="N664" s="10"/>
      <c r="O664" s="10"/>
    </row>
    <row r="665" spans="1:15" ht="42.75" customHeight="1" x14ac:dyDescent="0.25">
      <c r="A665" s="7"/>
      <c r="B665" s="7"/>
      <c r="C665" s="7"/>
      <c r="D665" s="7"/>
      <c r="E665" s="11">
        <v>663</v>
      </c>
      <c r="F665" s="8"/>
      <c r="G665" s="8"/>
      <c r="H665" s="9"/>
      <c r="I665" s="10"/>
      <c r="J665" s="9"/>
      <c r="K665" s="10"/>
      <c r="L665" s="8"/>
      <c r="M665" s="8"/>
      <c r="N665" s="10"/>
      <c r="O665" s="10"/>
    </row>
    <row r="666" spans="1:15" ht="42.75" customHeight="1" x14ac:dyDescent="0.25">
      <c r="A666" s="7"/>
      <c r="B666" s="7"/>
      <c r="C666" s="7"/>
      <c r="D666" s="7"/>
      <c r="E666" s="11">
        <v>664</v>
      </c>
      <c r="F666" s="8"/>
      <c r="G666" s="8"/>
      <c r="H666" s="9"/>
      <c r="I666" s="10"/>
      <c r="J666" s="9"/>
      <c r="K666" s="10"/>
      <c r="L666" s="8"/>
      <c r="M666" s="8"/>
      <c r="N666" s="10"/>
      <c r="O666" s="10"/>
    </row>
    <row r="667" spans="1:15" ht="42.75" customHeight="1" x14ac:dyDescent="0.25">
      <c r="A667" s="7"/>
      <c r="B667" s="7"/>
      <c r="C667" s="7"/>
      <c r="D667" s="7"/>
      <c r="E667" s="11">
        <v>665</v>
      </c>
      <c r="F667" s="8"/>
      <c r="G667" s="8"/>
      <c r="H667" s="9"/>
      <c r="I667" s="10"/>
      <c r="J667" s="9"/>
      <c r="K667" s="10"/>
      <c r="L667" s="8"/>
      <c r="M667" s="8"/>
      <c r="N667" s="10"/>
      <c r="O667" s="10"/>
    </row>
    <row r="668" spans="1:15" ht="42.75" customHeight="1" x14ac:dyDescent="0.25">
      <c r="A668" s="7"/>
      <c r="B668" s="7"/>
      <c r="C668" s="7"/>
      <c r="D668" s="7"/>
      <c r="E668" s="11">
        <v>666</v>
      </c>
      <c r="F668" s="8"/>
      <c r="G668" s="8"/>
      <c r="H668" s="9"/>
      <c r="I668" s="10"/>
      <c r="J668" s="9"/>
      <c r="K668" s="10"/>
      <c r="L668" s="8"/>
      <c r="M668" s="8"/>
      <c r="N668" s="10"/>
      <c r="O668" s="10"/>
    </row>
    <row r="669" spans="1:15" ht="42.75" customHeight="1" x14ac:dyDescent="0.25">
      <c r="A669" s="7"/>
      <c r="B669" s="7"/>
      <c r="C669" s="7"/>
      <c r="D669" s="7"/>
      <c r="E669" s="11">
        <v>667</v>
      </c>
      <c r="F669" s="8"/>
      <c r="G669" s="8"/>
      <c r="H669" s="9"/>
      <c r="I669" s="10"/>
      <c r="J669" s="9"/>
      <c r="K669" s="10"/>
      <c r="L669" s="8"/>
      <c r="M669" s="8"/>
      <c r="N669" s="10"/>
      <c r="O669" s="10"/>
    </row>
    <row r="670" spans="1:15" ht="42.75" customHeight="1" x14ac:dyDescent="0.25">
      <c r="A670" s="7"/>
      <c r="B670" s="7"/>
      <c r="C670" s="7"/>
      <c r="D670" s="7"/>
      <c r="E670" s="11">
        <v>668</v>
      </c>
      <c r="F670" s="8"/>
      <c r="G670" s="8"/>
      <c r="H670" s="9"/>
      <c r="I670" s="10"/>
      <c r="J670" s="9"/>
      <c r="K670" s="10"/>
      <c r="L670" s="8"/>
      <c r="M670" s="8"/>
      <c r="N670" s="10"/>
      <c r="O670" s="10"/>
    </row>
    <row r="671" spans="1:15" ht="42.75" customHeight="1" x14ac:dyDescent="0.25">
      <c r="A671" s="7"/>
      <c r="B671" s="7"/>
      <c r="C671" s="7"/>
      <c r="D671" s="7"/>
      <c r="E671" s="11">
        <v>669</v>
      </c>
      <c r="F671" s="8"/>
      <c r="G671" s="8"/>
      <c r="H671" s="9"/>
      <c r="I671" s="10"/>
      <c r="J671" s="9"/>
      <c r="K671" s="10"/>
      <c r="L671" s="8"/>
      <c r="M671" s="8"/>
      <c r="N671" s="10"/>
      <c r="O671" s="10"/>
    </row>
    <row r="672" spans="1:15" ht="42.75" customHeight="1" x14ac:dyDescent="0.25">
      <c r="A672" s="7"/>
      <c r="B672" s="7"/>
      <c r="C672" s="7"/>
      <c r="D672" s="7"/>
      <c r="E672" s="11">
        <v>670</v>
      </c>
      <c r="F672" s="8"/>
      <c r="G672" s="8"/>
      <c r="H672" s="9"/>
      <c r="I672" s="10"/>
      <c r="J672" s="9"/>
      <c r="K672" s="10"/>
      <c r="L672" s="8"/>
      <c r="M672" s="8"/>
      <c r="N672" s="10"/>
      <c r="O672" s="10"/>
    </row>
    <row r="673" spans="1:15" ht="42.75" customHeight="1" x14ac:dyDescent="0.25">
      <c r="A673" s="7"/>
      <c r="B673" s="7"/>
      <c r="C673" s="7"/>
      <c r="D673" s="7"/>
      <c r="E673" s="11">
        <v>671</v>
      </c>
      <c r="F673" s="8"/>
      <c r="G673" s="8"/>
      <c r="H673" s="9"/>
      <c r="I673" s="10"/>
      <c r="J673" s="9"/>
      <c r="K673" s="10"/>
      <c r="L673" s="8"/>
      <c r="M673" s="8"/>
      <c r="N673" s="10"/>
      <c r="O673" s="10"/>
    </row>
    <row r="674" spans="1:15" ht="42.75" customHeight="1" x14ac:dyDescent="0.25">
      <c r="A674" s="7"/>
      <c r="B674" s="7"/>
      <c r="C674" s="7"/>
      <c r="D674" s="7"/>
      <c r="E674" s="11">
        <v>672</v>
      </c>
      <c r="F674" s="8"/>
      <c r="G674" s="8"/>
      <c r="H674" s="9"/>
      <c r="I674" s="10"/>
      <c r="J674" s="9"/>
      <c r="K674" s="10"/>
      <c r="L674" s="8"/>
      <c r="M674" s="8"/>
      <c r="N674" s="10"/>
      <c r="O674" s="10"/>
    </row>
    <row r="675" spans="1:15" ht="42.75" customHeight="1" x14ac:dyDescent="0.25">
      <c r="A675" s="7"/>
      <c r="B675" s="7"/>
      <c r="C675" s="7"/>
      <c r="D675" s="7"/>
      <c r="E675" s="11">
        <v>673</v>
      </c>
      <c r="F675" s="8"/>
      <c r="G675" s="8"/>
      <c r="H675" s="9"/>
      <c r="I675" s="10"/>
      <c r="J675" s="9"/>
      <c r="K675" s="10"/>
      <c r="L675" s="8"/>
      <c r="M675" s="8"/>
      <c r="N675" s="10"/>
      <c r="O675" s="10"/>
    </row>
    <row r="676" spans="1:15" ht="42.75" customHeight="1" x14ac:dyDescent="0.25">
      <c r="A676" s="7"/>
      <c r="B676" s="7"/>
      <c r="C676" s="7"/>
      <c r="D676" s="7"/>
      <c r="E676" s="11">
        <v>674</v>
      </c>
      <c r="F676" s="8"/>
      <c r="G676" s="8"/>
      <c r="H676" s="9"/>
      <c r="I676" s="10"/>
      <c r="J676" s="9"/>
      <c r="K676" s="10"/>
      <c r="L676" s="8"/>
      <c r="M676" s="8"/>
      <c r="N676" s="10"/>
      <c r="O676" s="10"/>
    </row>
    <row r="677" spans="1:15" ht="42.75" customHeight="1" x14ac:dyDescent="0.25">
      <c r="A677" s="7"/>
      <c r="B677" s="7"/>
      <c r="C677" s="7"/>
      <c r="D677" s="7"/>
      <c r="E677" s="11">
        <v>675</v>
      </c>
      <c r="F677" s="8"/>
      <c r="G677" s="8"/>
      <c r="H677" s="9"/>
      <c r="I677" s="10"/>
      <c r="J677" s="9"/>
      <c r="K677" s="10"/>
      <c r="L677" s="8"/>
      <c r="M677" s="8"/>
      <c r="N677" s="10"/>
      <c r="O677" s="10"/>
    </row>
    <row r="678" spans="1:15" ht="42.75" customHeight="1" x14ac:dyDescent="0.25">
      <c r="A678" s="7"/>
      <c r="B678" s="7"/>
      <c r="C678" s="7"/>
      <c r="D678" s="7"/>
      <c r="E678" s="11">
        <v>676</v>
      </c>
      <c r="F678" s="8"/>
      <c r="G678" s="8"/>
      <c r="H678" s="9"/>
      <c r="I678" s="10"/>
      <c r="J678" s="9"/>
      <c r="K678" s="10"/>
      <c r="L678" s="8"/>
      <c r="M678" s="8"/>
      <c r="N678" s="10"/>
      <c r="O678" s="10"/>
    </row>
    <row r="679" spans="1:15" ht="42.75" customHeight="1" x14ac:dyDescent="0.25">
      <c r="A679" s="7"/>
      <c r="B679" s="7"/>
      <c r="C679" s="7"/>
      <c r="D679" s="7"/>
      <c r="E679" s="11">
        <v>677</v>
      </c>
      <c r="F679" s="8"/>
      <c r="G679" s="8"/>
      <c r="H679" s="9"/>
      <c r="I679" s="10"/>
      <c r="J679" s="9"/>
      <c r="K679" s="10"/>
      <c r="L679" s="8"/>
      <c r="M679" s="8"/>
      <c r="N679" s="10"/>
      <c r="O679" s="10"/>
    </row>
    <row r="680" spans="1:15" ht="42.75" customHeight="1" x14ac:dyDescent="0.25">
      <c r="A680" s="7"/>
      <c r="B680" s="7"/>
      <c r="C680" s="7"/>
      <c r="D680" s="7"/>
      <c r="E680" s="11">
        <v>678</v>
      </c>
      <c r="F680" s="8"/>
      <c r="G680" s="8"/>
      <c r="H680" s="9"/>
      <c r="I680" s="10"/>
      <c r="J680" s="9"/>
      <c r="K680" s="10"/>
      <c r="L680" s="8"/>
      <c r="M680" s="8"/>
      <c r="N680" s="10"/>
      <c r="O680" s="10"/>
    </row>
    <row r="681" spans="1:15" ht="42.75" customHeight="1" x14ac:dyDescent="0.25">
      <c r="A681" s="7"/>
      <c r="B681" s="7"/>
      <c r="C681" s="7"/>
      <c r="D681" s="7"/>
      <c r="E681" s="11">
        <v>679</v>
      </c>
      <c r="F681" s="8"/>
      <c r="G681" s="8"/>
      <c r="H681" s="9"/>
      <c r="I681" s="10"/>
      <c r="J681" s="9"/>
      <c r="K681" s="10"/>
      <c r="L681" s="8"/>
      <c r="M681" s="8"/>
      <c r="N681" s="10"/>
      <c r="O681" s="10"/>
    </row>
    <row r="682" spans="1:15" ht="42.75" customHeight="1" x14ac:dyDescent="0.25">
      <c r="A682" s="7"/>
      <c r="B682" s="7"/>
      <c r="C682" s="7"/>
      <c r="D682" s="7"/>
      <c r="E682" s="11">
        <v>680</v>
      </c>
      <c r="F682" s="8"/>
      <c r="G682" s="8"/>
      <c r="H682" s="9"/>
      <c r="I682" s="10"/>
      <c r="J682" s="9"/>
      <c r="K682" s="10"/>
      <c r="L682" s="8"/>
      <c r="M682" s="8"/>
      <c r="N682" s="10"/>
      <c r="O682" s="10"/>
    </row>
    <row r="683" spans="1:15" ht="42.75" customHeight="1" x14ac:dyDescent="0.25">
      <c r="A683" s="7"/>
      <c r="B683" s="7"/>
      <c r="C683" s="7"/>
      <c r="D683" s="7"/>
      <c r="E683" s="11">
        <v>681</v>
      </c>
      <c r="F683" s="8"/>
      <c r="G683" s="8"/>
      <c r="H683" s="9"/>
      <c r="I683" s="10"/>
      <c r="J683" s="9"/>
      <c r="K683" s="10"/>
      <c r="L683" s="8"/>
      <c r="M683" s="8"/>
      <c r="N683" s="10"/>
      <c r="O683" s="10"/>
    </row>
    <row r="684" spans="1:15" ht="42.75" customHeight="1" x14ac:dyDescent="0.25">
      <c r="A684" s="7"/>
      <c r="B684" s="7"/>
      <c r="C684" s="7"/>
      <c r="D684" s="7"/>
      <c r="E684" s="11">
        <v>682</v>
      </c>
      <c r="F684" s="8"/>
      <c r="G684" s="8"/>
      <c r="H684" s="9"/>
      <c r="I684" s="10"/>
      <c r="J684" s="9"/>
      <c r="K684" s="10"/>
      <c r="L684" s="8"/>
      <c r="M684" s="8"/>
      <c r="N684" s="10"/>
      <c r="O684" s="10"/>
    </row>
    <row r="685" spans="1:15" ht="42.75" customHeight="1" x14ac:dyDescent="0.25">
      <c r="A685" s="7"/>
      <c r="B685" s="7"/>
      <c r="C685" s="7"/>
      <c r="D685" s="7"/>
      <c r="E685" s="11">
        <v>683</v>
      </c>
      <c r="F685" s="8"/>
      <c r="G685" s="8"/>
      <c r="H685" s="9"/>
      <c r="I685" s="10"/>
      <c r="J685" s="9"/>
      <c r="K685" s="10"/>
      <c r="L685" s="8"/>
      <c r="M685" s="8"/>
      <c r="N685" s="10"/>
      <c r="O685" s="10"/>
    </row>
    <row r="686" spans="1:15" ht="42.75" customHeight="1" x14ac:dyDescent="0.25">
      <c r="A686" s="7"/>
      <c r="B686" s="7"/>
      <c r="C686" s="7"/>
      <c r="D686" s="7"/>
      <c r="E686" s="11">
        <v>684</v>
      </c>
      <c r="F686" s="8"/>
      <c r="G686" s="8"/>
      <c r="H686" s="9"/>
      <c r="I686" s="10"/>
      <c r="J686" s="9"/>
      <c r="K686" s="10"/>
      <c r="L686" s="8"/>
      <c r="M686" s="8"/>
      <c r="N686" s="10"/>
      <c r="O686" s="10"/>
    </row>
    <row r="687" spans="1:15" ht="42.75" customHeight="1" x14ac:dyDescent="0.25">
      <c r="A687" s="7"/>
      <c r="B687" s="7"/>
      <c r="C687" s="7"/>
      <c r="D687" s="7"/>
      <c r="E687" s="11">
        <v>685</v>
      </c>
      <c r="F687" s="8"/>
      <c r="G687" s="8"/>
      <c r="H687" s="9"/>
      <c r="I687" s="10"/>
      <c r="J687" s="9"/>
      <c r="K687" s="10"/>
      <c r="L687" s="8"/>
      <c r="M687" s="8"/>
      <c r="N687" s="10"/>
      <c r="O687" s="10"/>
    </row>
    <row r="688" spans="1:15" ht="42.75" customHeight="1" x14ac:dyDescent="0.25">
      <c r="A688" s="7"/>
      <c r="B688" s="7"/>
      <c r="C688" s="7"/>
      <c r="D688" s="7"/>
      <c r="E688" s="11">
        <v>686</v>
      </c>
      <c r="F688" s="8"/>
      <c r="G688" s="8"/>
      <c r="H688" s="9"/>
      <c r="I688" s="10"/>
      <c r="J688" s="9"/>
      <c r="K688" s="10"/>
      <c r="L688" s="8"/>
      <c r="M688" s="8"/>
      <c r="N688" s="10"/>
      <c r="O688" s="10"/>
    </row>
    <row r="689" spans="1:15" ht="42.75" customHeight="1" x14ac:dyDescent="0.25">
      <c r="A689" s="7"/>
      <c r="B689" s="7"/>
      <c r="C689" s="7"/>
      <c r="D689" s="7"/>
      <c r="E689" s="11">
        <v>687</v>
      </c>
      <c r="F689" s="8"/>
      <c r="G689" s="8"/>
      <c r="H689" s="9"/>
      <c r="I689" s="10"/>
      <c r="J689" s="9"/>
      <c r="K689" s="10"/>
      <c r="L689" s="8"/>
      <c r="M689" s="8"/>
      <c r="N689" s="10"/>
      <c r="O689" s="10"/>
    </row>
    <row r="690" spans="1:15" ht="42.75" customHeight="1" x14ac:dyDescent="0.25">
      <c r="A690" s="7"/>
      <c r="B690" s="7"/>
      <c r="C690" s="7"/>
      <c r="D690" s="7"/>
      <c r="E690" s="11">
        <v>688</v>
      </c>
      <c r="F690" s="8"/>
      <c r="G690" s="8"/>
      <c r="H690" s="9"/>
      <c r="I690" s="10"/>
      <c r="J690" s="9"/>
      <c r="K690" s="10"/>
      <c r="L690" s="8"/>
      <c r="M690" s="8"/>
      <c r="N690" s="10"/>
      <c r="O690" s="10"/>
    </row>
    <row r="691" spans="1:15" ht="42.75" customHeight="1" x14ac:dyDescent="0.25">
      <c r="A691" s="7"/>
      <c r="B691" s="7"/>
      <c r="C691" s="7"/>
      <c r="D691" s="7"/>
      <c r="E691" s="11">
        <v>689</v>
      </c>
      <c r="F691" s="8"/>
      <c r="G691" s="8"/>
      <c r="H691" s="9"/>
      <c r="I691" s="10"/>
      <c r="J691" s="9"/>
      <c r="K691" s="10"/>
      <c r="L691" s="8"/>
      <c r="M691" s="8"/>
      <c r="N691" s="10"/>
      <c r="O691" s="10"/>
    </row>
    <row r="692" spans="1:15" ht="42.75" customHeight="1" x14ac:dyDescent="0.25">
      <c r="A692" s="7"/>
      <c r="B692" s="7"/>
      <c r="C692" s="7"/>
      <c r="D692" s="7"/>
      <c r="E692" s="11">
        <v>690</v>
      </c>
      <c r="F692" s="8"/>
      <c r="G692" s="8"/>
      <c r="H692" s="9"/>
      <c r="I692" s="10"/>
      <c r="J692" s="9"/>
      <c r="K692" s="10"/>
      <c r="L692" s="8"/>
      <c r="M692" s="8"/>
      <c r="N692" s="10"/>
      <c r="O692" s="10"/>
    </row>
    <row r="693" spans="1:15" ht="42.75" customHeight="1" x14ac:dyDescent="0.25">
      <c r="A693" s="7"/>
      <c r="B693" s="7"/>
      <c r="C693" s="7"/>
      <c r="D693" s="7"/>
      <c r="E693" s="11">
        <v>691</v>
      </c>
      <c r="F693" s="8"/>
      <c r="G693" s="8"/>
      <c r="H693" s="9"/>
      <c r="I693" s="10"/>
      <c r="J693" s="9"/>
      <c r="K693" s="10"/>
      <c r="L693" s="8"/>
      <c r="M693" s="8"/>
      <c r="N693" s="10"/>
      <c r="O693" s="10"/>
    </row>
    <row r="694" spans="1:15" ht="42.75" customHeight="1" x14ac:dyDescent="0.25">
      <c r="A694" s="7"/>
      <c r="B694" s="7"/>
      <c r="C694" s="7"/>
      <c r="D694" s="7"/>
      <c r="E694" s="11">
        <v>692</v>
      </c>
      <c r="F694" s="8"/>
      <c r="G694" s="8"/>
      <c r="H694" s="9"/>
      <c r="I694" s="10"/>
      <c r="J694" s="9"/>
      <c r="K694" s="10"/>
      <c r="L694" s="8"/>
      <c r="M694" s="8"/>
      <c r="N694" s="10"/>
      <c r="O694" s="10"/>
    </row>
    <row r="695" spans="1:15" ht="42.75" customHeight="1" x14ac:dyDescent="0.25">
      <c r="A695" s="7"/>
      <c r="B695" s="7"/>
      <c r="C695" s="7"/>
      <c r="D695" s="7"/>
      <c r="E695" s="11">
        <v>693</v>
      </c>
      <c r="F695" s="8"/>
      <c r="G695" s="8"/>
      <c r="H695" s="9"/>
      <c r="I695" s="10"/>
      <c r="J695" s="9"/>
      <c r="K695" s="10"/>
      <c r="L695" s="8"/>
      <c r="M695" s="8"/>
      <c r="N695" s="10"/>
      <c r="O695" s="10"/>
    </row>
    <row r="696" spans="1:15" ht="42.75" customHeight="1" x14ac:dyDescent="0.25">
      <c r="A696" s="7"/>
      <c r="B696" s="7"/>
      <c r="C696" s="7"/>
      <c r="D696" s="7"/>
      <c r="E696" s="11">
        <v>694</v>
      </c>
      <c r="F696" s="8"/>
      <c r="G696" s="8"/>
      <c r="H696" s="9"/>
      <c r="I696" s="10"/>
      <c r="J696" s="9"/>
      <c r="K696" s="10"/>
      <c r="L696" s="8"/>
      <c r="M696" s="8"/>
      <c r="N696" s="10"/>
      <c r="O696" s="10"/>
    </row>
    <row r="697" spans="1:15" ht="42.75" customHeight="1" x14ac:dyDescent="0.25">
      <c r="A697" s="7"/>
      <c r="B697" s="7"/>
      <c r="C697" s="7"/>
      <c r="D697" s="7"/>
      <c r="E697" s="11">
        <v>695</v>
      </c>
      <c r="F697" s="8"/>
      <c r="G697" s="8"/>
      <c r="H697" s="9"/>
      <c r="I697" s="10"/>
      <c r="J697" s="9"/>
      <c r="K697" s="10"/>
      <c r="L697" s="8"/>
      <c r="M697" s="8"/>
      <c r="N697" s="10"/>
      <c r="O697" s="10"/>
    </row>
    <row r="698" spans="1:15" ht="42.75" customHeight="1" x14ac:dyDescent="0.25">
      <c r="A698" s="7"/>
      <c r="B698" s="7"/>
      <c r="C698" s="7"/>
      <c r="D698" s="7"/>
      <c r="E698" s="11">
        <v>696</v>
      </c>
      <c r="F698" s="8"/>
      <c r="G698" s="8"/>
      <c r="H698" s="9"/>
      <c r="I698" s="10"/>
      <c r="J698" s="9"/>
      <c r="K698" s="10"/>
      <c r="L698" s="8"/>
      <c r="M698" s="8"/>
      <c r="N698" s="10"/>
      <c r="O698" s="10"/>
    </row>
    <row r="699" spans="1:15" ht="42.75" customHeight="1" x14ac:dyDescent="0.25">
      <c r="A699" s="7"/>
      <c r="B699" s="7"/>
      <c r="C699" s="7"/>
      <c r="D699" s="7"/>
      <c r="E699" s="11">
        <v>697</v>
      </c>
      <c r="F699" s="8"/>
      <c r="G699" s="8"/>
      <c r="H699" s="9"/>
      <c r="I699" s="10"/>
      <c r="J699" s="9"/>
      <c r="K699" s="10"/>
      <c r="L699" s="8"/>
      <c r="M699" s="8"/>
      <c r="N699" s="10"/>
      <c r="O699" s="10"/>
    </row>
    <row r="700" spans="1:15" ht="42.75" customHeight="1" x14ac:dyDescent="0.25">
      <c r="A700" s="7"/>
      <c r="B700" s="7"/>
      <c r="C700" s="7"/>
      <c r="D700" s="7"/>
      <c r="E700" s="11">
        <v>698</v>
      </c>
      <c r="F700" s="8"/>
      <c r="G700" s="8"/>
      <c r="H700" s="9"/>
      <c r="I700" s="10"/>
      <c r="J700" s="9"/>
      <c r="K700" s="10"/>
      <c r="L700" s="8"/>
      <c r="M700" s="8"/>
      <c r="N700" s="10"/>
      <c r="O700" s="10"/>
    </row>
    <row r="701" spans="1:15" ht="42.75" customHeight="1" x14ac:dyDescent="0.25">
      <c r="A701" s="7"/>
      <c r="B701" s="7"/>
      <c r="C701" s="7"/>
      <c r="D701" s="7"/>
      <c r="E701" s="11">
        <v>699</v>
      </c>
      <c r="F701" s="8"/>
      <c r="G701" s="8"/>
      <c r="H701" s="9"/>
      <c r="I701" s="10"/>
      <c r="J701" s="9"/>
      <c r="K701" s="10"/>
      <c r="L701" s="8"/>
      <c r="M701" s="8"/>
      <c r="N701" s="10"/>
      <c r="O701" s="10"/>
    </row>
    <row r="702" spans="1:15" ht="42.75" customHeight="1" x14ac:dyDescent="0.25">
      <c r="A702" s="7"/>
      <c r="B702" s="7"/>
      <c r="C702" s="7"/>
      <c r="D702" s="7"/>
      <c r="E702" s="11">
        <v>700</v>
      </c>
      <c r="F702" s="8"/>
      <c r="G702" s="8"/>
      <c r="H702" s="9"/>
      <c r="I702" s="10"/>
      <c r="J702" s="9"/>
      <c r="K702" s="10"/>
      <c r="L702" s="8"/>
      <c r="M702" s="8"/>
      <c r="N702" s="10"/>
      <c r="O702" s="10"/>
    </row>
    <row r="703" spans="1:15" ht="42.75" customHeight="1" x14ac:dyDescent="0.25">
      <c r="A703" s="7"/>
      <c r="B703" s="7"/>
      <c r="C703" s="7"/>
      <c r="D703" s="7"/>
      <c r="E703" s="11">
        <v>701</v>
      </c>
      <c r="F703" s="8"/>
      <c r="G703" s="8"/>
      <c r="H703" s="9"/>
      <c r="I703" s="10"/>
      <c r="J703" s="9"/>
      <c r="K703" s="10"/>
      <c r="L703" s="8"/>
      <c r="M703" s="8"/>
      <c r="N703" s="10"/>
      <c r="O703" s="10"/>
    </row>
    <row r="704" spans="1:15" ht="42.75" customHeight="1" x14ac:dyDescent="0.25">
      <c r="A704" s="7"/>
      <c r="B704" s="7"/>
      <c r="C704" s="7"/>
      <c r="D704" s="7"/>
      <c r="E704" s="11">
        <v>702</v>
      </c>
      <c r="F704" s="8"/>
      <c r="G704" s="8"/>
      <c r="H704" s="9"/>
      <c r="I704" s="10"/>
      <c r="J704" s="9"/>
      <c r="K704" s="10"/>
      <c r="L704" s="8"/>
      <c r="M704" s="8"/>
      <c r="N704" s="10"/>
      <c r="O704" s="10"/>
    </row>
    <row r="705" spans="1:15" ht="42.75" customHeight="1" x14ac:dyDescent="0.25">
      <c r="A705" s="7"/>
      <c r="B705" s="7"/>
      <c r="C705" s="7"/>
      <c r="D705" s="7"/>
      <c r="E705" s="11">
        <v>703</v>
      </c>
      <c r="F705" s="8"/>
      <c r="G705" s="8"/>
      <c r="H705" s="9"/>
      <c r="I705" s="10"/>
      <c r="J705" s="9"/>
      <c r="K705" s="10"/>
      <c r="L705" s="8"/>
      <c r="M705" s="8"/>
      <c r="N705" s="10"/>
      <c r="O705" s="10"/>
    </row>
    <row r="706" spans="1:15" ht="42.75" customHeight="1" x14ac:dyDescent="0.25">
      <c r="A706" s="7"/>
      <c r="B706" s="7"/>
      <c r="C706" s="7"/>
      <c r="D706" s="7"/>
      <c r="E706" s="11">
        <v>704</v>
      </c>
      <c r="F706" s="8"/>
      <c r="G706" s="8"/>
      <c r="H706" s="9"/>
      <c r="I706" s="10"/>
      <c r="J706" s="9"/>
      <c r="K706" s="10"/>
      <c r="L706" s="8"/>
      <c r="M706" s="8"/>
      <c r="N706" s="10"/>
      <c r="O706" s="10"/>
    </row>
    <row r="707" spans="1:15" ht="42.75" customHeight="1" x14ac:dyDescent="0.25">
      <c r="A707" s="7"/>
      <c r="B707" s="7"/>
      <c r="C707" s="7"/>
      <c r="D707" s="7"/>
      <c r="E707" s="11">
        <v>705</v>
      </c>
      <c r="F707" s="8"/>
      <c r="G707" s="8"/>
      <c r="H707" s="9"/>
      <c r="I707" s="10"/>
      <c r="J707" s="9"/>
      <c r="K707" s="10"/>
      <c r="L707" s="8"/>
      <c r="M707" s="8"/>
      <c r="N707" s="10"/>
      <c r="O707" s="10"/>
    </row>
    <row r="708" spans="1:15" ht="42.75" customHeight="1" x14ac:dyDescent="0.25">
      <c r="A708" s="7"/>
      <c r="B708" s="7"/>
      <c r="C708" s="7"/>
      <c r="D708" s="7"/>
      <c r="E708" s="11">
        <v>706</v>
      </c>
      <c r="F708" s="8"/>
      <c r="G708" s="8"/>
      <c r="H708" s="9"/>
      <c r="I708" s="10"/>
      <c r="J708" s="9"/>
      <c r="K708" s="10"/>
      <c r="L708" s="8"/>
      <c r="M708" s="8"/>
      <c r="N708" s="10"/>
      <c r="O708" s="10"/>
    </row>
    <row r="709" spans="1:15" ht="42.75" customHeight="1" x14ac:dyDescent="0.25">
      <c r="A709" s="7"/>
      <c r="B709" s="7"/>
      <c r="C709" s="7"/>
      <c r="D709" s="7"/>
      <c r="E709" s="11">
        <v>707</v>
      </c>
      <c r="F709" s="8"/>
      <c r="G709" s="8"/>
      <c r="H709" s="9"/>
      <c r="I709" s="10"/>
      <c r="J709" s="9"/>
      <c r="K709" s="10"/>
      <c r="L709" s="8"/>
      <c r="M709" s="8"/>
      <c r="N709" s="10"/>
      <c r="O709" s="10"/>
    </row>
    <row r="710" spans="1:15" ht="42.75" customHeight="1" x14ac:dyDescent="0.25">
      <c r="A710" s="7"/>
      <c r="B710" s="7"/>
      <c r="C710" s="7"/>
      <c r="D710" s="7"/>
      <c r="E710" s="11">
        <v>708</v>
      </c>
      <c r="F710" s="8"/>
      <c r="G710" s="8"/>
      <c r="H710" s="9"/>
      <c r="I710" s="10"/>
      <c r="J710" s="9"/>
      <c r="K710" s="10"/>
      <c r="L710" s="8"/>
      <c r="M710" s="8"/>
      <c r="N710" s="10"/>
      <c r="O710" s="10"/>
    </row>
    <row r="711" spans="1:15" ht="42.75" customHeight="1" x14ac:dyDescent="0.25">
      <c r="A711" s="7"/>
      <c r="B711" s="7"/>
      <c r="C711" s="7"/>
      <c r="D711" s="7"/>
      <c r="E711" s="11">
        <v>709</v>
      </c>
      <c r="F711" s="8"/>
      <c r="G711" s="8"/>
      <c r="H711" s="9"/>
      <c r="I711" s="10"/>
      <c r="J711" s="9"/>
      <c r="K711" s="10"/>
      <c r="L711" s="8"/>
      <c r="M711" s="8"/>
      <c r="N711" s="10"/>
      <c r="O711" s="10"/>
    </row>
    <row r="712" spans="1:15" ht="42.75" customHeight="1" x14ac:dyDescent="0.25">
      <c r="A712" s="7"/>
      <c r="B712" s="7"/>
      <c r="C712" s="7"/>
      <c r="D712" s="7"/>
      <c r="E712" s="11">
        <v>710</v>
      </c>
      <c r="F712" s="8"/>
      <c r="G712" s="8"/>
      <c r="H712" s="9"/>
      <c r="I712" s="10"/>
      <c r="J712" s="9"/>
      <c r="K712" s="10"/>
      <c r="L712" s="8"/>
      <c r="M712" s="8"/>
      <c r="N712" s="10"/>
      <c r="O712" s="10"/>
    </row>
    <row r="713" spans="1:15" ht="42.75" customHeight="1" x14ac:dyDescent="0.25">
      <c r="A713" s="7"/>
      <c r="B713" s="7"/>
      <c r="C713" s="7"/>
      <c r="D713" s="7"/>
      <c r="E713" s="11">
        <v>711</v>
      </c>
      <c r="F713" s="8"/>
      <c r="G713" s="8"/>
      <c r="H713" s="9"/>
      <c r="I713" s="10"/>
      <c r="J713" s="9"/>
      <c r="K713" s="10"/>
      <c r="L713" s="8"/>
      <c r="M713" s="8"/>
      <c r="N713" s="10"/>
      <c r="O713" s="10"/>
    </row>
    <row r="714" spans="1:15" ht="42.75" customHeight="1" x14ac:dyDescent="0.25">
      <c r="A714" s="7"/>
      <c r="B714" s="7"/>
      <c r="C714" s="7"/>
      <c r="D714" s="7"/>
      <c r="E714" s="11">
        <v>712</v>
      </c>
      <c r="F714" s="8"/>
      <c r="G714" s="8"/>
      <c r="H714" s="9"/>
      <c r="I714" s="10"/>
      <c r="J714" s="9"/>
      <c r="K714" s="10"/>
      <c r="L714" s="8"/>
      <c r="M714" s="8"/>
      <c r="N714" s="10"/>
      <c r="O714" s="10"/>
    </row>
    <row r="715" spans="1:15" ht="42.75" customHeight="1" x14ac:dyDescent="0.25">
      <c r="A715" s="7"/>
      <c r="B715" s="7"/>
      <c r="C715" s="7"/>
      <c r="D715" s="7"/>
      <c r="E715" s="11">
        <v>713</v>
      </c>
      <c r="F715" s="8"/>
      <c r="G715" s="8"/>
      <c r="H715" s="9"/>
      <c r="I715" s="10"/>
      <c r="J715" s="9"/>
      <c r="K715" s="10"/>
      <c r="L715" s="8"/>
      <c r="M715" s="8"/>
      <c r="N715" s="10"/>
      <c r="O715" s="10"/>
    </row>
    <row r="716" spans="1:15" ht="42.75" customHeight="1" x14ac:dyDescent="0.25">
      <c r="A716" s="7"/>
      <c r="B716" s="7"/>
      <c r="C716" s="7"/>
      <c r="D716" s="7"/>
      <c r="E716" s="11">
        <v>714</v>
      </c>
      <c r="F716" s="8"/>
      <c r="G716" s="8"/>
      <c r="H716" s="9"/>
      <c r="I716" s="10"/>
      <c r="J716" s="9"/>
      <c r="K716" s="10"/>
      <c r="L716" s="8"/>
      <c r="M716" s="8"/>
      <c r="N716" s="10"/>
      <c r="O716" s="10"/>
    </row>
    <row r="717" spans="1:15" ht="42.75" customHeight="1" x14ac:dyDescent="0.25">
      <c r="A717" s="7"/>
      <c r="B717" s="7"/>
      <c r="C717" s="7"/>
      <c r="D717" s="7"/>
      <c r="E717" s="11">
        <v>715</v>
      </c>
      <c r="F717" s="8"/>
      <c r="G717" s="8"/>
      <c r="H717" s="9"/>
      <c r="I717" s="10"/>
      <c r="J717" s="9"/>
      <c r="K717" s="10"/>
      <c r="L717" s="8"/>
      <c r="M717" s="8"/>
      <c r="N717" s="10"/>
      <c r="O717" s="10"/>
    </row>
    <row r="718" spans="1:15" ht="42.75" customHeight="1" x14ac:dyDescent="0.25">
      <c r="A718" s="7"/>
      <c r="B718" s="7"/>
      <c r="C718" s="7"/>
      <c r="D718" s="7"/>
      <c r="E718" s="11">
        <v>716</v>
      </c>
      <c r="F718" s="8"/>
      <c r="G718" s="8"/>
      <c r="H718" s="9"/>
      <c r="I718" s="10"/>
      <c r="J718" s="9"/>
      <c r="K718" s="10"/>
      <c r="L718" s="8"/>
      <c r="M718" s="8"/>
      <c r="N718" s="10"/>
      <c r="O718" s="10"/>
    </row>
    <row r="719" spans="1:15" ht="42.75" customHeight="1" x14ac:dyDescent="0.25">
      <c r="A719" s="7"/>
      <c r="B719" s="7"/>
      <c r="C719" s="7"/>
      <c r="D719" s="7"/>
      <c r="E719" s="11">
        <v>717</v>
      </c>
      <c r="F719" s="8"/>
      <c r="G719" s="8"/>
      <c r="H719" s="9"/>
      <c r="I719" s="10"/>
      <c r="J719" s="9"/>
      <c r="K719" s="10"/>
      <c r="L719" s="8"/>
      <c r="M719" s="8"/>
      <c r="N719" s="10"/>
      <c r="O719" s="10"/>
    </row>
    <row r="720" spans="1:15" ht="42.75" customHeight="1" x14ac:dyDescent="0.25">
      <c r="A720" s="7"/>
      <c r="B720" s="7"/>
      <c r="C720" s="7"/>
      <c r="D720" s="7"/>
      <c r="E720" s="11">
        <v>718</v>
      </c>
      <c r="F720" s="8"/>
      <c r="G720" s="8"/>
      <c r="H720" s="9"/>
      <c r="I720" s="10"/>
      <c r="J720" s="9"/>
      <c r="K720" s="10"/>
      <c r="L720" s="8"/>
      <c r="M720" s="8"/>
      <c r="N720" s="10"/>
      <c r="O720" s="10"/>
    </row>
    <row r="721" spans="1:15" ht="42.75" customHeight="1" x14ac:dyDescent="0.25">
      <c r="A721" s="7"/>
      <c r="B721" s="7"/>
      <c r="C721" s="7"/>
      <c r="D721" s="7"/>
      <c r="E721" s="11">
        <v>719</v>
      </c>
      <c r="F721" s="8"/>
      <c r="G721" s="8"/>
      <c r="H721" s="9"/>
      <c r="I721" s="10"/>
      <c r="J721" s="9"/>
      <c r="K721" s="10"/>
      <c r="L721" s="8"/>
      <c r="M721" s="8"/>
      <c r="N721" s="10"/>
      <c r="O721" s="10"/>
    </row>
    <row r="722" spans="1:15" ht="42.75" customHeight="1" x14ac:dyDescent="0.25">
      <c r="A722" s="7"/>
      <c r="B722" s="7"/>
      <c r="C722" s="7"/>
      <c r="D722" s="7"/>
      <c r="E722" s="11">
        <v>720</v>
      </c>
      <c r="F722" s="8"/>
      <c r="G722" s="8"/>
      <c r="H722" s="9"/>
      <c r="I722" s="10"/>
      <c r="J722" s="9"/>
      <c r="K722" s="10"/>
      <c r="L722" s="8"/>
      <c r="M722" s="8"/>
      <c r="N722" s="10"/>
      <c r="O722" s="10"/>
    </row>
    <row r="723" spans="1:15" ht="42.75" customHeight="1" x14ac:dyDescent="0.25">
      <c r="A723" s="7"/>
      <c r="B723" s="7"/>
      <c r="C723" s="7"/>
      <c r="D723" s="7"/>
      <c r="E723" s="11">
        <v>721</v>
      </c>
      <c r="F723" s="8"/>
      <c r="G723" s="8"/>
      <c r="H723" s="9"/>
      <c r="I723" s="10"/>
      <c r="J723" s="9"/>
      <c r="K723" s="10"/>
      <c r="L723" s="8"/>
      <c r="M723" s="8"/>
      <c r="N723" s="10"/>
      <c r="O723" s="10"/>
    </row>
    <row r="724" spans="1:15" ht="42.75" customHeight="1" x14ac:dyDescent="0.25">
      <c r="A724" s="7"/>
      <c r="B724" s="7"/>
      <c r="C724" s="7"/>
      <c r="D724" s="7"/>
      <c r="E724" s="11">
        <v>722</v>
      </c>
      <c r="F724" s="8"/>
      <c r="G724" s="8"/>
      <c r="H724" s="9"/>
      <c r="I724" s="10"/>
      <c r="J724" s="9"/>
      <c r="K724" s="10"/>
      <c r="L724" s="8"/>
      <c r="M724" s="8"/>
      <c r="N724" s="10"/>
      <c r="O724" s="10"/>
    </row>
    <row r="725" spans="1:15" ht="42.75" customHeight="1" x14ac:dyDescent="0.25">
      <c r="A725" s="7"/>
      <c r="B725" s="7"/>
      <c r="C725" s="7"/>
      <c r="D725" s="7"/>
      <c r="E725" s="11">
        <v>723</v>
      </c>
      <c r="F725" s="8"/>
      <c r="G725" s="8"/>
      <c r="H725" s="9"/>
      <c r="I725" s="10"/>
      <c r="J725" s="9"/>
      <c r="K725" s="10"/>
      <c r="L725" s="8"/>
      <c r="M725" s="8"/>
      <c r="N725" s="10"/>
      <c r="O725" s="10"/>
    </row>
    <row r="726" spans="1:15" ht="42.75" customHeight="1" x14ac:dyDescent="0.25">
      <c r="A726" s="7"/>
      <c r="B726" s="7"/>
      <c r="C726" s="7"/>
      <c r="D726" s="7"/>
      <c r="E726" s="11">
        <v>724</v>
      </c>
      <c r="F726" s="8"/>
      <c r="G726" s="8"/>
      <c r="H726" s="9"/>
      <c r="I726" s="10"/>
      <c r="J726" s="9"/>
      <c r="K726" s="10"/>
      <c r="L726" s="8"/>
      <c r="M726" s="8"/>
      <c r="N726" s="10"/>
      <c r="O726" s="10"/>
    </row>
    <row r="727" spans="1:15" ht="42.75" customHeight="1" x14ac:dyDescent="0.25">
      <c r="A727" s="7"/>
      <c r="B727" s="7"/>
      <c r="C727" s="7"/>
      <c r="D727" s="7"/>
      <c r="E727" s="11">
        <v>725</v>
      </c>
      <c r="F727" s="8"/>
      <c r="G727" s="8"/>
      <c r="H727" s="9"/>
      <c r="I727" s="10"/>
      <c r="J727" s="9"/>
      <c r="K727" s="10"/>
      <c r="L727" s="8"/>
      <c r="M727" s="8"/>
      <c r="N727" s="10"/>
      <c r="O727" s="10"/>
    </row>
    <row r="728" spans="1:15" ht="42.75" customHeight="1" x14ac:dyDescent="0.25">
      <c r="A728" s="7"/>
      <c r="B728" s="7"/>
      <c r="C728" s="7"/>
      <c r="D728" s="7"/>
      <c r="E728" s="11">
        <v>726</v>
      </c>
      <c r="F728" s="8"/>
      <c r="G728" s="8"/>
      <c r="H728" s="9"/>
      <c r="I728" s="10"/>
      <c r="J728" s="9"/>
      <c r="K728" s="10"/>
      <c r="L728" s="8"/>
      <c r="M728" s="8"/>
      <c r="N728" s="10"/>
      <c r="O728" s="10"/>
    </row>
    <row r="729" spans="1:15" ht="42.75" customHeight="1" x14ac:dyDescent="0.25">
      <c r="A729" s="7"/>
      <c r="B729" s="7"/>
      <c r="C729" s="7"/>
      <c r="D729" s="7"/>
      <c r="E729" s="11">
        <v>727</v>
      </c>
      <c r="F729" s="8"/>
      <c r="G729" s="8"/>
      <c r="H729" s="9"/>
      <c r="I729" s="10"/>
      <c r="J729" s="9"/>
      <c r="K729" s="10"/>
      <c r="L729" s="8"/>
      <c r="M729" s="8"/>
      <c r="N729" s="10"/>
      <c r="O729" s="10"/>
    </row>
    <row r="730" spans="1:15" ht="42.75" customHeight="1" x14ac:dyDescent="0.25">
      <c r="A730" s="7"/>
      <c r="B730" s="7"/>
      <c r="C730" s="7"/>
      <c r="D730" s="7"/>
      <c r="E730" s="11">
        <v>728</v>
      </c>
      <c r="F730" s="8"/>
      <c r="G730" s="8"/>
      <c r="H730" s="9"/>
      <c r="I730" s="10"/>
      <c r="J730" s="9"/>
      <c r="K730" s="10"/>
      <c r="L730" s="8"/>
      <c r="M730" s="8"/>
      <c r="N730" s="10"/>
      <c r="O730" s="10"/>
    </row>
    <row r="731" spans="1:15" ht="42.75" customHeight="1" x14ac:dyDescent="0.25">
      <c r="A731" s="7"/>
      <c r="B731" s="7"/>
      <c r="C731" s="7"/>
      <c r="D731" s="7"/>
      <c r="E731" s="11">
        <v>729</v>
      </c>
      <c r="F731" s="8"/>
      <c r="G731" s="8"/>
      <c r="H731" s="9"/>
      <c r="I731" s="10"/>
      <c r="J731" s="9"/>
      <c r="K731" s="10"/>
      <c r="L731" s="8"/>
      <c r="M731" s="8"/>
      <c r="N731" s="10"/>
      <c r="O731" s="10"/>
    </row>
    <row r="732" spans="1:15" ht="42.75" customHeight="1" x14ac:dyDescent="0.25">
      <c r="A732" s="7"/>
      <c r="B732" s="7"/>
      <c r="C732" s="7"/>
      <c r="D732" s="7"/>
      <c r="E732" s="11">
        <v>730</v>
      </c>
      <c r="F732" s="8"/>
      <c r="G732" s="8"/>
      <c r="H732" s="9"/>
      <c r="I732" s="10"/>
      <c r="J732" s="9"/>
      <c r="K732" s="10"/>
      <c r="L732" s="8"/>
      <c r="M732" s="8"/>
      <c r="N732" s="10"/>
      <c r="O732" s="10"/>
    </row>
    <row r="733" spans="1:15" ht="42.75" customHeight="1" x14ac:dyDescent="0.25">
      <c r="A733" s="7"/>
      <c r="B733" s="7"/>
      <c r="C733" s="7"/>
      <c r="D733" s="7"/>
      <c r="E733" s="11">
        <v>731</v>
      </c>
      <c r="F733" s="8"/>
      <c r="G733" s="8"/>
      <c r="H733" s="9"/>
      <c r="I733" s="10"/>
      <c r="J733" s="9"/>
      <c r="K733" s="10"/>
      <c r="L733" s="8"/>
      <c r="M733" s="8"/>
      <c r="N733" s="10"/>
      <c r="O733" s="10"/>
    </row>
    <row r="734" spans="1:15" ht="42.75" customHeight="1" x14ac:dyDescent="0.25">
      <c r="A734" s="7"/>
      <c r="B734" s="7"/>
      <c r="C734" s="7"/>
      <c r="D734" s="7"/>
      <c r="E734" s="11">
        <v>732</v>
      </c>
      <c r="F734" s="8"/>
      <c r="G734" s="8"/>
      <c r="H734" s="9"/>
      <c r="I734" s="10"/>
      <c r="J734" s="9"/>
      <c r="K734" s="10"/>
      <c r="L734" s="8"/>
      <c r="M734" s="8"/>
      <c r="N734" s="10"/>
      <c r="O734" s="10"/>
    </row>
    <row r="735" spans="1:15" ht="42.75" customHeight="1" x14ac:dyDescent="0.25">
      <c r="A735" s="7"/>
      <c r="B735" s="7"/>
      <c r="C735" s="7"/>
      <c r="D735" s="7"/>
      <c r="E735" s="11">
        <v>733</v>
      </c>
      <c r="F735" s="8"/>
      <c r="G735" s="8"/>
      <c r="H735" s="9"/>
      <c r="I735" s="10"/>
      <c r="J735" s="9"/>
      <c r="K735" s="10"/>
      <c r="L735" s="8"/>
      <c r="M735" s="8"/>
      <c r="N735" s="10"/>
      <c r="O735" s="10"/>
    </row>
    <row r="736" spans="1:15" ht="42.75" customHeight="1" x14ac:dyDescent="0.25">
      <c r="A736" s="7"/>
      <c r="B736" s="7"/>
      <c r="C736" s="7"/>
      <c r="D736" s="7"/>
      <c r="E736" s="11">
        <v>734</v>
      </c>
      <c r="F736" s="8"/>
      <c r="G736" s="8"/>
      <c r="H736" s="9"/>
      <c r="I736" s="10"/>
      <c r="J736" s="9"/>
      <c r="K736" s="10"/>
      <c r="L736" s="8"/>
      <c r="M736" s="8"/>
      <c r="N736" s="10"/>
      <c r="O736" s="10"/>
    </row>
    <row r="737" spans="1:15" ht="42.75" customHeight="1" x14ac:dyDescent="0.25">
      <c r="A737" s="7"/>
      <c r="B737" s="7"/>
      <c r="C737" s="7"/>
      <c r="D737" s="7"/>
      <c r="E737" s="11">
        <v>735</v>
      </c>
      <c r="F737" s="8"/>
      <c r="G737" s="8"/>
      <c r="H737" s="9"/>
      <c r="I737" s="10"/>
      <c r="J737" s="9"/>
      <c r="K737" s="10"/>
      <c r="L737" s="8"/>
      <c r="M737" s="8"/>
      <c r="N737" s="10"/>
      <c r="O737" s="10"/>
    </row>
    <row r="738" spans="1:15" ht="42.75" customHeight="1" x14ac:dyDescent="0.25">
      <c r="A738" s="7"/>
      <c r="B738" s="7"/>
      <c r="C738" s="7"/>
      <c r="D738" s="7"/>
      <c r="E738" s="11">
        <v>736</v>
      </c>
      <c r="F738" s="8"/>
      <c r="G738" s="8"/>
      <c r="H738" s="9"/>
      <c r="I738" s="10"/>
      <c r="J738" s="9"/>
      <c r="K738" s="10"/>
      <c r="L738" s="8"/>
      <c r="M738" s="8"/>
      <c r="N738" s="10"/>
      <c r="O738" s="10"/>
    </row>
    <row r="739" spans="1:15" ht="42.75" customHeight="1" x14ac:dyDescent="0.25">
      <c r="A739" s="7"/>
      <c r="B739" s="7"/>
      <c r="C739" s="7"/>
      <c r="D739" s="7"/>
      <c r="E739" s="11">
        <v>737</v>
      </c>
      <c r="F739" s="8"/>
      <c r="G739" s="8"/>
      <c r="H739" s="9"/>
      <c r="I739" s="10"/>
      <c r="J739" s="9"/>
      <c r="K739" s="10"/>
      <c r="L739" s="8"/>
      <c r="M739" s="8"/>
      <c r="N739" s="10"/>
      <c r="O739" s="10"/>
    </row>
    <row r="740" spans="1:15" ht="42.75" customHeight="1" x14ac:dyDescent="0.25">
      <c r="A740" s="7"/>
      <c r="B740" s="7"/>
      <c r="C740" s="7"/>
      <c r="D740" s="7"/>
      <c r="E740" s="11">
        <v>738</v>
      </c>
      <c r="F740" s="8"/>
      <c r="G740" s="8"/>
      <c r="H740" s="9"/>
      <c r="I740" s="10"/>
      <c r="J740" s="9"/>
      <c r="K740" s="10"/>
      <c r="L740" s="8"/>
      <c r="M740" s="8"/>
      <c r="N740" s="10"/>
      <c r="O740" s="10"/>
    </row>
    <row r="741" spans="1:15" ht="42.75" customHeight="1" x14ac:dyDescent="0.25">
      <c r="A741" s="7"/>
      <c r="B741" s="7"/>
      <c r="C741" s="7"/>
      <c r="D741" s="7"/>
      <c r="E741" s="11">
        <v>739</v>
      </c>
      <c r="F741" s="8"/>
      <c r="G741" s="8"/>
      <c r="H741" s="9"/>
      <c r="I741" s="10"/>
      <c r="J741" s="9"/>
      <c r="K741" s="10"/>
      <c r="L741" s="8"/>
      <c r="M741" s="8"/>
      <c r="N741" s="10"/>
      <c r="O741" s="10"/>
    </row>
    <row r="742" spans="1:15" ht="42.75" customHeight="1" x14ac:dyDescent="0.25">
      <c r="A742" s="7"/>
      <c r="B742" s="7"/>
      <c r="C742" s="7"/>
      <c r="D742" s="7"/>
      <c r="E742" s="11">
        <v>740</v>
      </c>
      <c r="F742" s="8"/>
      <c r="G742" s="8"/>
      <c r="H742" s="9"/>
      <c r="I742" s="10"/>
      <c r="J742" s="9"/>
      <c r="K742" s="10"/>
      <c r="L742" s="8"/>
      <c r="M742" s="8"/>
      <c r="N742" s="10"/>
      <c r="O742" s="10"/>
    </row>
    <row r="743" spans="1:15" ht="42.75" customHeight="1" x14ac:dyDescent="0.25">
      <c r="A743" s="7"/>
      <c r="B743" s="7"/>
      <c r="C743" s="7"/>
      <c r="D743" s="7"/>
      <c r="E743" s="11">
        <v>741</v>
      </c>
      <c r="F743" s="8"/>
      <c r="G743" s="8"/>
      <c r="H743" s="9"/>
      <c r="I743" s="10"/>
      <c r="J743" s="9"/>
      <c r="K743" s="10"/>
      <c r="L743" s="8"/>
      <c r="M743" s="8"/>
      <c r="N743" s="10"/>
      <c r="O743" s="10"/>
    </row>
    <row r="744" spans="1:15" ht="42.75" customHeight="1" x14ac:dyDescent="0.25">
      <c r="A744" s="7"/>
      <c r="B744" s="7"/>
      <c r="C744" s="7"/>
      <c r="D744" s="7"/>
      <c r="E744" s="11">
        <v>742</v>
      </c>
      <c r="F744" s="8"/>
      <c r="G744" s="8"/>
      <c r="H744" s="9"/>
      <c r="I744" s="10"/>
      <c r="J744" s="9"/>
      <c r="K744" s="10"/>
      <c r="L744" s="8"/>
      <c r="M744" s="8"/>
      <c r="N744" s="10"/>
      <c r="O744" s="10"/>
    </row>
    <row r="745" spans="1:15" ht="42.75" customHeight="1" x14ac:dyDescent="0.25">
      <c r="A745" s="7"/>
      <c r="B745" s="7"/>
      <c r="C745" s="7"/>
      <c r="D745" s="7"/>
      <c r="E745" s="11">
        <v>743</v>
      </c>
      <c r="F745" s="8"/>
      <c r="G745" s="8"/>
      <c r="H745" s="9"/>
      <c r="I745" s="10"/>
      <c r="J745" s="9"/>
      <c r="K745" s="10"/>
      <c r="L745" s="8"/>
      <c r="M745" s="8"/>
      <c r="N745" s="10"/>
      <c r="O745" s="10"/>
    </row>
    <row r="746" spans="1:15" ht="42.75" customHeight="1" x14ac:dyDescent="0.25">
      <c r="A746" s="7"/>
      <c r="B746" s="7"/>
      <c r="C746" s="7"/>
      <c r="D746" s="7"/>
      <c r="E746" s="11">
        <v>744</v>
      </c>
      <c r="F746" s="8"/>
      <c r="G746" s="8"/>
      <c r="H746" s="9"/>
      <c r="I746" s="10"/>
      <c r="J746" s="9"/>
      <c r="K746" s="10"/>
      <c r="L746" s="8"/>
      <c r="M746" s="8"/>
      <c r="N746" s="10"/>
      <c r="O746" s="10"/>
    </row>
    <row r="747" spans="1:15" ht="42.75" customHeight="1" x14ac:dyDescent="0.25">
      <c r="A747" s="7"/>
      <c r="B747" s="7"/>
      <c r="C747" s="7"/>
      <c r="D747" s="7"/>
      <c r="E747" s="11">
        <v>745</v>
      </c>
      <c r="F747" s="8"/>
      <c r="G747" s="8"/>
      <c r="H747" s="9"/>
      <c r="I747" s="10"/>
      <c r="J747" s="9"/>
      <c r="K747" s="10"/>
      <c r="L747" s="8"/>
      <c r="M747" s="8"/>
      <c r="N747" s="10"/>
      <c r="O747" s="10"/>
    </row>
    <row r="748" spans="1:15" ht="42.75" customHeight="1" x14ac:dyDescent="0.25">
      <c r="A748" s="7"/>
      <c r="B748" s="7"/>
      <c r="C748" s="7"/>
      <c r="D748" s="7"/>
      <c r="E748" s="11">
        <v>746</v>
      </c>
      <c r="F748" s="8"/>
      <c r="G748" s="8"/>
      <c r="H748" s="9"/>
      <c r="I748" s="10"/>
      <c r="J748" s="9"/>
      <c r="K748" s="10"/>
      <c r="L748" s="8"/>
      <c r="M748" s="8"/>
      <c r="N748" s="10"/>
      <c r="O748" s="10"/>
    </row>
    <row r="749" spans="1:15" ht="42.75" customHeight="1" x14ac:dyDescent="0.25">
      <c r="A749" s="7"/>
      <c r="B749" s="7"/>
      <c r="C749" s="7"/>
      <c r="D749" s="7"/>
      <c r="E749" s="11">
        <v>747</v>
      </c>
      <c r="F749" s="8"/>
      <c r="G749" s="8"/>
      <c r="H749" s="9"/>
      <c r="I749" s="10"/>
      <c r="J749" s="9"/>
      <c r="K749" s="10"/>
      <c r="L749" s="8"/>
      <c r="M749" s="8"/>
      <c r="N749" s="10"/>
      <c r="O749" s="10"/>
    </row>
    <row r="750" spans="1:15" ht="42.75" customHeight="1" x14ac:dyDescent="0.25">
      <c r="A750" s="7"/>
      <c r="B750" s="7"/>
      <c r="C750" s="7"/>
      <c r="D750" s="7"/>
      <c r="E750" s="11">
        <v>748</v>
      </c>
      <c r="F750" s="8"/>
      <c r="G750" s="8"/>
      <c r="H750" s="9"/>
      <c r="I750" s="10"/>
      <c r="J750" s="9"/>
      <c r="K750" s="10"/>
      <c r="L750" s="8"/>
      <c r="M750" s="8"/>
      <c r="N750" s="10"/>
      <c r="O750" s="10"/>
    </row>
    <row r="751" spans="1:15" ht="42.75" customHeight="1" x14ac:dyDescent="0.25">
      <c r="A751" s="7"/>
      <c r="B751" s="7"/>
      <c r="C751" s="7"/>
      <c r="D751" s="7"/>
      <c r="E751" s="11">
        <v>749</v>
      </c>
      <c r="F751" s="8"/>
      <c r="G751" s="8"/>
      <c r="H751" s="9"/>
      <c r="I751" s="10"/>
      <c r="J751" s="9"/>
      <c r="K751" s="10"/>
      <c r="L751" s="8"/>
      <c r="M751" s="8"/>
      <c r="N751" s="10"/>
      <c r="O751" s="10"/>
    </row>
    <row r="752" spans="1:15" ht="42.75" customHeight="1" x14ac:dyDescent="0.25">
      <c r="A752" s="7"/>
      <c r="B752" s="7"/>
      <c r="C752" s="7"/>
      <c r="D752" s="7"/>
      <c r="E752" s="11">
        <v>750</v>
      </c>
      <c r="F752" s="8"/>
      <c r="G752" s="8"/>
      <c r="H752" s="9"/>
      <c r="I752" s="10"/>
      <c r="J752" s="9"/>
      <c r="K752" s="10"/>
      <c r="L752" s="8"/>
      <c r="M752" s="8"/>
      <c r="N752" s="10"/>
      <c r="O752" s="10"/>
    </row>
    <row r="753" spans="1:15" ht="42.75" customHeight="1" x14ac:dyDescent="0.25">
      <c r="A753" s="7"/>
      <c r="B753" s="7"/>
      <c r="C753" s="7"/>
      <c r="D753" s="7"/>
      <c r="E753" s="11">
        <v>751</v>
      </c>
      <c r="F753" s="8"/>
      <c r="G753" s="8"/>
      <c r="H753" s="9"/>
      <c r="I753" s="10"/>
      <c r="J753" s="9"/>
      <c r="K753" s="10"/>
      <c r="L753" s="8"/>
      <c r="M753" s="8"/>
      <c r="N753" s="10"/>
      <c r="O753" s="10"/>
    </row>
    <row r="754" spans="1:15" ht="42.75" customHeight="1" x14ac:dyDescent="0.25">
      <c r="A754" s="7"/>
      <c r="B754" s="7"/>
      <c r="C754" s="7"/>
      <c r="D754" s="7"/>
      <c r="E754" s="11">
        <v>752</v>
      </c>
      <c r="F754" s="8"/>
      <c r="G754" s="8"/>
      <c r="H754" s="9"/>
      <c r="I754" s="10"/>
      <c r="J754" s="9"/>
      <c r="K754" s="10"/>
      <c r="L754" s="8"/>
      <c r="M754" s="8"/>
      <c r="N754" s="10"/>
      <c r="O754" s="10"/>
    </row>
    <row r="755" spans="1:15" ht="42.75" customHeight="1" x14ac:dyDescent="0.25">
      <c r="A755" s="7"/>
      <c r="B755" s="7"/>
      <c r="C755" s="7"/>
      <c r="D755" s="7"/>
      <c r="E755" s="11">
        <v>753</v>
      </c>
      <c r="F755" s="8"/>
      <c r="G755" s="8"/>
      <c r="H755" s="9"/>
      <c r="I755" s="10"/>
      <c r="J755" s="9"/>
      <c r="K755" s="10"/>
      <c r="L755" s="8"/>
      <c r="M755" s="8"/>
      <c r="N755" s="10"/>
      <c r="O755" s="10"/>
    </row>
    <row r="756" spans="1:15" ht="42.75" customHeight="1" x14ac:dyDescent="0.25">
      <c r="A756" s="7"/>
      <c r="B756" s="7"/>
      <c r="C756" s="7"/>
      <c r="D756" s="7"/>
      <c r="E756" s="11">
        <v>754</v>
      </c>
      <c r="F756" s="8"/>
      <c r="G756" s="8"/>
      <c r="H756" s="9"/>
      <c r="I756" s="10"/>
      <c r="J756" s="9"/>
      <c r="K756" s="10"/>
      <c r="L756" s="8"/>
      <c r="M756" s="8"/>
      <c r="N756" s="10"/>
      <c r="O756" s="10"/>
    </row>
    <row r="757" spans="1:15" ht="42.75" customHeight="1" x14ac:dyDescent="0.25">
      <c r="A757" s="7"/>
      <c r="B757" s="7"/>
      <c r="C757" s="7"/>
      <c r="D757" s="7"/>
      <c r="E757" s="11">
        <v>755</v>
      </c>
      <c r="F757" s="8"/>
      <c r="G757" s="8"/>
      <c r="H757" s="9"/>
      <c r="I757" s="10"/>
      <c r="J757" s="9"/>
      <c r="K757" s="10"/>
      <c r="L757" s="8"/>
      <c r="M757" s="8"/>
      <c r="N757" s="10"/>
      <c r="O757" s="10"/>
    </row>
    <row r="758" spans="1:15" ht="42.75" customHeight="1" x14ac:dyDescent="0.25">
      <c r="A758" s="7"/>
      <c r="B758" s="7"/>
      <c r="C758" s="7"/>
      <c r="D758" s="7"/>
      <c r="E758" s="11">
        <v>756</v>
      </c>
      <c r="F758" s="8"/>
      <c r="G758" s="8"/>
      <c r="H758" s="9"/>
      <c r="I758" s="10"/>
      <c r="J758" s="9"/>
      <c r="K758" s="10"/>
      <c r="L758" s="8"/>
      <c r="M758" s="8"/>
      <c r="N758" s="10"/>
      <c r="O758" s="10"/>
    </row>
    <row r="759" spans="1:15" ht="42.75" customHeight="1" x14ac:dyDescent="0.25">
      <c r="A759" s="7"/>
      <c r="B759" s="7"/>
      <c r="C759" s="7"/>
      <c r="D759" s="7"/>
      <c r="E759" s="11">
        <v>757</v>
      </c>
      <c r="F759" s="8"/>
      <c r="G759" s="8"/>
      <c r="H759" s="9"/>
      <c r="I759" s="10"/>
      <c r="J759" s="9"/>
      <c r="K759" s="10"/>
      <c r="L759" s="8"/>
      <c r="M759" s="8"/>
      <c r="N759" s="10"/>
      <c r="O759" s="10"/>
    </row>
    <row r="760" spans="1:15" ht="42.75" customHeight="1" x14ac:dyDescent="0.25">
      <c r="A760" s="7"/>
      <c r="B760" s="7"/>
      <c r="C760" s="7"/>
      <c r="D760" s="7"/>
      <c r="E760" s="11">
        <v>758</v>
      </c>
      <c r="F760" s="8"/>
      <c r="G760" s="8"/>
      <c r="H760" s="9"/>
      <c r="I760" s="10"/>
      <c r="J760" s="9"/>
      <c r="K760" s="10"/>
      <c r="L760" s="8"/>
      <c r="M760" s="8"/>
      <c r="N760" s="10"/>
      <c r="O760" s="10"/>
    </row>
    <row r="761" spans="1:15" ht="42.75" customHeight="1" x14ac:dyDescent="0.25">
      <c r="A761" s="7"/>
      <c r="B761" s="7"/>
      <c r="C761" s="7"/>
      <c r="D761" s="7"/>
      <c r="E761" s="11">
        <v>759</v>
      </c>
      <c r="F761" s="8"/>
      <c r="G761" s="8"/>
      <c r="H761" s="9"/>
      <c r="I761" s="10"/>
      <c r="J761" s="9"/>
      <c r="K761" s="10"/>
      <c r="L761" s="8"/>
      <c r="M761" s="8"/>
      <c r="N761" s="10"/>
      <c r="O761" s="10"/>
    </row>
    <row r="762" spans="1:15" ht="42.75" customHeight="1" x14ac:dyDescent="0.25">
      <c r="A762" s="7"/>
      <c r="B762" s="7"/>
      <c r="C762" s="7"/>
      <c r="D762" s="7"/>
      <c r="E762" s="11">
        <v>760</v>
      </c>
      <c r="F762" s="8"/>
      <c r="G762" s="8"/>
      <c r="H762" s="9"/>
      <c r="I762" s="10"/>
      <c r="J762" s="9"/>
      <c r="K762" s="10"/>
      <c r="L762" s="8"/>
      <c r="M762" s="8"/>
      <c r="N762" s="10"/>
      <c r="O762" s="10"/>
    </row>
    <row r="763" spans="1:15" ht="42.75" customHeight="1" x14ac:dyDescent="0.25">
      <c r="A763" s="7"/>
      <c r="B763" s="7"/>
      <c r="C763" s="7"/>
      <c r="D763" s="7"/>
      <c r="E763" s="11">
        <v>761</v>
      </c>
      <c r="F763" s="8"/>
      <c r="G763" s="8"/>
      <c r="H763" s="9"/>
      <c r="I763" s="10"/>
      <c r="J763" s="9"/>
      <c r="K763" s="10"/>
      <c r="L763" s="8"/>
      <c r="M763" s="8"/>
      <c r="N763" s="10"/>
      <c r="O763" s="10"/>
    </row>
    <row r="764" spans="1:15" ht="42.75" customHeight="1" x14ac:dyDescent="0.25">
      <c r="A764" s="7"/>
      <c r="B764" s="7"/>
      <c r="C764" s="7"/>
      <c r="D764" s="7"/>
      <c r="E764" s="11">
        <v>762</v>
      </c>
      <c r="F764" s="8"/>
      <c r="G764" s="8"/>
      <c r="H764" s="9"/>
      <c r="I764" s="10"/>
      <c r="J764" s="9"/>
      <c r="K764" s="10"/>
      <c r="L764" s="8"/>
      <c r="M764" s="8"/>
      <c r="N764" s="10"/>
      <c r="O764" s="10"/>
    </row>
    <row r="765" spans="1:15" ht="42.75" customHeight="1" x14ac:dyDescent="0.25">
      <c r="A765" s="7"/>
      <c r="B765" s="7"/>
      <c r="C765" s="7"/>
      <c r="D765" s="7"/>
      <c r="E765" s="11">
        <v>763</v>
      </c>
      <c r="F765" s="8"/>
      <c r="G765" s="8"/>
      <c r="H765" s="9"/>
      <c r="I765" s="10"/>
      <c r="J765" s="9"/>
      <c r="K765" s="10"/>
      <c r="L765" s="8"/>
      <c r="M765" s="8"/>
      <c r="N765" s="10"/>
      <c r="O765" s="10"/>
    </row>
    <row r="766" spans="1:15" ht="42.75" customHeight="1" x14ac:dyDescent="0.25">
      <c r="A766" s="7"/>
      <c r="B766" s="7"/>
      <c r="C766" s="7"/>
      <c r="D766" s="7"/>
      <c r="E766" s="11">
        <v>764</v>
      </c>
      <c r="F766" s="8"/>
      <c r="G766" s="8"/>
      <c r="H766" s="9"/>
      <c r="I766" s="10"/>
      <c r="J766" s="9"/>
      <c r="K766" s="10"/>
      <c r="L766" s="8"/>
      <c r="M766" s="8"/>
      <c r="N766" s="10"/>
      <c r="O766" s="10"/>
    </row>
    <row r="767" spans="1:15" ht="42.75" customHeight="1" x14ac:dyDescent="0.25">
      <c r="A767" s="7"/>
      <c r="B767" s="7"/>
      <c r="C767" s="7"/>
      <c r="D767" s="7"/>
      <c r="E767" s="11">
        <v>765</v>
      </c>
      <c r="F767" s="8"/>
      <c r="G767" s="8"/>
      <c r="H767" s="9"/>
      <c r="I767" s="10"/>
      <c r="J767" s="9"/>
      <c r="K767" s="10"/>
      <c r="L767" s="8"/>
      <c r="M767" s="8"/>
      <c r="N767" s="10"/>
      <c r="O767" s="10"/>
    </row>
    <row r="768" spans="1:15" ht="42.75" customHeight="1" x14ac:dyDescent="0.25">
      <c r="A768" s="7"/>
      <c r="B768" s="7"/>
      <c r="C768" s="7"/>
      <c r="D768" s="7"/>
      <c r="E768" s="11">
        <v>766</v>
      </c>
      <c r="F768" s="8"/>
      <c r="G768" s="8"/>
      <c r="H768" s="9"/>
      <c r="I768" s="10"/>
      <c r="J768" s="9"/>
      <c r="K768" s="10"/>
      <c r="L768" s="8"/>
      <c r="M768" s="8"/>
      <c r="N768" s="10"/>
      <c r="O768" s="10"/>
    </row>
    <row r="769" spans="1:15" ht="42.75" customHeight="1" x14ac:dyDescent="0.25">
      <c r="A769" s="7"/>
      <c r="B769" s="7"/>
      <c r="C769" s="7"/>
      <c r="D769" s="7"/>
      <c r="E769" s="11">
        <v>767</v>
      </c>
      <c r="F769" s="8"/>
      <c r="G769" s="8"/>
      <c r="H769" s="9"/>
      <c r="I769" s="10"/>
      <c r="J769" s="9"/>
      <c r="K769" s="10"/>
      <c r="L769" s="8"/>
      <c r="M769" s="8"/>
      <c r="N769" s="10"/>
      <c r="O769" s="10"/>
    </row>
    <row r="770" spans="1:15" ht="42.75" customHeight="1" x14ac:dyDescent="0.25">
      <c r="A770" s="7"/>
      <c r="B770" s="7"/>
      <c r="C770" s="7"/>
      <c r="D770" s="7"/>
      <c r="E770" s="11">
        <v>768</v>
      </c>
      <c r="F770" s="8"/>
      <c r="G770" s="8"/>
      <c r="H770" s="9"/>
      <c r="I770" s="10"/>
      <c r="J770" s="9"/>
      <c r="K770" s="10"/>
      <c r="L770" s="8"/>
      <c r="M770" s="8"/>
      <c r="N770" s="10"/>
      <c r="O770" s="10"/>
    </row>
    <row r="771" spans="1:15" ht="42.75" customHeight="1" x14ac:dyDescent="0.25">
      <c r="A771" s="7"/>
      <c r="B771" s="7"/>
      <c r="C771" s="7"/>
      <c r="D771" s="7"/>
      <c r="E771" s="11">
        <v>769</v>
      </c>
      <c r="F771" s="8"/>
      <c r="G771" s="8"/>
      <c r="H771" s="9"/>
      <c r="I771" s="10"/>
      <c r="J771" s="9"/>
      <c r="K771" s="10"/>
      <c r="L771" s="8"/>
      <c r="M771" s="8"/>
      <c r="N771" s="10"/>
      <c r="O771" s="10"/>
    </row>
    <row r="772" spans="1:15" ht="42.75" customHeight="1" x14ac:dyDescent="0.25">
      <c r="A772" s="7"/>
      <c r="B772" s="7"/>
      <c r="C772" s="7"/>
      <c r="D772" s="7"/>
      <c r="E772" s="11">
        <v>770</v>
      </c>
      <c r="F772" s="8"/>
      <c r="G772" s="8"/>
      <c r="H772" s="9"/>
      <c r="I772" s="10"/>
      <c r="J772" s="9"/>
      <c r="K772" s="10"/>
      <c r="L772" s="8"/>
      <c r="M772" s="8"/>
      <c r="N772" s="10"/>
      <c r="O772" s="10"/>
    </row>
    <row r="773" spans="1:15" ht="42.75" customHeight="1" x14ac:dyDescent="0.25">
      <c r="A773" s="7"/>
      <c r="B773" s="7"/>
      <c r="C773" s="7"/>
      <c r="D773" s="7"/>
      <c r="E773" s="11">
        <v>771</v>
      </c>
      <c r="F773" s="8"/>
      <c r="G773" s="8"/>
      <c r="H773" s="9"/>
      <c r="I773" s="10"/>
      <c r="J773" s="9"/>
      <c r="K773" s="10"/>
      <c r="L773" s="8"/>
      <c r="M773" s="8"/>
      <c r="N773" s="10"/>
      <c r="O773" s="10"/>
    </row>
    <row r="774" spans="1:15" ht="42.75" customHeight="1" x14ac:dyDescent="0.25">
      <c r="A774" s="7"/>
      <c r="B774" s="7"/>
      <c r="C774" s="7"/>
      <c r="D774" s="7"/>
      <c r="E774" s="11">
        <v>772</v>
      </c>
      <c r="F774" s="8"/>
      <c r="G774" s="8"/>
      <c r="H774" s="9"/>
      <c r="I774" s="10"/>
      <c r="J774" s="9"/>
      <c r="K774" s="10"/>
      <c r="L774" s="8"/>
      <c r="M774" s="8"/>
      <c r="N774" s="10"/>
      <c r="O774" s="10"/>
    </row>
    <row r="775" spans="1:15" ht="42.75" customHeight="1" x14ac:dyDescent="0.25">
      <c r="A775" s="7"/>
      <c r="B775" s="7"/>
      <c r="C775" s="7"/>
      <c r="D775" s="7"/>
      <c r="E775" s="11">
        <v>773</v>
      </c>
      <c r="F775" s="8"/>
      <c r="G775" s="8"/>
      <c r="H775" s="9"/>
      <c r="I775" s="10"/>
      <c r="J775" s="9"/>
      <c r="K775" s="10"/>
      <c r="L775" s="8"/>
      <c r="M775" s="8"/>
      <c r="N775" s="10"/>
      <c r="O775" s="10"/>
    </row>
    <row r="776" spans="1:15" ht="42.75" customHeight="1" x14ac:dyDescent="0.25">
      <c r="A776" s="7"/>
      <c r="B776" s="7"/>
      <c r="C776" s="7"/>
      <c r="D776" s="7"/>
      <c r="E776" s="11">
        <v>774</v>
      </c>
      <c r="F776" s="8"/>
      <c r="G776" s="8"/>
      <c r="H776" s="9"/>
      <c r="I776" s="10"/>
      <c r="J776" s="9"/>
      <c r="K776" s="10"/>
      <c r="L776" s="8"/>
      <c r="M776" s="8"/>
      <c r="N776" s="10"/>
      <c r="O776" s="10"/>
    </row>
    <row r="777" spans="1:15" ht="42.75" customHeight="1" x14ac:dyDescent="0.25">
      <c r="A777" s="7"/>
      <c r="B777" s="7"/>
      <c r="C777" s="7"/>
      <c r="D777" s="7"/>
      <c r="E777" s="11">
        <v>775</v>
      </c>
      <c r="F777" s="8"/>
      <c r="G777" s="8"/>
      <c r="H777" s="9"/>
      <c r="I777" s="10"/>
      <c r="J777" s="9"/>
      <c r="K777" s="10"/>
      <c r="L777" s="8"/>
      <c r="M777" s="8"/>
      <c r="N777" s="10"/>
      <c r="O777" s="10"/>
    </row>
    <row r="778" spans="1:15" ht="42.75" customHeight="1" x14ac:dyDescent="0.25">
      <c r="A778" s="7"/>
      <c r="B778" s="7"/>
      <c r="C778" s="7"/>
      <c r="D778" s="7"/>
      <c r="E778" s="11">
        <v>776</v>
      </c>
      <c r="F778" s="8"/>
      <c r="G778" s="8"/>
      <c r="H778" s="9"/>
      <c r="I778" s="10"/>
      <c r="J778" s="9"/>
      <c r="K778" s="10"/>
      <c r="L778" s="8"/>
      <c r="M778" s="8"/>
      <c r="N778" s="10"/>
      <c r="O778" s="10"/>
    </row>
    <row r="779" spans="1:15" ht="42.75" customHeight="1" x14ac:dyDescent="0.25">
      <c r="A779" s="7"/>
      <c r="B779" s="7"/>
      <c r="C779" s="7"/>
      <c r="D779" s="7"/>
      <c r="E779" s="11">
        <v>777</v>
      </c>
      <c r="F779" s="8"/>
      <c r="G779" s="8"/>
      <c r="H779" s="9"/>
      <c r="I779" s="10"/>
      <c r="J779" s="9"/>
      <c r="K779" s="10"/>
      <c r="L779" s="8"/>
      <c r="M779" s="8"/>
      <c r="N779" s="10"/>
      <c r="O779" s="10"/>
    </row>
    <row r="780" spans="1:15" ht="42.75" customHeight="1" x14ac:dyDescent="0.25">
      <c r="A780" s="7"/>
      <c r="B780" s="7"/>
      <c r="C780" s="7"/>
      <c r="D780" s="7"/>
      <c r="E780" s="11">
        <v>778</v>
      </c>
      <c r="F780" s="8"/>
      <c r="G780" s="8"/>
      <c r="H780" s="9"/>
      <c r="I780" s="10"/>
      <c r="J780" s="9"/>
      <c r="K780" s="10"/>
      <c r="L780" s="8"/>
      <c r="M780" s="8"/>
      <c r="N780" s="10"/>
      <c r="O780" s="10"/>
    </row>
    <row r="781" spans="1:15" ht="42.75" customHeight="1" x14ac:dyDescent="0.25">
      <c r="A781" s="7"/>
      <c r="B781" s="7"/>
      <c r="C781" s="7"/>
      <c r="D781" s="7"/>
      <c r="E781" s="11">
        <v>779</v>
      </c>
      <c r="F781" s="8"/>
      <c r="G781" s="8"/>
      <c r="H781" s="9"/>
      <c r="I781" s="10"/>
      <c r="J781" s="9"/>
      <c r="K781" s="10"/>
      <c r="L781" s="8"/>
      <c r="M781" s="8"/>
      <c r="N781" s="10"/>
      <c r="O781" s="10"/>
    </row>
    <row r="782" spans="1:15" ht="42.75" customHeight="1" x14ac:dyDescent="0.25">
      <c r="A782" s="7"/>
      <c r="B782" s="7"/>
      <c r="C782" s="7"/>
      <c r="D782" s="7"/>
      <c r="E782" s="11">
        <v>780</v>
      </c>
      <c r="F782" s="8"/>
      <c r="G782" s="8"/>
      <c r="H782" s="9"/>
      <c r="I782" s="10"/>
      <c r="J782" s="9"/>
      <c r="K782" s="10"/>
      <c r="L782" s="8"/>
      <c r="M782" s="8"/>
      <c r="N782" s="10"/>
      <c r="O782" s="10"/>
    </row>
    <row r="783" spans="1:15" ht="42.75" customHeight="1" x14ac:dyDescent="0.25">
      <c r="A783" s="7"/>
      <c r="B783" s="7"/>
      <c r="C783" s="7"/>
      <c r="D783" s="7"/>
      <c r="E783" s="11">
        <v>781</v>
      </c>
      <c r="F783" s="8"/>
      <c r="G783" s="8"/>
      <c r="H783" s="9"/>
      <c r="I783" s="10"/>
      <c r="J783" s="9"/>
      <c r="K783" s="10"/>
      <c r="L783" s="8"/>
      <c r="M783" s="8"/>
      <c r="N783" s="10"/>
      <c r="O783" s="10"/>
    </row>
    <row r="784" spans="1:15" ht="42.75" customHeight="1" x14ac:dyDescent="0.25">
      <c r="A784" s="7"/>
      <c r="B784" s="7"/>
      <c r="C784" s="7"/>
      <c r="D784" s="7"/>
      <c r="E784" s="11">
        <v>782</v>
      </c>
      <c r="F784" s="8"/>
      <c r="G784" s="8"/>
      <c r="H784" s="9"/>
      <c r="I784" s="10"/>
      <c r="J784" s="9"/>
      <c r="K784" s="10"/>
      <c r="L784" s="8"/>
      <c r="M784" s="8"/>
      <c r="N784" s="10"/>
      <c r="O784" s="10"/>
    </row>
    <row r="785" spans="1:15" ht="42.75" customHeight="1" x14ac:dyDescent="0.25">
      <c r="A785" s="7"/>
      <c r="B785" s="7"/>
      <c r="C785" s="7"/>
      <c r="D785" s="7"/>
      <c r="E785" s="11">
        <v>783</v>
      </c>
      <c r="F785" s="8"/>
      <c r="G785" s="8"/>
      <c r="H785" s="9"/>
      <c r="I785" s="10"/>
      <c r="J785" s="9"/>
      <c r="K785" s="10"/>
      <c r="L785" s="8"/>
      <c r="M785" s="8"/>
      <c r="N785" s="10"/>
      <c r="O785" s="10"/>
    </row>
    <row r="786" spans="1:15" ht="42.75" customHeight="1" x14ac:dyDescent="0.25">
      <c r="A786" s="7"/>
      <c r="B786" s="7"/>
      <c r="C786" s="7"/>
      <c r="D786" s="7"/>
      <c r="E786" s="11">
        <v>784</v>
      </c>
      <c r="F786" s="8"/>
      <c r="G786" s="8"/>
      <c r="H786" s="9"/>
      <c r="I786" s="10"/>
      <c r="J786" s="9"/>
      <c r="K786" s="10"/>
      <c r="L786" s="8"/>
      <c r="M786" s="8"/>
      <c r="N786" s="10"/>
      <c r="O786" s="10"/>
    </row>
    <row r="787" spans="1:15" ht="42.75" customHeight="1" x14ac:dyDescent="0.25">
      <c r="A787" s="7"/>
      <c r="B787" s="7"/>
      <c r="C787" s="7"/>
      <c r="D787" s="7"/>
      <c r="E787" s="11">
        <v>785</v>
      </c>
      <c r="F787" s="8"/>
      <c r="G787" s="8"/>
      <c r="H787" s="9"/>
      <c r="I787" s="10"/>
      <c r="J787" s="9"/>
      <c r="K787" s="10"/>
      <c r="L787" s="8"/>
      <c r="M787" s="8"/>
      <c r="N787" s="10"/>
      <c r="O787" s="10"/>
    </row>
    <row r="788" spans="1:15" ht="42.75" customHeight="1" x14ac:dyDescent="0.25">
      <c r="A788" s="7"/>
      <c r="B788" s="7"/>
      <c r="C788" s="7"/>
      <c r="D788" s="7"/>
      <c r="E788" s="11">
        <v>786</v>
      </c>
      <c r="F788" s="8"/>
      <c r="G788" s="8"/>
      <c r="H788" s="9"/>
      <c r="I788" s="10"/>
      <c r="J788" s="9"/>
      <c r="K788" s="10"/>
      <c r="L788" s="8"/>
      <c r="M788" s="8"/>
      <c r="N788" s="10"/>
      <c r="O788" s="10"/>
    </row>
    <row r="789" spans="1:15" ht="42.75" customHeight="1" x14ac:dyDescent="0.25">
      <c r="A789" s="7"/>
      <c r="B789" s="7"/>
      <c r="C789" s="7"/>
      <c r="D789" s="7"/>
      <c r="E789" s="11">
        <v>787</v>
      </c>
      <c r="F789" s="8"/>
      <c r="G789" s="8"/>
      <c r="H789" s="9"/>
      <c r="I789" s="10"/>
      <c r="J789" s="9"/>
      <c r="K789" s="10"/>
      <c r="L789" s="8"/>
      <c r="M789" s="8"/>
      <c r="N789" s="10"/>
      <c r="O789" s="10"/>
    </row>
    <row r="790" spans="1:15" ht="42.75" customHeight="1" x14ac:dyDescent="0.25">
      <c r="A790" s="7"/>
      <c r="B790" s="7"/>
      <c r="C790" s="7"/>
      <c r="D790" s="7"/>
      <c r="E790" s="11">
        <v>788</v>
      </c>
      <c r="F790" s="8"/>
      <c r="G790" s="8"/>
      <c r="H790" s="9"/>
      <c r="I790" s="10"/>
      <c r="J790" s="9"/>
      <c r="K790" s="10"/>
      <c r="L790" s="8"/>
      <c r="M790" s="8"/>
      <c r="N790" s="10"/>
      <c r="O790" s="10"/>
    </row>
    <row r="791" spans="1:15" ht="42.75" customHeight="1" x14ac:dyDescent="0.25">
      <c r="A791" s="7"/>
      <c r="B791" s="7"/>
      <c r="C791" s="7"/>
      <c r="D791" s="7"/>
      <c r="E791" s="11">
        <v>789</v>
      </c>
      <c r="F791" s="8"/>
      <c r="G791" s="8"/>
      <c r="H791" s="9"/>
      <c r="I791" s="10"/>
      <c r="J791" s="9"/>
      <c r="K791" s="10"/>
      <c r="L791" s="8"/>
      <c r="M791" s="8"/>
      <c r="N791" s="10"/>
      <c r="O791" s="10"/>
    </row>
    <row r="792" spans="1:15" ht="42.75" customHeight="1" x14ac:dyDescent="0.25">
      <c r="A792" s="7"/>
      <c r="B792" s="7"/>
      <c r="C792" s="7"/>
      <c r="D792" s="7"/>
      <c r="E792" s="11">
        <v>790</v>
      </c>
      <c r="F792" s="8"/>
      <c r="G792" s="8"/>
      <c r="H792" s="9"/>
      <c r="I792" s="10"/>
      <c r="J792" s="9"/>
      <c r="K792" s="10"/>
      <c r="L792" s="8"/>
      <c r="M792" s="8"/>
      <c r="N792" s="10"/>
      <c r="O792" s="10"/>
    </row>
    <row r="793" spans="1:15" ht="42.75" customHeight="1" x14ac:dyDescent="0.25">
      <c r="A793" s="7"/>
      <c r="B793" s="7"/>
      <c r="C793" s="7"/>
      <c r="D793" s="7"/>
      <c r="E793" s="11">
        <v>791</v>
      </c>
      <c r="F793" s="8"/>
      <c r="G793" s="8"/>
      <c r="H793" s="9"/>
      <c r="I793" s="10"/>
      <c r="J793" s="9"/>
      <c r="K793" s="10"/>
      <c r="L793" s="8"/>
      <c r="M793" s="8"/>
      <c r="N793" s="10"/>
      <c r="O793" s="10"/>
    </row>
    <row r="794" spans="1:15" ht="42.75" customHeight="1" x14ac:dyDescent="0.25">
      <c r="A794" s="7"/>
      <c r="B794" s="7"/>
      <c r="C794" s="7"/>
      <c r="D794" s="7"/>
      <c r="E794" s="11">
        <v>792</v>
      </c>
      <c r="F794" s="8"/>
      <c r="G794" s="8"/>
      <c r="H794" s="9"/>
      <c r="I794" s="10"/>
      <c r="J794" s="9"/>
      <c r="K794" s="10"/>
      <c r="L794" s="8"/>
      <c r="M794" s="8"/>
      <c r="N794" s="10"/>
      <c r="O794" s="10"/>
    </row>
    <row r="795" spans="1:15" ht="42.75" customHeight="1" x14ac:dyDescent="0.25">
      <c r="A795" s="7"/>
      <c r="B795" s="7"/>
      <c r="C795" s="7"/>
      <c r="D795" s="7"/>
      <c r="E795" s="11">
        <v>793</v>
      </c>
      <c r="F795" s="8"/>
      <c r="G795" s="8"/>
      <c r="H795" s="9"/>
      <c r="I795" s="10"/>
      <c r="J795" s="9"/>
      <c r="K795" s="10"/>
      <c r="L795" s="8"/>
      <c r="M795" s="8"/>
      <c r="N795" s="10"/>
      <c r="O795" s="10"/>
    </row>
    <row r="796" spans="1:15" ht="42.75" customHeight="1" x14ac:dyDescent="0.25">
      <c r="A796" s="7"/>
      <c r="B796" s="7"/>
      <c r="C796" s="7"/>
      <c r="D796" s="7"/>
      <c r="E796" s="11">
        <v>794</v>
      </c>
      <c r="F796" s="8"/>
      <c r="G796" s="8"/>
      <c r="H796" s="9"/>
      <c r="I796" s="10"/>
      <c r="J796" s="9"/>
      <c r="K796" s="10"/>
      <c r="L796" s="8"/>
      <c r="M796" s="8"/>
      <c r="N796" s="10"/>
      <c r="O796" s="10"/>
    </row>
    <row r="797" spans="1:15" ht="42.75" customHeight="1" x14ac:dyDescent="0.25">
      <c r="A797" s="7"/>
      <c r="B797" s="7"/>
      <c r="C797" s="7"/>
      <c r="D797" s="7"/>
      <c r="E797" s="11">
        <v>795</v>
      </c>
      <c r="F797" s="8"/>
      <c r="G797" s="8"/>
      <c r="H797" s="9"/>
      <c r="I797" s="10"/>
      <c r="J797" s="9"/>
      <c r="K797" s="10"/>
      <c r="L797" s="8"/>
      <c r="M797" s="8"/>
      <c r="N797" s="10"/>
      <c r="O797" s="10"/>
    </row>
    <row r="798" spans="1:15" ht="42.75" customHeight="1" x14ac:dyDescent="0.25">
      <c r="A798" s="7"/>
      <c r="B798" s="7"/>
      <c r="C798" s="7"/>
      <c r="D798" s="7"/>
      <c r="E798" s="11">
        <v>796</v>
      </c>
      <c r="F798" s="8"/>
      <c r="G798" s="8"/>
      <c r="H798" s="9"/>
      <c r="I798" s="10"/>
      <c r="J798" s="9"/>
      <c r="K798" s="10"/>
      <c r="L798" s="8"/>
      <c r="M798" s="8"/>
      <c r="N798" s="10"/>
      <c r="O798" s="10"/>
    </row>
    <row r="799" spans="1:15" ht="42.75" customHeight="1" x14ac:dyDescent="0.25">
      <c r="A799" s="7"/>
      <c r="B799" s="7"/>
      <c r="C799" s="7"/>
      <c r="D799" s="7"/>
      <c r="E799" s="11">
        <v>797</v>
      </c>
      <c r="F799" s="8"/>
      <c r="G799" s="8"/>
      <c r="H799" s="9"/>
      <c r="I799" s="10"/>
      <c r="J799" s="9"/>
      <c r="K799" s="10"/>
      <c r="L799" s="8"/>
      <c r="M799" s="8"/>
      <c r="N799" s="10"/>
      <c r="O799" s="10"/>
    </row>
    <row r="800" spans="1:15" ht="42.75" customHeight="1" x14ac:dyDescent="0.25">
      <c r="A800" s="7"/>
      <c r="B800" s="7"/>
      <c r="C800" s="7"/>
      <c r="D800" s="7"/>
      <c r="E800" s="11">
        <v>798</v>
      </c>
      <c r="F800" s="8"/>
      <c r="G800" s="8"/>
      <c r="H800" s="9"/>
      <c r="I800" s="10"/>
      <c r="J800" s="9"/>
      <c r="K800" s="10"/>
      <c r="L800" s="8"/>
      <c r="M800" s="8"/>
      <c r="N800" s="10"/>
      <c r="O800" s="10"/>
    </row>
    <row r="801" spans="1:15" ht="42.75" customHeight="1" x14ac:dyDescent="0.25">
      <c r="A801" s="7"/>
      <c r="B801" s="7"/>
      <c r="C801" s="7"/>
      <c r="D801" s="7"/>
      <c r="E801" s="11">
        <v>799</v>
      </c>
      <c r="F801" s="8"/>
      <c r="G801" s="8"/>
      <c r="H801" s="9"/>
      <c r="I801" s="10"/>
      <c r="J801" s="9"/>
      <c r="K801" s="10"/>
      <c r="L801" s="8"/>
      <c r="M801" s="8"/>
      <c r="N801" s="10"/>
      <c r="O801" s="10"/>
    </row>
    <row r="802" spans="1:15" ht="42.75" customHeight="1" x14ac:dyDescent="0.25">
      <c r="A802" s="7"/>
      <c r="B802" s="7"/>
      <c r="C802" s="7"/>
      <c r="D802" s="7"/>
      <c r="E802" s="11">
        <v>800</v>
      </c>
      <c r="F802" s="8"/>
      <c r="G802" s="8"/>
      <c r="H802" s="9"/>
      <c r="I802" s="10"/>
      <c r="J802" s="9"/>
      <c r="K802" s="10"/>
      <c r="L802" s="8"/>
      <c r="M802" s="8"/>
      <c r="N802" s="10"/>
      <c r="O802" s="10"/>
    </row>
    <row r="803" spans="1:15" ht="42.75" customHeight="1" x14ac:dyDescent="0.25">
      <c r="A803" s="7"/>
      <c r="B803" s="7"/>
      <c r="C803" s="7"/>
      <c r="D803" s="7"/>
      <c r="E803" s="11">
        <v>801</v>
      </c>
      <c r="F803" s="8"/>
      <c r="G803" s="8"/>
      <c r="H803" s="9"/>
      <c r="I803" s="10"/>
      <c r="J803" s="9"/>
      <c r="K803" s="10"/>
      <c r="L803" s="8"/>
      <c r="M803" s="8"/>
      <c r="N803" s="10"/>
      <c r="O803" s="10"/>
    </row>
    <row r="804" spans="1:15" ht="42.75" customHeight="1" x14ac:dyDescent="0.25">
      <c r="A804" s="7"/>
      <c r="B804" s="7"/>
      <c r="C804" s="7"/>
      <c r="D804" s="7"/>
      <c r="E804" s="11">
        <v>802</v>
      </c>
      <c r="F804" s="8"/>
      <c r="G804" s="8"/>
      <c r="H804" s="9"/>
      <c r="I804" s="10"/>
      <c r="J804" s="9"/>
      <c r="K804" s="10"/>
      <c r="L804" s="8"/>
      <c r="M804" s="8"/>
      <c r="N804" s="10"/>
      <c r="O804" s="10"/>
    </row>
    <row r="805" spans="1:15" ht="42.75" customHeight="1" x14ac:dyDescent="0.25">
      <c r="A805" s="7"/>
      <c r="B805" s="7"/>
      <c r="C805" s="7"/>
      <c r="D805" s="7"/>
      <c r="E805" s="11">
        <v>803</v>
      </c>
      <c r="F805" s="8"/>
      <c r="G805" s="8"/>
      <c r="H805" s="9"/>
      <c r="I805" s="10"/>
      <c r="J805" s="9"/>
      <c r="K805" s="10"/>
      <c r="L805" s="8"/>
      <c r="M805" s="8"/>
      <c r="N805" s="10"/>
      <c r="O805" s="10"/>
    </row>
    <row r="806" spans="1:15" ht="42.75" customHeight="1" x14ac:dyDescent="0.25">
      <c r="A806" s="7"/>
      <c r="B806" s="7"/>
      <c r="C806" s="7"/>
      <c r="D806" s="7"/>
      <c r="E806" s="11">
        <v>804</v>
      </c>
      <c r="F806" s="8"/>
      <c r="G806" s="8"/>
      <c r="H806" s="9"/>
      <c r="I806" s="10"/>
      <c r="J806" s="9"/>
      <c r="K806" s="10"/>
      <c r="L806" s="8"/>
      <c r="M806" s="8"/>
      <c r="N806" s="10"/>
      <c r="O806" s="10"/>
    </row>
    <row r="807" spans="1:15" ht="42.75" customHeight="1" x14ac:dyDescent="0.25">
      <c r="A807" s="7"/>
      <c r="B807" s="7"/>
      <c r="C807" s="7"/>
      <c r="D807" s="7"/>
      <c r="E807" s="11">
        <v>805</v>
      </c>
      <c r="F807" s="8"/>
      <c r="G807" s="8"/>
      <c r="H807" s="9"/>
      <c r="I807" s="10"/>
      <c r="J807" s="9"/>
      <c r="K807" s="10"/>
      <c r="L807" s="8"/>
      <c r="M807" s="8"/>
      <c r="N807" s="10"/>
      <c r="O807" s="10"/>
    </row>
    <row r="808" spans="1:15" ht="42.75" customHeight="1" x14ac:dyDescent="0.25">
      <c r="A808" s="7"/>
      <c r="B808" s="7"/>
      <c r="C808" s="7"/>
      <c r="D808" s="7"/>
      <c r="E808" s="11">
        <v>806</v>
      </c>
      <c r="F808" s="8"/>
      <c r="G808" s="8"/>
      <c r="H808" s="9"/>
      <c r="I808" s="10"/>
      <c r="J808" s="9"/>
      <c r="K808" s="10"/>
      <c r="L808" s="8"/>
      <c r="M808" s="8"/>
      <c r="N808" s="10"/>
      <c r="O808" s="10"/>
    </row>
    <row r="809" spans="1:15" ht="42.75" customHeight="1" x14ac:dyDescent="0.25">
      <c r="A809" s="7"/>
      <c r="B809" s="7"/>
      <c r="C809" s="7"/>
      <c r="D809" s="7"/>
      <c r="E809" s="11">
        <v>807</v>
      </c>
      <c r="F809" s="8"/>
      <c r="G809" s="8"/>
      <c r="H809" s="9"/>
      <c r="I809" s="10"/>
      <c r="J809" s="9"/>
      <c r="K809" s="10"/>
      <c r="L809" s="8"/>
      <c r="M809" s="8"/>
      <c r="N809" s="10"/>
      <c r="O809" s="10"/>
    </row>
    <row r="810" spans="1:15" ht="42.75" customHeight="1" x14ac:dyDescent="0.25">
      <c r="A810" s="7"/>
      <c r="B810" s="7"/>
      <c r="C810" s="7"/>
      <c r="D810" s="7"/>
      <c r="E810" s="11">
        <v>808</v>
      </c>
      <c r="F810" s="8"/>
      <c r="G810" s="8"/>
      <c r="H810" s="9"/>
      <c r="I810" s="10"/>
      <c r="J810" s="9"/>
      <c r="K810" s="10"/>
      <c r="L810" s="8"/>
      <c r="M810" s="8"/>
      <c r="N810" s="10"/>
      <c r="O810" s="10"/>
    </row>
    <row r="811" spans="1:15" ht="42.75" customHeight="1" x14ac:dyDescent="0.25">
      <c r="A811" s="7"/>
      <c r="B811" s="7"/>
      <c r="C811" s="7"/>
      <c r="D811" s="7"/>
      <c r="E811" s="11">
        <v>809</v>
      </c>
      <c r="F811" s="8"/>
      <c r="G811" s="8"/>
      <c r="H811" s="9"/>
      <c r="I811" s="10"/>
      <c r="J811" s="9"/>
      <c r="K811" s="10"/>
      <c r="L811" s="8"/>
      <c r="M811" s="8"/>
      <c r="N811" s="10"/>
      <c r="O811" s="10"/>
    </row>
    <row r="812" spans="1:15" ht="42.75" customHeight="1" x14ac:dyDescent="0.25">
      <c r="A812" s="7"/>
      <c r="B812" s="7"/>
      <c r="C812" s="7"/>
      <c r="D812" s="7"/>
      <c r="E812" s="11">
        <v>810</v>
      </c>
      <c r="F812" s="8"/>
      <c r="G812" s="8"/>
      <c r="H812" s="9"/>
      <c r="I812" s="10"/>
      <c r="J812" s="9"/>
      <c r="K812" s="10"/>
      <c r="L812" s="8"/>
      <c r="M812" s="8"/>
      <c r="N812" s="10"/>
      <c r="O812" s="10"/>
    </row>
    <row r="813" spans="1:15" ht="42.75" customHeight="1" x14ac:dyDescent="0.25">
      <c r="A813" s="7"/>
      <c r="B813" s="7"/>
      <c r="C813" s="7"/>
      <c r="D813" s="7"/>
      <c r="E813" s="11">
        <v>811</v>
      </c>
      <c r="F813" s="8"/>
      <c r="G813" s="8"/>
      <c r="H813" s="9"/>
      <c r="I813" s="10"/>
      <c r="J813" s="9"/>
      <c r="K813" s="10"/>
      <c r="L813" s="8"/>
      <c r="M813" s="8"/>
      <c r="N813" s="10"/>
      <c r="O813" s="10"/>
    </row>
    <row r="814" spans="1:15" ht="42.75" customHeight="1" x14ac:dyDescent="0.25">
      <c r="A814" s="7"/>
      <c r="B814" s="7"/>
      <c r="C814" s="7"/>
      <c r="D814" s="7"/>
      <c r="E814" s="11">
        <v>812</v>
      </c>
      <c r="F814" s="8"/>
      <c r="G814" s="8"/>
      <c r="H814" s="9"/>
      <c r="I814" s="10"/>
      <c r="J814" s="9"/>
      <c r="K814" s="10"/>
      <c r="L814" s="8"/>
      <c r="M814" s="8"/>
      <c r="N814" s="10"/>
      <c r="O814" s="10"/>
    </row>
    <row r="815" spans="1:15" ht="42.75" customHeight="1" x14ac:dyDescent="0.25">
      <c r="A815" s="7"/>
      <c r="B815" s="7"/>
      <c r="C815" s="7"/>
      <c r="D815" s="7"/>
      <c r="E815" s="11">
        <v>813</v>
      </c>
      <c r="F815" s="8"/>
      <c r="G815" s="8"/>
      <c r="H815" s="9"/>
      <c r="I815" s="10"/>
      <c r="J815" s="9"/>
      <c r="K815" s="10"/>
      <c r="L815" s="8"/>
      <c r="M815" s="8"/>
      <c r="N815" s="10"/>
      <c r="O815" s="10"/>
    </row>
    <row r="816" spans="1:15" ht="42.75" customHeight="1" x14ac:dyDescent="0.25">
      <c r="A816" s="7"/>
      <c r="B816" s="7"/>
      <c r="C816" s="7"/>
      <c r="D816" s="7"/>
      <c r="E816" s="11">
        <v>814</v>
      </c>
      <c r="F816" s="8"/>
      <c r="G816" s="8"/>
      <c r="H816" s="9"/>
      <c r="I816" s="10"/>
      <c r="J816" s="9"/>
      <c r="K816" s="10"/>
      <c r="L816" s="8"/>
      <c r="M816" s="8"/>
      <c r="N816" s="10"/>
      <c r="O816" s="10"/>
    </row>
    <row r="817" spans="1:15" ht="42.75" customHeight="1" x14ac:dyDescent="0.25">
      <c r="A817" s="7"/>
      <c r="B817" s="7"/>
      <c r="C817" s="7"/>
      <c r="D817" s="7"/>
      <c r="E817" s="11">
        <v>815</v>
      </c>
      <c r="F817" s="8"/>
      <c r="G817" s="8"/>
      <c r="H817" s="9"/>
      <c r="I817" s="10"/>
      <c r="J817" s="9"/>
      <c r="K817" s="10"/>
      <c r="L817" s="8"/>
      <c r="M817" s="8"/>
      <c r="N817" s="10"/>
      <c r="O817" s="10"/>
    </row>
    <row r="818" spans="1:15" ht="42.75" customHeight="1" x14ac:dyDescent="0.25">
      <c r="A818" s="7"/>
      <c r="B818" s="7"/>
      <c r="C818" s="7"/>
      <c r="D818" s="7"/>
      <c r="E818" s="11">
        <v>816</v>
      </c>
      <c r="F818" s="8"/>
      <c r="G818" s="8"/>
      <c r="H818" s="9"/>
      <c r="I818" s="10"/>
      <c r="J818" s="9"/>
      <c r="K818" s="10"/>
      <c r="L818" s="8"/>
      <c r="M818" s="8"/>
      <c r="N818" s="10"/>
      <c r="O818" s="10"/>
    </row>
    <row r="819" spans="1:15" ht="42.75" customHeight="1" x14ac:dyDescent="0.25">
      <c r="A819" s="7"/>
      <c r="B819" s="7"/>
      <c r="C819" s="7"/>
      <c r="D819" s="7"/>
      <c r="E819" s="11">
        <v>817</v>
      </c>
      <c r="F819" s="8"/>
      <c r="G819" s="8"/>
      <c r="H819" s="9"/>
      <c r="I819" s="10"/>
      <c r="J819" s="9"/>
      <c r="K819" s="10"/>
      <c r="L819" s="8"/>
      <c r="M819" s="8"/>
      <c r="N819" s="10"/>
      <c r="O819" s="10"/>
    </row>
    <row r="820" spans="1:15" ht="42.75" customHeight="1" x14ac:dyDescent="0.25">
      <c r="A820" s="7"/>
      <c r="B820" s="7"/>
      <c r="C820" s="7"/>
      <c r="D820" s="7"/>
      <c r="E820" s="11">
        <v>818</v>
      </c>
      <c r="F820" s="8"/>
      <c r="G820" s="8"/>
      <c r="H820" s="9"/>
      <c r="I820" s="10"/>
      <c r="J820" s="9"/>
      <c r="K820" s="10"/>
      <c r="L820" s="8"/>
      <c r="M820" s="8"/>
      <c r="N820" s="10"/>
      <c r="O820" s="10"/>
    </row>
    <row r="821" spans="1:15" ht="42.75" customHeight="1" x14ac:dyDescent="0.25">
      <c r="A821" s="7"/>
      <c r="B821" s="7"/>
      <c r="C821" s="7"/>
      <c r="D821" s="7"/>
      <c r="E821" s="11">
        <v>819</v>
      </c>
      <c r="F821" s="8"/>
      <c r="G821" s="8"/>
      <c r="H821" s="9"/>
      <c r="I821" s="10"/>
      <c r="J821" s="9"/>
      <c r="K821" s="10"/>
      <c r="L821" s="8"/>
      <c r="M821" s="8"/>
      <c r="N821" s="10"/>
      <c r="O821" s="10"/>
    </row>
    <row r="822" spans="1:15" ht="42.75" customHeight="1" x14ac:dyDescent="0.25">
      <c r="A822" s="7"/>
      <c r="B822" s="7"/>
      <c r="C822" s="7"/>
      <c r="D822" s="7"/>
      <c r="E822" s="11">
        <v>820</v>
      </c>
      <c r="F822" s="8"/>
      <c r="G822" s="8"/>
      <c r="H822" s="9"/>
      <c r="I822" s="10"/>
      <c r="J822" s="9"/>
      <c r="K822" s="10"/>
      <c r="L822" s="8"/>
      <c r="M822" s="8"/>
      <c r="N822" s="10"/>
      <c r="O822" s="10"/>
    </row>
    <row r="823" spans="1:15" ht="42.75" customHeight="1" x14ac:dyDescent="0.25">
      <c r="A823" s="7"/>
      <c r="B823" s="7"/>
      <c r="C823" s="7"/>
      <c r="D823" s="7"/>
      <c r="E823" s="11">
        <v>821</v>
      </c>
      <c r="F823" s="8"/>
      <c r="G823" s="8"/>
      <c r="H823" s="9"/>
      <c r="I823" s="10"/>
      <c r="J823" s="9"/>
      <c r="K823" s="10"/>
      <c r="L823" s="8"/>
      <c r="M823" s="8"/>
      <c r="N823" s="10"/>
      <c r="O823" s="10"/>
    </row>
    <row r="824" spans="1:15" ht="42.75" customHeight="1" x14ac:dyDescent="0.25">
      <c r="A824" s="7"/>
      <c r="B824" s="7"/>
      <c r="C824" s="7"/>
      <c r="D824" s="7"/>
      <c r="E824" s="11">
        <v>822</v>
      </c>
      <c r="F824" s="8"/>
      <c r="G824" s="8"/>
      <c r="H824" s="9"/>
      <c r="I824" s="10"/>
      <c r="J824" s="9"/>
      <c r="K824" s="10"/>
      <c r="L824" s="8"/>
      <c r="M824" s="8"/>
      <c r="N824" s="10"/>
      <c r="O824" s="10"/>
    </row>
    <row r="825" spans="1:15" ht="42.75" customHeight="1" x14ac:dyDescent="0.25">
      <c r="A825" s="7"/>
      <c r="B825" s="7"/>
      <c r="C825" s="7"/>
      <c r="D825" s="7"/>
      <c r="E825" s="11">
        <v>823</v>
      </c>
      <c r="F825" s="8"/>
      <c r="G825" s="8"/>
      <c r="H825" s="9"/>
      <c r="I825" s="10"/>
      <c r="J825" s="9"/>
      <c r="K825" s="10"/>
      <c r="L825" s="8"/>
      <c r="M825" s="8"/>
      <c r="N825" s="10"/>
      <c r="O825" s="10"/>
    </row>
    <row r="826" spans="1:15" ht="42.75" customHeight="1" x14ac:dyDescent="0.25">
      <c r="A826" s="7"/>
      <c r="B826" s="7"/>
      <c r="C826" s="7"/>
      <c r="D826" s="7"/>
      <c r="E826" s="11">
        <v>824</v>
      </c>
      <c r="F826" s="8"/>
      <c r="G826" s="8"/>
      <c r="H826" s="9"/>
      <c r="I826" s="10"/>
      <c r="J826" s="9"/>
      <c r="K826" s="10"/>
      <c r="L826" s="8"/>
      <c r="M826" s="8"/>
      <c r="N826" s="10"/>
      <c r="O826" s="10"/>
    </row>
    <row r="827" spans="1:15" ht="42.75" customHeight="1" x14ac:dyDescent="0.25">
      <c r="A827" s="7"/>
      <c r="B827" s="7"/>
      <c r="C827" s="7"/>
      <c r="D827" s="7"/>
      <c r="E827" s="11">
        <v>825</v>
      </c>
      <c r="F827" s="8"/>
      <c r="G827" s="8"/>
      <c r="H827" s="9"/>
      <c r="I827" s="10"/>
      <c r="J827" s="9"/>
      <c r="K827" s="10"/>
      <c r="L827" s="8"/>
      <c r="M827" s="8"/>
      <c r="N827" s="10"/>
      <c r="O827" s="10"/>
    </row>
    <row r="828" spans="1:15" ht="42.75" customHeight="1" x14ac:dyDescent="0.25">
      <c r="A828" s="7"/>
      <c r="B828" s="7"/>
      <c r="C828" s="7"/>
      <c r="D828" s="7"/>
      <c r="E828" s="11">
        <v>826</v>
      </c>
      <c r="F828" s="8"/>
      <c r="G828" s="8"/>
      <c r="H828" s="9"/>
      <c r="I828" s="10"/>
      <c r="J828" s="9"/>
      <c r="K828" s="10"/>
      <c r="L828" s="8"/>
      <c r="M828" s="8"/>
      <c r="N828" s="10"/>
      <c r="O828" s="10"/>
    </row>
    <row r="829" spans="1:15" ht="42.75" customHeight="1" x14ac:dyDescent="0.25">
      <c r="A829" s="7"/>
      <c r="B829" s="7"/>
      <c r="C829" s="7"/>
      <c r="D829" s="7"/>
      <c r="E829" s="11">
        <v>827</v>
      </c>
      <c r="F829" s="8"/>
      <c r="G829" s="8"/>
      <c r="H829" s="9"/>
      <c r="I829" s="10"/>
      <c r="J829" s="9"/>
      <c r="K829" s="10"/>
      <c r="L829" s="8"/>
      <c r="M829" s="8"/>
      <c r="N829" s="10"/>
      <c r="O829" s="10"/>
    </row>
    <row r="830" spans="1:15" ht="42.75" customHeight="1" x14ac:dyDescent="0.25">
      <c r="A830" s="7"/>
      <c r="B830" s="7"/>
      <c r="C830" s="7"/>
      <c r="D830" s="7"/>
      <c r="E830" s="11">
        <v>828</v>
      </c>
      <c r="F830" s="8"/>
      <c r="G830" s="8"/>
      <c r="H830" s="9"/>
      <c r="I830" s="10"/>
      <c r="J830" s="9"/>
      <c r="K830" s="10"/>
      <c r="L830" s="8"/>
      <c r="M830" s="8"/>
      <c r="N830" s="10"/>
      <c r="O830" s="10"/>
    </row>
    <row r="831" spans="1:15" ht="42.75" customHeight="1" x14ac:dyDescent="0.25">
      <c r="A831" s="7"/>
      <c r="B831" s="7"/>
      <c r="C831" s="7"/>
      <c r="D831" s="7"/>
      <c r="E831" s="11">
        <v>829</v>
      </c>
      <c r="F831" s="8"/>
      <c r="G831" s="8"/>
      <c r="H831" s="9"/>
      <c r="I831" s="10"/>
      <c r="J831" s="9"/>
      <c r="K831" s="10"/>
      <c r="L831" s="8"/>
      <c r="M831" s="8"/>
      <c r="N831" s="10"/>
      <c r="O831" s="10"/>
    </row>
    <row r="832" spans="1:15" ht="42.75" customHeight="1" x14ac:dyDescent="0.25">
      <c r="A832" s="7"/>
      <c r="B832" s="7"/>
      <c r="C832" s="7"/>
      <c r="D832" s="7"/>
      <c r="E832" s="11">
        <v>830</v>
      </c>
      <c r="F832" s="8"/>
      <c r="G832" s="8"/>
      <c r="H832" s="9"/>
      <c r="I832" s="10"/>
      <c r="J832" s="9"/>
      <c r="K832" s="10"/>
      <c r="L832" s="8"/>
      <c r="M832" s="8"/>
      <c r="N832" s="10"/>
      <c r="O832" s="10"/>
    </row>
    <row r="833" spans="1:15" ht="42.75" customHeight="1" x14ac:dyDescent="0.25">
      <c r="A833" s="7"/>
      <c r="B833" s="7"/>
      <c r="C833" s="7"/>
      <c r="D833" s="7"/>
      <c r="E833" s="11">
        <v>831</v>
      </c>
      <c r="F833" s="8"/>
      <c r="G833" s="8"/>
      <c r="H833" s="9"/>
      <c r="I833" s="10"/>
      <c r="J833" s="9"/>
      <c r="K833" s="10"/>
      <c r="L833" s="8"/>
      <c r="M833" s="8"/>
      <c r="N833" s="10"/>
      <c r="O833" s="10"/>
    </row>
    <row r="834" spans="1:15" ht="42.75" customHeight="1" x14ac:dyDescent="0.25">
      <c r="A834" s="7"/>
      <c r="B834" s="7"/>
      <c r="C834" s="7"/>
      <c r="D834" s="7"/>
      <c r="E834" s="11">
        <v>832</v>
      </c>
      <c r="F834" s="8"/>
      <c r="G834" s="8"/>
      <c r="H834" s="9"/>
      <c r="I834" s="10"/>
      <c r="J834" s="9"/>
      <c r="K834" s="10"/>
      <c r="L834" s="8"/>
      <c r="M834" s="8"/>
      <c r="N834" s="10"/>
      <c r="O834" s="10"/>
    </row>
    <row r="835" spans="1:15" ht="42.75" customHeight="1" x14ac:dyDescent="0.25">
      <c r="A835" s="7"/>
      <c r="B835" s="7"/>
      <c r="C835" s="7"/>
      <c r="D835" s="7"/>
      <c r="E835" s="11">
        <v>833</v>
      </c>
      <c r="F835" s="8"/>
      <c r="G835" s="8"/>
      <c r="H835" s="9"/>
      <c r="I835" s="10"/>
      <c r="J835" s="9"/>
      <c r="K835" s="10"/>
      <c r="L835" s="8"/>
      <c r="M835" s="8"/>
      <c r="N835" s="10"/>
      <c r="O835" s="10"/>
    </row>
    <row r="836" spans="1:15" ht="42.75" customHeight="1" x14ac:dyDescent="0.25">
      <c r="A836" s="7"/>
      <c r="B836" s="7"/>
      <c r="C836" s="7"/>
      <c r="D836" s="7"/>
      <c r="E836" s="11">
        <v>834</v>
      </c>
      <c r="F836" s="8"/>
      <c r="G836" s="8"/>
      <c r="H836" s="9"/>
      <c r="I836" s="10"/>
      <c r="J836" s="9"/>
      <c r="K836" s="10"/>
      <c r="L836" s="8"/>
      <c r="M836" s="8"/>
      <c r="N836" s="10"/>
      <c r="O836" s="10"/>
    </row>
    <row r="837" spans="1:15" ht="42.75" customHeight="1" x14ac:dyDescent="0.25">
      <c r="A837" s="7"/>
      <c r="B837" s="7"/>
      <c r="C837" s="7"/>
      <c r="D837" s="7"/>
      <c r="E837" s="11">
        <v>835</v>
      </c>
      <c r="F837" s="8"/>
      <c r="G837" s="8"/>
      <c r="H837" s="9"/>
      <c r="I837" s="10"/>
      <c r="J837" s="9"/>
      <c r="K837" s="10"/>
      <c r="L837" s="8"/>
      <c r="M837" s="8"/>
      <c r="N837" s="10"/>
      <c r="O837" s="10"/>
    </row>
    <row r="838" spans="1:15" ht="42.75" customHeight="1" x14ac:dyDescent="0.25">
      <c r="A838" s="7"/>
      <c r="B838" s="7"/>
      <c r="C838" s="7"/>
      <c r="D838" s="7"/>
      <c r="E838" s="11">
        <v>836</v>
      </c>
      <c r="F838" s="8"/>
      <c r="G838" s="8"/>
      <c r="H838" s="9"/>
      <c r="I838" s="10"/>
      <c r="J838" s="9"/>
      <c r="K838" s="10"/>
      <c r="L838" s="8"/>
      <c r="M838" s="8"/>
      <c r="N838" s="10"/>
      <c r="O838" s="10"/>
    </row>
    <row r="839" spans="1:15" ht="42.75" customHeight="1" x14ac:dyDescent="0.25">
      <c r="A839" s="7"/>
      <c r="B839" s="7"/>
      <c r="C839" s="7"/>
      <c r="D839" s="7"/>
      <c r="E839" s="11">
        <v>837</v>
      </c>
      <c r="F839" s="8"/>
      <c r="G839" s="8"/>
      <c r="H839" s="9"/>
      <c r="I839" s="10"/>
      <c r="J839" s="9"/>
      <c r="K839" s="10"/>
      <c r="L839" s="8"/>
      <c r="M839" s="8"/>
      <c r="N839" s="10"/>
      <c r="O839" s="10"/>
    </row>
    <row r="840" spans="1:15" ht="42.75" customHeight="1" x14ac:dyDescent="0.25">
      <c r="A840" s="7"/>
      <c r="B840" s="7"/>
      <c r="C840" s="7"/>
      <c r="D840" s="7"/>
      <c r="E840" s="11">
        <v>838</v>
      </c>
      <c r="F840" s="8"/>
      <c r="G840" s="8"/>
      <c r="H840" s="9"/>
      <c r="I840" s="10"/>
      <c r="J840" s="9"/>
      <c r="K840" s="10"/>
      <c r="L840" s="8"/>
      <c r="M840" s="8"/>
      <c r="N840" s="10"/>
      <c r="O840" s="10"/>
    </row>
    <row r="841" spans="1:15" ht="42.75" customHeight="1" x14ac:dyDescent="0.25">
      <c r="A841" s="7"/>
      <c r="B841" s="7"/>
      <c r="C841" s="7"/>
      <c r="D841" s="7"/>
      <c r="E841" s="11">
        <v>839</v>
      </c>
      <c r="F841" s="8"/>
      <c r="G841" s="8"/>
      <c r="H841" s="9"/>
      <c r="I841" s="10"/>
      <c r="J841" s="9"/>
      <c r="K841" s="10"/>
      <c r="L841" s="8"/>
      <c r="M841" s="8"/>
      <c r="N841" s="10"/>
      <c r="O841" s="10"/>
    </row>
    <row r="842" spans="1:15" ht="42.75" customHeight="1" x14ac:dyDescent="0.25">
      <c r="A842" s="7"/>
      <c r="B842" s="7"/>
      <c r="C842" s="7"/>
      <c r="D842" s="7"/>
      <c r="E842" s="11">
        <v>840</v>
      </c>
      <c r="F842" s="8"/>
      <c r="G842" s="8"/>
      <c r="H842" s="9"/>
      <c r="I842" s="10"/>
      <c r="J842" s="9"/>
      <c r="K842" s="10"/>
      <c r="L842" s="8"/>
      <c r="M842" s="8"/>
      <c r="N842" s="10"/>
      <c r="O842" s="10"/>
    </row>
    <row r="843" spans="1:15" ht="42.75" customHeight="1" x14ac:dyDescent="0.25">
      <c r="A843" s="7"/>
      <c r="B843" s="7"/>
      <c r="C843" s="7"/>
      <c r="D843" s="7"/>
      <c r="E843" s="11">
        <v>841</v>
      </c>
      <c r="F843" s="8"/>
      <c r="G843" s="8"/>
      <c r="H843" s="9"/>
      <c r="I843" s="10"/>
      <c r="J843" s="9"/>
      <c r="K843" s="10"/>
      <c r="L843" s="8"/>
      <c r="M843" s="8"/>
      <c r="N843" s="10"/>
      <c r="O843" s="10"/>
    </row>
    <row r="844" spans="1:15" ht="42.75" customHeight="1" x14ac:dyDescent="0.25">
      <c r="A844" s="7"/>
      <c r="B844" s="7"/>
      <c r="C844" s="7"/>
      <c r="D844" s="7"/>
      <c r="E844" s="11">
        <v>842</v>
      </c>
      <c r="F844" s="8"/>
      <c r="G844" s="8"/>
      <c r="H844" s="9"/>
      <c r="I844" s="10"/>
      <c r="J844" s="9"/>
      <c r="K844" s="10"/>
      <c r="L844" s="8"/>
      <c r="M844" s="8"/>
      <c r="N844" s="10"/>
      <c r="O844" s="10"/>
    </row>
    <row r="845" spans="1:15" ht="42.75" customHeight="1" x14ac:dyDescent="0.25">
      <c r="A845" s="7"/>
      <c r="B845" s="7"/>
      <c r="C845" s="7"/>
      <c r="D845" s="7"/>
      <c r="E845" s="11">
        <v>843</v>
      </c>
      <c r="F845" s="8"/>
      <c r="G845" s="8"/>
      <c r="H845" s="9"/>
      <c r="I845" s="10"/>
      <c r="J845" s="9"/>
      <c r="K845" s="10"/>
      <c r="L845" s="8"/>
      <c r="M845" s="8"/>
      <c r="N845" s="10"/>
      <c r="O845" s="10"/>
    </row>
    <row r="846" spans="1:15" ht="42.75" customHeight="1" x14ac:dyDescent="0.25">
      <c r="A846" s="7"/>
      <c r="B846" s="7"/>
      <c r="C846" s="7"/>
      <c r="D846" s="7"/>
      <c r="E846" s="11">
        <v>844</v>
      </c>
      <c r="F846" s="8"/>
      <c r="G846" s="8"/>
      <c r="H846" s="9"/>
      <c r="I846" s="10"/>
      <c r="J846" s="9"/>
      <c r="K846" s="10"/>
      <c r="L846" s="8"/>
      <c r="M846" s="8"/>
      <c r="N846" s="10"/>
      <c r="O846" s="10"/>
    </row>
    <row r="847" spans="1:15" ht="42.75" customHeight="1" x14ac:dyDescent="0.25">
      <c r="A847" s="7"/>
      <c r="B847" s="7"/>
      <c r="C847" s="7"/>
      <c r="D847" s="7"/>
      <c r="E847" s="11">
        <v>845</v>
      </c>
      <c r="F847" s="8"/>
      <c r="G847" s="8"/>
      <c r="H847" s="9"/>
      <c r="I847" s="10"/>
      <c r="J847" s="9"/>
      <c r="K847" s="10"/>
      <c r="L847" s="8"/>
      <c r="M847" s="8"/>
      <c r="N847" s="10"/>
      <c r="O847" s="10"/>
    </row>
    <row r="848" spans="1:15" ht="42.75" customHeight="1" x14ac:dyDescent="0.25">
      <c r="A848" s="7"/>
      <c r="B848" s="7"/>
      <c r="C848" s="7"/>
      <c r="D848" s="7"/>
      <c r="E848" s="11">
        <v>846</v>
      </c>
      <c r="F848" s="8"/>
      <c r="G848" s="8"/>
      <c r="H848" s="9"/>
      <c r="I848" s="10"/>
      <c r="J848" s="9"/>
      <c r="K848" s="10"/>
      <c r="L848" s="8"/>
      <c r="M848" s="8"/>
      <c r="N848" s="10"/>
      <c r="O848" s="10"/>
    </row>
    <row r="849" spans="1:15" ht="42.75" customHeight="1" x14ac:dyDescent="0.25">
      <c r="A849" s="7"/>
      <c r="B849" s="7"/>
      <c r="C849" s="7"/>
      <c r="D849" s="7"/>
      <c r="E849" s="11">
        <v>847</v>
      </c>
      <c r="F849" s="8"/>
      <c r="G849" s="8"/>
      <c r="H849" s="9"/>
      <c r="I849" s="10"/>
      <c r="J849" s="9"/>
      <c r="K849" s="10"/>
      <c r="L849" s="8"/>
      <c r="M849" s="8"/>
      <c r="N849" s="10"/>
      <c r="O849" s="10"/>
    </row>
    <row r="850" spans="1:15" ht="42.75" customHeight="1" x14ac:dyDescent="0.25">
      <c r="A850" s="7"/>
      <c r="B850" s="7"/>
      <c r="C850" s="7"/>
      <c r="D850" s="7"/>
      <c r="E850" s="11">
        <v>848</v>
      </c>
      <c r="F850" s="8"/>
      <c r="G850" s="8"/>
      <c r="H850" s="9"/>
      <c r="I850" s="10"/>
      <c r="J850" s="9"/>
      <c r="K850" s="10"/>
      <c r="L850" s="8"/>
      <c r="M850" s="8"/>
      <c r="N850" s="10"/>
      <c r="O850" s="10"/>
    </row>
    <row r="851" spans="1:15" ht="42.75" customHeight="1" x14ac:dyDescent="0.25">
      <c r="A851" s="7"/>
      <c r="B851" s="7"/>
      <c r="C851" s="7"/>
      <c r="D851" s="7"/>
      <c r="E851" s="11">
        <v>849</v>
      </c>
      <c r="F851" s="8"/>
      <c r="G851" s="8"/>
      <c r="H851" s="9"/>
      <c r="I851" s="10"/>
      <c r="J851" s="9"/>
      <c r="K851" s="10"/>
      <c r="L851" s="8"/>
      <c r="M851" s="8"/>
      <c r="N851" s="10"/>
      <c r="O851" s="10"/>
    </row>
    <row r="852" spans="1:15" ht="42.75" customHeight="1" x14ac:dyDescent="0.25">
      <c r="A852" s="7"/>
      <c r="B852" s="7"/>
      <c r="C852" s="7"/>
      <c r="D852" s="7"/>
      <c r="E852" s="11">
        <v>850</v>
      </c>
      <c r="F852" s="8"/>
      <c r="G852" s="8"/>
      <c r="H852" s="9"/>
      <c r="I852" s="10"/>
      <c r="J852" s="9"/>
      <c r="K852" s="10"/>
      <c r="L852" s="8"/>
      <c r="M852" s="8"/>
      <c r="N852" s="10"/>
      <c r="O852" s="10"/>
    </row>
    <row r="853" spans="1:15" ht="42.75" customHeight="1" x14ac:dyDescent="0.25">
      <c r="A853" s="7"/>
      <c r="B853" s="7"/>
      <c r="C853" s="7"/>
      <c r="D853" s="7"/>
      <c r="E853" s="11">
        <v>851</v>
      </c>
      <c r="F853" s="8"/>
      <c r="G853" s="8"/>
      <c r="H853" s="9"/>
      <c r="I853" s="10"/>
      <c r="J853" s="9"/>
      <c r="K853" s="10"/>
      <c r="L853" s="8"/>
      <c r="M853" s="8"/>
      <c r="N853" s="10"/>
      <c r="O853" s="10"/>
    </row>
    <row r="854" spans="1:15" ht="42.75" customHeight="1" x14ac:dyDescent="0.25">
      <c r="A854" s="7"/>
      <c r="B854" s="7"/>
      <c r="C854" s="7"/>
      <c r="D854" s="7"/>
      <c r="E854" s="11">
        <v>852</v>
      </c>
      <c r="F854" s="8"/>
      <c r="G854" s="8"/>
      <c r="H854" s="9"/>
      <c r="I854" s="10"/>
      <c r="J854" s="9"/>
      <c r="K854" s="10"/>
      <c r="L854" s="8"/>
      <c r="M854" s="8"/>
      <c r="N854" s="10"/>
      <c r="O854" s="10"/>
    </row>
    <row r="855" spans="1:15" ht="42.75" customHeight="1" x14ac:dyDescent="0.25">
      <c r="A855" s="7"/>
      <c r="B855" s="7"/>
      <c r="C855" s="7"/>
      <c r="D855" s="7"/>
      <c r="E855" s="11">
        <v>853</v>
      </c>
      <c r="F855" s="8"/>
      <c r="G855" s="8"/>
      <c r="H855" s="9"/>
      <c r="I855" s="10"/>
      <c r="J855" s="9"/>
      <c r="K855" s="10"/>
      <c r="L855" s="8"/>
      <c r="M855" s="8"/>
      <c r="N855" s="10"/>
      <c r="O855" s="10"/>
    </row>
    <row r="856" spans="1:15" ht="42.75" customHeight="1" x14ac:dyDescent="0.25">
      <c r="A856" s="7"/>
      <c r="B856" s="7"/>
      <c r="C856" s="7"/>
      <c r="D856" s="7"/>
      <c r="E856" s="11">
        <v>854</v>
      </c>
      <c r="F856" s="8"/>
      <c r="G856" s="8"/>
      <c r="H856" s="9"/>
      <c r="I856" s="10"/>
      <c r="J856" s="9"/>
      <c r="K856" s="10"/>
      <c r="L856" s="8"/>
      <c r="M856" s="8"/>
      <c r="N856" s="10"/>
      <c r="O856" s="10"/>
    </row>
    <row r="857" spans="1:15" ht="42.75" customHeight="1" x14ac:dyDescent="0.25">
      <c r="A857" s="7"/>
      <c r="B857" s="7"/>
      <c r="C857" s="7"/>
      <c r="D857" s="7"/>
      <c r="E857" s="11">
        <v>855</v>
      </c>
      <c r="F857" s="8"/>
      <c r="G857" s="8"/>
      <c r="H857" s="9"/>
      <c r="I857" s="10"/>
      <c r="J857" s="9"/>
      <c r="K857" s="10"/>
      <c r="L857" s="8"/>
      <c r="M857" s="8"/>
      <c r="N857" s="10"/>
      <c r="O857" s="10"/>
    </row>
    <row r="858" spans="1:15" ht="42.75" customHeight="1" x14ac:dyDescent="0.25">
      <c r="A858" s="7"/>
      <c r="B858" s="7"/>
      <c r="C858" s="7"/>
      <c r="D858" s="7"/>
      <c r="E858" s="11">
        <v>856</v>
      </c>
      <c r="F858" s="8"/>
      <c r="G858" s="8"/>
      <c r="H858" s="9"/>
      <c r="I858" s="10"/>
      <c r="J858" s="9"/>
      <c r="K858" s="10"/>
      <c r="L858" s="8"/>
      <c r="M858" s="8"/>
      <c r="N858" s="10"/>
      <c r="O858" s="10"/>
    </row>
    <row r="859" spans="1:15" ht="42.75" customHeight="1" x14ac:dyDescent="0.25">
      <c r="A859" s="7"/>
      <c r="B859" s="7"/>
      <c r="C859" s="7"/>
      <c r="D859" s="7"/>
      <c r="E859" s="11">
        <v>857</v>
      </c>
      <c r="F859" s="8"/>
      <c r="G859" s="8"/>
      <c r="H859" s="9"/>
      <c r="I859" s="10"/>
      <c r="J859" s="9"/>
      <c r="K859" s="10"/>
      <c r="L859" s="8"/>
      <c r="M859" s="8"/>
      <c r="N859" s="10"/>
      <c r="O859" s="10"/>
    </row>
    <row r="860" spans="1:15" ht="42.75" customHeight="1" x14ac:dyDescent="0.25">
      <c r="A860" s="7"/>
      <c r="B860" s="7"/>
      <c r="C860" s="7"/>
      <c r="D860" s="7"/>
      <c r="E860" s="11">
        <v>858</v>
      </c>
      <c r="F860" s="8"/>
      <c r="G860" s="8"/>
      <c r="H860" s="9"/>
      <c r="I860" s="10"/>
      <c r="J860" s="9"/>
      <c r="K860" s="10"/>
      <c r="L860" s="8"/>
      <c r="M860" s="8"/>
      <c r="N860" s="10"/>
      <c r="O860" s="10"/>
    </row>
    <row r="861" spans="1:15" ht="42.75" customHeight="1" x14ac:dyDescent="0.25">
      <c r="A861" s="7"/>
      <c r="B861" s="7"/>
      <c r="C861" s="7"/>
      <c r="D861" s="7"/>
      <c r="E861" s="11">
        <v>859</v>
      </c>
      <c r="F861" s="8"/>
      <c r="G861" s="8"/>
      <c r="H861" s="9"/>
      <c r="I861" s="10"/>
      <c r="J861" s="9"/>
      <c r="K861" s="10"/>
      <c r="L861" s="8"/>
      <c r="M861" s="8"/>
      <c r="N861" s="10"/>
      <c r="O861" s="10"/>
    </row>
    <row r="862" spans="1:15" ht="42.75" customHeight="1" x14ac:dyDescent="0.25">
      <c r="A862" s="7"/>
      <c r="B862" s="7"/>
      <c r="C862" s="7"/>
      <c r="D862" s="7"/>
      <c r="E862" s="11">
        <v>860</v>
      </c>
      <c r="F862" s="8"/>
      <c r="G862" s="8"/>
      <c r="H862" s="9"/>
      <c r="I862" s="10"/>
      <c r="J862" s="9"/>
      <c r="K862" s="10"/>
      <c r="L862" s="8"/>
      <c r="M862" s="8"/>
      <c r="N862" s="10"/>
      <c r="O862" s="10"/>
    </row>
    <row r="863" spans="1:15" ht="42.75" customHeight="1" x14ac:dyDescent="0.25">
      <c r="A863" s="7"/>
      <c r="B863" s="7"/>
      <c r="C863" s="7"/>
      <c r="D863" s="7"/>
      <c r="E863" s="11">
        <v>861</v>
      </c>
      <c r="F863" s="8"/>
      <c r="G863" s="8"/>
      <c r="H863" s="9"/>
      <c r="I863" s="10"/>
      <c r="J863" s="9"/>
      <c r="K863" s="10"/>
      <c r="L863" s="8"/>
      <c r="M863" s="8"/>
      <c r="N863" s="10"/>
      <c r="O863" s="10"/>
    </row>
    <row r="864" spans="1:15" ht="42.75" customHeight="1" x14ac:dyDescent="0.25">
      <c r="A864" s="7"/>
      <c r="B864" s="7"/>
      <c r="C864" s="7"/>
      <c r="D864" s="7"/>
      <c r="E864" s="11">
        <v>862</v>
      </c>
      <c r="F864" s="8"/>
      <c r="G864" s="8"/>
      <c r="H864" s="9"/>
      <c r="I864" s="10"/>
      <c r="J864" s="9"/>
      <c r="K864" s="10"/>
      <c r="L864" s="8"/>
      <c r="M864" s="8"/>
      <c r="N864" s="10"/>
      <c r="O864" s="10"/>
    </row>
    <row r="865" spans="1:15" ht="42.75" customHeight="1" x14ac:dyDescent="0.25">
      <c r="A865" s="7"/>
      <c r="B865" s="7"/>
      <c r="C865" s="7"/>
      <c r="D865" s="7"/>
      <c r="E865" s="11">
        <v>863</v>
      </c>
      <c r="F865" s="8"/>
      <c r="G865" s="8"/>
      <c r="H865" s="9"/>
      <c r="I865" s="10"/>
      <c r="J865" s="9"/>
      <c r="K865" s="10"/>
      <c r="L865" s="8"/>
      <c r="M865" s="8"/>
      <c r="N865" s="10"/>
      <c r="O865" s="10"/>
    </row>
    <row r="866" spans="1:15" ht="42.75" customHeight="1" x14ac:dyDescent="0.25">
      <c r="A866" s="7"/>
      <c r="B866" s="7"/>
      <c r="C866" s="7"/>
      <c r="D866" s="7"/>
      <c r="E866" s="11">
        <v>864</v>
      </c>
      <c r="F866" s="8"/>
      <c r="G866" s="8"/>
      <c r="H866" s="9"/>
      <c r="I866" s="10"/>
      <c r="J866" s="9"/>
      <c r="K866" s="10"/>
      <c r="L866" s="8"/>
      <c r="M866" s="8"/>
      <c r="N866" s="10"/>
      <c r="O866" s="10"/>
    </row>
    <row r="867" spans="1:15" ht="42.75" customHeight="1" x14ac:dyDescent="0.25">
      <c r="A867" s="7"/>
      <c r="B867" s="7"/>
      <c r="C867" s="7"/>
      <c r="D867" s="7"/>
      <c r="E867" s="11">
        <v>865</v>
      </c>
      <c r="F867" s="8"/>
      <c r="G867" s="8"/>
      <c r="H867" s="9"/>
      <c r="I867" s="10"/>
      <c r="J867" s="9"/>
      <c r="K867" s="10"/>
      <c r="L867" s="8"/>
      <c r="M867" s="8"/>
      <c r="N867" s="10"/>
      <c r="O867" s="10"/>
    </row>
    <row r="868" spans="1:15" ht="42.75" customHeight="1" x14ac:dyDescent="0.25">
      <c r="A868" s="7"/>
      <c r="B868" s="7"/>
      <c r="C868" s="7"/>
      <c r="D868" s="7"/>
      <c r="E868" s="11">
        <v>866</v>
      </c>
      <c r="F868" s="8"/>
      <c r="G868" s="8"/>
      <c r="H868" s="9"/>
      <c r="I868" s="10"/>
      <c r="J868" s="9"/>
      <c r="K868" s="10"/>
      <c r="L868" s="8"/>
      <c r="M868" s="8"/>
      <c r="N868" s="10"/>
      <c r="O868" s="10"/>
    </row>
    <row r="869" spans="1:15" ht="42.75" customHeight="1" x14ac:dyDescent="0.25">
      <c r="A869" s="7"/>
      <c r="B869" s="7"/>
      <c r="C869" s="7"/>
      <c r="D869" s="7"/>
      <c r="E869" s="11">
        <v>867</v>
      </c>
      <c r="F869" s="8"/>
      <c r="G869" s="8"/>
      <c r="H869" s="9"/>
      <c r="I869" s="10"/>
      <c r="J869" s="9"/>
      <c r="K869" s="10"/>
      <c r="L869" s="8"/>
      <c r="M869" s="8"/>
      <c r="N869" s="10"/>
      <c r="O869" s="10"/>
    </row>
    <row r="870" spans="1:15" ht="42.75" customHeight="1" x14ac:dyDescent="0.25">
      <c r="A870" s="7"/>
      <c r="B870" s="7"/>
      <c r="C870" s="7"/>
      <c r="D870" s="7"/>
      <c r="E870" s="11">
        <v>868</v>
      </c>
      <c r="F870" s="8"/>
      <c r="G870" s="8"/>
      <c r="H870" s="9"/>
      <c r="I870" s="10"/>
      <c r="J870" s="9"/>
      <c r="K870" s="10"/>
      <c r="L870" s="8"/>
      <c r="M870" s="8"/>
      <c r="N870" s="10"/>
      <c r="O870" s="10"/>
    </row>
    <row r="871" spans="1:15" ht="42.75" customHeight="1" x14ac:dyDescent="0.25">
      <c r="A871" s="7"/>
      <c r="B871" s="7"/>
      <c r="C871" s="7"/>
      <c r="D871" s="7"/>
      <c r="E871" s="11">
        <v>869</v>
      </c>
      <c r="F871" s="8"/>
      <c r="G871" s="8"/>
      <c r="H871" s="9"/>
      <c r="I871" s="10"/>
      <c r="J871" s="9"/>
      <c r="K871" s="10"/>
      <c r="L871" s="8"/>
      <c r="M871" s="8"/>
      <c r="N871" s="10"/>
      <c r="O871" s="10"/>
    </row>
    <row r="872" spans="1:15" ht="42.75" customHeight="1" x14ac:dyDescent="0.25">
      <c r="A872" s="7"/>
      <c r="B872" s="7"/>
      <c r="C872" s="7"/>
      <c r="D872" s="7"/>
      <c r="E872" s="11">
        <v>870</v>
      </c>
      <c r="F872" s="8"/>
      <c r="G872" s="8"/>
      <c r="H872" s="9"/>
      <c r="I872" s="10"/>
      <c r="J872" s="9"/>
      <c r="K872" s="10"/>
      <c r="L872" s="8"/>
      <c r="M872" s="8"/>
      <c r="N872" s="10"/>
      <c r="O872" s="10"/>
    </row>
    <row r="873" spans="1:15" ht="42.75" customHeight="1" x14ac:dyDescent="0.25">
      <c r="A873" s="7"/>
      <c r="B873" s="7"/>
      <c r="C873" s="7"/>
      <c r="D873" s="7"/>
      <c r="E873" s="11">
        <v>871</v>
      </c>
      <c r="F873" s="8"/>
      <c r="G873" s="8"/>
      <c r="H873" s="9"/>
      <c r="I873" s="10"/>
      <c r="J873" s="9"/>
      <c r="K873" s="10"/>
      <c r="L873" s="8"/>
      <c r="M873" s="8"/>
      <c r="N873" s="10"/>
      <c r="O873" s="10"/>
    </row>
    <row r="874" spans="1:15" ht="42.75" customHeight="1" x14ac:dyDescent="0.25">
      <c r="A874" s="7"/>
      <c r="B874" s="7"/>
      <c r="C874" s="7"/>
      <c r="D874" s="7"/>
      <c r="E874" s="11">
        <v>872</v>
      </c>
      <c r="F874" s="8"/>
      <c r="G874" s="8"/>
      <c r="H874" s="9"/>
      <c r="I874" s="10"/>
      <c r="J874" s="9"/>
      <c r="K874" s="10"/>
      <c r="L874" s="8"/>
      <c r="M874" s="8"/>
      <c r="N874" s="10"/>
      <c r="O874" s="10"/>
    </row>
    <row r="875" spans="1:15" ht="42.75" customHeight="1" x14ac:dyDescent="0.25">
      <c r="A875" s="7"/>
      <c r="B875" s="7"/>
      <c r="C875" s="7"/>
      <c r="D875" s="7"/>
      <c r="E875" s="11">
        <v>873</v>
      </c>
      <c r="F875" s="8"/>
      <c r="G875" s="8"/>
      <c r="H875" s="9"/>
      <c r="I875" s="10"/>
      <c r="J875" s="9"/>
      <c r="K875" s="10"/>
      <c r="L875" s="8"/>
      <c r="M875" s="8"/>
      <c r="N875" s="10"/>
      <c r="O875" s="10"/>
    </row>
    <row r="876" spans="1:15" ht="42.75" customHeight="1" x14ac:dyDescent="0.25">
      <c r="A876" s="7"/>
      <c r="B876" s="7"/>
      <c r="C876" s="7"/>
      <c r="D876" s="7"/>
      <c r="E876" s="11">
        <v>874</v>
      </c>
      <c r="F876" s="8"/>
      <c r="G876" s="8"/>
      <c r="H876" s="9"/>
      <c r="I876" s="10"/>
      <c r="J876" s="9"/>
      <c r="K876" s="10"/>
      <c r="L876" s="8"/>
      <c r="M876" s="8"/>
      <c r="N876" s="10"/>
      <c r="O876" s="10"/>
    </row>
    <row r="877" spans="1:15" ht="42.75" customHeight="1" x14ac:dyDescent="0.25">
      <c r="A877" s="7"/>
      <c r="B877" s="7"/>
      <c r="C877" s="7"/>
      <c r="D877" s="7"/>
      <c r="E877" s="11">
        <v>875</v>
      </c>
      <c r="F877" s="8"/>
      <c r="G877" s="8"/>
      <c r="H877" s="9"/>
      <c r="I877" s="10"/>
      <c r="J877" s="9"/>
      <c r="K877" s="10"/>
      <c r="L877" s="8"/>
      <c r="M877" s="8"/>
      <c r="N877" s="10"/>
      <c r="O877" s="10"/>
    </row>
    <row r="878" spans="1:15" ht="42.75" customHeight="1" x14ac:dyDescent="0.25">
      <c r="A878" s="7"/>
      <c r="B878" s="7"/>
      <c r="C878" s="7"/>
      <c r="D878" s="7"/>
      <c r="E878" s="11">
        <v>876</v>
      </c>
      <c r="F878" s="8"/>
      <c r="G878" s="8"/>
      <c r="H878" s="9"/>
      <c r="I878" s="10"/>
      <c r="J878" s="9"/>
      <c r="K878" s="10"/>
      <c r="L878" s="8"/>
      <c r="M878" s="8"/>
      <c r="N878" s="10"/>
      <c r="O878" s="10"/>
    </row>
    <row r="879" spans="1:15" ht="42.75" customHeight="1" x14ac:dyDescent="0.25">
      <c r="A879" s="7"/>
      <c r="B879" s="7"/>
      <c r="C879" s="7"/>
      <c r="D879" s="7"/>
      <c r="E879" s="11">
        <v>877</v>
      </c>
      <c r="F879" s="8"/>
      <c r="G879" s="8"/>
      <c r="H879" s="9"/>
      <c r="I879" s="10"/>
      <c r="J879" s="9"/>
      <c r="K879" s="10"/>
      <c r="L879" s="8"/>
      <c r="M879" s="8"/>
      <c r="N879" s="10"/>
      <c r="O879" s="10"/>
    </row>
    <row r="880" spans="1:15" ht="42.75" customHeight="1" x14ac:dyDescent="0.25">
      <c r="A880" s="7"/>
      <c r="B880" s="7"/>
      <c r="C880" s="7"/>
      <c r="D880" s="7"/>
      <c r="E880" s="11">
        <v>878</v>
      </c>
      <c r="F880" s="8"/>
      <c r="G880" s="8"/>
      <c r="H880" s="9"/>
      <c r="I880" s="10"/>
      <c r="J880" s="9"/>
      <c r="K880" s="10"/>
      <c r="L880" s="8"/>
      <c r="M880" s="8"/>
      <c r="N880" s="10"/>
      <c r="O880" s="10"/>
    </row>
    <row r="881" spans="1:15" ht="42.75" customHeight="1" x14ac:dyDescent="0.25">
      <c r="A881" s="7"/>
      <c r="B881" s="7"/>
      <c r="C881" s="7"/>
      <c r="D881" s="7"/>
      <c r="E881" s="11">
        <v>879</v>
      </c>
      <c r="F881" s="8"/>
      <c r="G881" s="8"/>
      <c r="H881" s="9"/>
      <c r="I881" s="10"/>
      <c r="J881" s="9"/>
      <c r="K881" s="10"/>
      <c r="L881" s="8"/>
      <c r="M881" s="8"/>
      <c r="N881" s="10"/>
      <c r="O881" s="10"/>
    </row>
    <row r="882" spans="1:15" ht="42.75" customHeight="1" x14ac:dyDescent="0.25">
      <c r="A882" s="7"/>
      <c r="B882" s="7"/>
      <c r="C882" s="7"/>
      <c r="D882" s="7"/>
      <c r="E882" s="11">
        <v>880</v>
      </c>
      <c r="F882" s="8"/>
      <c r="G882" s="8"/>
      <c r="H882" s="9"/>
      <c r="I882" s="10"/>
      <c r="J882" s="9"/>
      <c r="K882" s="10"/>
      <c r="L882" s="8"/>
      <c r="M882" s="8"/>
      <c r="N882" s="10"/>
      <c r="O882" s="10"/>
    </row>
    <row r="883" spans="1:15" ht="42.75" customHeight="1" x14ac:dyDescent="0.25">
      <c r="A883" s="7"/>
      <c r="B883" s="7"/>
      <c r="C883" s="7"/>
      <c r="D883" s="7"/>
      <c r="E883" s="11">
        <v>881</v>
      </c>
      <c r="F883" s="8"/>
      <c r="G883" s="8"/>
      <c r="H883" s="9"/>
      <c r="I883" s="10"/>
      <c r="J883" s="9"/>
      <c r="K883" s="10"/>
      <c r="L883" s="8"/>
      <c r="M883" s="8"/>
      <c r="N883" s="10"/>
      <c r="O883" s="10"/>
    </row>
    <row r="884" spans="1:15" ht="42.75" customHeight="1" x14ac:dyDescent="0.25">
      <c r="A884" s="7"/>
      <c r="B884" s="7"/>
      <c r="C884" s="7"/>
      <c r="D884" s="7"/>
      <c r="E884" s="11">
        <v>882</v>
      </c>
      <c r="F884" s="8"/>
      <c r="G884" s="8"/>
      <c r="H884" s="9"/>
      <c r="I884" s="10"/>
      <c r="J884" s="9"/>
      <c r="K884" s="10"/>
      <c r="L884" s="8"/>
      <c r="M884" s="8"/>
      <c r="N884" s="10"/>
      <c r="O884" s="10"/>
    </row>
    <row r="885" spans="1:15" ht="42.75" customHeight="1" x14ac:dyDescent="0.25">
      <c r="A885" s="7"/>
      <c r="B885" s="7"/>
      <c r="C885" s="7"/>
      <c r="D885" s="7"/>
      <c r="E885" s="11">
        <v>883</v>
      </c>
      <c r="F885" s="8"/>
      <c r="G885" s="8"/>
      <c r="H885" s="9"/>
      <c r="I885" s="10"/>
      <c r="J885" s="9"/>
      <c r="K885" s="10"/>
      <c r="L885" s="8"/>
      <c r="M885" s="8"/>
      <c r="N885" s="10"/>
      <c r="O885" s="10"/>
    </row>
    <row r="886" spans="1:15" ht="42.75" customHeight="1" x14ac:dyDescent="0.25">
      <c r="A886" s="7"/>
      <c r="B886" s="7"/>
      <c r="C886" s="7"/>
      <c r="D886" s="7"/>
      <c r="E886" s="11">
        <v>884</v>
      </c>
      <c r="F886" s="8"/>
      <c r="G886" s="8"/>
      <c r="H886" s="9"/>
      <c r="I886" s="10"/>
      <c r="J886" s="9"/>
      <c r="K886" s="10"/>
      <c r="L886" s="8"/>
      <c r="M886" s="8"/>
      <c r="N886" s="10"/>
      <c r="O886" s="10"/>
    </row>
    <row r="887" spans="1:15" ht="42.75" customHeight="1" x14ac:dyDescent="0.25">
      <c r="A887" s="7"/>
      <c r="B887" s="7"/>
      <c r="C887" s="7"/>
      <c r="D887" s="7"/>
      <c r="E887" s="11">
        <v>885</v>
      </c>
      <c r="F887" s="8"/>
      <c r="G887" s="8"/>
      <c r="H887" s="9"/>
      <c r="I887" s="10"/>
      <c r="J887" s="9"/>
      <c r="K887" s="10"/>
      <c r="L887" s="8"/>
      <c r="M887" s="8"/>
      <c r="N887" s="10"/>
      <c r="O887" s="10"/>
    </row>
    <row r="888" spans="1:15" ht="42.75" customHeight="1" x14ac:dyDescent="0.25">
      <c r="A888" s="7"/>
      <c r="B888" s="7"/>
      <c r="C888" s="7"/>
      <c r="D888" s="7"/>
      <c r="E888" s="11">
        <v>886</v>
      </c>
      <c r="F888" s="8"/>
      <c r="G888" s="8"/>
      <c r="H888" s="9"/>
      <c r="I888" s="10"/>
      <c r="J888" s="9"/>
      <c r="K888" s="10"/>
      <c r="L888" s="8"/>
      <c r="M888" s="8"/>
      <c r="N888" s="10"/>
      <c r="O888" s="10"/>
    </row>
    <row r="889" spans="1:15" ht="42.75" customHeight="1" x14ac:dyDescent="0.25">
      <c r="A889" s="7"/>
      <c r="B889" s="7"/>
      <c r="C889" s="7"/>
      <c r="D889" s="7"/>
      <c r="E889" s="11">
        <v>887</v>
      </c>
      <c r="F889" s="8"/>
      <c r="G889" s="8"/>
      <c r="H889" s="9"/>
      <c r="I889" s="10"/>
      <c r="J889" s="9"/>
      <c r="K889" s="10"/>
      <c r="L889" s="8"/>
      <c r="M889" s="8"/>
      <c r="N889" s="10"/>
      <c r="O889" s="10"/>
    </row>
    <row r="890" spans="1:15" ht="42.75" customHeight="1" x14ac:dyDescent="0.25">
      <c r="A890" s="7"/>
      <c r="B890" s="7"/>
      <c r="C890" s="7"/>
      <c r="D890" s="7"/>
      <c r="E890" s="11">
        <v>888</v>
      </c>
      <c r="F890" s="8"/>
      <c r="G890" s="8"/>
      <c r="H890" s="9"/>
      <c r="I890" s="10"/>
      <c r="J890" s="9"/>
      <c r="K890" s="10"/>
      <c r="L890" s="8"/>
      <c r="M890" s="8"/>
      <c r="N890" s="10"/>
      <c r="O890" s="10"/>
    </row>
    <row r="891" spans="1:15" ht="42.75" customHeight="1" x14ac:dyDescent="0.25">
      <c r="A891" s="7"/>
      <c r="B891" s="7"/>
      <c r="C891" s="7"/>
      <c r="D891" s="7"/>
      <c r="E891" s="11">
        <v>889</v>
      </c>
      <c r="F891" s="8"/>
      <c r="G891" s="8"/>
      <c r="H891" s="9"/>
      <c r="I891" s="10"/>
      <c r="J891" s="9"/>
      <c r="K891" s="10"/>
      <c r="L891" s="8"/>
      <c r="M891" s="8"/>
      <c r="N891" s="10"/>
      <c r="O891" s="10"/>
    </row>
    <row r="892" spans="1:15" ht="42.75" customHeight="1" x14ac:dyDescent="0.25">
      <c r="A892" s="7"/>
      <c r="B892" s="7"/>
      <c r="C892" s="7"/>
      <c r="D892" s="7"/>
      <c r="E892" s="11">
        <v>890</v>
      </c>
      <c r="F892" s="8"/>
      <c r="G892" s="8"/>
      <c r="H892" s="9"/>
      <c r="I892" s="10"/>
      <c r="J892" s="9"/>
      <c r="K892" s="10"/>
      <c r="L892" s="8"/>
      <c r="M892" s="8"/>
      <c r="N892" s="10"/>
      <c r="O892" s="10"/>
    </row>
    <row r="893" spans="1:15" ht="42.75" customHeight="1" x14ac:dyDescent="0.25">
      <c r="A893" s="7"/>
      <c r="B893" s="7"/>
      <c r="C893" s="7"/>
      <c r="D893" s="7"/>
      <c r="E893" s="11">
        <v>891</v>
      </c>
      <c r="F893" s="8"/>
      <c r="G893" s="8"/>
      <c r="H893" s="9"/>
      <c r="I893" s="10"/>
      <c r="J893" s="9"/>
      <c r="K893" s="10"/>
      <c r="L893" s="8"/>
      <c r="M893" s="8"/>
      <c r="N893" s="10"/>
      <c r="O893" s="10"/>
    </row>
    <row r="894" spans="1:15" ht="42.75" customHeight="1" x14ac:dyDescent="0.25">
      <c r="A894" s="7"/>
      <c r="B894" s="7"/>
      <c r="C894" s="7"/>
      <c r="D894" s="7"/>
      <c r="E894" s="11">
        <v>892</v>
      </c>
      <c r="F894" s="8"/>
      <c r="G894" s="8"/>
      <c r="H894" s="9"/>
      <c r="I894" s="10"/>
      <c r="J894" s="9"/>
      <c r="K894" s="10"/>
      <c r="L894" s="8"/>
      <c r="M894" s="8"/>
      <c r="N894" s="10"/>
      <c r="O894" s="10"/>
    </row>
    <row r="895" spans="1:15" ht="42.75" customHeight="1" x14ac:dyDescent="0.25">
      <c r="A895" s="7"/>
      <c r="B895" s="7"/>
      <c r="C895" s="7"/>
      <c r="D895" s="7"/>
      <c r="E895" s="11">
        <v>893</v>
      </c>
      <c r="F895" s="8"/>
      <c r="G895" s="8"/>
      <c r="H895" s="9"/>
      <c r="I895" s="10"/>
      <c r="J895" s="9"/>
      <c r="K895" s="10"/>
      <c r="L895" s="8"/>
      <c r="M895" s="8"/>
      <c r="N895" s="10"/>
      <c r="O895" s="10"/>
    </row>
    <row r="896" spans="1:15" ht="42.75" customHeight="1" x14ac:dyDescent="0.25">
      <c r="A896" s="7"/>
      <c r="B896" s="7"/>
      <c r="C896" s="7"/>
      <c r="D896" s="7"/>
      <c r="E896" s="11">
        <v>894</v>
      </c>
      <c r="F896" s="8"/>
      <c r="G896" s="8"/>
      <c r="H896" s="9"/>
      <c r="I896" s="10"/>
      <c r="J896" s="9"/>
      <c r="K896" s="10"/>
      <c r="L896" s="8"/>
      <c r="M896" s="8"/>
      <c r="N896" s="10"/>
      <c r="O896" s="10"/>
    </row>
    <row r="897" spans="1:15" ht="42.75" customHeight="1" x14ac:dyDescent="0.25">
      <c r="A897" s="7"/>
      <c r="B897" s="7"/>
      <c r="C897" s="7"/>
      <c r="D897" s="7"/>
      <c r="E897" s="11">
        <v>895</v>
      </c>
      <c r="F897" s="8"/>
      <c r="G897" s="8"/>
      <c r="H897" s="9"/>
      <c r="I897" s="10"/>
      <c r="J897" s="9"/>
      <c r="K897" s="10"/>
      <c r="L897" s="8"/>
      <c r="M897" s="8"/>
      <c r="N897" s="10"/>
      <c r="O897" s="10"/>
    </row>
    <row r="898" spans="1:15" ht="42.75" customHeight="1" x14ac:dyDescent="0.25">
      <c r="A898" s="7"/>
      <c r="B898" s="7"/>
      <c r="C898" s="7"/>
      <c r="D898" s="7"/>
      <c r="E898" s="11">
        <v>896</v>
      </c>
      <c r="F898" s="8"/>
      <c r="G898" s="8"/>
      <c r="H898" s="9"/>
      <c r="I898" s="10"/>
      <c r="J898" s="9"/>
      <c r="K898" s="10"/>
      <c r="L898" s="8"/>
      <c r="M898" s="8"/>
      <c r="N898" s="10"/>
      <c r="O898" s="10"/>
    </row>
    <row r="899" spans="1:15" ht="42.75" customHeight="1" x14ac:dyDescent="0.25">
      <c r="A899" s="7"/>
      <c r="B899" s="7"/>
      <c r="C899" s="7"/>
      <c r="D899" s="7"/>
      <c r="E899" s="11">
        <v>897</v>
      </c>
      <c r="F899" s="8"/>
      <c r="G899" s="8"/>
      <c r="H899" s="9"/>
      <c r="I899" s="10"/>
      <c r="J899" s="9"/>
      <c r="K899" s="10"/>
      <c r="L899" s="8"/>
      <c r="M899" s="8"/>
      <c r="N899" s="10"/>
      <c r="O899" s="10"/>
    </row>
    <row r="900" spans="1:15" ht="42.75" customHeight="1" x14ac:dyDescent="0.25">
      <c r="A900" s="7"/>
      <c r="B900" s="7"/>
      <c r="C900" s="7"/>
      <c r="D900" s="7"/>
      <c r="E900" s="11">
        <v>898</v>
      </c>
      <c r="F900" s="8"/>
      <c r="G900" s="8"/>
      <c r="H900" s="9"/>
      <c r="I900" s="10"/>
      <c r="J900" s="9"/>
      <c r="K900" s="10"/>
      <c r="L900" s="8"/>
      <c r="M900" s="8"/>
      <c r="N900" s="10"/>
      <c r="O900" s="10"/>
    </row>
    <row r="901" spans="1:15" ht="42.75" customHeight="1" x14ac:dyDescent="0.25">
      <c r="A901" s="7"/>
      <c r="B901" s="7"/>
      <c r="C901" s="7"/>
      <c r="D901" s="7"/>
      <c r="E901" s="11">
        <v>899</v>
      </c>
      <c r="F901" s="8"/>
      <c r="G901" s="8"/>
      <c r="H901" s="9"/>
      <c r="I901" s="10"/>
      <c r="J901" s="9"/>
      <c r="K901" s="10"/>
      <c r="L901" s="8"/>
      <c r="M901" s="8"/>
      <c r="N901" s="10"/>
      <c r="O901" s="10"/>
    </row>
    <row r="902" spans="1:15" ht="42.75" customHeight="1" x14ac:dyDescent="0.25">
      <c r="A902" s="7"/>
      <c r="B902" s="7"/>
      <c r="C902" s="7"/>
      <c r="D902" s="7"/>
      <c r="E902" s="11">
        <v>900</v>
      </c>
      <c r="F902" s="8"/>
      <c r="G902" s="8"/>
      <c r="H902" s="9"/>
      <c r="I902" s="10"/>
      <c r="J902" s="9"/>
      <c r="K902" s="10"/>
      <c r="L902" s="8"/>
      <c r="M902" s="8"/>
      <c r="N902" s="10"/>
      <c r="O902" s="10"/>
    </row>
    <row r="903" spans="1:15" ht="42.75" customHeight="1" x14ac:dyDescent="0.25">
      <c r="A903" s="7"/>
      <c r="B903" s="7"/>
      <c r="C903" s="7"/>
      <c r="D903" s="7"/>
      <c r="E903" s="11">
        <v>901</v>
      </c>
      <c r="F903" s="8"/>
      <c r="G903" s="8"/>
      <c r="H903" s="9"/>
      <c r="I903" s="10"/>
      <c r="J903" s="9"/>
      <c r="K903" s="10"/>
      <c r="L903" s="8"/>
      <c r="M903" s="8"/>
      <c r="N903" s="10"/>
      <c r="O903" s="10"/>
    </row>
    <row r="904" spans="1:15" ht="42.75" customHeight="1" x14ac:dyDescent="0.25">
      <c r="A904" s="7"/>
      <c r="B904" s="7"/>
      <c r="C904" s="7"/>
      <c r="D904" s="7"/>
      <c r="E904" s="11">
        <v>902</v>
      </c>
      <c r="F904" s="8"/>
      <c r="G904" s="8"/>
      <c r="H904" s="9"/>
      <c r="I904" s="10"/>
      <c r="J904" s="9"/>
      <c r="K904" s="10"/>
      <c r="L904" s="8"/>
      <c r="M904" s="8"/>
      <c r="N904" s="10"/>
      <c r="O904" s="10"/>
    </row>
    <row r="905" spans="1:15" ht="42.75" customHeight="1" x14ac:dyDescent="0.25">
      <c r="A905" s="7"/>
      <c r="B905" s="7"/>
      <c r="C905" s="7"/>
      <c r="D905" s="7"/>
      <c r="E905" s="11">
        <v>903</v>
      </c>
      <c r="F905" s="8"/>
      <c r="G905" s="8"/>
      <c r="H905" s="9"/>
      <c r="I905" s="10"/>
      <c r="J905" s="9"/>
      <c r="K905" s="10"/>
      <c r="L905" s="8"/>
      <c r="M905" s="8"/>
      <c r="N905" s="10"/>
      <c r="O905" s="10"/>
    </row>
    <row r="906" spans="1:15" ht="42.75" customHeight="1" x14ac:dyDescent="0.25">
      <c r="A906" s="7"/>
      <c r="B906" s="7"/>
      <c r="C906" s="7"/>
      <c r="D906" s="7"/>
      <c r="E906" s="11">
        <v>904</v>
      </c>
      <c r="F906" s="8"/>
      <c r="G906" s="8"/>
      <c r="H906" s="9"/>
      <c r="I906" s="10"/>
      <c r="J906" s="9"/>
      <c r="K906" s="10"/>
      <c r="L906" s="8"/>
      <c r="M906" s="8"/>
      <c r="N906" s="10"/>
      <c r="O906" s="10"/>
    </row>
    <row r="907" spans="1:15" ht="42.75" customHeight="1" x14ac:dyDescent="0.25">
      <c r="A907" s="7"/>
      <c r="B907" s="7"/>
      <c r="C907" s="7"/>
      <c r="D907" s="7"/>
      <c r="E907" s="11">
        <v>905</v>
      </c>
      <c r="F907" s="8"/>
      <c r="G907" s="8"/>
      <c r="H907" s="9"/>
      <c r="I907" s="10"/>
      <c r="J907" s="9"/>
      <c r="K907" s="10"/>
      <c r="L907" s="8"/>
      <c r="M907" s="8"/>
      <c r="N907" s="10"/>
      <c r="O907" s="10"/>
    </row>
    <row r="908" spans="1:15" ht="42.75" customHeight="1" x14ac:dyDescent="0.25">
      <c r="A908" s="7"/>
      <c r="B908" s="7"/>
      <c r="C908" s="7"/>
      <c r="D908" s="7"/>
      <c r="E908" s="11">
        <v>906</v>
      </c>
      <c r="F908" s="8"/>
      <c r="G908" s="8"/>
      <c r="H908" s="9"/>
      <c r="I908" s="10"/>
      <c r="J908" s="9"/>
      <c r="K908" s="10"/>
      <c r="L908" s="8"/>
      <c r="M908" s="8"/>
      <c r="N908" s="10"/>
      <c r="O908" s="10"/>
    </row>
    <row r="909" spans="1:15" ht="42.75" customHeight="1" x14ac:dyDescent="0.25">
      <c r="A909" s="7"/>
      <c r="B909" s="7"/>
      <c r="C909" s="7"/>
      <c r="D909" s="7"/>
      <c r="E909" s="11">
        <v>907</v>
      </c>
      <c r="F909" s="8"/>
      <c r="G909" s="8"/>
      <c r="H909" s="9"/>
      <c r="I909" s="10"/>
      <c r="J909" s="9"/>
      <c r="K909" s="10"/>
      <c r="L909" s="8"/>
      <c r="M909" s="8"/>
      <c r="N909" s="10"/>
      <c r="O909" s="10"/>
    </row>
    <row r="910" spans="1:15" ht="42.75" customHeight="1" x14ac:dyDescent="0.25">
      <c r="A910" s="7"/>
      <c r="B910" s="7"/>
      <c r="C910" s="7"/>
      <c r="D910" s="7"/>
      <c r="E910" s="11">
        <v>908</v>
      </c>
      <c r="F910" s="8"/>
      <c r="G910" s="8"/>
      <c r="H910" s="9"/>
      <c r="I910" s="10"/>
      <c r="J910" s="9"/>
      <c r="K910" s="10"/>
      <c r="L910" s="8"/>
      <c r="M910" s="8"/>
      <c r="N910" s="10"/>
      <c r="O910" s="10"/>
    </row>
    <row r="911" spans="1:15" ht="42.75" customHeight="1" x14ac:dyDescent="0.25">
      <c r="A911" s="7"/>
      <c r="B911" s="7"/>
      <c r="C911" s="7"/>
      <c r="D911" s="7"/>
      <c r="E911" s="11">
        <v>909</v>
      </c>
      <c r="F911" s="8"/>
      <c r="G911" s="8"/>
      <c r="H911" s="9"/>
      <c r="I911" s="10"/>
      <c r="J911" s="9"/>
      <c r="K911" s="10"/>
      <c r="L911" s="8"/>
      <c r="M911" s="8"/>
      <c r="N911" s="10"/>
      <c r="O911" s="10"/>
    </row>
    <row r="912" spans="1:15" ht="42.75" customHeight="1" x14ac:dyDescent="0.25">
      <c r="A912" s="7"/>
      <c r="B912" s="7"/>
      <c r="C912" s="7"/>
      <c r="D912" s="7"/>
      <c r="E912" s="11">
        <v>910</v>
      </c>
      <c r="F912" s="8"/>
      <c r="G912" s="8"/>
      <c r="H912" s="9"/>
      <c r="I912" s="10"/>
      <c r="J912" s="9"/>
      <c r="K912" s="10"/>
      <c r="L912" s="8"/>
      <c r="M912" s="8"/>
      <c r="N912" s="10"/>
      <c r="O912" s="10"/>
    </row>
    <row r="913" spans="1:15" ht="42.75" customHeight="1" x14ac:dyDescent="0.25">
      <c r="A913" s="7"/>
      <c r="B913" s="7"/>
      <c r="C913" s="7"/>
      <c r="D913" s="7"/>
      <c r="E913" s="11">
        <v>911</v>
      </c>
      <c r="F913" s="8"/>
      <c r="G913" s="8"/>
      <c r="H913" s="9"/>
      <c r="I913" s="10"/>
      <c r="J913" s="9"/>
      <c r="K913" s="10"/>
      <c r="L913" s="8"/>
      <c r="M913" s="8"/>
      <c r="N913" s="10"/>
      <c r="O913" s="10"/>
    </row>
    <row r="914" spans="1:15" ht="42.75" customHeight="1" x14ac:dyDescent="0.25">
      <c r="A914" s="7"/>
      <c r="B914" s="7"/>
      <c r="C914" s="7"/>
      <c r="D914" s="7"/>
      <c r="E914" s="11">
        <v>912</v>
      </c>
      <c r="F914" s="8"/>
      <c r="G914" s="8"/>
      <c r="H914" s="9"/>
      <c r="I914" s="10"/>
      <c r="J914" s="9"/>
      <c r="K914" s="10"/>
      <c r="L914" s="8"/>
      <c r="M914" s="8"/>
      <c r="N914" s="10"/>
      <c r="O914" s="10"/>
    </row>
    <row r="915" spans="1:15" ht="42.75" customHeight="1" x14ac:dyDescent="0.25">
      <c r="A915" s="7"/>
      <c r="B915" s="7"/>
      <c r="C915" s="7"/>
      <c r="D915" s="7"/>
      <c r="E915" s="11">
        <v>913</v>
      </c>
      <c r="F915" s="8"/>
      <c r="G915" s="8"/>
      <c r="H915" s="9"/>
      <c r="I915" s="10"/>
      <c r="J915" s="9"/>
      <c r="K915" s="10"/>
      <c r="L915" s="8"/>
      <c r="M915" s="8"/>
      <c r="N915" s="10"/>
      <c r="O915" s="10"/>
    </row>
    <row r="916" spans="1:15" ht="42.75" customHeight="1" x14ac:dyDescent="0.25">
      <c r="A916" s="7"/>
      <c r="B916" s="7"/>
      <c r="C916" s="7"/>
      <c r="D916" s="7"/>
      <c r="E916" s="11">
        <v>914</v>
      </c>
      <c r="F916" s="8"/>
      <c r="G916" s="8"/>
      <c r="H916" s="9"/>
      <c r="I916" s="10"/>
      <c r="J916" s="9"/>
      <c r="K916" s="10"/>
      <c r="L916" s="8"/>
      <c r="M916" s="8"/>
      <c r="N916" s="10"/>
      <c r="O916" s="10"/>
    </row>
    <row r="917" spans="1:15" ht="42.75" customHeight="1" x14ac:dyDescent="0.25">
      <c r="A917" s="7"/>
      <c r="B917" s="7"/>
      <c r="C917" s="7"/>
      <c r="D917" s="7"/>
      <c r="E917" s="11">
        <v>915</v>
      </c>
      <c r="F917" s="8"/>
      <c r="G917" s="8"/>
      <c r="H917" s="9"/>
      <c r="I917" s="10"/>
      <c r="J917" s="9"/>
      <c r="K917" s="10"/>
      <c r="L917" s="8"/>
      <c r="M917" s="8"/>
      <c r="N917" s="10"/>
      <c r="O917" s="10"/>
    </row>
    <row r="918" spans="1:15" ht="42.75" customHeight="1" x14ac:dyDescent="0.25">
      <c r="A918" s="7"/>
      <c r="B918" s="7"/>
      <c r="C918" s="7"/>
      <c r="D918" s="7"/>
      <c r="E918" s="11">
        <v>916</v>
      </c>
      <c r="F918" s="8"/>
      <c r="G918" s="8"/>
      <c r="H918" s="9"/>
      <c r="I918" s="10"/>
      <c r="J918" s="9"/>
      <c r="K918" s="10"/>
      <c r="L918" s="8"/>
      <c r="M918" s="8"/>
      <c r="N918" s="10"/>
      <c r="O918" s="10"/>
    </row>
    <row r="919" spans="1:15" ht="42.75" customHeight="1" x14ac:dyDescent="0.25">
      <c r="A919" s="7"/>
      <c r="B919" s="7"/>
      <c r="C919" s="7"/>
      <c r="D919" s="7"/>
      <c r="E919" s="11">
        <v>917</v>
      </c>
      <c r="F919" s="8"/>
      <c r="G919" s="8"/>
      <c r="H919" s="9"/>
      <c r="I919" s="10"/>
      <c r="J919" s="9"/>
      <c r="K919" s="10"/>
      <c r="L919" s="8"/>
      <c r="M919" s="8"/>
      <c r="N919" s="10"/>
      <c r="O919" s="10"/>
    </row>
    <row r="920" spans="1:15" ht="42.75" customHeight="1" x14ac:dyDescent="0.25">
      <c r="A920" s="7"/>
      <c r="B920" s="7"/>
      <c r="C920" s="7"/>
      <c r="D920" s="7"/>
      <c r="E920" s="11">
        <v>918</v>
      </c>
      <c r="F920" s="8"/>
      <c r="G920" s="8"/>
      <c r="H920" s="9"/>
      <c r="I920" s="10"/>
      <c r="J920" s="9"/>
      <c r="K920" s="10"/>
      <c r="L920" s="8"/>
      <c r="M920" s="8"/>
      <c r="N920" s="10"/>
      <c r="O920" s="10"/>
    </row>
    <row r="921" spans="1:15" ht="42.75" customHeight="1" x14ac:dyDescent="0.25">
      <c r="A921" s="7"/>
      <c r="B921" s="7"/>
      <c r="C921" s="7"/>
      <c r="D921" s="7"/>
      <c r="E921" s="11">
        <v>919</v>
      </c>
      <c r="F921" s="8"/>
      <c r="G921" s="8"/>
      <c r="H921" s="9"/>
      <c r="I921" s="10"/>
      <c r="J921" s="9"/>
      <c r="K921" s="10"/>
      <c r="L921" s="8"/>
      <c r="M921" s="8"/>
      <c r="N921" s="10"/>
      <c r="O921" s="10"/>
    </row>
    <row r="922" spans="1:15" ht="42.75" customHeight="1" x14ac:dyDescent="0.25">
      <c r="A922" s="7"/>
      <c r="B922" s="7"/>
      <c r="C922" s="7"/>
      <c r="D922" s="7"/>
      <c r="E922" s="11">
        <v>920</v>
      </c>
      <c r="F922" s="8"/>
      <c r="G922" s="8"/>
      <c r="H922" s="9"/>
      <c r="I922" s="10"/>
      <c r="J922" s="9"/>
      <c r="K922" s="10"/>
      <c r="L922" s="8"/>
      <c r="M922" s="8"/>
      <c r="N922" s="10"/>
      <c r="O922" s="10"/>
    </row>
    <row r="923" spans="1:15" ht="42.75" customHeight="1" x14ac:dyDescent="0.25">
      <c r="A923" s="7"/>
      <c r="B923" s="7"/>
      <c r="C923" s="7"/>
      <c r="D923" s="7"/>
      <c r="E923" s="11">
        <v>921</v>
      </c>
      <c r="F923" s="8"/>
      <c r="G923" s="8"/>
      <c r="H923" s="9"/>
      <c r="I923" s="10"/>
      <c r="J923" s="9"/>
      <c r="K923" s="10"/>
      <c r="L923" s="8"/>
      <c r="M923" s="8"/>
      <c r="N923" s="10"/>
      <c r="O923" s="10"/>
    </row>
    <row r="924" spans="1:15" ht="42.75" customHeight="1" x14ac:dyDescent="0.25">
      <c r="A924" s="7"/>
      <c r="B924" s="7"/>
      <c r="C924" s="7"/>
      <c r="D924" s="7"/>
      <c r="E924" s="11">
        <v>922</v>
      </c>
      <c r="F924" s="8"/>
      <c r="G924" s="8"/>
      <c r="H924" s="9"/>
      <c r="I924" s="10"/>
      <c r="J924" s="9"/>
      <c r="K924" s="10"/>
      <c r="L924" s="8"/>
      <c r="M924" s="8"/>
      <c r="N924" s="10"/>
      <c r="O924" s="10"/>
    </row>
    <row r="925" spans="1:15" ht="42.75" customHeight="1" x14ac:dyDescent="0.25">
      <c r="A925" s="7"/>
      <c r="B925" s="7"/>
      <c r="C925" s="7"/>
      <c r="D925" s="7"/>
      <c r="E925" s="11">
        <v>923</v>
      </c>
      <c r="F925" s="8"/>
      <c r="G925" s="8"/>
      <c r="H925" s="9"/>
      <c r="I925" s="10"/>
      <c r="J925" s="9"/>
      <c r="K925" s="10"/>
      <c r="L925" s="8"/>
      <c r="M925" s="8"/>
      <c r="N925" s="10"/>
      <c r="O925" s="10"/>
    </row>
    <row r="926" spans="1:15" ht="42.75" customHeight="1" x14ac:dyDescent="0.25">
      <c r="A926" s="7"/>
      <c r="B926" s="7"/>
      <c r="C926" s="7"/>
      <c r="D926" s="7"/>
      <c r="E926" s="11">
        <v>924</v>
      </c>
      <c r="F926" s="8"/>
      <c r="G926" s="8"/>
      <c r="H926" s="9"/>
      <c r="I926" s="10"/>
      <c r="J926" s="9"/>
      <c r="K926" s="10"/>
      <c r="L926" s="8"/>
      <c r="M926" s="8"/>
      <c r="N926" s="10"/>
      <c r="O926" s="10"/>
    </row>
    <row r="927" spans="1:15" ht="42.75" customHeight="1" x14ac:dyDescent="0.25">
      <c r="A927" s="7"/>
      <c r="B927" s="7"/>
      <c r="C927" s="7"/>
      <c r="D927" s="7"/>
      <c r="E927" s="11">
        <v>925</v>
      </c>
      <c r="F927" s="8"/>
      <c r="G927" s="8"/>
      <c r="H927" s="9"/>
      <c r="I927" s="10"/>
      <c r="J927" s="9"/>
      <c r="K927" s="10"/>
      <c r="L927" s="8"/>
      <c r="M927" s="8"/>
      <c r="N927" s="10"/>
      <c r="O927" s="10"/>
    </row>
    <row r="928" spans="1:15" ht="42.75" customHeight="1" x14ac:dyDescent="0.25">
      <c r="A928" s="7"/>
      <c r="B928" s="7"/>
      <c r="C928" s="7"/>
      <c r="D928" s="7"/>
      <c r="E928" s="11">
        <v>926</v>
      </c>
      <c r="F928" s="8"/>
      <c r="G928" s="8"/>
      <c r="H928" s="9"/>
      <c r="I928" s="10"/>
      <c r="J928" s="9"/>
      <c r="K928" s="10"/>
      <c r="L928" s="8"/>
      <c r="M928" s="8"/>
      <c r="N928" s="10"/>
      <c r="O928" s="10"/>
    </row>
    <row r="929" spans="1:15" ht="42.75" customHeight="1" x14ac:dyDescent="0.25">
      <c r="A929" s="7"/>
      <c r="B929" s="7"/>
      <c r="C929" s="7"/>
      <c r="D929" s="7"/>
      <c r="E929" s="11">
        <v>927</v>
      </c>
      <c r="F929" s="8"/>
      <c r="G929" s="8"/>
      <c r="H929" s="9"/>
      <c r="I929" s="10"/>
      <c r="J929" s="9"/>
      <c r="K929" s="10"/>
      <c r="L929" s="8"/>
      <c r="M929" s="8"/>
      <c r="N929" s="10"/>
      <c r="O929" s="10"/>
    </row>
    <row r="930" spans="1:15" ht="42.75" customHeight="1" x14ac:dyDescent="0.25">
      <c r="A930" s="7"/>
      <c r="B930" s="7"/>
      <c r="C930" s="7"/>
      <c r="D930" s="7"/>
      <c r="E930" s="11">
        <v>928</v>
      </c>
      <c r="F930" s="8"/>
      <c r="G930" s="8"/>
      <c r="H930" s="9"/>
      <c r="I930" s="10"/>
      <c r="J930" s="9"/>
      <c r="K930" s="10"/>
      <c r="L930" s="8"/>
      <c r="M930" s="8"/>
      <c r="N930" s="10"/>
      <c r="O930" s="10"/>
    </row>
    <row r="931" spans="1:15" ht="42.75" customHeight="1" x14ac:dyDescent="0.25">
      <c r="A931" s="7"/>
      <c r="B931" s="7"/>
      <c r="C931" s="7"/>
      <c r="D931" s="7"/>
      <c r="E931" s="11">
        <v>929</v>
      </c>
      <c r="F931" s="8"/>
      <c r="G931" s="8"/>
      <c r="H931" s="9"/>
      <c r="I931" s="10"/>
      <c r="J931" s="9"/>
      <c r="K931" s="10"/>
      <c r="L931" s="8"/>
      <c r="M931" s="8"/>
      <c r="N931" s="10"/>
      <c r="O931" s="10"/>
    </row>
    <row r="932" spans="1:15" ht="42.75" customHeight="1" x14ac:dyDescent="0.25">
      <c r="A932" s="7"/>
      <c r="B932" s="7"/>
      <c r="C932" s="7"/>
      <c r="D932" s="7"/>
      <c r="E932" s="11">
        <v>930</v>
      </c>
      <c r="F932" s="8"/>
      <c r="G932" s="8"/>
      <c r="H932" s="9"/>
      <c r="I932" s="10"/>
      <c r="J932" s="9"/>
      <c r="K932" s="10"/>
      <c r="L932" s="8"/>
      <c r="M932" s="8"/>
      <c r="N932" s="10"/>
      <c r="O932" s="10"/>
    </row>
    <row r="933" spans="1:15" ht="42.75" customHeight="1" x14ac:dyDescent="0.25">
      <c r="A933" s="7"/>
      <c r="B933" s="7"/>
      <c r="C933" s="7"/>
      <c r="D933" s="7"/>
      <c r="E933" s="11">
        <v>931</v>
      </c>
      <c r="F933" s="8"/>
      <c r="G933" s="8"/>
      <c r="H933" s="9"/>
      <c r="I933" s="10"/>
      <c r="J933" s="9"/>
      <c r="K933" s="10"/>
      <c r="L933" s="8"/>
      <c r="M933" s="8"/>
      <c r="N933" s="10"/>
      <c r="O933" s="10"/>
    </row>
    <row r="934" spans="1:15" ht="42.75" customHeight="1" x14ac:dyDescent="0.25">
      <c r="A934" s="7"/>
      <c r="B934" s="7"/>
      <c r="C934" s="7"/>
      <c r="D934" s="7"/>
      <c r="E934" s="11">
        <v>932</v>
      </c>
      <c r="F934" s="8"/>
      <c r="G934" s="8"/>
      <c r="H934" s="9"/>
      <c r="I934" s="10"/>
      <c r="J934" s="9"/>
      <c r="K934" s="10"/>
      <c r="L934" s="8"/>
      <c r="M934" s="8"/>
      <c r="N934" s="10"/>
      <c r="O934" s="10"/>
    </row>
    <row r="935" spans="1:15" ht="42.75" customHeight="1" x14ac:dyDescent="0.25">
      <c r="A935" s="7"/>
      <c r="B935" s="7"/>
      <c r="C935" s="7"/>
      <c r="D935" s="7"/>
      <c r="E935" s="11">
        <v>933</v>
      </c>
      <c r="F935" s="8"/>
      <c r="G935" s="8"/>
      <c r="H935" s="9"/>
      <c r="I935" s="10"/>
      <c r="J935" s="9"/>
      <c r="K935" s="10"/>
      <c r="L935" s="8"/>
      <c r="M935" s="8"/>
      <c r="N935" s="10"/>
      <c r="O935" s="10"/>
    </row>
    <row r="936" spans="1:15" ht="42.75" customHeight="1" x14ac:dyDescent="0.25">
      <c r="A936" s="7"/>
      <c r="B936" s="7"/>
      <c r="C936" s="7"/>
      <c r="D936" s="7"/>
      <c r="E936" s="11">
        <v>934</v>
      </c>
      <c r="F936" s="8"/>
      <c r="G936" s="8"/>
      <c r="H936" s="9"/>
      <c r="I936" s="10"/>
      <c r="J936" s="9"/>
      <c r="K936" s="10"/>
      <c r="L936" s="8"/>
      <c r="M936" s="8"/>
      <c r="N936" s="10"/>
      <c r="O936" s="10"/>
    </row>
    <row r="937" spans="1:15" ht="42.75" customHeight="1" x14ac:dyDescent="0.25">
      <c r="A937" s="7"/>
      <c r="B937" s="7"/>
      <c r="C937" s="7"/>
      <c r="D937" s="7"/>
      <c r="E937" s="11">
        <v>935</v>
      </c>
      <c r="F937" s="8"/>
      <c r="G937" s="8"/>
      <c r="H937" s="9"/>
      <c r="I937" s="10"/>
      <c r="J937" s="9"/>
      <c r="K937" s="10"/>
      <c r="L937" s="8"/>
      <c r="M937" s="8"/>
      <c r="N937" s="10"/>
      <c r="O937" s="10"/>
    </row>
    <row r="938" spans="1:15" ht="42.75" customHeight="1" x14ac:dyDescent="0.25">
      <c r="A938" s="7"/>
      <c r="B938" s="7"/>
      <c r="C938" s="7"/>
      <c r="D938" s="7"/>
      <c r="E938" s="11">
        <v>936</v>
      </c>
      <c r="F938" s="8"/>
      <c r="G938" s="8"/>
      <c r="H938" s="9"/>
      <c r="I938" s="10"/>
      <c r="J938" s="9"/>
      <c r="K938" s="10"/>
      <c r="L938" s="8"/>
      <c r="M938" s="8"/>
      <c r="N938" s="10"/>
      <c r="O938" s="10"/>
    </row>
    <row r="939" spans="1:15" ht="42.75" customHeight="1" x14ac:dyDescent="0.25">
      <c r="A939" s="7"/>
      <c r="B939" s="7"/>
      <c r="C939" s="7"/>
      <c r="D939" s="7"/>
      <c r="E939" s="11">
        <v>937</v>
      </c>
      <c r="F939" s="8"/>
      <c r="G939" s="8"/>
      <c r="H939" s="9"/>
      <c r="I939" s="10"/>
      <c r="J939" s="9"/>
      <c r="K939" s="10"/>
      <c r="L939" s="8"/>
      <c r="M939" s="8"/>
      <c r="N939" s="10"/>
      <c r="O939" s="10"/>
    </row>
    <row r="940" spans="1:15" ht="42.75" customHeight="1" x14ac:dyDescent="0.25">
      <c r="A940" s="7"/>
      <c r="B940" s="7"/>
      <c r="C940" s="7"/>
      <c r="D940" s="7"/>
      <c r="E940" s="11">
        <v>938</v>
      </c>
      <c r="F940" s="8"/>
      <c r="G940" s="8"/>
      <c r="H940" s="9"/>
      <c r="I940" s="10"/>
      <c r="J940" s="9"/>
      <c r="K940" s="10"/>
      <c r="L940" s="8"/>
      <c r="M940" s="8"/>
      <c r="N940" s="10"/>
      <c r="O940" s="10"/>
    </row>
    <row r="941" spans="1:15" ht="42.75" customHeight="1" x14ac:dyDescent="0.25">
      <c r="A941" s="7"/>
      <c r="B941" s="7"/>
      <c r="C941" s="7"/>
      <c r="D941" s="7"/>
      <c r="E941" s="11">
        <v>939</v>
      </c>
      <c r="F941" s="8"/>
      <c r="G941" s="8"/>
      <c r="H941" s="9"/>
      <c r="I941" s="10"/>
      <c r="J941" s="9"/>
      <c r="K941" s="10"/>
      <c r="L941" s="8"/>
      <c r="M941" s="8"/>
      <c r="N941" s="10"/>
      <c r="O941" s="10"/>
    </row>
    <row r="942" spans="1:15" ht="42.75" customHeight="1" x14ac:dyDescent="0.25">
      <c r="A942" s="7"/>
      <c r="B942" s="7"/>
      <c r="C942" s="7"/>
      <c r="D942" s="7"/>
      <c r="E942" s="11">
        <v>940</v>
      </c>
      <c r="F942" s="8"/>
      <c r="G942" s="8"/>
      <c r="H942" s="9"/>
      <c r="I942" s="10"/>
      <c r="J942" s="9"/>
      <c r="K942" s="10"/>
      <c r="L942" s="8"/>
      <c r="M942" s="8"/>
      <c r="N942" s="10"/>
      <c r="O942" s="10"/>
    </row>
    <row r="943" spans="1:15" ht="42.75" customHeight="1" x14ac:dyDescent="0.25">
      <c r="A943" s="7"/>
      <c r="B943" s="7"/>
      <c r="C943" s="7"/>
      <c r="D943" s="7"/>
      <c r="E943" s="11">
        <v>941</v>
      </c>
      <c r="F943" s="8"/>
      <c r="G943" s="8"/>
      <c r="H943" s="9"/>
      <c r="I943" s="10"/>
      <c r="J943" s="9"/>
      <c r="K943" s="10"/>
      <c r="L943" s="8"/>
      <c r="M943" s="8"/>
      <c r="N943" s="10"/>
      <c r="O943" s="10"/>
    </row>
    <row r="944" spans="1:15" ht="42.75" customHeight="1" x14ac:dyDescent="0.25">
      <c r="A944" s="7"/>
      <c r="B944" s="7"/>
      <c r="C944" s="7"/>
      <c r="D944" s="7"/>
      <c r="E944" s="11">
        <v>942</v>
      </c>
      <c r="F944" s="8"/>
      <c r="G944" s="8"/>
      <c r="H944" s="9"/>
      <c r="I944" s="10"/>
      <c r="J944" s="9"/>
      <c r="K944" s="10"/>
      <c r="L944" s="8"/>
      <c r="M944" s="8"/>
      <c r="N944" s="10"/>
      <c r="O944" s="10"/>
    </row>
    <row r="945" spans="1:15" ht="42.75" customHeight="1" x14ac:dyDescent="0.25">
      <c r="A945" s="7"/>
      <c r="B945" s="7"/>
      <c r="C945" s="7"/>
      <c r="D945" s="7"/>
      <c r="E945" s="11">
        <v>943</v>
      </c>
      <c r="F945" s="8"/>
      <c r="G945" s="8"/>
      <c r="H945" s="9"/>
      <c r="I945" s="10"/>
      <c r="J945" s="9"/>
      <c r="K945" s="10"/>
      <c r="L945" s="8"/>
      <c r="M945" s="8"/>
      <c r="N945" s="10"/>
      <c r="O945" s="10"/>
    </row>
    <row r="946" spans="1:15" ht="42.75" customHeight="1" x14ac:dyDescent="0.25">
      <c r="A946" s="7"/>
      <c r="B946" s="7"/>
      <c r="C946" s="7"/>
      <c r="D946" s="7"/>
      <c r="E946" s="11">
        <v>944</v>
      </c>
      <c r="F946" s="8"/>
      <c r="G946" s="8"/>
      <c r="H946" s="9"/>
      <c r="I946" s="10"/>
      <c r="J946" s="9"/>
      <c r="K946" s="10"/>
      <c r="L946" s="8"/>
      <c r="M946" s="8"/>
      <c r="N946" s="10"/>
      <c r="O946" s="10"/>
    </row>
    <row r="947" spans="1:15" ht="42.75" customHeight="1" x14ac:dyDescent="0.25">
      <c r="A947" s="7"/>
      <c r="B947" s="7"/>
      <c r="C947" s="7"/>
      <c r="D947" s="7"/>
      <c r="E947" s="11">
        <v>945</v>
      </c>
      <c r="F947" s="8"/>
      <c r="G947" s="8"/>
      <c r="H947" s="9"/>
      <c r="I947" s="10"/>
      <c r="J947" s="9"/>
      <c r="K947" s="10"/>
      <c r="L947" s="8"/>
      <c r="M947" s="8"/>
      <c r="N947" s="10"/>
      <c r="O947" s="10"/>
    </row>
    <row r="948" spans="1:15" ht="42.75" customHeight="1" x14ac:dyDescent="0.25">
      <c r="A948" s="7"/>
      <c r="B948" s="7"/>
      <c r="C948" s="7"/>
      <c r="D948" s="7"/>
      <c r="E948" s="11">
        <v>946</v>
      </c>
      <c r="F948" s="8"/>
      <c r="G948" s="8"/>
      <c r="H948" s="9"/>
      <c r="I948" s="10"/>
      <c r="J948" s="9"/>
      <c r="K948" s="10"/>
      <c r="L948" s="8"/>
      <c r="M948" s="8"/>
      <c r="N948" s="10"/>
      <c r="O948" s="10"/>
    </row>
    <row r="949" spans="1:15" ht="42.75" customHeight="1" x14ac:dyDescent="0.25">
      <c r="A949" s="7"/>
      <c r="B949" s="7"/>
      <c r="C949" s="7"/>
      <c r="D949" s="7"/>
      <c r="E949" s="11">
        <v>947</v>
      </c>
      <c r="F949" s="8"/>
      <c r="G949" s="8"/>
      <c r="H949" s="9"/>
      <c r="I949" s="10"/>
      <c r="J949" s="9"/>
      <c r="K949" s="10"/>
      <c r="L949" s="8"/>
      <c r="M949" s="8"/>
      <c r="N949" s="10"/>
      <c r="O949" s="10"/>
    </row>
    <row r="950" spans="1:15" ht="42.75" customHeight="1" x14ac:dyDescent="0.25">
      <c r="A950" s="7"/>
      <c r="B950" s="7"/>
      <c r="C950" s="7"/>
      <c r="D950" s="7"/>
      <c r="E950" s="11">
        <v>948</v>
      </c>
      <c r="F950" s="8"/>
      <c r="G950" s="8"/>
      <c r="H950" s="9"/>
      <c r="I950" s="10"/>
      <c r="J950" s="9"/>
      <c r="K950" s="10"/>
      <c r="L950" s="8"/>
      <c r="M950" s="8"/>
      <c r="N950" s="10"/>
      <c r="O950" s="10"/>
    </row>
    <row r="951" spans="1:15" ht="42.75" customHeight="1" x14ac:dyDescent="0.25">
      <c r="A951" s="7"/>
      <c r="B951" s="7"/>
      <c r="C951" s="7"/>
      <c r="D951" s="7"/>
      <c r="E951" s="11">
        <v>949</v>
      </c>
      <c r="F951" s="8"/>
      <c r="G951" s="8"/>
      <c r="H951" s="9"/>
      <c r="I951" s="10"/>
      <c r="J951" s="9"/>
      <c r="K951" s="10"/>
      <c r="L951" s="8"/>
      <c r="M951" s="8"/>
      <c r="N951" s="10"/>
      <c r="O951" s="10"/>
    </row>
    <row r="952" spans="1:15" ht="42.75" customHeight="1" x14ac:dyDescent="0.25">
      <c r="A952" s="7"/>
      <c r="B952" s="7"/>
      <c r="C952" s="7"/>
      <c r="D952" s="7"/>
      <c r="E952" s="11">
        <v>950</v>
      </c>
      <c r="F952" s="8"/>
      <c r="G952" s="8"/>
      <c r="H952" s="9"/>
      <c r="I952" s="10"/>
      <c r="J952" s="9"/>
      <c r="K952" s="10"/>
      <c r="L952" s="8"/>
      <c r="M952" s="8"/>
      <c r="N952" s="10"/>
      <c r="O952" s="10"/>
    </row>
    <row r="953" spans="1:15" ht="42.75" customHeight="1" x14ac:dyDescent="0.25">
      <c r="A953" s="7"/>
      <c r="B953" s="7"/>
      <c r="C953" s="7"/>
      <c r="D953" s="7"/>
      <c r="E953" s="11">
        <v>951</v>
      </c>
      <c r="F953" s="8"/>
      <c r="G953" s="8"/>
      <c r="H953" s="9"/>
      <c r="I953" s="10"/>
      <c r="J953" s="9"/>
      <c r="K953" s="10"/>
      <c r="L953" s="8"/>
      <c r="M953" s="8"/>
      <c r="N953" s="10"/>
      <c r="O953" s="10"/>
    </row>
    <row r="954" spans="1:15" ht="42.75" customHeight="1" x14ac:dyDescent="0.25">
      <c r="A954" s="7"/>
      <c r="B954" s="7"/>
      <c r="C954" s="7"/>
      <c r="D954" s="7"/>
      <c r="E954" s="11">
        <v>952</v>
      </c>
      <c r="F954" s="8"/>
      <c r="G954" s="8"/>
      <c r="H954" s="9"/>
      <c r="I954" s="10"/>
      <c r="J954" s="9"/>
      <c r="K954" s="10"/>
      <c r="L954" s="8"/>
      <c r="M954" s="8"/>
      <c r="N954" s="10"/>
      <c r="O954" s="10"/>
    </row>
    <row r="955" spans="1:15" ht="42.75" customHeight="1" x14ac:dyDescent="0.25">
      <c r="A955" s="7"/>
      <c r="B955" s="7"/>
      <c r="C955" s="7"/>
      <c r="D955" s="7"/>
      <c r="E955" s="11">
        <v>953</v>
      </c>
      <c r="F955" s="8"/>
      <c r="G955" s="8"/>
      <c r="H955" s="9"/>
      <c r="I955" s="10"/>
      <c r="J955" s="9"/>
      <c r="K955" s="10"/>
      <c r="L955" s="8"/>
      <c r="M955" s="8"/>
      <c r="N955" s="10"/>
      <c r="O955" s="10"/>
    </row>
    <row r="956" spans="1:15" ht="42.75" customHeight="1" x14ac:dyDescent="0.25">
      <c r="A956" s="7"/>
      <c r="B956" s="7"/>
      <c r="C956" s="7"/>
      <c r="D956" s="7"/>
      <c r="E956" s="11">
        <v>954</v>
      </c>
      <c r="F956" s="8"/>
      <c r="G956" s="8"/>
      <c r="H956" s="9"/>
      <c r="I956" s="10"/>
      <c r="J956" s="9"/>
      <c r="K956" s="10"/>
      <c r="L956" s="8"/>
      <c r="M956" s="8"/>
      <c r="N956" s="10"/>
      <c r="O956" s="10"/>
    </row>
    <row r="957" spans="1:15" ht="42.75" customHeight="1" x14ac:dyDescent="0.25">
      <c r="A957" s="7"/>
      <c r="B957" s="7"/>
      <c r="C957" s="7"/>
      <c r="D957" s="7"/>
      <c r="E957" s="11">
        <v>955</v>
      </c>
      <c r="F957" s="8"/>
      <c r="G957" s="8"/>
      <c r="H957" s="9"/>
      <c r="I957" s="10"/>
      <c r="J957" s="9"/>
      <c r="K957" s="10"/>
      <c r="L957" s="8"/>
      <c r="M957" s="8"/>
      <c r="N957" s="10"/>
      <c r="O957" s="10"/>
    </row>
    <row r="958" spans="1:15" ht="42.75" customHeight="1" x14ac:dyDescent="0.25">
      <c r="A958" s="7"/>
      <c r="B958" s="7"/>
      <c r="C958" s="7"/>
      <c r="D958" s="7"/>
      <c r="E958" s="11">
        <v>956</v>
      </c>
      <c r="F958" s="8"/>
      <c r="G958" s="8"/>
      <c r="H958" s="9"/>
      <c r="I958" s="10"/>
      <c r="J958" s="9"/>
      <c r="K958" s="10"/>
      <c r="L958" s="8"/>
      <c r="M958" s="8"/>
      <c r="N958" s="10"/>
      <c r="O958" s="10"/>
    </row>
    <row r="959" spans="1:15" ht="42.75" customHeight="1" x14ac:dyDescent="0.25">
      <c r="A959" s="7"/>
      <c r="B959" s="7"/>
      <c r="C959" s="7"/>
      <c r="D959" s="7"/>
      <c r="E959" s="11">
        <v>957</v>
      </c>
      <c r="F959" s="8"/>
      <c r="G959" s="8"/>
      <c r="H959" s="9"/>
      <c r="I959" s="10"/>
      <c r="J959" s="9"/>
      <c r="K959" s="10"/>
      <c r="L959" s="8"/>
      <c r="M959" s="8"/>
      <c r="N959" s="10"/>
      <c r="O959" s="10"/>
    </row>
    <row r="960" spans="1:15" ht="42.75" customHeight="1" x14ac:dyDescent="0.25">
      <c r="A960" s="7"/>
      <c r="B960" s="7"/>
      <c r="C960" s="7"/>
      <c r="D960" s="7"/>
      <c r="E960" s="11">
        <v>958</v>
      </c>
      <c r="F960" s="8"/>
      <c r="G960" s="8"/>
      <c r="H960" s="9"/>
      <c r="I960" s="10"/>
      <c r="J960" s="9"/>
      <c r="K960" s="10"/>
      <c r="L960" s="8"/>
      <c r="M960" s="8"/>
      <c r="N960" s="10"/>
      <c r="O960" s="10"/>
    </row>
    <row r="961" spans="1:15" ht="42.75" customHeight="1" x14ac:dyDescent="0.25">
      <c r="A961" s="7"/>
      <c r="B961" s="7"/>
      <c r="C961" s="7"/>
      <c r="D961" s="7"/>
      <c r="E961" s="11">
        <v>959</v>
      </c>
      <c r="F961" s="8"/>
      <c r="G961" s="8"/>
      <c r="H961" s="9"/>
      <c r="I961" s="10"/>
      <c r="J961" s="9"/>
      <c r="K961" s="10"/>
      <c r="L961" s="8"/>
      <c r="M961" s="8"/>
      <c r="N961" s="10"/>
      <c r="O961" s="10"/>
    </row>
    <row r="962" spans="1:15" ht="42.75" customHeight="1" x14ac:dyDescent="0.25">
      <c r="A962" s="7"/>
      <c r="B962" s="7"/>
      <c r="C962" s="7"/>
      <c r="D962" s="7"/>
      <c r="E962" s="11">
        <v>960</v>
      </c>
      <c r="F962" s="8"/>
      <c r="G962" s="8"/>
      <c r="H962" s="9"/>
      <c r="I962" s="10"/>
      <c r="J962" s="9"/>
      <c r="K962" s="10"/>
      <c r="L962" s="8"/>
      <c r="M962" s="8"/>
      <c r="N962" s="10"/>
      <c r="O962" s="10"/>
    </row>
    <row r="963" spans="1:15" ht="42.75" customHeight="1" x14ac:dyDescent="0.25">
      <c r="A963" s="7"/>
      <c r="B963" s="7"/>
      <c r="C963" s="7"/>
      <c r="D963" s="7"/>
      <c r="E963" s="11">
        <v>961</v>
      </c>
      <c r="F963" s="8"/>
      <c r="G963" s="8"/>
      <c r="H963" s="9"/>
      <c r="I963" s="10"/>
      <c r="J963" s="9"/>
      <c r="K963" s="10"/>
      <c r="L963" s="8"/>
      <c r="M963" s="8"/>
      <c r="N963" s="10"/>
      <c r="O963" s="10"/>
    </row>
    <row r="964" spans="1:15" ht="42.75" customHeight="1" x14ac:dyDescent="0.25">
      <c r="A964" s="7"/>
      <c r="B964" s="7"/>
      <c r="C964" s="7"/>
      <c r="D964" s="7"/>
      <c r="E964" s="11">
        <v>962</v>
      </c>
      <c r="F964" s="8"/>
      <c r="G964" s="8"/>
      <c r="H964" s="9"/>
      <c r="I964" s="10"/>
      <c r="J964" s="9"/>
      <c r="K964" s="10"/>
      <c r="L964" s="8"/>
      <c r="M964" s="8"/>
      <c r="N964" s="10"/>
      <c r="O964" s="10"/>
    </row>
    <row r="965" spans="1:15" ht="42.75" customHeight="1" x14ac:dyDescent="0.25">
      <c r="A965" s="7"/>
      <c r="B965" s="7"/>
      <c r="C965" s="7"/>
      <c r="D965" s="7"/>
      <c r="E965" s="11">
        <v>963</v>
      </c>
      <c r="F965" s="8"/>
      <c r="G965" s="8"/>
      <c r="H965" s="9"/>
      <c r="I965" s="10"/>
      <c r="J965" s="9"/>
      <c r="K965" s="10"/>
      <c r="L965" s="8"/>
      <c r="M965" s="8"/>
      <c r="N965" s="10"/>
      <c r="O965" s="10"/>
    </row>
    <row r="966" spans="1:15" ht="42.75" customHeight="1" x14ac:dyDescent="0.25">
      <c r="A966" s="7"/>
      <c r="B966" s="7"/>
      <c r="C966" s="7"/>
      <c r="D966" s="7"/>
      <c r="E966" s="11">
        <v>964</v>
      </c>
      <c r="F966" s="8"/>
      <c r="G966" s="8"/>
      <c r="H966" s="9"/>
      <c r="I966" s="10"/>
      <c r="J966" s="9"/>
      <c r="K966" s="10"/>
      <c r="L966" s="8"/>
      <c r="M966" s="8"/>
      <c r="N966" s="10"/>
      <c r="O966" s="10"/>
    </row>
    <row r="967" spans="1:15" ht="42.75" customHeight="1" x14ac:dyDescent="0.25">
      <c r="A967" s="7"/>
      <c r="B967" s="7"/>
      <c r="C967" s="7"/>
      <c r="D967" s="7"/>
      <c r="E967" s="11">
        <v>965</v>
      </c>
      <c r="F967" s="8"/>
      <c r="G967" s="8"/>
      <c r="H967" s="9"/>
      <c r="I967" s="10"/>
      <c r="J967" s="9"/>
      <c r="K967" s="10"/>
      <c r="L967" s="8"/>
      <c r="M967" s="8"/>
      <c r="N967" s="10"/>
      <c r="O967" s="10"/>
    </row>
    <row r="968" spans="1:15" ht="42.75" customHeight="1" x14ac:dyDescent="0.25">
      <c r="A968" s="7"/>
      <c r="B968" s="7"/>
      <c r="C968" s="7"/>
      <c r="D968" s="7"/>
      <c r="E968" s="11">
        <v>966</v>
      </c>
      <c r="F968" s="8"/>
      <c r="G968" s="8"/>
      <c r="H968" s="9"/>
      <c r="I968" s="10"/>
      <c r="J968" s="9"/>
      <c r="K968" s="10"/>
      <c r="L968" s="8"/>
      <c r="M968" s="8"/>
      <c r="N968" s="10"/>
      <c r="O968" s="10"/>
    </row>
    <row r="969" spans="1:15" ht="42.75" customHeight="1" x14ac:dyDescent="0.25">
      <c r="A969" s="7"/>
      <c r="B969" s="7"/>
      <c r="C969" s="7"/>
      <c r="D969" s="7"/>
      <c r="E969" s="11">
        <v>967</v>
      </c>
      <c r="F969" s="8"/>
      <c r="G969" s="8"/>
      <c r="H969" s="9"/>
      <c r="I969" s="10"/>
      <c r="J969" s="9"/>
      <c r="K969" s="10"/>
      <c r="L969" s="8"/>
      <c r="M969" s="8"/>
      <c r="N969" s="10"/>
      <c r="O969" s="10"/>
    </row>
    <row r="970" spans="1:15" ht="42.75" customHeight="1" x14ac:dyDescent="0.25">
      <c r="A970" s="7"/>
      <c r="B970" s="7"/>
      <c r="C970" s="7"/>
      <c r="D970" s="7"/>
      <c r="E970" s="11">
        <v>968</v>
      </c>
      <c r="F970" s="8"/>
      <c r="G970" s="8"/>
      <c r="H970" s="9"/>
      <c r="I970" s="10"/>
      <c r="J970" s="9"/>
      <c r="K970" s="10"/>
      <c r="L970" s="8"/>
      <c r="M970" s="8"/>
      <c r="N970" s="10"/>
      <c r="O970" s="10"/>
    </row>
    <row r="971" spans="1:15" ht="42.75" customHeight="1" x14ac:dyDescent="0.25">
      <c r="A971" s="7"/>
      <c r="B971" s="7"/>
      <c r="C971" s="7"/>
      <c r="D971" s="7"/>
      <c r="E971" s="11">
        <v>969</v>
      </c>
      <c r="F971" s="8"/>
      <c r="G971" s="8"/>
      <c r="H971" s="9"/>
      <c r="I971" s="10"/>
      <c r="J971" s="9"/>
      <c r="K971" s="10"/>
      <c r="L971" s="8"/>
      <c r="M971" s="8"/>
      <c r="N971" s="10"/>
      <c r="O971" s="10"/>
    </row>
    <row r="972" spans="1:15" ht="42.75" customHeight="1" x14ac:dyDescent="0.25">
      <c r="A972" s="7"/>
      <c r="B972" s="7"/>
      <c r="C972" s="7"/>
      <c r="D972" s="7"/>
      <c r="E972" s="11">
        <v>970</v>
      </c>
      <c r="F972" s="8"/>
      <c r="G972" s="8"/>
      <c r="H972" s="9"/>
      <c r="I972" s="10"/>
      <c r="J972" s="9"/>
      <c r="K972" s="10"/>
      <c r="L972" s="8"/>
      <c r="M972" s="8"/>
      <c r="N972" s="10"/>
      <c r="O972" s="10"/>
    </row>
    <row r="973" spans="1:15" ht="42.75" customHeight="1" x14ac:dyDescent="0.25">
      <c r="A973" s="7"/>
      <c r="B973" s="7"/>
      <c r="C973" s="7"/>
      <c r="D973" s="7"/>
      <c r="E973" s="11">
        <v>971</v>
      </c>
      <c r="F973" s="8"/>
      <c r="G973" s="8"/>
      <c r="H973" s="9"/>
      <c r="I973" s="10"/>
      <c r="J973" s="9"/>
      <c r="K973" s="10"/>
      <c r="L973" s="8"/>
      <c r="M973" s="8"/>
      <c r="N973" s="10"/>
      <c r="O973" s="10"/>
    </row>
    <row r="974" spans="1:15" ht="42.75" customHeight="1" x14ac:dyDescent="0.25">
      <c r="A974" s="7"/>
      <c r="B974" s="7"/>
      <c r="C974" s="7"/>
      <c r="D974" s="7"/>
      <c r="E974" s="11">
        <v>972</v>
      </c>
      <c r="F974" s="8"/>
      <c r="G974" s="8"/>
      <c r="H974" s="9"/>
      <c r="I974" s="10"/>
      <c r="J974" s="9"/>
      <c r="K974" s="10"/>
      <c r="L974" s="8"/>
      <c r="M974" s="8"/>
      <c r="N974" s="10"/>
      <c r="O974" s="10"/>
    </row>
    <row r="975" spans="1:15" ht="42.75" customHeight="1" x14ac:dyDescent="0.25">
      <c r="A975" s="7"/>
      <c r="B975" s="7"/>
      <c r="C975" s="7"/>
      <c r="D975" s="7"/>
      <c r="E975" s="11">
        <v>973</v>
      </c>
      <c r="F975" s="8"/>
      <c r="G975" s="8"/>
      <c r="H975" s="9"/>
      <c r="I975" s="10"/>
      <c r="J975" s="9"/>
      <c r="K975" s="10"/>
      <c r="L975" s="8"/>
      <c r="M975" s="8"/>
      <c r="N975" s="10"/>
      <c r="O975" s="10"/>
    </row>
    <row r="976" spans="1:15" ht="42.75" customHeight="1" x14ac:dyDescent="0.25">
      <c r="A976" s="7"/>
      <c r="B976" s="7"/>
      <c r="C976" s="7"/>
      <c r="D976" s="7"/>
      <c r="E976" s="11">
        <v>974</v>
      </c>
      <c r="F976" s="8"/>
      <c r="G976" s="8"/>
      <c r="H976" s="9"/>
      <c r="I976" s="10"/>
      <c r="J976" s="9"/>
      <c r="K976" s="10"/>
      <c r="L976" s="8"/>
      <c r="M976" s="8"/>
      <c r="N976" s="10"/>
      <c r="O976" s="10"/>
    </row>
    <row r="977" spans="1:15" ht="42.75" customHeight="1" x14ac:dyDescent="0.25">
      <c r="A977" s="7"/>
      <c r="B977" s="7"/>
      <c r="C977" s="7"/>
      <c r="D977" s="7"/>
      <c r="E977" s="11">
        <v>975</v>
      </c>
      <c r="F977" s="8"/>
      <c r="G977" s="8"/>
      <c r="H977" s="9"/>
      <c r="I977" s="10"/>
      <c r="J977" s="9"/>
      <c r="K977" s="10"/>
      <c r="L977" s="8"/>
      <c r="M977" s="8"/>
      <c r="N977" s="10"/>
      <c r="O977" s="10"/>
    </row>
    <row r="978" spans="1:15" ht="42.75" customHeight="1" x14ac:dyDescent="0.25">
      <c r="A978" s="7"/>
      <c r="B978" s="7"/>
      <c r="C978" s="7"/>
      <c r="D978" s="7"/>
      <c r="E978" s="11">
        <v>976</v>
      </c>
      <c r="F978" s="8"/>
      <c r="G978" s="8"/>
      <c r="H978" s="9"/>
      <c r="I978" s="10"/>
      <c r="J978" s="9"/>
      <c r="K978" s="10"/>
      <c r="L978" s="8"/>
      <c r="M978" s="8"/>
      <c r="N978" s="10"/>
      <c r="O978" s="10"/>
    </row>
    <row r="979" spans="1:15" ht="42.75" customHeight="1" x14ac:dyDescent="0.25">
      <c r="A979" s="7"/>
      <c r="B979" s="7"/>
      <c r="C979" s="7"/>
      <c r="D979" s="7"/>
      <c r="E979" s="11">
        <v>977</v>
      </c>
      <c r="F979" s="8"/>
      <c r="G979" s="8"/>
      <c r="H979" s="9"/>
      <c r="I979" s="10"/>
      <c r="J979" s="9"/>
      <c r="K979" s="10"/>
      <c r="L979" s="8"/>
      <c r="M979" s="8"/>
      <c r="N979" s="10"/>
      <c r="O979" s="10"/>
    </row>
    <row r="980" spans="1:15" ht="42.75" customHeight="1" x14ac:dyDescent="0.25">
      <c r="A980" s="7"/>
      <c r="B980" s="7"/>
      <c r="C980" s="7"/>
      <c r="D980" s="7"/>
      <c r="E980" s="11">
        <v>978</v>
      </c>
      <c r="F980" s="8"/>
      <c r="G980" s="8"/>
      <c r="H980" s="9"/>
      <c r="I980" s="10"/>
      <c r="J980" s="9"/>
      <c r="K980" s="10"/>
      <c r="L980" s="8"/>
      <c r="M980" s="8"/>
      <c r="N980" s="10"/>
      <c r="O980" s="10"/>
    </row>
    <row r="981" spans="1:15" ht="42.75" customHeight="1" x14ac:dyDescent="0.25">
      <c r="A981" s="7"/>
      <c r="B981" s="7"/>
      <c r="C981" s="7"/>
      <c r="D981" s="7"/>
      <c r="E981" s="11">
        <v>979</v>
      </c>
      <c r="F981" s="8"/>
      <c r="G981" s="8"/>
      <c r="H981" s="9"/>
      <c r="I981" s="10"/>
      <c r="J981" s="9"/>
      <c r="K981" s="10"/>
      <c r="L981" s="8"/>
      <c r="M981" s="8"/>
      <c r="N981" s="10"/>
      <c r="O981" s="10"/>
    </row>
    <row r="982" spans="1:15" ht="42.75" customHeight="1" x14ac:dyDescent="0.25">
      <c r="A982" s="7"/>
      <c r="B982" s="7"/>
      <c r="C982" s="7"/>
      <c r="D982" s="7"/>
      <c r="E982" s="11">
        <v>980</v>
      </c>
      <c r="F982" s="8"/>
      <c r="G982" s="8"/>
      <c r="H982" s="9"/>
      <c r="I982" s="10"/>
      <c r="J982" s="9"/>
      <c r="K982" s="10"/>
      <c r="L982" s="8"/>
      <c r="M982" s="8"/>
      <c r="N982" s="10"/>
      <c r="O982" s="10"/>
    </row>
  </sheetData>
  <sheetProtection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A12"/>
  <sheetViews>
    <sheetView view="pageLayout" topLeftCell="A3" zoomScaleNormal="100" workbookViewId="0">
      <selection activeCell="E2" sqref="E2"/>
    </sheetView>
  </sheetViews>
  <sheetFormatPr defaultColWidth="0" defaultRowHeight="15" customHeight="1" zeroHeight="1" x14ac:dyDescent="0.25"/>
  <cols>
    <col min="1" max="1" width="66.5703125" style="148" customWidth="1"/>
    <col min="2" max="2" width="22.7109375" style="148" customWidth="1"/>
    <col min="3" max="3" width="35.7109375" style="39" customWidth="1"/>
    <col min="4" max="16" width="4.42578125" style="39" hidden="1" customWidth="1"/>
    <col min="17" max="18" width="4.42578125" style="147" hidden="1" customWidth="1"/>
    <col min="19" max="16384" width="4.42578125" style="39" hidden="1"/>
  </cols>
  <sheetData>
    <row r="1" spans="1:27" ht="29.25" customHeight="1" thickBot="1" x14ac:dyDescent="0.3">
      <c r="A1" s="249" t="s">
        <v>713</v>
      </c>
      <c r="B1" s="190"/>
      <c r="C1" s="72" t="s">
        <v>599</v>
      </c>
      <c r="AA1" s="39" t="str">
        <f>C2</f>
        <v>Credit</v>
      </c>
    </row>
    <row r="2" spans="1:27" ht="30.75" customHeight="1" thickBot="1" x14ac:dyDescent="0.3">
      <c r="A2" s="257" t="s">
        <v>601</v>
      </c>
      <c r="B2" s="248"/>
      <c r="C2" s="86" t="s">
        <v>17</v>
      </c>
      <c r="R2" s="42" t="str">
        <f t="shared" ref="R2:R7" si="0">A2</f>
        <v>Risk Type  - The Risk Type from the SHUSA ERM Risk Taxonomy</v>
      </c>
    </row>
    <row r="3" spans="1:27" ht="24" customHeight="1" thickBot="1" x14ac:dyDescent="0.3">
      <c r="A3" s="249" t="s">
        <v>602</v>
      </c>
      <c r="B3" s="190"/>
      <c r="C3" s="69" t="s">
        <v>64</v>
      </c>
      <c r="R3" s="42" t="str">
        <f t="shared" si="0"/>
        <v>Risk Sub Type  - The Risk Sub-Category from the SHUSA ERM Risk Taxonomy</v>
      </c>
    </row>
    <row r="4" spans="1:27" ht="31.5" customHeight="1" thickBot="1" x14ac:dyDescent="0.3">
      <c r="A4" s="249" t="s">
        <v>603</v>
      </c>
      <c r="B4" s="190"/>
      <c r="C4" s="72" t="s">
        <v>600</v>
      </c>
      <c r="R4" s="42" t="str">
        <f t="shared" si="0"/>
        <v>Risk Name - The name of the risk which helps define it and differentiate it from other risks in other Business Lines with a similar Risk Category</v>
      </c>
    </row>
    <row r="5" spans="1:27" ht="39" customHeight="1" thickBot="1" x14ac:dyDescent="0.3">
      <c r="A5" s="249" t="s">
        <v>604</v>
      </c>
      <c r="B5" s="190"/>
      <c r="C5" s="70" t="s">
        <v>80</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605</v>
      </c>
      <c r="B6" s="190"/>
      <c r="C6" s="69" t="s">
        <v>234</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606</v>
      </c>
      <c r="B7" s="248"/>
      <c r="C7" s="69" t="s">
        <v>235</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607</v>
      </c>
      <c r="B8" s="252"/>
      <c r="C8" s="253"/>
      <c r="Q8" s="147"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26.75" customHeight="1" thickBot="1" x14ac:dyDescent="0.3">
      <c r="A9" s="254" t="s">
        <v>710</v>
      </c>
      <c r="B9" s="255"/>
      <c r="C9" s="256"/>
      <c r="Q9" s="147" t="str">
        <f>A9</f>
        <v>Pricing and decisioning is managed at SCUSA within Decision Science and is executed systemically (fully automated). Many controls and limits have been established to ensure accuracy in pricing and decisioning including a risk-based, cost-plus approach to base pricing to ensure profitability per our Pricing Policy. These values are then adjusted based on market attributes such as FICO and deal structure to ensure competitiveness. Return on Asset (ROA) targets are established and monitoring is performed to ensure profitability goals are met. Capture targets are also established and monitored to ensure market competitiveness. All pricing changes are governed by the Pricing Committee and Pricing Policy. The Credit Risk Department is the primary second line of defense and internal audit is the third line of defense. Roles and Responsibilities are defined in the Pricing Policy. Pricing Procedures further define the pricing process and controls.</v>
      </c>
    </row>
    <row r="10" spans="1:27" ht="124.5" customHeight="1" thickBot="1" x14ac:dyDescent="0.3">
      <c r="A10" s="41" t="s">
        <v>608</v>
      </c>
      <c r="B10" s="244" t="s">
        <v>711</v>
      </c>
      <c r="C10" s="250"/>
    </row>
    <row r="11" spans="1:27" ht="31.5" customHeight="1" thickBot="1" x14ac:dyDescent="0.3">
      <c r="A11" s="251" t="s">
        <v>609</v>
      </c>
      <c r="B11" s="252"/>
      <c r="C11" s="253"/>
      <c r="Q11" s="147" t="str">
        <f>A11</f>
        <v>Risk Narrative - The risk narrative should be an executive level write up touching on the nature of the risk, the expected impact, the worst one in ten year impact, the risk drivers and the adequacy of the control suite.</v>
      </c>
    </row>
    <row r="12" spans="1:27" ht="141" customHeight="1" thickBot="1" x14ac:dyDescent="0.3">
      <c r="A12" s="244" t="s">
        <v>712</v>
      </c>
      <c r="B12" s="245"/>
      <c r="C12" s="246"/>
      <c r="Q12" s="147" t="str">
        <f>A12</f>
        <v>As an auto finance company, SCUSA offers financial products to consumers (loan, lease, lines of credit). These products are priced at the transaction level to account for expected costs and returns. Since the majority of the pricing components (expenses, cost of funds and returns) are known values at the time of origination, the majority of the pricing risk is derived from incorrect loss forecasts. Market conditions, competitive pressure, pricing, changes in underwriting parameters, or pricing deterioration may not capture opportunities or could result in increased defaults leading to negative profitability or lost business. The auto finance competitive environment is currently stable, however as competition increases, we are could experience reduced capture rates and / or actual losses higher than expected. 
SCUSA mitigates the exposure by maintaining a disciplined approach to pricing and decisioning.</v>
      </c>
    </row>
  </sheetData>
  <sheetProtection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2">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[10]Sheet5!#REF!</xm:f>
          </x14:formula1>
          <xm:sqref>C2</xm:sqref>
        </x14:dataValidation>
        <x14:dataValidation type="list" allowBlank="1" showInputMessage="1" showErrorMessage="1">
          <x14:formula1>
            <xm:f>'[10]Appendix - Risks'!#REF!</xm:f>
          </x14:formula1>
          <xm:sqref>C3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A12"/>
  <sheetViews>
    <sheetView workbookViewId="0">
      <selection activeCell="E2" sqref="E2"/>
    </sheetView>
  </sheetViews>
  <sheetFormatPr defaultColWidth="0" defaultRowHeight="15" zeroHeight="1" x14ac:dyDescent="0.25"/>
  <cols>
    <col min="1" max="1" width="66.5703125" style="150" customWidth="1"/>
    <col min="2" max="2" width="22.7109375" style="150" customWidth="1"/>
    <col min="3" max="3" width="35.7109375" style="39" customWidth="1"/>
    <col min="4" max="16" width="4.42578125" style="39" hidden="1" customWidth="1"/>
    <col min="17" max="18" width="4.42578125" style="149" hidden="1" customWidth="1"/>
    <col min="19" max="16384" width="4.42578125" style="39" hidden="1"/>
  </cols>
  <sheetData>
    <row r="1" spans="1:27" ht="29.25" customHeight="1" thickBot="1" x14ac:dyDescent="0.3">
      <c r="A1" s="251" t="s">
        <v>647</v>
      </c>
      <c r="B1" s="190"/>
      <c r="C1" s="72" t="s">
        <v>614</v>
      </c>
      <c r="AA1" s="39" t="str">
        <f>C2</f>
        <v>Compliance</v>
      </c>
    </row>
    <row r="2" spans="1:27" ht="30.75" customHeight="1" thickBot="1" x14ac:dyDescent="0.3">
      <c r="A2" s="257" t="s">
        <v>255</v>
      </c>
      <c r="B2" s="248"/>
      <c r="C2" s="86" t="s">
        <v>11</v>
      </c>
      <c r="R2" s="42" t="str">
        <f t="shared" ref="R2:R7" si="0">A2</f>
        <v>Risk Type  - The Risk Type from the SHUSA ERM Risk Taxonomy</v>
      </c>
    </row>
    <row r="3" spans="1:27" ht="24" customHeight="1" thickBot="1" x14ac:dyDescent="0.3">
      <c r="A3" s="249" t="s">
        <v>251</v>
      </c>
      <c r="B3" s="190"/>
      <c r="C3" s="69" t="s">
        <v>435</v>
      </c>
      <c r="R3" s="42" t="str">
        <f t="shared" si="0"/>
        <v>Risk Sub Type  - The Risk Sub-Category from the SHUSA ERM Risk Taxonomy</v>
      </c>
    </row>
    <row r="4" spans="1:27" ht="31.5" customHeight="1" thickBot="1" x14ac:dyDescent="0.3">
      <c r="A4" s="249" t="s">
        <v>252</v>
      </c>
      <c r="B4" s="190"/>
      <c r="C4" s="72" t="s">
        <v>613</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49"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2.5" customHeight="1" thickBot="1" x14ac:dyDescent="0.3">
      <c r="A9" s="254" t="s">
        <v>714</v>
      </c>
      <c r="B9" s="255"/>
      <c r="C9" s="256"/>
      <c r="Q9" s="149" t="str">
        <f>A9</f>
        <v>Systemic controls include potential consumer database scrubs through OFAC, customer scrubs include BK and SCRA to inform SCUSA of customers who have filed BK or are in the military.  From a dialing perspective, imbedded controls limit contact with consumers outside of allowed calling hours and frequency.  SCUSA utilizes voice analytic software to assist in monitoring potential compliance and regulatory issues along with a QA department that manually listens to random phone calls of all call center associates.  Our QC department conducts approximately 300 tests monthly including BK, modifications, extensions, dealer mark ups, calling times, cease and desist, and letter compliance.</v>
      </c>
    </row>
    <row r="10" spans="1:27" ht="204.75" customHeight="1" thickBot="1" x14ac:dyDescent="0.3">
      <c r="A10" s="41" t="s">
        <v>484</v>
      </c>
      <c r="B10" s="244" t="s">
        <v>611</v>
      </c>
      <c r="C10" s="250"/>
    </row>
    <row r="11" spans="1:27" ht="31.5" customHeight="1" thickBot="1" x14ac:dyDescent="0.3">
      <c r="A11" s="251" t="s">
        <v>254</v>
      </c>
      <c r="B11" s="252"/>
      <c r="C11" s="253"/>
      <c r="Q11" s="149"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610</v>
      </c>
      <c r="B12" s="245"/>
      <c r="C12" s="246"/>
      <c r="Q12" s="149" t="str">
        <f>A12</f>
        <v xml:space="preserve">Noncompliance with Consumer Regulations  may result in regulatory violations, reputational exposure, and financial impacts, including potential fines / penalties.
SCUSA operates in a highly scrutinized financial industry that must comply with state and federal laws.  With exposure to consumer credit information, SCUSA has oversight from multiple regulatory agencies including OCC, CFPB, Fed, and individual states. SCUSA must also comply with applicable regulatory standards such as OFAC, BSA, AML, Fair Lending, FCRA, SCRA, FDCPA, and TCPA.  While every effort is made to systemically control any potential violations, due to the manual nature of the business and volume impacts residual risks still exists.
</v>
      </c>
    </row>
  </sheetData>
  <mergeCells count="12">
    <mergeCell ref="B10:C10"/>
    <mergeCell ref="A11:C11"/>
    <mergeCell ref="A12:C12"/>
    <mergeCell ref="A1:B1"/>
    <mergeCell ref="A2:B2"/>
    <mergeCell ref="A3:B3"/>
    <mergeCell ref="A4:B4"/>
    <mergeCell ref="A5:B5"/>
    <mergeCell ref="A6:B6"/>
    <mergeCell ref="A7:B7"/>
    <mergeCell ref="A8:C8"/>
    <mergeCell ref="A9:C9"/>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[5]Sheet5!#REF!</xm:f>
          </x14:formula1>
          <xm:sqref>C2</xm:sqref>
        </x14:dataValidation>
        <x14:dataValidation type="list" allowBlank="1" showInputMessage="1" showErrorMessage="1">
          <x14:formula1>
            <xm:f>'[5]Appendix - Risks'!#REF!</xm:f>
          </x14:formula1>
          <xm:sqref>C3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pageSetUpPr fitToPage="1"/>
  </sheetPr>
  <dimension ref="A1:AA12"/>
  <sheetViews>
    <sheetView view="pageLayout" topLeftCell="A9" zoomScaleNormal="100" workbookViewId="0">
      <selection activeCell="E2" sqref="E2"/>
    </sheetView>
  </sheetViews>
  <sheetFormatPr defaultColWidth="0" defaultRowHeight="15" customHeight="1" zeroHeight="1" x14ac:dyDescent="0.25"/>
  <cols>
    <col min="1" max="1" width="66.5703125" style="152" customWidth="1"/>
    <col min="2" max="2" width="22.7109375" style="152" customWidth="1"/>
    <col min="3" max="3" width="35.7109375" style="39" customWidth="1"/>
    <col min="4" max="16" width="4.42578125" style="39" hidden="1" customWidth="1"/>
    <col min="17" max="18" width="4.42578125" style="151" hidden="1" customWidth="1"/>
    <col min="19" max="16384" width="4.42578125" style="39" hidden="1"/>
  </cols>
  <sheetData>
    <row r="1" spans="1:27" ht="29.25" customHeight="1" thickBot="1" x14ac:dyDescent="0.3">
      <c r="A1" s="251" t="s">
        <v>647</v>
      </c>
      <c r="B1" s="190"/>
      <c r="C1" s="72" t="s">
        <v>615</v>
      </c>
      <c r="AA1" s="39" t="str">
        <f>C2</f>
        <v>Operational</v>
      </c>
    </row>
    <row r="2" spans="1:27" ht="30.75" customHeight="1" thickBot="1" x14ac:dyDescent="0.3">
      <c r="A2" s="257" t="s">
        <v>255</v>
      </c>
      <c r="B2" s="248"/>
      <c r="C2" s="86" t="s">
        <v>31</v>
      </c>
      <c r="R2" s="42" t="str">
        <f t="shared" ref="R2:R7" si="0">A2</f>
        <v>Risk Type  - The Risk Type from the SHUSA ERM Risk Taxonomy</v>
      </c>
    </row>
    <row r="3" spans="1:27" ht="24" customHeight="1" thickBot="1" x14ac:dyDescent="0.3">
      <c r="A3" s="249" t="s">
        <v>251</v>
      </c>
      <c r="B3" s="190"/>
      <c r="C3" s="69" t="s">
        <v>399</v>
      </c>
      <c r="R3" s="42" t="str">
        <f t="shared" si="0"/>
        <v>Risk Sub Type  - The Risk Sub-Category from the SHUSA ERM Risk Taxonomy</v>
      </c>
    </row>
    <row r="4" spans="1:27" ht="31.5" customHeight="1" thickBot="1" x14ac:dyDescent="0.3">
      <c r="A4" s="249" t="s">
        <v>252</v>
      </c>
      <c r="B4" s="190"/>
      <c r="C4" s="72" t="s">
        <v>616</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t="s">
        <v>80</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8.75" customHeight="1" thickBot="1" x14ac:dyDescent="0.3">
      <c r="A9" s="254" t="s">
        <v>715</v>
      </c>
      <c r="B9" s="255"/>
      <c r="C9" s="256"/>
      <c r="Q9" s="151" t="str">
        <f>A9</f>
        <v>Lexis Nexis, Bureau alerts, quality control reviews, Dealer Council, dealer receivables collection process to recover $'s, front line sales force to alert of any potential issues, verification processes in funding department.</v>
      </c>
    </row>
    <row r="10" spans="1:27" ht="124.5" customHeight="1" thickBot="1" x14ac:dyDescent="0.3">
      <c r="A10" s="41" t="s">
        <v>484</v>
      </c>
      <c r="B10" s="244" t="s">
        <v>716</v>
      </c>
      <c r="C10" s="250"/>
    </row>
    <row r="11" spans="1:27" ht="31.5" customHeight="1" thickBot="1" x14ac:dyDescent="0.3">
      <c r="A11" s="251" t="s">
        <v>254</v>
      </c>
      <c r="B11" s="252"/>
      <c r="C11" s="253"/>
      <c r="Q11" s="151" t="str">
        <f>A11</f>
        <v>Risk Narrative - The risk narrative should be an executive level write up touching on the nature of the risk, the expected impact, the worst one in ten year impact, the risk drivers and the adequacy of the control suite.</v>
      </c>
    </row>
    <row r="12" spans="1:27" ht="141" customHeight="1" thickBot="1" x14ac:dyDescent="0.3">
      <c r="A12" s="244" t="s">
        <v>717</v>
      </c>
      <c r="B12" s="245"/>
      <c r="C12" s="246"/>
      <c r="Q12" s="151" t="str">
        <f>A12</f>
        <v xml:space="preserve">As an auto finance company, SCUSA is exposed to potential fraud losses from a variety of sources, such as dealer fraud, misrepresentation and consumer fraud.  Powerbooking, misrepresentation of the application by dealer or consumer, identity theft, and forgery are inherent in the auto finance business. Over the past year, SCUSA has become aware of several fraud rings associated with dealerships, and has taken action against dealerships to cut-off future business, increase stipulation requirements on applications, and claw back funds.    
SCUSA mitigates the exposure by running applications through systematic and manual checks to ensure that we verify the identity of the consumer, quality control(1st line) reviews of applicant information and process to identify missing equipment.  All the dealer information is reviewed monthly in a Dealer Council to ensure that SCUSA is taking appropriate action.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[6]Sheet5!#REF!</xm:f>
          </x14:formula1>
          <xm:sqref>C2</xm:sqref>
        </x14:dataValidation>
        <x14:dataValidation type="list" allowBlank="1" showInputMessage="1" showErrorMessage="1">
          <x14:formula1>
            <xm:f>'[6]Appendix - Risks'!#REF!</xm:f>
          </x14:formula1>
          <xm:sqref>C3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pageSetUpPr fitToPage="1"/>
  </sheetPr>
  <dimension ref="A1:AA12"/>
  <sheetViews>
    <sheetView view="pageLayout" zoomScaleNormal="100" workbookViewId="0">
      <selection activeCell="E2" sqref="E2"/>
    </sheetView>
  </sheetViews>
  <sheetFormatPr defaultColWidth="0" defaultRowHeight="15" customHeight="1" zeroHeight="1" x14ac:dyDescent="0.25"/>
  <cols>
    <col min="1" max="1" width="66.5703125" style="152" customWidth="1"/>
    <col min="2" max="2" width="22.7109375" style="152" customWidth="1"/>
    <col min="3" max="3" width="35.7109375" style="39" customWidth="1"/>
    <col min="4" max="16" width="4.42578125" style="39" hidden="1" customWidth="1"/>
    <col min="17" max="18" width="4.42578125" style="151" hidden="1" customWidth="1"/>
    <col min="19" max="16384" width="4.42578125" style="39" hidden="1"/>
  </cols>
  <sheetData>
    <row r="1" spans="1:27" ht="29.25" customHeight="1" thickBot="1" x14ac:dyDescent="0.3">
      <c r="A1" s="251" t="s">
        <v>647</v>
      </c>
      <c r="B1" s="190"/>
      <c r="C1" s="72" t="s">
        <v>617</v>
      </c>
      <c r="AA1" s="39" t="str">
        <f>C2</f>
        <v>Compliance</v>
      </c>
    </row>
    <row r="2" spans="1:27" ht="30.75" customHeight="1" thickBot="1" x14ac:dyDescent="0.3">
      <c r="A2" s="257" t="s">
        <v>255</v>
      </c>
      <c r="B2" s="248"/>
      <c r="C2" s="86" t="s">
        <v>11</v>
      </c>
      <c r="R2" s="42" t="str">
        <f t="shared" ref="R2:R7" si="0">A2</f>
        <v>Risk Type  - The Risk Type from the SHUSA ERM Risk Taxonomy</v>
      </c>
    </row>
    <row r="3" spans="1:27" ht="24" customHeight="1" thickBot="1" x14ac:dyDescent="0.3">
      <c r="A3" s="249" t="s">
        <v>251</v>
      </c>
      <c r="B3" s="190"/>
      <c r="C3" s="69" t="s">
        <v>337</v>
      </c>
      <c r="R3" s="42" t="str">
        <f t="shared" si="0"/>
        <v>Risk Sub Type  - The Risk Sub-Category from the SHUSA ERM Risk Taxonomy</v>
      </c>
    </row>
    <row r="4" spans="1:27" ht="31.5" customHeight="1" thickBot="1" x14ac:dyDescent="0.3">
      <c r="A4" s="249" t="s">
        <v>252</v>
      </c>
      <c r="B4" s="190"/>
      <c r="C4" s="72" t="s">
        <v>618</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5" customHeight="1" thickBot="1" x14ac:dyDescent="0.3">
      <c r="A9" s="254" t="s">
        <v>619</v>
      </c>
      <c r="B9" s="255"/>
      <c r="C9" s="256"/>
      <c r="Q9" s="151" t="str">
        <f>A9</f>
        <v xml:space="preserve">SCUSA policy and procedures are designed and implemented to comply with regulatory requirements essential for preventing and detecting Fair Lending violations.  SCUSA has a 100% systemic loan approval process.    Compliance also completes quarterly fair lending reviews on originations and servicing.  A Fair Lending complaint review process is also in place.  A loan contract review process is in place to ensure compliance with applicable laws and disclosures.  </v>
      </c>
    </row>
    <row r="10" spans="1:27" ht="91.5" customHeight="1" thickBot="1" x14ac:dyDescent="0.3">
      <c r="A10" s="41" t="s">
        <v>484</v>
      </c>
      <c r="B10" s="244" t="s">
        <v>620</v>
      </c>
      <c r="C10" s="250"/>
    </row>
    <row r="11" spans="1:27" ht="31.5" customHeight="1" thickBot="1" x14ac:dyDescent="0.3">
      <c r="A11" s="251" t="s">
        <v>254</v>
      </c>
      <c r="B11" s="252"/>
      <c r="C11" s="253"/>
      <c r="Q11" s="151" t="str">
        <f>A11</f>
        <v>Risk Narrative - The risk narrative should be an executive level write up touching on the nature of the risk, the expected impact, the worst one in ten year impact, the risk drivers and the adequacy of the control suite.</v>
      </c>
    </row>
    <row r="12" spans="1:27" ht="212.25" customHeight="1" thickBot="1" x14ac:dyDescent="0.3">
      <c r="A12" s="244" t="s">
        <v>726</v>
      </c>
      <c r="B12" s="245"/>
      <c r="C12" s="246"/>
      <c r="Q12" s="151" t="str">
        <f>A12</f>
        <v xml:space="preserve">Noncompliance with Fair Lending may result in regulatory compliance violations, reputational exposure, and financial impacts, including potential fines / penalties.
Failure to comply with Fair Lending Laws and implementing regulations can have serious consequences. Violations involve regulatory enforcement actions, civil and criminal prosecution, and monetary fines and penalties. The severity of the penalty depends on whether the violation is willful or negligent.  Civil money penalties associated with fair lending violations have ranged from thousands into the hundreds of millions.  SCUSA has not been fined for a violation; however, the risk exist especially with the CFPB around dealer markup which most likely will impact SCUSA.  Ally and Honda have both have  multimillion $'s settlements with the CFPB around dealer markup.  In addition, a comprehensive customer Fair Lending analysis program is in place in the compliance group to identify any issues.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[7]Sheet5!#REF!</xm:f>
          </x14:formula1>
          <xm:sqref>C2</xm:sqref>
        </x14:dataValidation>
        <x14:dataValidation type="list" allowBlank="1" showInputMessage="1" showErrorMessage="1">
          <x14:formula1>
            <xm:f>'[7]Appendix - Risks'!#REF!</xm:f>
          </x14:formula1>
          <xm:sqref>C3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AA12"/>
  <sheetViews>
    <sheetView view="pageLayout" topLeftCell="A9" zoomScaleNormal="100" workbookViewId="0">
      <selection activeCell="E2" sqref="E2"/>
    </sheetView>
  </sheetViews>
  <sheetFormatPr defaultColWidth="0" defaultRowHeight="15" zeroHeight="1" x14ac:dyDescent="0.25"/>
  <cols>
    <col min="1" max="1" width="66.5703125" style="152" customWidth="1"/>
    <col min="2" max="2" width="22.7109375" style="152" customWidth="1"/>
    <col min="3" max="3" width="35.7109375" style="39" customWidth="1"/>
    <col min="4" max="16" width="4.42578125" style="39" hidden="1" customWidth="1"/>
    <col min="17" max="18" width="4.42578125" style="151" hidden="1" customWidth="1"/>
    <col min="19" max="16384" width="4.42578125" style="39" hidden="1"/>
  </cols>
  <sheetData>
    <row r="1" spans="1:27" ht="29.25" customHeight="1" thickBot="1" x14ac:dyDescent="0.3">
      <c r="A1" s="251" t="s">
        <v>647</v>
      </c>
      <c r="B1" s="190"/>
      <c r="C1" s="72" t="s">
        <v>614</v>
      </c>
      <c r="AA1" s="39" t="str">
        <f>C2</f>
        <v>Operational</v>
      </c>
    </row>
    <row r="2" spans="1:27" ht="30.75" customHeight="1" thickBot="1" x14ac:dyDescent="0.3">
      <c r="A2" s="257" t="s">
        <v>255</v>
      </c>
      <c r="B2" s="248"/>
      <c r="C2" s="86" t="s">
        <v>31</v>
      </c>
      <c r="R2" s="42" t="str">
        <f t="shared" ref="R2:R7" si="0">A2</f>
        <v>Risk Type  - The Risk Type from the SHUSA ERM Risk Taxonomy</v>
      </c>
    </row>
    <row r="3" spans="1:27" ht="24" customHeight="1" thickBot="1" x14ac:dyDescent="0.3">
      <c r="A3" s="249" t="s">
        <v>251</v>
      </c>
      <c r="B3" s="190"/>
      <c r="C3" s="69" t="s">
        <v>426</v>
      </c>
      <c r="R3" s="42" t="str">
        <f t="shared" si="0"/>
        <v>Risk Sub Type  - The Risk Sub-Category from the SHUSA ERM Risk Taxonomy</v>
      </c>
    </row>
    <row r="4" spans="1:27" ht="31.5" customHeight="1" thickBot="1" x14ac:dyDescent="0.3">
      <c r="A4" s="249" t="s">
        <v>252</v>
      </c>
      <c r="B4" s="190"/>
      <c r="C4" s="72" t="s">
        <v>641</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07" customHeight="1" thickBot="1" x14ac:dyDescent="0.3">
      <c r="A9" s="254" t="s">
        <v>640</v>
      </c>
      <c r="B9" s="255"/>
      <c r="C9" s="256"/>
      <c r="Q9" s="151" t="str">
        <f>A9</f>
        <v>Model Year Input files:
High level validations done to insure files will not fail due to invalid data by Analyst processing the files
Overview by Senior Manager or above to confirm file dates, names and similar high level overview is done before files are processed
Includes: Verifying all Money Factor rates above 0%, Business Center numbers are correct per tab/file, no hidden tabs are present, lease &amp; retail start dates are consistent and accurate
Risk validation is completed by Credit Risk group prior to final load into production
Claims:
Daily Reporting to review claims not created
Daily Reporting for Vehicle Identification numbers not in inventory (can cause lack of claim)
Review of rejected claims or unprocessed claims; confirming validity of claim and providing documentation to Fiat Chrysler Automobiles for payment</v>
      </c>
    </row>
    <row r="10" spans="1:27" ht="165.75" customHeight="1" thickBot="1" x14ac:dyDescent="0.3">
      <c r="A10" s="41" t="s">
        <v>484</v>
      </c>
      <c r="B10" s="244" t="s">
        <v>718</v>
      </c>
      <c r="C10" s="250"/>
    </row>
    <row r="11" spans="1:27" ht="31.5" customHeight="1" thickBot="1" x14ac:dyDescent="0.3">
      <c r="A11" s="251" t="s">
        <v>254</v>
      </c>
      <c r="B11" s="252"/>
      <c r="C11" s="253"/>
      <c r="Q11" s="151" t="str">
        <f>A11</f>
        <v>Risk Narrative - The risk narrative should be an executive level write up touching on the nature of the risk, the expected impact, the worst one in ten year impact, the risk drivers and the adequacy of the control suite.</v>
      </c>
    </row>
    <row r="12" spans="1:27" ht="117.75" customHeight="1" thickBot="1" x14ac:dyDescent="0.3">
      <c r="A12" s="244" t="s">
        <v>639</v>
      </c>
      <c r="B12" s="245"/>
      <c r="C12" s="246"/>
      <c r="Q12" s="151" t="str">
        <f>A12</f>
        <v>Fiat Chrysler Automobiles (FCA) provides subvention to Chrysler Capital for new vehicle sales and leases. This is based on incentivized rates they set at a Year/Make/Model/Trim level in each business center (BC). Based on the penetration of incentivized lease &amp; retail sales, this accounts for a significant amount of revenue for the company (100MM+ a month).  As such, various aspects, outlined above, are validated prior to processing. 
Once applications are funded, claims for the subvention dollars are created, based on the incentivized rate.  These claims are transmitted to FCA twice a month.  Any applications that do not have claims are reviewed to ensure there was not a processing error.  Any rejected payments from FCA are reviewed to ensure the claims are valid.  If they are valid, the rejections are disputed with supporting documentation (i.e. contract date verification, address information, etc).</v>
      </c>
    </row>
  </sheetData>
  <sheetProtection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[8]Sheet5!#REF!</xm:f>
          </x14:formula1>
          <xm:sqref>C2</xm:sqref>
        </x14:dataValidation>
        <x14:dataValidation type="list" allowBlank="1" showInputMessage="1" showErrorMessage="1">
          <x14:formula1>
            <xm:f>'[8]Appendix - Risks'!#REF!</xm:f>
          </x14:formula1>
          <xm:sqref>C3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Normal="100" workbookViewId="0">
      <selection activeCell="E2" sqref="E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t="s">
        <v>621</v>
      </c>
      <c r="Q1" s="80"/>
      <c r="R1" s="80"/>
      <c r="AA1" s="39" t="str">
        <f>C2</f>
        <v xml:space="preserve">Strategic </v>
      </c>
    </row>
    <row r="2" spans="1:27" ht="30.75" customHeight="1" thickBot="1" x14ac:dyDescent="0.3">
      <c r="A2" s="257" t="s">
        <v>255</v>
      </c>
      <c r="B2" s="248"/>
      <c r="C2" s="86" t="s">
        <v>20</v>
      </c>
      <c r="R2" s="42" t="str">
        <f t="shared" ref="R2:R7" si="0">A2</f>
        <v>Risk Type  - The Risk Type from the SHUSA ERM Risk Taxonomy</v>
      </c>
    </row>
    <row r="3" spans="1:27" ht="24" customHeight="1" thickBot="1" x14ac:dyDescent="0.3">
      <c r="A3" s="249" t="s">
        <v>251</v>
      </c>
      <c r="B3" s="190"/>
      <c r="C3" s="69" t="s">
        <v>222</v>
      </c>
      <c r="R3" s="42" t="str">
        <f t="shared" si="0"/>
        <v>Risk Sub Type  - The Risk Sub-Category from the SHUSA ERM Risk Taxonomy</v>
      </c>
    </row>
    <row r="4" spans="1:27" ht="31.5" customHeight="1" thickBot="1" x14ac:dyDescent="0.3">
      <c r="A4" s="249" t="s">
        <v>252</v>
      </c>
      <c r="B4" s="190"/>
      <c r="C4" s="72" t="s">
        <v>686</v>
      </c>
      <c r="R4" s="42" t="str">
        <f t="shared" si="0"/>
        <v>Risk Name - The name of the risk which helps define it and differentiate it from other risks in other Business Lines with a similar Risk Category</v>
      </c>
    </row>
    <row r="5" spans="1:27" ht="27"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2" customHeight="1" thickBot="1" x14ac:dyDescent="0.3">
      <c r="A9" s="254" t="s">
        <v>687</v>
      </c>
      <c r="B9" s="255"/>
      <c r="C9" s="256"/>
      <c r="Q9" s="38" t="str">
        <f>A9</f>
        <v xml:space="preserve">SCUSA is continuously evaluating the effectiveness of committee and meeting content, frequency, duration, and attendees.  </v>
      </c>
    </row>
    <row r="10" spans="1:27" ht="87.75" customHeight="1" thickBot="1" x14ac:dyDescent="0.3">
      <c r="A10" s="41" t="s">
        <v>485</v>
      </c>
      <c r="B10" s="244" t="s">
        <v>688</v>
      </c>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200.25" customHeight="1" thickBot="1" x14ac:dyDescent="0.3">
      <c r="A12" s="244" t="s">
        <v>689</v>
      </c>
      <c r="B12" s="245"/>
      <c r="C12" s="246"/>
      <c r="Q12" s="38" t="str">
        <f>A12</f>
        <v xml:space="preserve">Competing time commitments with key management personnel may make it difficult to apply both appropriate focus on running the business and attend / digest governance committee meeting materials, which could result in poor strategic and tactical decisions, potentially resulting in financial loss, or risk of errors or misrepresentation in committee material.
Historically, SCUSA’s culture was largely entrepreneurially rooted, which meant its executive management team was heavily involved in day-to-day operations and associates were focused on project completion, speed to market and moving from one opportunity to the next – much like a start-up company. In addition, this environment allowed SCUSA to quickly execute and implement strategy changes.
As SCUSA grew into its next phase as a public company, so did its need to improve internal/external communications, as well as analyzing and documenting strategy changes prior to execution. While these best practices are imperative for any large public company, they also introduce the risk of “paralysis by analysis."  The perceived need to conduct frequent “meetings,” if pervasive, can choke the innovation out of a company. What’s more, excessive time spent in meetings can cause executive management to become detached from the operations, which frequently leads to financial loss and missed opportunities.
</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pageSetUpPr fitToPage="1"/>
  </sheetPr>
  <dimension ref="A1:AA12"/>
  <sheetViews>
    <sheetView view="pageLayout" topLeftCell="A9" zoomScaleNormal="100" workbookViewId="0">
      <selection activeCell="E2" sqref="E2"/>
    </sheetView>
  </sheetViews>
  <sheetFormatPr defaultColWidth="0" defaultRowHeight="225" customHeight="1" x14ac:dyDescent="0.25"/>
  <cols>
    <col min="1" max="1" width="66.5703125" style="152" customWidth="1"/>
    <col min="2" max="2" width="22.7109375" style="152" customWidth="1"/>
    <col min="3" max="3" width="35.7109375" style="39" customWidth="1"/>
    <col min="4" max="16" width="4.42578125" style="39" hidden="1" customWidth="1"/>
    <col min="17" max="18" width="4.42578125" style="151" hidden="1" customWidth="1"/>
    <col min="19" max="16384" width="4.42578125" style="39" hidden="1"/>
  </cols>
  <sheetData>
    <row r="1" spans="1:27" ht="29.25" customHeight="1" thickBot="1" x14ac:dyDescent="0.3">
      <c r="A1" s="251" t="s">
        <v>647</v>
      </c>
      <c r="B1" s="190"/>
      <c r="C1" s="72" t="s">
        <v>621</v>
      </c>
      <c r="AA1" s="39" t="str">
        <f>C2</f>
        <v>Compliance</v>
      </c>
    </row>
    <row r="2" spans="1:27" ht="30.75" customHeight="1" thickBot="1" x14ac:dyDescent="0.3">
      <c r="A2" s="257" t="s">
        <v>255</v>
      </c>
      <c r="B2" s="248"/>
      <c r="C2" s="86" t="s">
        <v>11</v>
      </c>
      <c r="R2" s="42" t="str">
        <f t="shared" ref="R2:R7" si="0">A2</f>
        <v>Risk Type  - The Risk Type from the SHUSA ERM Risk Taxonomy</v>
      </c>
    </row>
    <row r="3" spans="1:27" ht="24" customHeight="1" thickBot="1" x14ac:dyDescent="0.3">
      <c r="A3" s="249" t="s">
        <v>251</v>
      </c>
      <c r="B3" s="190"/>
      <c r="C3" s="69" t="s">
        <v>337</v>
      </c>
      <c r="R3" s="42" t="str">
        <f t="shared" si="0"/>
        <v>Risk Sub Type  - The Risk Sub-Category from the SHUSA ERM Risk Taxonomy</v>
      </c>
    </row>
    <row r="4" spans="1:27" ht="31.5" customHeight="1" thickBot="1" x14ac:dyDescent="0.3">
      <c r="A4" s="249" t="s">
        <v>252</v>
      </c>
      <c r="B4" s="190"/>
      <c r="C4" s="72" t="s">
        <v>63</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36.5" customHeight="1" thickBot="1" x14ac:dyDescent="0.3">
      <c r="A9" s="254" t="s">
        <v>721</v>
      </c>
      <c r="B9" s="255"/>
      <c r="C9" s="256"/>
      <c r="Q9" s="151" t="str">
        <f>A9</f>
        <v xml:space="preserve">SCUSA policy and procedures are designed and implemented to comply with regulatory requirements essential for preventing and detecting fraud, money laundering, terrorist financing and sanctioned parties.  Controls exist from the point of application and throughout the onboarding process.  Onboarding and servicing workflows include automated as well as manual controls.  The controls include: collection of regulatory required customer identification (as required by CIP), enhanced due diligence information (related to occupation, residence, income, etc.), and processes exist to identify and remediate identity theft red flags.  A variety of internally developed controls as well as resources are utilized including those provided through third party risk solution providers (for example Lexis Nexis, Experian, Equifax, and other risk solution partners).  The line of business has implemented quality assurance and quality controls to ensure processes and controls are working as designed.  In addition, the line of business is tested by Compliance.  As issues arise, recommendations are prioritized and implemented to ensure corrective action is taken.  </v>
      </c>
    </row>
    <row r="10" spans="1:27" ht="76.5" customHeight="1" thickBot="1" x14ac:dyDescent="0.3">
      <c r="A10" s="41" t="s">
        <v>484</v>
      </c>
      <c r="B10" s="244" t="s">
        <v>719</v>
      </c>
      <c r="C10" s="250"/>
    </row>
    <row r="11" spans="1:27" ht="31.5" customHeight="1" thickBot="1" x14ac:dyDescent="0.3">
      <c r="A11" s="251" t="s">
        <v>254</v>
      </c>
      <c r="B11" s="252"/>
      <c r="C11" s="253"/>
      <c r="Q11" s="151" t="str">
        <f>A11</f>
        <v>Risk Narrative - The risk narrative should be an executive level write up touching on the nature of the risk, the expected impact, the worst one in ten year impact, the risk drivers and the adequacy of the control suite.</v>
      </c>
    </row>
    <row r="12" spans="1:27" ht="225" customHeight="1" thickBot="1" x14ac:dyDescent="0.3">
      <c r="A12" s="244" t="s">
        <v>720</v>
      </c>
      <c r="B12" s="245"/>
      <c r="C12" s="246"/>
      <c r="Q12" s="151" t="str">
        <f>A12</f>
        <v xml:space="preserve">Failure to comply with the Bank Secrecy Act and implementing regulations can have serious consequences. Violations involve regulatory enforcement actions, civil and criminal prosecution, and monetary fines and penalties. The severity of the penalty depends on whether the violation is willful or negligent.  Covered institutions and associates can be liable for criminal penalties/fines or imprisonment. Civil money penalties associated with BSA/AML violations have ranged from thousands into the billions of dollars.  SCUSA has not been fined for a violation; however, the risk exist.  In analyzing historical fines for other companies and based on SCUSA's business the fines could range in the 1 to 5 million dollar range.  
Violations of the BSA/AML laws can be cited on any one or more of the four required pillars of an AML program.  The four pillars are (1) designated party/responsible for compliance program and definitions of responsibility of the board and leadership team; (2) ensuring a system of internal controls; (3) providing adequate training; and (4) independent testing.  In addition, a comprehensive customer due diligence program and account opening procedures are further critical components of an effective BSA/AML program and plays a critical role in helping to identify suspicious and unusual transaction activity and determining whether filing a suspicious activity report is appropriate.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[9]Sheet5!#REF!</xm:f>
          </x14:formula1>
          <xm:sqref>C2</xm:sqref>
        </x14:dataValidation>
        <x14:dataValidation type="list" allowBlank="1" showInputMessage="1" showErrorMessage="1">
          <x14:formula1>
            <xm:f>'[9]Appendix - Risks'!#REF!</xm:f>
          </x14:formula1>
          <xm:sqref>C3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A12"/>
  <sheetViews>
    <sheetView workbookViewId="0">
      <selection activeCell="E2" sqref="E2"/>
    </sheetView>
  </sheetViews>
  <sheetFormatPr defaultColWidth="0" defaultRowHeight="15" customHeight="1" zeroHeight="1" x14ac:dyDescent="0.25"/>
  <cols>
    <col min="1" max="1" width="66.5703125" style="152" customWidth="1"/>
    <col min="2" max="2" width="22.7109375" style="152" customWidth="1"/>
    <col min="3" max="3" width="35.7109375" style="39" customWidth="1"/>
    <col min="4" max="16" width="4.42578125" style="39" hidden="1" customWidth="1"/>
    <col min="17" max="18" width="4.42578125" style="151" hidden="1" customWidth="1"/>
    <col min="19" max="16384" width="4.42578125" style="39" hidden="1"/>
  </cols>
  <sheetData>
    <row r="1" spans="1:27" ht="29.25" customHeight="1" thickBot="1" x14ac:dyDescent="0.3">
      <c r="A1" s="251" t="s">
        <v>647</v>
      </c>
      <c r="B1" s="190"/>
      <c r="C1" s="72" t="s">
        <v>614</v>
      </c>
      <c r="AA1" s="39" t="str">
        <f>C2</f>
        <v>Compliance</v>
      </c>
    </row>
    <row r="2" spans="1:27" ht="30.75" customHeight="1" thickBot="1" x14ac:dyDescent="0.3">
      <c r="A2" s="257" t="s">
        <v>255</v>
      </c>
      <c r="B2" s="248"/>
      <c r="C2" s="86" t="s">
        <v>11</v>
      </c>
      <c r="R2" s="42" t="str">
        <f t="shared" ref="R2:R7" si="0">A2</f>
        <v>Risk Type  - The Risk Type from the SHUSA ERM Risk Taxonomy</v>
      </c>
    </row>
    <row r="3" spans="1:27" ht="24" customHeight="1" thickBot="1" x14ac:dyDescent="0.3">
      <c r="A3" s="249" t="s">
        <v>251</v>
      </c>
      <c r="B3" s="190"/>
      <c r="C3" s="69" t="s">
        <v>435</v>
      </c>
      <c r="R3" s="42" t="str">
        <f t="shared" si="0"/>
        <v>Risk Sub Type  - The Risk Sub-Category from the SHUSA ERM Risk Taxonomy</v>
      </c>
    </row>
    <row r="4" spans="1:27" ht="31.5" customHeight="1" thickBot="1" x14ac:dyDescent="0.3">
      <c r="A4" s="249" t="s">
        <v>252</v>
      </c>
      <c r="B4" s="190"/>
      <c r="C4" s="72" t="s">
        <v>622</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2.5" customHeight="1" thickBot="1" x14ac:dyDescent="0.3">
      <c r="A9" s="254" t="s">
        <v>722</v>
      </c>
      <c r="B9" s="255"/>
      <c r="C9" s="256"/>
      <c r="Q9" s="151" t="str">
        <f>A9</f>
        <v>Systemic controls are imbedded within the account management system that limit contact with consumers outside of allowed calling hours and frequency at the state level for states where laws are more restrictive than FDCPA guidelines.  Title/lien release are systemically done in accordance to individual state requirements and monitored by our QC testing. RTC and NOI letters are systemically sent with correct templates for the varying states required additional information and tested by our QC department monthly.   SCUSA utilizes voice analytic software to assist in monitoring potential compliance and regulatory issues along with a QA department that manually listens to random phone calls of all call center associates.  Our QC department conducts approximately 300 tests monthly including BK, modifications, extensions, dealer mark ups, calling times, cease and desist, and letter compliance.</v>
      </c>
    </row>
    <row r="10" spans="1:27" ht="84" customHeight="1" thickBot="1" x14ac:dyDescent="0.3">
      <c r="A10" s="41" t="s">
        <v>484</v>
      </c>
      <c r="B10" s="244" t="s">
        <v>691</v>
      </c>
      <c r="C10" s="250"/>
    </row>
    <row r="11" spans="1:27" ht="31.5" customHeight="1" thickBot="1" x14ac:dyDescent="0.3">
      <c r="A11" s="251" t="s">
        <v>254</v>
      </c>
      <c r="B11" s="252"/>
      <c r="C11" s="253"/>
      <c r="Q11" s="151"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723</v>
      </c>
      <c r="B12" s="245"/>
      <c r="C12" s="246"/>
      <c r="Q12" s="151" t="str">
        <f>A12</f>
        <v xml:space="preserve">Noncompliance with State Lending Laws may result in regulatory compliance violations, reputational exposure, and financial impacts, including potential fines / penalties.
SCUSA conducts business in all 50 states and is responsible for compliance of any state laws that are more restrictive or differ from federal laws.  These laws include compliance with consumer contact frequency and location of contact, letter notification for rights to cure accounts and notice of intent of vehicle disposition after repossession, varying time frames for release of titles or vehicle sales, interest rates maximums, and fee assessments.   Noncompliance with these laws could result in regulatory compliance violations, reputational exposure and financial impacts. </v>
      </c>
    </row>
  </sheetData>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[5]Sheet5!#REF!</xm:f>
          </x14:formula1>
          <xm:sqref>C2</xm:sqref>
        </x14:dataValidation>
        <x14:dataValidation type="list" allowBlank="1" showInputMessage="1" showErrorMessage="1">
          <x14:formula1>
            <xm:f>'[5]Appendix - Risks'!#REF!</xm:f>
          </x14:formula1>
          <xm:sqref>C3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A12"/>
  <sheetViews>
    <sheetView topLeftCell="A2" zoomScale="110" zoomScaleNormal="110" workbookViewId="0">
      <selection activeCell="E2" sqref="E2"/>
    </sheetView>
  </sheetViews>
  <sheetFormatPr defaultColWidth="0" defaultRowHeight="15" zeroHeight="1" x14ac:dyDescent="0.25"/>
  <cols>
    <col min="1" max="1" width="66.5703125" style="152" customWidth="1"/>
    <col min="2" max="2" width="22.7109375" style="152" customWidth="1"/>
    <col min="3" max="3" width="35.7109375" style="39" customWidth="1"/>
    <col min="4" max="16" width="4.42578125" style="39" hidden="1" customWidth="1"/>
    <col min="17" max="18" width="4.42578125" style="151" hidden="1" customWidth="1"/>
    <col min="19" max="16384" width="4.42578125" style="39" hidden="1"/>
  </cols>
  <sheetData>
    <row r="1" spans="1:27" ht="29.25" customHeight="1" thickBot="1" x14ac:dyDescent="0.3">
      <c r="A1" s="249" t="s">
        <v>483</v>
      </c>
      <c r="B1" s="190"/>
      <c r="C1" s="72" t="s">
        <v>614</v>
      </c>
      <c r="AA1" s="39" t="str">
        <f>C2</f>
        <v xml:space="preserve">Strategic </v>
      </c>
    </row>
    <row r="2" spans="1:27" ht="30.75" customHeight="1" thickBot="1" x14ac:dyDescent="0.3">
      <c r="A2" s="257" t="s">
        <v>255</v>
      </c>
      <c r="B2" s="248"/>
      <c r="C2" s="86" t="s">
        <v>20</v>
      </c>
      <c r="R2" s="42" t="str">
        <f t="shared" ref="R2:R7" si="0">A2</f>
        <v>Risk Type  - The Risk Type from the SHUSA ERM Risk Taxonomy</v>
      </c>
    </row>
    <row r="3" spans="1:27" ht="24" customHeight="1" thickBot="1" x14ac:dyDescent="0.3">
      <c r="A3" s="249" t="s">
        <v>251</v>
      </c>
      <c r="B3" s="190"/>
      <c r="C3" s="69" t="s">
        <v>325</v>
      </c>
      <c r="R3" s="42" t="str">
        <f t="shared" si="0"/>
        <v>Risk Sub Type  - The Risk Sub-Category from the SHUSA ERM Risk Taxonomy</v>
      </c>
    </row>
    <row r="4" spans="1:27" ht="31.5" customHeight="1" thickBot="1" x14ac:dyDescent="0.3">
      <c r="A4" s="249" t="s">
        <v>252</v>
      </c>
      <c r="B4" s="190"/>
      <c r="C4" s="72" t="s">
        <v>626</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99.75" customHeight="1" thickBot="1" x14ac:dyDescent="0.3">
      <c r="A9" s="254" t="s">
        <v>625</v>
      </c>
      <c r="B9" s="255"/>
      <c r="C9" s="256"/>
      <c r="Q9" s="151" t="str">
        <f>A9</f>
        <v>Reporting is key with oversight by management to recognize trends or deficiencies.   Staffing is measured against capacity plans that take origination volume, seasonal delinquency trends, actual delinquency, call handle time, and inbound volume to determine adequate staffing numbers per department.   Account level detail is provided by delinquency level (current, potential, and vintage) for all areas including collections, titles, insurance, impounds, bankruptcy, SCRA, and cease and desist.</v>
      </c>
    </row>
    <row r="10" spans="1:27" ht="100.5" customHeight="1" thickBot="1" x14ac:dyDescent="0.3">
      <c r="A10" s="41" t="s">
        <v>484</v>
      </c>
      <c r="B10" s="244" t="s">
        <v>624</v>
      </c>
      <c r="C10" s="250"/>
    </row>
    <row r="11" spans="1:27" ht="31.5" customHeight="1" thickBot="1" x14ac:dyDescent="0.3">
      <c r="A11" s="251" t="s">
        <v>254</v>
      </c>
      <c r="B11" s="252"/>
      <c r="C11" s="253"/>
      <c r="Q11" s="151" t="str">
        <f>A11</f>
        <v>Risk Narrative - The risk narrative should be an executive level write up touching on the nature of the risk, the expected impact, the worst one in ten year impact, the risk drivers and the adequacy of the control suite.</v>
      </c>
    </row>
    <row r="12" spans="1:27" ht="124.5" customHeight="1" thickBot="1" x14ac:dyDescent="0.3">
      <c r="A12" s="244" t="s">
        <v>623</v>
      </c>
      <c r="B12" s="245"/>
      <c r="C12" s="246"/>
      <c r="Q12" s="151" t="str">
        <f>A12</f>
        <v>Auto: Errors in collection strategy may result in sub-optimal collection results and financial loss.
Failure to recognize trends in originations volume, delinquency, roll rates, early pay defaults, tool utilization, or potential loss account volume could impact gross charge off amounts.  Trends must be identified to insure appropriate staffing and treatment of accounts including effort driven statistics  to maintain set standards and service levels.</v>
      </c>
    </row>
  </sheetData>
  <mergeCells count="12">
    <mergeCell ref="B10:C10"/>
    <mergeCell ref="A11:C11"/>
    <mergeCell ref="A12:C12"/>
    <mergeCell ref="A1:B1"/>
    <mergeCell ref="A2:B2"/>
    <mergeCell ref="A3:B3"/>
    <mergeCell ref="A4:B4"/>
    <mergeCell ref="A5:B5"/>
    <mergeCell ref="A6:B6"/>
    <mergeCell ref="A7:B7"/>
    <mergeCell ref="A8:C8"/>
    <mergeCell ref="A9:C9"/>
  </mergeCells>
  <dataValidations count="2">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6"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'[5]Appendix - Risks'!#REF!</xm:f>
          </x14:formula1>
          <xm:sqref>C3</xm:sqref>
        </x14:dataValidation>
        <x14:dataValidation type="list" allowBlank="1" showInputMessage="1" showErrorMessage="1">
          <x14:formula1>
            <xm:f>[5]Sheet5!#REF!</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A12"/>
  <sheetViews>
    <sheetView view="pageLayout" zoomScaleNormal="100" workbookViewId="0">
      <selection activeCell="E2" sqref="E2"/>
    </sheetView>
  </sheetViews>
  <sheetFormatPr defaultColWidth="0" defaultRowHeight="225" customHeight="1" x14ac:dyDescent="0.25"/>
  <cols>
    <col min="1" max="1" width="66.5703125" style="154" customWidth="1"/>
    <col min="2" max="2" width="22.7109375" style="154" customWidth="1"/>
    <col min="3" max="3" width="35.7109375" style="39" customWidth="1"/>
    <col min="4" max="16" width="4.42578125" style="39" hidden="1" customWidth="1"/>
    <col min="17" max="18" width="4.42578125" style="153" hidden="1" customWidth="1"/>
    <col min="19" max="16384" width="4.42578125" style="39" hidden="1"/>
  </cols>
  <sheetData>
    <row r="1" spans="1:27" ht="29.25" customHeight="1" thickBot="1" x14ac:dyDescent="0.3">
      <c r="A1" s="251" t="s">
        <v>647</v>
      </c>
      <c r="B1" s="190"/>
      <c r="C1" s="72" t="s">
        <v>72</v>
      </c>
      <c r="AA1" s="39" t="str">
        <f>C2</f>
        <v>Compliance</v>
      </c>
    </row>
    <row r="2" spans="1:27" ht="30.75" customHeight="1" thickBot="1" x14ac:dyDescent="0.3">
      <c r="A2" s="257" t="s">
        <v>255</v>
      </c>
      <c r="B2" s="248"/>
      <c r="C2" s="86" t="s">
        <v>11</v>
      </c>
      <c r="R2" s="42" t="str">
        <f t="shared" ref="R2:R7" si="0">A2</f>
        <v>Risk Type  - The Risk Type from the SHUSA ERM Risk Taxonomy</v>
      </c>
    </row>
    <row r="3" spans="1:27" ht="24" customHeight="1" thickBot="1" x14ac:dyDescent="0.3">
      <c r="A3" s="249" t="s">
        <v>251</v>
      </c>
      <c r="B3" s="190"/>
      <c r="C3" s="69" t="s">
        <v>12</v>
      </c>
      <c r="R3" s="42" t="str">
        <f t="shared" si="0"/>
        <v>Risk Sub Type  - The Risk Sub-Category from the SHUSA ERM Risk Taxonomy</v>
      </c>
    </row>
    <row r="4" spans="1:27" ht="31.5" customHeight="1" thickBot="1" x14ac:dyDescent="0.3">
      <c r="A4" s="249" t="s">
        <v>252</v>
      </c>
      <c r="B4" s="190"/>
      <c r="C4" s="72" t="s">
        <v>646</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3" customHeight="1" thickBot="1" x14ac:dyDescent="0.3">
      <c r="A9" s="254" t="s">
        <v>645</v>
      </c>
      <c r="B9" s="255"/>
      <c r="C9" s="256"/>
      <c r="Q9" s="153" t="str">
        <f>A9</f>
        <v xml:space="preserve">* Compliance &amp; Internal Audit reviews for Fair Lending and SCRA
* Revised Policies and Procedures for SCRA 
* Annual reviews of compliance related policies and procedures with internal Compliance and Legal (internal and outside counsel)
*Automated controls for underwriting and servicing
</v>
      </c>
    </row>
    <row r="10" spans="1:27" ht="159" customHeight="1" thickBot="1" x14ac:dyDescent="0.3">
      <c r="A10" s="41" t="s">
        <v>484</v>
      </c>
      <c r="B10" s="258" t="s">
        <v>644</v>
      </c>
      <c r="C10" s="250"/>
    </row>
    <row r="11" spans="1:27" ht="31.5" customHeight="1" thickBot="1" x14ac:dyDescent="0.3">
      <c r="A11" s="251" t="s">
        <v>254</v>
      </c>
      <c r="B11" s="252"/>
      <c r="C11" s="253"/>
      <c r="Q11" s="153" t="str">
        <f>A11</f>
        <v>Risk Narrative - The risk narrative should be an executive level write up touching on the nature of the risk, the expected impact, the worst one in ten year impact, the risk drivers and the adequacy of the control suite.</v>
      </c>
    </row>
    <row r="12" spans="1:27" ht="210" customHeight="1" thickBot="1" x14ac:dyDescent="0.3">
      <c r="A12" s="244" t="s">
        <v>643</v>
      </c>
      <c r="B12" s="245"/>
      <c r="C12" s="246"/>
      <c r="Q12" s="153" t="str">
        <f>A12</f>
        <v xml:space="preserve">SCUSA is subject to inspections, examinations, supervision, and regulation by the Securities and Exchange Commission ("SEC" or "Commission"), the CFPB, the Federal Trade Commission ("FTC"), the Department of Justice ("DOJ") and by regulatory agencies in each state in which we are licensed.  Adverse outcomes to current and future litigation against us may negatively impact our financial position, liquidity, and results of operations.  DOJ and other federal and state regulator inquiries or subpoenas may result in customer remediation, reputational exposure, financial impacts, and / or fines and penalties.
Based on industry data and information to-date from regulators and previous exposure over the years, as well as heightened regulatory scrutiny.  For example, the Ally and Honda CFPB fines were $80-98MM ad $24-25MM and the DOJ consent order for SCRA in the amount of $9.3MM.  Based on current discussions with regulators, SCUSA has set aside $5MM in legal reserves for CFPB Fair Lending Issues.  Expected losses in the next year would be $5-$50MM.  For the worst year in the next ten, stressed impact could potentially be in the lower end of the $50-$250MM range.
We've seen continuous scrutiny related to operating in the subprime space, and several news articles related to a potential "subprime bubble."     
In July 2014, the DOJ commenced an investigation of SCUSA for documentation related to non-prime underwriting and securitization, which could result in regulatory enforcement action, negative investor opinions (liquidity), reputational impacts, and additional fines and penalties.
</v>
      </c>
    </row>
  </sheetData>
  <sheetProtection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[1]Sheet5!#REF!</xm:f>
          </x14:formula1>
          <xm:sqref>C2</xm:sqref>
        </x14:dataValidation>
        <x14:dataValidation type="list" allowBlank="1" showInputMessage="1" showErrorMessage="1">
          <x14:formula1>
            <xm:f>'[1]Appendix - Risks'!#REF!</xm:f>
          </x14:formula1>
          <xm:sqref>C3</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pageSetUpPr fitToPage="1"/>
  </sheetPr>
  <dimension ref="A1:AA12"/>
  <sheetViews>
    <sheetView view="pageLayout" zoomScaleNormal="100" workbookViewId="0">
      <selection activeCell="E2" sqref="E2"/>
    </sheetView>
  </sheetViews>
  <sheetFormatPr defaultColWidth="0" defaultRowHeight="15" customHeight="1" zeroHeight="1" x14ac:dyDescent="0.25"/>
  <cols>
    <col min="1" max="1" width="66.5703125" style="152" customWidth="1"/>
    <col min="2" max="2" width="22.7109375" style="152" customWidth="1"/>
    <col min="3" max="3" width="35.7109375" style="39" customWidth="1"/>
    <col min="4" max="16" width="4.42578125" style="39" hidden="1" customWidth="1"/>
    <col min="17" max="18" width="4.42578125" style="151" hidden="1" customWidth="1"/>
    <col min="19" max="16384" width="4.42578125" style="39" hidden="1"/>
  </cols>
  <sheetData>
    <row r="1" spans="1:27" ht="29.25" customHeight="1" thickBot="1" x14ac:dyDescent="0.3">
      <c r="A1" s="251" t="s">
        <v>647</v>
      </c>
      <c r="B1" s="190"/>
      <c r="C1" s="72" t="s">
        <v>627</v>
      </c>
      <c r="AA1" s="39" t="str">
        <f>C2</f>
        <v>Credit</v>
      </c>
    </row>
    <row r="2" spans="1:27" ht="30.75" customHeight="1" thickBot="1" x14ac:dyDescent="0.3">
      <c r="A2" s="257" t="s">
        <v>255</v>
      </c>
      <c r="B2" s="248"/>
      <c r="C2" s="86" t="s">
        <v>17</v>
      </c>
      <c r="R2" s="42" t="str">
        <f t="shared" ref="R2:R7" si="0">A2</f>
        <v>Risk Type  - The Risk Type from the SHUSA ERM Risk Taxonomy</v>
      </c>
    </row>
    <row r="3" spans="1:27" ht="24" customHeight="1" thickBot="1" x14ac:dyDescent="0.3">
      <c r="A3" s="249" t="s">
        <v>251</v>
      </c>
      <c r="B3" s="190"/>
      <c r="C3" s="69" t="s">
        <v>316</v>
      </c>
      <c r="R3" s="42" t="str">
        <f t="shared" si="0"/>
        <v>Risk Sub Type  - The Risk Sub-Category from the SHUSA ERM Risk Taxonomy</v>
      </c>
    </row>
    <row r="4" spans="1:27" ht="31.5" customHeight="1" thickBot="1" x14ac:dyDescent="0.3">
      <c r="A4" s="249" t="s">
        <v>252</v>
      </c>
      <c r="B4" s="190"/>
      <c r="C4" s="72" t="s">
        <v>628</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7.75" customHeight="1" thickBot="1" x14ac:dyDescent="0.3">
      <c r="A9" s="244" t="s">
        <v>629</v>
      </c>
      <c r="B9" s="245"/>
      <c r="C9" s="246"/>
      <c r="Q9" s="151" t="str">
        <f>A9</f>
        <v xml:space="preserve">Any new business initiative must be presented to the SCUSA Executive Management Committee (EMC) for consideration and decision as to whether the prospective product, program or initiative is considered 'new' for the purpose of governance approval requirements.  If deemed 'new', the product, program or initiative is required to be presented through other committees, including at SHUSA, and ultimately to the Fed prior to any implementation. If not deemed 'new' by the EMC, the product, program or initiative is directed to another committee within SCUSA for consideration to be prioritized.  In some cases, the product, program or initiative is not prioritized, even if the EMC doesn't consider to be 'new' due to higher priority projects or other resource or timing constraints.  In those cases, the product, program or initiative is tabled for future discussion.  The current process ensures adherence to the governance requirement that SCUSA will not unilaterally engage in new activities. </v>
      </c>
    </row>
    <row r="10" spans="1:27" ht="63" customHeight="1" thickBot="1" x14ac:dyDescent="0.3">
      <c r="A10" s="41" t="s">
        <v>484</v>
      </c>
      <c r="B10" s="244" t="s">
        <v>630</v>
      </c>
      <c r="C10" s="250"/>
    </row>
    <row r="11" spans="1:27" ht="31.5" customHeight="1" thickBot="1" x14ac:dyDescent="0.3">
      <c r="A11" s="251" t="s">
        <v>254</v>
      </c>
      <c r="B11" s="252"/>
      <c r="C11" s="253"/>
      <c r="Q11" s="151" t="str">
        <f>A11</f>
        <v>Risk Narrative - The risk narrative should be an executive level write up touching on the nature of the risk, the expected impact, the worst one in ten year impact, the risk drivers and the adequacy of the control suite.</v>
      </c>
    </row>
    <row r="12" spans="1:27" ht="117.75" customHeight="1" thickBot="1" x14ac:dyDescent="0.3">
      <c r="A12" s="244" t="s">
        <v>724</v>
      </c>
      <c r="B12" s="245"/>
      <c r="C12" s="246"/>
      <c r="Q12" s="151" t="str">
        <f>A12</f>
        <v>New business initiatives, segments or products where SCUSA has limited or no prior experience may result in financial losses due to execution risk, unintended regulatory violations, or difficulty in accurately forecasting financial performance through market cycles.  Given the Key Controls outlined in the document, we do not believe the residual risk would result in a material risk as defined, even in a worst in ten year impact review.  SCUSA is not engaging in any new activities as defined above.</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[2]Sheet5!#REF!</xm:f>
          </x14:formula1>
          <xm:sqref>C2</xm:sqref>
        </x14:dataValidation>
        <x14:dataValidation type="list" allowBlank="1" showInputMessage="1" showErrorMessage="1">
          <x14:formula1>
            <xm:f>'[2]Appendix - Risks'!#REF!</xm:f>
          </x14:formula1>
          <xm:sqref>C3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pageSetUpPr fitToPage="1"/>
  </sheetPr>
  <dimension ref="A1:AA30"/>
  <sheetViews>
    <sheetView showWhiteSpace="0" view="pageLayout" zoomScaleNormal="100" workbookViewId="0">
      <selection activeCell="E2" sqref="E2"/>
    </sheetView>
  </sheetViews>
  <sheetFormatPr defaultColWidth="0" defaultRowHeight="15" zeroHeight="1" x14ac:dyDescent="0.25"/>
  <cols>
    <col min="1" max="1" width="66.5703125" style="260" customWidth="1"/>
    <col min="2" max="2" width="22.7109375" style="260" customWidth="1"/>
    <col min="3" max="3" width="35.7109375" style="260" customWidth="1"/>
    <col min="4" max="16" width="4.42578125" style="39" hidden="1" customWidth="1"/>
    <col min="17" max="18" width="4.42578125" style="151" hidden="1" customWidth="1"/>
    <col min="19" max="16384" width="4.42578125" style="39" hidden="1"/>
  </cols>
  <sheetData>
    <row r="1" spans="1:27" ht="29.25" customHeight="1" thickBot="1" x14ac:dyDescent="0.3">
      <c r="A1" s="251" t="s">
        <v>647</v>
      </c>
      <c r="B1" s="190"/>
      <c r="C1" s="72" t="s">
        <v>614</v>
      </c>
      <c r="AA1" s="39" t="str">
        <f>C2</f>
        <v xml:space="preserve">Strategic </v>
      </c>
    </row>
    <row r="2" spans="1:27" ht="30.75" customHeight="1" thickBot="1" x14ac:dyDescent="0.3">
      <c r="A2" s="257" t="s">
        <v>255</v>
      </c>
      <c r="B2" s="248"/>
      <c r="C2" s="86" t="s">
        <v>20</v>
      </c>
      <c r="R2" s="42" t="str">
        <f t="shared" ref="R2:R7" si="0">A2</f>
        <v>Risk Type  - The Risk Type from the SHUSA ERM Risk Taxonomy</v>
      </c>
    </row>
    <row r="3" spans="1:27" ht="24" customHeight="1" thickBot="1" x14ac:dyDescent="0.3">
      <c r="A3" s="249" t="s">
        <v>251</v>
      </c>
      <c r="B3" s="190"/>
      <c r="C3" s="69" t="s">
        <v>335</v>
      </c>
      <c r="R3" s="42" t="str">
        <f t="shared" si="0"/>
        <v>Risk Sub Type  - The Risk Sub-Category from the SHUSA ERM Risk Taxonomy</v>
      </c>
    </row>
    <row r="4" spans="1:27" ht="31.5" customHeight="1" thickBot="1" x14ac:dyDescent="0.3">
      <c r="A4" s="249" t="s">
        <v>252</v>
      </c>
      <c r="B4" s="190"/>
      <c r="C4" s="72" t="s">
        <v>634</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t="s">
        <v>234</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t="s">
        <v>235</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96.25" customHeight="1" thickBot="1" x14ac:dyDescent="0.3">
      <c r="A9" s="254" t="s">
        <v>633</v>
      </c>
      <c r="B9" s="255"/>
      <c r="C9" s="256"/>
      <c r="Q9" s="151" t="str">
        <f>A9</f>
        <v xml:space="preserve">SCUSA’s relationship with Chrysler is based on a contractual agreement, whereby both parties are subject to the terms and conditions of the relationship.  SCUSA is not able to implement any controls that could prevent the loss of this relationship due to a Chrysler bankruptcy (i.e., SCUSA has no control over Chrysler’s business operations, vehicle production, marketing efforts, expense management, etc.). However, SCUSA is able to implement controls that help ensure that the Company is able to uphold SCUSA’s contractual obligations, thereby reducing the likelihood that Chrysler could terminate the relationship.  Examples of these controls include the following:  
- SCUSA has implemented roles at the Company that are dedicated to managing the relationship with Chrysler.  These resources are embedded within the OEM regions and work with the OEM to implement incentive programs and products in a mutually beneficial way. This focus both helps Chrysler sell incremental vehicles and positions SCUSA as the sole or preferred funding entity for those vehicles. 
- SCUSA monitors performance against all metrics included within the Chrysler agreement.  Results of the analysis are reviewed in monthly operational committees with senior management from SCUSA and the OEM.  Additionally, quarterly Steering Committee meetings are held where these targets and performance are reviewed and discussed.  These forums allow all parties to understand the extent to which SCUSA is meeting its obligations as well as being presented with rationale for why some performance metrics may have been missed.  
- SCUSA has implemented a flexible platform for originations that allows for dynamic changes in the volume of assets that are originated / funded by the Company.  In the event that funding becomes constrained, SCUSA can quickly update pricing on selected product tiers in order to reduce volume of non-Chrysler assets such that Chrysler loans receive priority and Chrysler funding commitments can continue to be met.
Based on the controls implemented above, management believes that the Company is able to sufficiently manage the relationship with Chrysler and substantially reduce any risk that the relationship would be terminated due to SCUSA’s non-compliance with the contractual obligations.  As described above, SCUSA is not able to control for a potential loss in the Chrysler relationship that would result from a Chrysler bankruptcy. 
</v>
      </c>
    </row>
    <row r="10" spans="1:27" ht="407.25" customHeight="1" thickBot="1" x14ac:dyDescent="0.3">
      <c r="A10" s="41" t="s">
        <v>484</v>
      </c>
      <c r="B10" s="244" t="s">
        <v>632</v>
      </c>
      <c r="C10" s="250"/>
    </row>
    <row r="11" spans="1:27" ht="31.5" customHeight="1" thickBot="1" x14ac:dyDescent="0.3">
      <c r="A11" s="251" t="s">
        <v>254</v>
      </c>
      <c r="B11" s="252"/>
      <c r="C11" s="253"/>
      <c r="Q11" s="151" t="str">
        <f>A11</f>
        <v>Risk Narrative - The risk narrative should be an executive level write up touching on the nature of the risk, the expected impact, the worst one in ten year impact, the risk drivers and the adequacy of the control suite.</v>
      </c>
    </row>
    <row r="12" spans="1:27" ht="409.5" customHeight="1" x14ac:dyDescent="0.25">
      <c r="A12" s="259" t="s">
        <v>631</v>
      </c>
      <c r="B12" s="259"/>
      <c r="C12" s="259"/>
      <c r="Q12" s="151" t="str">
        <f>A12</f>
        <v xml:space="preserve">The loss of Chrysler as a business partner could result in SCUSA experiencing significant losses. The impact on SCUSA would differ based on whether the relationship was lost due to Chrysler terminating the contract (because SCUSA was unable to meet the contractual obligations of the agreement) or lost due to a Chrysler bankruptcy event.  While Chrysler’s current performance is strong with favorable trends in sales during recent periods, Chrysler has a history of bankruptcy events and went through a chapter 11 bankruptcy as recently as 2009.  While management of the new business is completely different and Chrysler now has the support of the Fiat parent, possibility for a bankruptcy in the future does still exist and as discussed in the controls section, SCUSA is unable to implement controls that could safeguard the Company against a possible Chrysler bankruptcy.  When considering the loss of Chrysler due to contractual breaches by SCUSA, management deems this risk to be lower, since SCUSA can implement controls to help ensure the Company is meeting its contractual obligations.       
Termination of the Chrysler relationship, either through contractual breach or bankruptcy, would lead to financial losses on SCUSA’s financials.  This financial impact would differ depending on the reason behind the termination of the contract.  
In the event of termination of the Chrysler contract due to SCUSA breaching contract terms or bankruptcy, SCUSA would be impacted by the following items:
-          At present, SCUSA is amortizing the upfront fee ($150mm) paid to Chrysler to enter the contract over the life of the agreement (10 years).  In the event that the relationship was abolished, SCUSA would be forced to immediately recognize the unamortized portion of this expense.  
-          Termination of the Chrysler relationship would result in the loss of all future lease origination volumes and substantial reduction in the volume of Chrysler loan originations.  The loss of this future business would result in lower revenues from reduction in net interest income on the loans, servicing fees and any gain on sale for sold assets.    
-          SCUSA also receives referral fees for any loans to Chrysler dealerships (e.g., floor plans or real estate) made by SBNA.  In the event of a terminated agreement, SCUSA would no longer receive any revenue from these referral fees.   
-          Some component of SCUSA’s market valuation is based on the future proceeds and growth that the Company will realize as a result of the Chrysler relationship.  Should this relationship be terminated, the market would react negatively to the event and drive down the stock price, thereby reducing SCUSA’s market value.  While this event will not directly impact SCUSA’s bottom line, it may result in negative market perceptions, not easily quantified, that lead to loss of lending relationships or increased cost of funds for SCUSA’s borrowings.   
In the event of termination of the Chrysler contract due to bankruptcy, SCUSA would also be impacted by the following items:
-          In bankruptcy, the risk sharing arrangement currently in place for leases would be compromised.  The risk sharing agreement provides protection to SCUSA for any larger than expected declines in residual value on the lease vehicle assets.  Any losses incurred due to declines in these residual values are shared with Chrysler (although any gains to SCUSA from higher than expected residual values is shared with Chrysler).  
-          In the event of a Chrysler bankruptcy, it is possible that the resale value for all Chrysler vehicles could decline in value.  As a result, SCUSA would experience increased losses as the recovery value of vehicles sold at auction would be reduced.  Reduction in these values results in higher net credit losses for the Company which leads to higher provision expenses and reduced earnings.
In the event that the relationship was terminated, a series of factors exist that would help mitigate the loss experienced by SCUSA.  
-          SCUSA maintains other partnerships and is constantly working on generating new business that could be used to offset the impact of losing Chrysler as a partner.  Additionally, due to terms of the Chrysler agreement, there are some business opportunities that SCUSA is currently unable to pursue as they would conflict with the Chrysler relationship.  Should this relationship be terminated (due to contractual breach or Chrysler BK), SCUSA would be able to pursue these opportunities to help replace some Chrysler volume.  
-          Any unwarranted termination by Chrysler would cause SCUSA’s current revenue sharing payments made to Chrysler to cease, resulting in higher retained income for SCUSA.
-          Lower origination volumes would lessen the Company’s funding needs, thereby allowing SCUSA to target the least costly funding options, lowering the cost of funds for the loans and increasing net interest margin.  
-          Extensive residual value analysis that quantifies the risk of losing the Chrysler relationship has been completed.  Analysis helps management understand SCUSA’s potential exposure to Chrysler not fulfilling their counterparty obligations in addition to how lower recovery / residual values might impact SCUSA’s book of loans / leases.  
</v>
      </c>
    </row>
    <row r="13" spans="1:27" ht="15" hidden="1" customHeight="1" x14ac:dyDescent="0.25"/>
    <row r="14" spans="1:27" ht="15" hidden="1" customHeight="1" x14ac:dyDescent="0.25"/>
    <row r="15" spans="1:27" ht="15" hidden="1" customHeight="1" x14ac:dyDescent="0.25"/>
    <row r="16" spans="1:27"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sheetData>
  <sheetProtection formatRows="0"/>
  <mergeCells count="12">
    <mergeCell ref="A7:B7"/>
    <mergeCell ref="A6:B6"/>
    <mergeCell ref="A1:B1"/>
    <mergeCell ref="A2:B2"/>
    <mergeCell ref="A3:B3"/>
    <mergeCell ref="A4:B4"/>
    <mergeCell ref="A5:B5"/>
    <mergeCell ref="B10:C10"/>
    <mergeCell ref="A8:C8"/>
    <mergeCell ref="A11:C11"/>
    <mergeCell ref="A9:C9"/>
    <mergeCell ref="A12:C1048576"/>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[3]Sheet5!#REF!</xm:f>
          </x14:formula1>
          <xm:sqref>C2</xm:sqref>
        </x14:dataValidation>
        <x14:dataValidation type="list" allowBlank="1" showInputMessage="1" showErrorMessage="1">
          <x14:formula1>
            <xm:f>'[3]Appendix - Risks'!#REF!</xm:f>
          </x14:formula1>
          <xm:sqref>C3</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pageSetUpPr fitToPage="1"/>
  </sheetPr>
  <dimension ref="A1:AA12"/>
  <sheetViews>
    <sheetView view="pageLayout" topLeftCell="A11" zoomScaleNormal="100" workbookViewId="0">
      <selection activeCell="E2" sqref="E2"/>
    </sheetView>
  </sheetViews>
  <sheetFormatPr defaultColWidth="0" defaultRowHeight="15" customHeight="1" zeroHeight="1" x14ac:dyDescent="0.25"/>
  <cols>
    <col min="1" max="1" width="66.5703125" style="152" customWidth="1"/>
    <col min="2" max="2" width="22.7109375" style="152" customWidth="1"/>
    <col min="3" max="3" width="35.7109375" style="39" customWidth="1"/>
    <col min="4" max="16" width="4.42578125" style="39" hidden="1" customWidth="1"/>
    <col min="17" max="18" width="4.42578125" style="151" hidden="1" customWidth="1"/>
    <col min="19" max="16384" width="4.42578125" style="39" hidden="1"/>
  </cols>
  <sheetData>
    <row r="1" spans="1:27" ht="29.25" customHeight="1" thickBot="1" x14ac:dyDescent="0.3">
      <c r="A1" s="251" t="s">
        <v>647</v>
      </c>
      <c r="B1" s="190"/>
      <c r="C1" s="72" t="s">
        <v>635</v>
      </c>
      <c r="AA1" s="39" t="str">
        <f>C2</f>
        <v>Model</v>
      </c>
    </row>
    <row r="2" spans="1:27" ht="30.75" customHeight="1" thickBot="1" x14ac:dyDescent="0.3">
      <c r="A2" s="257" t="s">
        <v>255</v>
      </c>
      <c r="B2" s="248"/>
      <c r="C2" s="86" t="s">
        <v>9</v>
      </c>
      <c r="R2" s="42" t="str">
        <f t="shared" ref="R2:R7" si="0">A2</f>
        <v>Risk Type  - The Risk Type from the SHUSA ERM Risk Taxonomy</v>
      </c>
    </row>
    <row r="3" spans="1:27" ht="24" customHeight="1" thickBot="1" x14ac:dyDescent="0.3">
      <c r="A3" s="249" t="s">
        <v>251</v>
      </c>
      <c r="B3" s="190"/>
      <c r="C3" s="69" t="s">
        <v>138</v>
      </c>
      <c r="R3" s="42" t="str">
        <f t="shared" si="0"/>
        <v>Risk Sub Type  - The Risk Sub-Category from the SHUSA ERM Risk Taxonomy</v>
      </c>
    </row>
    <row r="4" spans="1:27" ht="31.5" customHeight="1" thickBot="1" x14ac:dyDescent="0.3">
      <c r="A4" s="249" t="s">
        <v>252</v>
      </c>
      <c r="B4" s="190"/>
      <c r="C4" s="72" t="s">
        <v>636</v>
      </c>
      <c r="R4" s="42" t="str">
        <f t="shared" si="0"/>
        <v>Risk Name - The name of the risk which helps define it and differentiate it from other risks in other Business Lines with a similar Risk Category</v>
      </c>
    </row>
    <row r="5" spans="1:27" ht="39" customHeight="1" thickBot="1" x14ac:dyDescent="0.3">
      <c r="A5" s="249" t="s">
        <v>612</v>
      </c>
      <c r="B5" s="190"/>
      <c r="C5" s="70" t="s">
        <v>95</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49" t="s">
        <v>521</v>
      </c>
      <c r="B6" s="190"/>
      <c r="C6" s="69"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47" t="s">
        <v>520</v>
      </c>
      <c r="B7" s="248"/>
      <c r="C7" s="69"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151"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2.5" customHeight="1" thickBot="1" x14ac:dyDescent="0.3">
      <c r="A9" s="254" t="s">
        <v>725</v>
      </c>
      <c r="B9" s="255"/>
      <c r="C9" s="256"/>
      <c r="Q9" s="151" t="str">
        <f>A9</f>
        <v xml:space="preserve">Some of the key mitigants to residual value risk are that half of all leases are turned in PRIOR to full maturity data, thusly allowing us to liquidate the vehicle asset with less actual value depreciation than was expected at origination.  In addition, Chrysler risk-sharing agreements greatly decrease our risk in the even of a strong down-turn in used vehicle market.  We charge disposition fees to customers to cover costs associated with auction liquidation charges/transportation fees.  We also have alternative disposition channels we've implemented besides physical auction which lessens our risks (for example, we remarket to the lessees themselves to persuade them to buy their off-lease vehicle for original residual value so that there is no risk + $350 purchase fee to us. Also we sell to dealers via the online dealer-direct channel which quickens our liquidation timeframe and saves on COF, and reduces our auction transportation expenses since grounding dealer can buy the cars, etc.) </v>
      </c>
    </row>
    <row r="10" spans="1:27" ht="204.75" customHeight="1" thickBot="1" x14ac:dyDescent="0.3">
      <c r="A10" s="41" t="s">
        <v>484</v>
      </c>
      <c r="B10" s="244" t="s">
        <v>637</v>
      </c>
      <c r="C10" s="250"/>
    </row>
    <row r="11" spans="1:27" ht="31.5" customHeight="1" thickBot="1" x14ac:dyDescent="0.3">
      <c r="A11" s="251" t="s">
        <v>254</v>
      </c>
      <c r="B11" s="252"/>
      <c r="C11" s="253"/>
      <c r="Q11" s="151" t="str">
        <f>A11</f>
        <v>Risk Narrative - The risk narrative should be an executive level write up touching on the nature of the risk, the expected impact, the worst one in ten year impact, the risk drivers and the adequacy of the control suite.</v>
      </c>
    </row>
    <row r="12" spans="1:27" ht="155.25" customHeight="1" thickBot="1" x14ac:dyDescent="0.3">
      <c r="A12" s="244" t="s">
        <v>638</v>
      </c>
      <c r="B12" s="245"/>
      <c r="C12" s="246"/>
      <c r="Q12" s="151" t="str">
        <f>A12</f>
        <v xml:space="preserve">Lease residual values risk is expected to be only moderate for the coming year as tapered gas prices continue to hold used vehicle prices at a healthy level.  Over the past 10 years, the worst year was in 2008 and was driven largely by the credit crunch and the spike in gas prices, as well as consumer confidence drop based on statistical significance.  Supply is often an important driver as well.  The worst year would have shown a -4.36% of Net Cap Cost residual value impact compared to the industry benchmark to which we are tethered, but only on the vehicles maturing that year, not on whole portfolio.  However, the lease gross yield as well as risk-sharing, early terminations, alternative advantageous disposition channels would have collectively yielded a +1.85% lifetime lease ROA (or approx +0.83% lease ROA annualized) due to -$219MM residual value detriment netted from net yield) even over this worst year on these leases.  Gross yield from rents, fees, etc cannot be separated from the residual values risk piece of a lease and therefore the importance of relying on total ROA of lease during worst period rather than simply the residual value piece alone that is inseparable.  </v>
      </c>
    </row>
  </sheetData>
  <sheetProtection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2">
    <dataValidation type="list" allowBlank="1" showInputMessage="1" showErrorMessage="1" sqref="C6:C7">
      <formula1>IR</formula1>
    </dataValidation>
    <dataValidation type="list" allowBlank="1" showInputMessage="1" showErrorMessage="1" sqref="C5">
      <formula1>Drivers</formula1>
    </dataValidation>
  </dataValidations>
  <pageMargins left="0.7" right="0.7" top="0.75" bottom="0.75" header="0.3" footer="0.3"/>
  <pageSetup scale="72" fitToHeight="4" orientation="portrait" r:id="rId1"/>
  <headerFooter>
    <oddHeader>&amp;CModel - Lease Residual Values</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[4]Sheet5!#REF!</xm:f>
          </x14:formula1>
          <xm:sqref>C2</xm:sqref>
        </x14:dataValidation>
        <x14:dataValidation type="list" allowBlank="1" showInputMessage="1" showErrorMessage="1">
          <x14:formula1>
            <xm:f>'[4]Appendix - Risks'!#REF!</xm:f>
          </x14:formula1>
          <xm:sqref>C3</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c r="Q1" s="80"/>
      <c r="R1" s="80"/>
      <c r="AA1" s="39">
        <f>C2</f>
        <v>0</v>
      </c>
    </row>
    <row r="2" spans="1:27" ht="30.75" customHeight="1" thickBot="1" x14ac:dyDescent="0.3">
      <c r="A2" s="257" t="s">
        <v>255</v>
      </c>
      <c r="B2" s="248"/>
      <c r="C2" s="86"/>
      <c r="R2" s="42" t="str">
        <f t="shared" ref="R2:R7" si="0">A2</f>
        <v>Risk Type  - The Risk Type from the SHUSA ERM Risk Taxonomy</v>
      </c>
    </row>
    <row r="3" spans="1:27" ht="24" customHeight="1" thickBot="1" x14ac:dyDescent="0.3">
      <c r="A3" s="249" t="s">
        <v>251</v>
      </c>
      <c r="B3" s="190"/>
      <c r="C3" s="69"/>
      <c r="R3" s="42" t="str">
        <f t="shared" si="0"/>
        <v>Risk Sub Type  - The Risk Sub-Category from the SHUSA ERM Risk Taxonomy</v>
      </c>
    </row>
    <row r="4" spans="1:27" ht="31.5" customHeight="1" thickBot="1" x14ac:dyDescent="0.3">
      <c r="A4" s="249" t="s">
        <v>252</v>
      </c>
      <c r="B4" s="190"/>
      <c r="C4" s="72"/>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c r="Q1" s="80"/>
      <c r="R1" s="80"/>
      <c r="AA1" s="39">
        <f>C2</f>
        <v>0</v>
      </c>
    </row>
    <row r="2" spans="1:27" ht="30.75" customHeight="1" thickBot="1" x14ac:dyDescent="0.3">
      <c r="A2" s="257" t="s">
        <v>255</v>
      </c>
      <c r="B2" s="248"/>
      <c r="C2" s="86"/>
      <c r="R2" s="42" t="str">
        <f t="shared" ref="R2:R7" si="0">A2</f>
        <v>Risk Type  - The Risk Type from the SHUSA ERM Risk Taxonomy</v>
      </c>
    </row>
    <row r="3" spans="1:27" ht="24" customHeight="1" thickBot="1" x14ac:dyDescent="0.3">
      <c r="A3" s="249" t="s">
        <v>251</v>
      </c>
      <c r="B3" s="190"/>
      <c r="C3" s="69"/>
      <c r="R3" s="42" t="str">
        <f t="shared" si="0"/>
        <v>Risk Sub Type  - The Risk Sub-Category from the SHUSA ERM Risk Taxonomy</v>
      </c>
    </row>
    <row r="4" spans="1:27" ht="31.5" customHeight="1" thickBot="1" x14ac:dyDescent="0.3">
      <c r="A4" s="249" t="s">
        <v>252</v>
      </c>
      <c r="B4" s="190"/>
      <c r="C4" s="72"/>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c r="Q1" s="80"/>
      <c r="R1" s="80"/>
      <c r="AA1" s="39">
        <f>C2</f>
        <v>0</v>
      </c>
    </row>
    <row r="2" spans="1:27" ht="30.75" customHeight="1" thickBot="1" x14ac:dyDescent="0.3">
      <c r="A2" s="257" t="s">
        <v>255</v>
      </c>
      <c r="B2" s="248"/>
      <c r="C2" s="86"/>
      <c r="R2" s="42" t="str">
        <f t="shared" ref="R2:R7" si="0">A2</f>
        <v>Risk Type  - The Risk Type from the SHUSA ERM Risk Taxonomy</v>
      </c>
    </row>
    <row r="3" spans="1:27" ht="24" customHeight="1" thickBot="1" x14ac:dyDescent="0.3">
      <c r="A3" s="249" t="s">
        <v>251</v>
      </c>
      <c r="B3" s="190"/>
      <c r="C3" s="69"/>
      <c r="R3" s="42" t="str">
        <f t="shared" si="0"/>
        <v>Risk Sub Type  - The Risk Sub-Category from the SHUSA ERM Risk Taxonomy</v>
      </c>
    </row>
    <row r="4" spans="1:27" ht="31.5" customHeight="1" thickBot="1" x14ac:dyDescent="0.3">
      <c r="A4" s="249" t="s">
        <v>252</v>
      </c>
      <c r="B4" s="190"/>
      <c r="C4" s="72"/>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65" t="s">
        <v>482</v>
      </c>
      <c r="B1" s="190"/>
      <c r="C1" s="72"/>
      <c r="Q1" s="80"/>
      <c r="R1" s="80"/>
      <c r="AA1" s="39">
        <f>C2</f>
        <v>0</v>
      </c>
    </row>
    <row r="2" spans="1:27" ht="30.75" customHeight="1" thickBot="1" x14ac:dyDescent="0.3">
      <c r="A2" s="257" t="s">
        <v>255</v>
      </c>
      <c r="B2" s="248"/>
      <c r="C2" s="87"/>
      <c r="R2" s="42" t="str">
        <f t="shared" ref="R2:R7" si="0">A2</f>
        <v>Risk Type  - The Risk Type from the SHUSA ERM Risk Taxonomy</v>
      </c>
    </row>
    <row r="3" spans="1:27" ht="24" customHeight="1" thickBot="1" x14ac:dyDescent="0.3">
      <c r="A3" s="249" t="s">
        <v>251</v>
      </c>
      <c r="B3" s="190"/>
      <c r="C3" s="82"/>
      <c r="R3" s="42" t="str">
        <f t="shared" si="0"/>
        <v>Risk Sub Type  - The Risk Sub-Category from the SHUSA ERM Risk Taxonomy</v>
      </c>
    </row>
    <row r="4" spans="1:27" ht="31.5" customHeight="1" thickBot="1" x14ac:dyDescent="0.3">
      <c r="A4" s="249" t="s">
        <v>252</v>
      </c>
      <c r="B4" s="190"/>
      <c r="C4" s="81"/>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83"/>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82"/>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82"/>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6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62"/>
      <c r="Q9" s="38">
        <f>A9</f>
        <v>0</v>
      </c>
    </row>
    <row r="10" spans="1:27" ht="81.75" customHeight="1" thickBot="1" x14ac:dyDescent="0.3">
      <c r="A10" s="41" t="s">
        <v>485</v>
      </c>
      <c r="B10" s="244"/>
      <c r="C10" s="263"/>
    </row>
    <row r="11" spans="1:27" ht="31.5" customHeight="1" thickBot="1" x14ac:dyDescent="0.3">
      <c r="A11" s="251" t="s">
        <v>254</v>
      </c>
      <c r="B11" s="252"/>
      <c r="C11" s="26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64"/>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c r="Q1" s="80"/>
      <c r="R1" s="80"/>
      <c r="AA1" s="39">
        <f>C2</f>
        <v>0</v>
      </c>
    </row>
    <row r="2" spans="1:27" ht="30.75" customHeight="1" thickBot="1" x14ac:dyDescent="0.3">
      <c r="A2" s="257" t="s">
        <v>255</v>
      </c>
      <c r="B2" s="248"/>
      <c r="C2" s="86"/>
      <c r="R2" s="42" t="str">
        <f t="shared" ref="R2:R7" si="0">A2</f>
        <v>Risk Type  - The Risk Type from the SHUSA ERM Risk Taxonomy</v>
      </c>
    </row>
    <row r="3" spans="1:27" ht="24" customHeight="1" thickBot="1" x14ac:dyDescent="0.3">
      <c r="A3" s="249" t="s">
        <v>251</v>
      </c>
      <c r="B3" s="190"/>
      <c r="C3" s="69"/>
      <c r="R3" s="42" t="str">
        <f t="shared" si="0"/>
        <v>Risk Sub Type  - The Risk Sub-Category from the SHUSA ERM Risk Taxonomy</v>
      </c>
    </row>
    <row r="4" spans="1:27" ht="31.5" customHeight="1" thickBot="1" x14ac:dyDescent="0.3">
      <c r="A4" s="249" t="s">
        <v>252</v>
      </c>
      <c r="B4" s="190"/>
      <c r="C4" s="72"/>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c r="Q1" s="80"/>
      <c r="R1" s="80"/>
      <c r="AA1" s="39">
        <f>C2</f>
        <v>0</v>
      </c>
    </row>
    <row r="2" spans="1:27" ht="30.75" customHeight="1" thickBot="1" x14ac:dyDescent="0.3">
      <c r="A2" s="257" t="s">
        <v>255</v>
      </c>
      <c r="B2" s="248"/>
      <c r="C2" s="86"/>
      <c r="R2" s="42" t="str">
        <f t="shared" ref="R2:R7" si="0">A2</f>
        <v>Risk Type  - The Risk Type from the SHUSA ERM Risk Taxonomy</v>
      </c>
    </row>
    <row r="3" spans="1:27" ht="24" customHeight="1" thickBot="1" x14ac:dyDescent="0.3">
      <c r="A3" s="249" t="s">
        <v>251</v>
      </c>
      <c r="B3" s="190"/>
      <c r="C3" s="69"/>
      <c r="R3" s="42" t="str">
        <f t="shared" si="0"/>
        <v>Risk Sub Type  - The Risk Sub-Category from the SHUSA ERM Risk Taxonomy</v>
      </c>
    </row>
    <row r="4" spans="1:27" ht="31.5" customHeight="1" thickBot="1" x14ac:dyDescent="0.3">
      <c r="A4" s="249" t="s">
        <v>252</v>
      </c>
      <c r="B4" s="190"/>
      <c r="C4" s="72"/>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c r="Q1" s="80"/>
      <c r="R1" s="80"/>
      <c r="AA1" s="39">
        <f>C2</f>
        <v>0</v>
      </c>
    </row>
    <row r="2" spans="1:27" ht="30.75" customHeight="1" thickBot="1" x14ac:dyDescent="0.3">
      <c r="A2" s="257" t="s">
        <v>255</v>
      </c>
      <c r="B2" s="248"/>
      <c r="C2" s="86"/>
      <c r="R2" s="42" t="str">
        <f t="shared" ref="R2:R7" si="0">A2</f>
        <v>Risk Type  - The Risk Type from the SHUSA ERM Risk Taxonomy</v>
      </c>
    </row>
    <row r="3" spans="1:27" ht="24" customHeight="1" thickBot="1" x14ac:dyDescent="0.3">
      <c r="A3" s="249" t="s">
        <v>251</v>
      </c>
      <c r="B3" s="190"/>
      <c r="C3" s="69"/>
      <c r="R3" s="42" t="str">
        <f t="shared" si="0"/>
        <v>Risk Sub Type  - The Risk Sub-Category from the SHUSA ERM Risk Taxonomy</v>
      </c>
    </row>
    <row r="4" spans="1:27" ht="31.5" customHeight="1" thickBot="1" x14ac:dyDescent="0.3">
      <c r="A4" s="249" t="s">
        <v>252</v>
      </c>
      <c r="B4" s="190"/>
      <c r="C4" s="72"/>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c r="Q1" s="80"/>
      <c r="R1" s="80"/>
      <c r="AA1" s="39">
        <f>C2</f>
        <v>0</v>
      </c>
    </row>
    <row r="2" spans="1:27" ht="30.75" customHeight="1" thickBot="1" x14ac:dyDescent="0.3">
      <c r="A2" s="257" t="s">
        <v>255</v>
      </c>
      <c r="B2" s="248"/>
      <c r="C2" s="86"/>
      <c r="R2" s="42" t="str">
        <f t="shared" ref="R2:R7" si="0">A2</f>
        <v>Risk Type  - The Risk Type from the SHUSA ERM Risk Taxonomy</v>
      </c>
    </row>
    <row r="3" spans="1:27" ht="24" customHeight="1" thickBot="1" x14ac:dyDescent="0.3">
      <c r="A3" s="249" t="s">
        <v>251</v>
      </c>
      <c r="B3" s="190"/>
      <c r="C3" s="69"/>
      <c r="R3" s="42" t="str">
        <f t="shared" si="0"/>
        <v>Risk Sub Type  - The Risk Sub-Category from the SHUSA ERM Risk Taxonomy</v>
      </c>
    </row>
    <row r="4" spans="1:27" ht="31.5" customHeight="1" thickBot="1" x14ac:dyDescent="0.3">
      <c r="A4" s="249" t="s">
        <v>252</v>
      </c>
      <c r="B4" s="190"/>
      <c r="C4" s="72"/>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c r="Q1" s="80"/>
      <c r="R1" s="80"/>
      <c r="AA1" s="39">
        <f>C2</f>
        <v>0</v>
      </c>
    </row>
    <row r="2" spans="1:27" ht="30.75" customHeight="1" thickBot="1" x14ac:dyDescent="0.3">
      <c r="A2" s="257" t="s">
        <v>255</v>
      </c>
      <c r="B2" s="248"/>
      <c r="C2" s="86"/>
      <c r="R2" s="42" t="str">
        <f t="shared" ref="R2:R7" si="0">A2</f>
        <v>Risk Type  - The Risk Type from the SHUSA ERM Risk Taxonomy</v>
      </c>
    </row>
    <row r="3" spans="1:27" ht="24" customHeight="1" thickBot="1" x14ac:dyDescent="0.3">
      <c r="A3" s="249" t="s">
        <v>251</v>
      </c>
      <c r="B3" s="190"/>
      <c r="C3" s="69"/>
      <c r="R3" s="42" t="str">
        <f t="shared" si="0"/>
        <v>Risk Sub Type  - The Risk Sub-Category from the SHUSA ERM Risk Taxonomy</v>
      </c>
    </row>
    <row r="4" spans="1:27" ht="31.5" customHeight="1" thickBot="1" x14ac:dyDescent="0.3">
      <c r="A4" s="249" t="s">
        <v>252</v>
      </c>
      <c r="B4" s="190"/>
      <c r="C4" s="72"/>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c r="Q1" s="80"/>
      <c r="R1" s="80"/>
      <c r="AA1" s="39">
        <f>C2</f>
        <v>0</v>
      </c>
    </row>
    <row r="2" spans="1:27" ht="30.75" customHeight="1" thickBot="1" x14ac:dyDescent="0.3">
      <c r="A2" s="257" t="s">
        <v>255</v>
      </c>
      <c r="B2" s="248"/>
      <c r="C2" s="86"/>
      <c r="R2" s="42" t="str">
        <f t="shared" ref="R2:R7" si="0">A2</f>
        <v>Risk Type  - The Risk Type from the SHUSA ERM Risk Taxonomy</v>
      </c>
    </row>
    <row r="3" spans="1:27" ht="24" customHeight="1" thickBot="1" x14ac:dyDescent="0.3">
      <c r="A3" s="249" t="s">
        <v>251</v>
      </c>
      <c r="B3" s="190"/>
      <c r="C3" s="69"/>
      <c r="R3" s="42" t="str">
        <f t="shared" si="0"/>
        <v>Risk Sub Type  - The Risk Sub-Category from the SHUSA ERM Risk Taxonomy</v>
      </c>
    </row>
    <row r="4" spans="1:27" ht="31.5" customHeight="1" thickBot="1" x14ac:dyDescent="0.3">
      <c r="A4" s="249" t="s">
        <v>252</v>
      </c>
      <c r="B4" s="190"/>
      <c r="C4" s="72"/>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1" t="s">
        <v>479</v>
      </c>
      <c r="B1" s="190"/>
      <c r="C1" s="72"/>
      <c r="Q1" s="80"/>
      <c r="R1" s="80"/>
      <c r="AA1" s="39">
        <f>C2</f>
        <v>0</v>
      </c>
    </row>
    <row r="2" spans="1:27" ht="30.75" customHeight="1" thickBot="1" x14ac:dyDescent="0.3">
      <c r="A2" s="257" t="s">
        <v>255</v>
      </c>
      <c r="B2" s="248"/>
      <c r="C2" s="86"/>
      <c r="R2" s="42" t="str">
        <f t="shared" ref="R2:R7" si="0">A2</f>
        <v>Risk Type  - The Risk Type from the SHUSA ERM Risk Taxonomy</v>
      </c>
    </row>
    <row r="3" spans="1:27" ht="24" customHeight="1" thickBot="1" x14ac:dyDescent="0.3">
      <c r="A3" s="249" t="s">
        <v>251</v>
      </c>
      <c r="B3" s="190"/>
      <c r="C3" s="69"/>
      <c r="R3" s="42" t="str">
        <f t="shared" si="0"/>
        <v>Risk Sub Type  - The Risk Sub-Category from the SHUSA ERM Risk Taxonomy</v>
      </c>
    </row>
    <row r="4" spans="1:27" ht="31.5" customHeight="1" thickBot="1" x14ac:dyDescent="0.3">
      <c r="A4" s="249" t="s">
        <v>252</v>
      </c>
      <c r="B4" s="190"/>
      <c r="C4" s="72"/>
      <c r="R4" s="42" t="str">
        <f t="shared" si="0"/>
        <v>Risk Name - The name of the risk which helps define it and differentiate it from other risks in other Business Lines with a similar Risk Category</v>
      </c>
    </row>
    <row r="5" spans="1:27" ht="39" customHeight="1" thickBot="1" x14ac:dyDescent="0.3">
      <c r="A5" s="249" t="s">
        <v>518</v>
      </c>
      <c r="B5" s="19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49" t="s">
        <v>521</v>
      </c>
      <c r="B6" s="19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47" t="s">
        <v>520</v>
      </c>
      <c r="B7" s="248"/>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51" t="s">
        <v>253</v>
      </c>
      <c r="B8" s="252"/>
      <c r="C8" s="25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54"/>
      <c r="B9" s="255"/>
      <c r="C9" s="256"/>
      <c r="Q9" s="38">
        <f>A9</f>
        <v>0</v>
      </c>
    </row>
    <row r="10" spans="1:27" ht="81.75" customHeight="1" thickBot="1" x14ac:dyDescent="0.3">
      <c r="A10" s="41" t="s">
        <v>485</v>
      </c>
      <c r="B10" s="244"/>
      <c r="C10" s="250"/>
    </row>
    <row r="11" spans="1:27" ht="31.5" customHeight="1" thickBot="1" x14ac:dyDescent="0.3">
      <c r="A11" s="251" t="s">
        <v>254</v>
      </c>
      <c r="B11" s="252"/>
      <c r="C11" s="25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4"/>
      <c r="B12" s="245"/>
      <c r="C12" s="246"/>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E2" sqref="E2"/>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74" t="s">
        <v>329</v>
      </c>
      <c r="B1" s="275"/>
      <c r="C1" s="275"/>
    </row>
    <row r="2" spans="1:3" ht="15.75" thickBot="1" x14ac:dyDescent="0.3">
      <c r="A2" s="73" t="s">
        <v>226</v>
      </c>
      <c r="B2" s="74" t="s">
        <v>306</v>
      </c>
      <c r="C2" s="74" t="s">
        <v>307</v>
      </c>
    </row>
    <row r="3" spans="1:3" ht="15.75" thickBot="1" x14ac:dyDescent="0.3">
      <c r="A3" s="266" t="s">
        <v>146</v>
      </c>
      <c r="B3" s="266" t="s">
        <v>308</v>
      </c>
      <c r="C3" s="54" t="s">
        <v>309</v>
      </c>
    </row>
    <row r="4" spans="1:3" ht="15.75" thickBot="1" x14ac:dyDescent="0.3">
      <c r="A4" s="267"/>
      <c r="B4" s="267"/>
      <c r="C4" s="54" t="s">
        <v>310</v>
      </c>
    </row>
    <row r="5" spans="1:3" ht="15.75" thickBot="1" x14ac:dyDescent="0.3">
      <c r="A5" s="267"/>
      <c r="B5" s="267"/>
      <c r="C5" s="54" t="s">
        <v>311</v>
      </c>
    </row>
    <row r="6" spans="1:3" ht="15.75" thickBot="1" x14ac:dyDescent="0.3">
      <c r="A6" s="267"/>
      <c r="B6" s="267"/>
      <c r="C6" s="54" t="s">
        <v>312</v>
      </c>
    </row>
    <row r="7" spans="1:3" ht="15.75" thickBot="1" x14ac:dyDescent="0.3">
      <c r="A7" s="267"/>
      <c r="B7" s="267"/>
      <c r="C7" s="54" t="s">
        <v>313</v>
      </c>
    </row>
    <row r="8" spans="1:3" ht="15.75" thickBot="1" x14ac:dyDescent="0.3">
      <c r="A8" s="268"/>
      <c r="B8" s="268"/>
      <c r="C8" s="54" t="s">
        <v>314</v>
      </c>
    </row>
    <row r="9" spans="1:3" ht="15.75" thickBot="1" x14ac:dyDescent="0.3">
      <c r="A9" s="266" t="s">
        <v>23</v>
      </c>
      <c r="B9" s="266" t="s">
        <v>315</v>
      </c>
      <c r="C9" s="54" t="s">
        <v>316</v>
      </c>
    </row>
    <row r="10" spans="1:3" ht="15.75" thickBot="1" x14ac:dyDescent="0.3">
      <c r="A10" s="267"/>
      <c r="B10" s="267"/>
      <c r="C10" s="54" t="s">
        <v>317</v>
      </c>
    </row>
    <row r="11" spans="1:3" ht="15.75" thickBot="1" x14ac:dyDescent="0.3">
      <c r="A11" s="267"/>
      <c r="B11" s="267"/>
      <c r="C11" s="54" t="s">
        <v>318</v>
      </c>
    </row>
    <row r="12" spans="1:3" ht="15.75" thickBot="1" x14ac:dyDescent="0.3">
      <c r="A12" s="268"/>
      <c r="B12" s="268"/>
      <c r="C12" s="54" t="s">
        <v>319</v>
      </c>
    </row>
    <row r="13" spans="1:3" ht="30.75" thickBot="1" x14ac:dyDescent="0.3">
      <c r="A13" s="46" t="s">
        <v>213</v>
      </c>
      <c r="B13" s="54" t="s">
        <v>213</v>
      </c>
      <c r="C13" s="54" t="s">
        <v>213</v>
      </c>
    </row>
    <row r="14" spans="1:3" ht="15.75" thickBot="1" x14ac:dyDescent="0.3">
      <c r="A14" s="266" t="s">
        <v>10</v>
      </c>
      <c r="B14" s="266" t="s">
        <v>330</v>
      </c>
      <c r="C14" s="54" t="s">
        <v>320</v>
      </c>
    </row>
    <row r="15" spans="1:3" ht="15.75" thickBot="1" x14ac:dyDescent="0.3">
      <c r="A15" s="267"/>
      <c r="B15" s="267"/>
      <c r="C15" s="54" t="s">
        <v>321</v>
      </c>
    </row>
    <row r="16" spans="1:3" ht="15.75" thickBot="1" x14ac:dyDescent="0.3">
      <c r="A16" s="267"/>
      <c r="B16" s="267"/>
      <c r="C16" s="54" t="s">
        <v>322</v>
      </c>
    </row>
    <row r="17" spans="1:3" ht="15.75" thickBot="1" x14ac:dyDescent="0.3">
      <c r="A17" s="268"/>
      <c r="B17" s="268"/>
      <c r="C17" s="54" t="s">
        <v>323</v>
      </c>
    </row>
    <row r="18" spans="1:3" ht="15.75" thickBot="1" x14ac:dyDescent="0.3">
      <c r="A18" s="266" t="s">
        <v>22</v>
      </c>
      <c r="B18" s="266" t="s">
        <v>324</v>
      </c>
      <c r="C18" s="54" t="s">
        <v>325</v>
      </c>
    </row>
    <row r="19" spans="1:3" ht="15.75" thickBot="1" x14ac:dyDescent="0.3">
      <c r="A19" s="267"/>
      <c r="B19" s="267"/>
      <c r="C19" s="54" t="s">
        <v>326</v>
      </c>
    </row>
    <row r="20" spans="1:3" ht="15.75" thickBot="1" x14ac:dyDescent="0.3">
      <c r="A20" s="267"/>
      <c r="B20" s="267"/>
      <c r="C20" s="54" t="s">
        <v>327</v>
      </c>
    </row>
    <row r="21" spans="1:3" ht="15.75" thickBot="1" x14ac:dyDescent="0.3">
      <c r="A21" s="268"/>
      <c r="B21" s="268"/>
      <c r="C21" s="54" t="s">
        <v>331</v>
      </c>
    </row>
    <row r="22" spans="1:3" ht="15.75" thickBot="1" x14ac:dyDescent="0.3">
      <c r="A22" s="46" t="s">
        <v>222</v>
      </c>
      <c r="B22" s="54" t="s">
        <v>328</v>
      </c>
      <c r="C22" s="54" t="s">
        <v>222</v>
      </c>
    </row>
    <row r="23" spans="1:3" x14ac:dyDescent="0.25">
      <c r="A23" s="79"/>
      <c r="B23" s="79"/>
      <c r="C23" s="79"/>
    </row>
    <row r="24" spans="1:3" ht="45.75" customHeight="1" x14ac:dyDescent="0.25">
      <c r="A24" s="272" t="s">
        <v>332</v>
      </c>
      <c r="B24" s="273"/>
      <c r="C24" s="273"/>
    </row>
    <row r="25" spans="1:3" ht="16.5" thickBot="1" x14ac:dyDescent="0.3">
      <c r="A25" s="76"/>
      <c r="B25"/>
      <c r="C25"/>
    </row>
    <row r="26" spans="1:3" ht="15.75" thickBot="1" x14ac:dyDescent="0.3">
      <c r="A26" s="73" t="s">
        <v>226</v>
      </c>
      <c r="B26" s="74" t="s">
        <v>306</v>
      </c>
      <c r="C26" s="74" t="s">
        <v>307</v>
      </c>
    </row>
    <row r="27" spans="1:3" ht="15.75" thickBot="1" x14ac:dyDescent="0.3">
      <c r="A27" s="266" t="s">
        <v>145</v>
      </c>
      <c r="B27" s="266" t="s">
        <v>333</v>
      </c>
      <c r="C27" s="54" t="s">
        <v>334</v>
      </c>
    </row>
    <row r="28" spans="1:3" ht="15.75" thickBot="1" x14ac:dyDescent="0.3">
      <c r="A28" s="267"/>
      <c r="B28" s="267"/>
      <c r="C28" s="54" t="s">
        <v>335</v>
      </c>
    </row>
    <row r="29" spans="1:3" ht="15.75" thickBot="1" x14ac:dyDescent="0.3">
      <c r="A29" s="267"/>
      <c r="B29" s="267"/>
      <c r="C29" s="54" t="s">
        <v>336</v>
      </c>
    </row>
    <row r="30" spans="1:3" ht="15.75" thickBot="1" x14ac:dyDescent="0.3">
      <c r="A30" s="267"/>
      <c r="B30" s="267"/>
      <c r="C30" s="54" t="s">
        <v>28</v>
      </c>
    </row>
    <row r="31" spans="1:3" ht="15.75" thickBot="1" x14ac:dyDescent="0.3">
      <c r="A31" s="267"/>
      <c r="B31" s="267"/>
      <c r="C31" s="54" t="s">
        <v>26</v>
      </c>
    </row>
    <row r="32" spans="1:3" ht="15.75" thickBot="1" x14ac:dyDescent="0.3">
      <c r="A32" s="268"/>
      <c r="B32" s="268"/>
      <c r="C32" s="54" t="s">
        <v>337</v>
      </c>
    </row>
    <row r="33" spans="1:3" ht="15.75" x14ac:dyDescent="0.25">
      <c r="A33" s="76"/>
      <c r="B33"/>
      <c r="C33"/>
    </row>
    <row r="34" spans="1:3" ht="42" customHeight="1" x14ac:dyDescent="0.25">
      <c r="A34" s="272" t="s">
        <v>338</v>
      </c>
      <c r="B34" s="273"/>
      <c r="C34" s="273"/>
    </row>
    <row r="35" spans="1:3" ht="15.75" thickBot="1" x14ac:dyDescent="0.3">
      <c r="A35" s="44"/>
      <c r="B35"/>
      <c r="C35"/>
    </row>
    <row r="36" spans="1:3" ht="15.75" thickBot="1" x14ac:dyDescent="0.3">
      <c r="A36" s="73" t="s">
        <v>226</v>
      </c>
      <c r="B36" s="74" t="s">
        <v>306</v>
      </c>
      <c r="C36" s="74" t="s">
        <v>307</v>
      </c>
    </row>
    <row r="37" spans="1:3" ht="30.75" thickBot="1" x14ac:dyDescent="0.3">
      <c r="A37" s="46" t="s">
        <v>53</v>
      </c>
      <c r="B37" s="54" t="s">
        <v>339</v>
      </c>
      <c r="C37" s="54" t="s">
        <v>53</v>
      </c>
    </row>
    <row r="38" spans="1:3" ht="75" x14ac:dyDescent="0.25">
      <c r="A38" s="266" t="s">
        <v>64</v>
      </c>
      <c r="B38" s="75" t="s">
        <v>340</v>
      </c>
      <c r="C38" s="266" t="s">
        <v>64</v>
      </c>
    </row>
    <row r="39" spans="1:3" ht="30" x14ac:dyDescent="0.25">
      <c r="A39" s="267"/>
      <c r="B39" s="75" t="s">
        <v>341</v>
      </c>
      <c r="C39" s="267"/>
    </row>
    <row r="40" spans="1:3" ht="30" x14ac:dyDescent="0.25">
      <c r="A40" s="267"/>
      <c r="B40" s="75" t="s">
        <v>342</v>
      </c>
      <c r="C40" s="267"/>
    </row>
    <row r="41" spans="1:3" x14ac:dyDescent="0.25">
      <c r="A41" s="267"/>
      <c r="B41" s="75" t="s">
        <v>343</v>
      </c>
      <c r="C41" s="267"/>
    </row>
    <row r="42" spans="1:3" ht="15.75" thickBot="1" x14ac:dyDescent="0.3">
      <c r="A42" s="268"/>
      <c r="B42" s="54" t="s">
        <v>344</v>
      </c>
      <c r="C42" s="268"/>
    </row>
    <row r="43" spans="1:3" ht="135.75" thickBot="1" x14ac:dyDescent="0.3">
      <c r="A43" s="46" t="s">
        <v>56</v>
      </c>
      <c r="B43" s="54" t="s">
        <v>345</v>
      </c>
      <c r="C43" s="54" t="s">
        <v>56</v>
      </c>
    </row>
    <row r="44" spans="1:3" ht="75.75" thickBot="1" x14ac:dyDescent="0.3">
      <c r="A44" s="46" t="s">
        <v>138</v>
      </c>
      <c r="B44" s="54" t="s">
        <v>346</v>
      </c>
      <c r="C44" s="54" t="s">
        <v>138</v>
      </c>
    </row>
    <row r="45" spans="1:3" ht="15.75" thickBot="1" x14ac:dyDescent="0.3">
      <c r="A45" s="266" t="s">
        <v>57</v>
      </c>
      <c r="B45" s="266" t="s">
        <v>347</v>
      </c>
      <c r="C45" s="54" t="s">
        <v>348</v>
      </c>
    </row>
    <row r="46" spans="1:3" ht="15.75" thickBot="1" x14ac:dyDescent="0.3">
      <c r="A46" s="267"/>
      <c r="B46" s="267"/>
      <c r="C46" s="54" t="s">
        <v>321</v>
      </c>
    </row>
    <row r="47" spans="1:3" ht="15.75" thickBot="1" x14ac:dyDescent="0.3">
      <c r="A47" s="267"/>
      <c r="B47" s="267"/>
      <c r="C47" s="54" t="s">
        <v>316</v>
      </c>
    </row>
    <row r="48" spans="1:3" ht="15.75" thickBot="1" x14ac:dyDescent="0.3">
      <c r="A48" s="267"/>
      <c r="B48" s="267"/>
      <c r="C48" s="54" t="s">
        <v>349</v>
      </c>
    </row>
    <row r="49" spans="1:3" ht="15.75" thickBot="1" x14ac:dyDescent="0.3">
      <c r="A49" s="268"/>
      <c r="B49" s="268"/>
      <c r="C49" s="54" t="s">
        <v>350</v>
      </c>
    </row>
    <row r="50" spans="1:3" ht="60.75" thickBot="1" x14ac:dyDescent="0.3">
      <c r="A50" s="46" t="s">
        <v>55</v>
      </c>
      <c r="B50" s="54" t="s">
        <v>351</v>
      </c>
      <c r="C50" s="54" t="s">
        <v>55</v>
      </c>
    </row>
    <row r="51" spans="1:3" ht="30" x14ac:dyDescent="0.25">
      <c r="A51" s="266" t="s">
        <v>52</v>
      </c>
      <c r="B51" s="75" t="s">
        <v>352</v>
      </c>
      <c r="C51" s="266" t="s">
        <v>52</v>
      </c>
    </row>
    <row r="52" spans="1:3" ht="45.75" thickBot="1" x14ac:dyDescent="0.3">
      <c r="A52" s="268"/>
      <c r="B52" s="54" t="s">
        <v>353</v>
      </c>
      <c r="C52" s="268"/>
    </row>
    <row r="53" spans="1:3" ht="45.75" thickBot="1" x14ac:dyDescent="0.3">
      <c r="A53" s="46" t="s">
        <v>18</v>
      </c>
      <c r="B53" s="54" t="s">
        <v>354</v>
      </c>
      <c r="C53" s="54" t="s">
        <v>18</v>
      </c>
    </row>
    <row r="54" spans="1:3" ht="30.75" thickBot="1" x14ac:dyDescent="0.3">
      <c r="A54" s="46" t="s">
        <v>144</v>
      </c>
      <c r="B54" s="54" t="s">
        <v>355</v>
      </c>
      <c r="C54" s="54" t="s">
        <v>356</v>
      </c>
    </row>
    <row r="55" spans="1:3" ht="15.75" x14ac:dyDescent="0.25">
      <c r="A55" s="76"/>
      <c r="B55"/>
      <c r="C55"/>
    </row>
    <row r="56" spans="1:3" ht="39" customHeight="1" x14ac:dyDescent="0.25">
      <c r="A56" s="272" t="s">
        <v>357</v>
      </c>
      <c r="B56" s="273"/>
      <c r="C56" s="273"/>
    </row>
    <row r="57" spans="1:3" ht="16.5" thickBot="1" x14ac:dyDescent="0.3">
      <c r="A57" s="76"/>
      <c r="B57"/>
      <c r="C57"/>
    </row>
    <row r="58" spans="1:3" ht="15.75" thickBot="1" x14ac:dyDescent="0.3">
      <c r="A58" s="73" t="s">
        <v>226</v>
      </c>
      <c r="B58" s="74" t="s">
        <v>306</v>
      </c>
      <c r="C58" s="74" t="s">
        <v>307</v>
      </c>
    </row>
    <row r="59" spans="1:3" ht="15.75" thickBot="1" x14ac:dyDescent="0.3">
      <c r="A59" s="46" t="s">
        <v>158</v>
      </c>
      <c r="B59" s="54" t="s">
        <v>358</v>
      </c>
      <c r="C59" s="54" t="s">
        <v>359</v>
      </c>
    </row>
    <row r="60" spans="1:3" ht="30" x14ac:dyDescent="0.25">
      <c r="A60" s="266" t="s">
        <v>45</v>
      </c>
      <c r="B60" s="75" t="s">
        <v>360</v>
      </c>
      <c r="C60" s="266" t="s">
        <v>367</v>
      </c>
    </row>
    <row r="61" spans="1:3" x14ac:dyDescent="0.25">
      <c r="A61" s="267"/>
      <c r="B61" s="75" t="s">
        <v>361</v>
      </c>
      <c r="C61" s="267"/>
    </row>
    <row r="62" spans="1:3" x14ac:dyDescent="0.25">
      <c r="A62" s="267"/>
      <c r="B62" s="75" t="s">
        <v>362</v>
      </c>
      <c r="C62" s="267"/>
    </row>
    <row r="63" spans="1:3" ht="15.75" thickBot="1" x14ac:dyDescent="0.3">
      <c r="A63" s="267"/>
      <c r="B63" s="75" t="s">
        <v>363</v>
      </c>
      <c r="C63" s="268"/>
    </row>
    <row r="64" spans="1:3" ht="15.75" thickBot="1" x14ac:dyDescent="0.3">
      <c r="A64" s="267"/>
      <c r="B64" s="75" t="s">
        <v>364</v>
      </c>
      <c r="C64" s="54" t="s">
        <v>368</v>
      </c>
    </row>
    <row r="65" spans="1:3" ht="30.75" thickBot="1" x14ac:dyDescent="0.3">
      <c r="A65" s="267"/>
      <c r="B65" s="75" t="s">
        <v>365</v>
      </c>
      <c r="C65" s="54" t="s">
        <v>369</v>
      </c>
    </row>
    <row r="66" spans="1:3" ht="75.75" thickBot="1" x14ac:dyDescent="0.3">
      <c r="A66" s="268"/>
      <c r="B66" s="54" t="s">
        <v>366</v>
      </c>
      <c r="C66" s="54" t="s">
        <v>370</v>
      </c>
    </row>
    <row r="67" spans="1:3" ht="90.75" thickBot="1" x14ac:dyDescent="0.3">
      <c r="A67" s="46" t="s">
        <v>48</v>
      </c>
      <c r="B67" s="54" t="s">
        <v>371</v>
      </c>
      <c r="C67" s="54" t="s">
        <v>48</v>
      </c>
    </row>
    <row r="68" spans="1:3" ht="30.75" thickBot="1" x14ac:dyDescent="0.3">
      <c r="A68" s="46" t="s">
        <v>163</v>
      </c>
      <c r="B68" s="54" t="s">
        <v>372</v>
      </c>
      <c r="C68" s="54" t="s">
        <v>163</v>
      </c>
    </row>
    <row r="69" spans="1:3" ht="15.75" thickBot="1" x14ac:dyDescent="0.3">
      <c r="A69" s="266" t="s">
        <v>46</v>
      </c>
      <c r="B69" s="75" t="s">
        <v>373</v>
      </c>
      <c r="C69" s="54" t="s">
        <v>375</v>
      </c>
    </row>
    <row r="70" spans="1:3" ht="90.75" thickBot="1" x14ac:dyDescent="0.3">
      <c r="A70" s="268"/>
      <c r="B70" s="54" t="s">
        <v>374</v>
      </c>
      <c r="C70" s="54" t="s">
        <v>376</v>
      </c>
    </row>
    <row r="71" spans="1:3" ht="15.75" x14ac:dyDescent="0.25">
      <c r="A71" s="76"/>
      <c r="B71"/>
      <c r="C71"/>
    </row>
    <row r="72" spans="1:3" ht="53.25" customHeight="1" x14ac:dyDescent="0.25">
      <c r="A72" s="272" t="s">
        <v>377</v>
      </c>
      <c r="B72" s="273"/>
      <c r="C72" s="273"/>
    </row>
    <row r="73" spans="1:3" ht="16.5" thickBot="1" x14ac:dyDescent="0.3">
      <c r="A73" s="76"/>
      <c r="B73"/>
      <c r="C73"/>
    </row>
    <row r="74" spans="1:3" ht="15.75" thickBot="1" x14ac:dyDescent="0.3">
      <c r="A74" s="73" t="s">
        <v>226</v>
      </c>
      <c r="B74" s="77" t="s">
        <v>306</v>
      </c>
      <c r="C74" s="74" t="s">
        <v>307</v>
      </c>
    </row>
    <row r="75" spans="1:3" ht="15.75" thickBot="1" x14ac:dyDescent="0.3">
      <c r="A75" s="266" t="s">
        <v>49</v>
      </c>
      <c r="B75" s="269" t="s">
        <v>378</v>
      </c>
      <c r="C75" s="54" t="s">
        <v>379</v>
      </c>
    </row>
    <row r="76" spans="1:3" ht="15.75" thickBot="1" x14ac:dyDescent="0.3">
      <c r="A76" s="267"/>
      <c r="B76" s="270"/>
      <c r="C76" s="54" t="s">
        <v>380</v>
      </c>
    </row>
    <row r="77" spans="1:3" ht="15.75" thickBot="1" x14ac:dyDescent="0.3">
      <c r="A77" s="267"/>
      <c r="B77" s="270"/>
      <c r="C77" s="54" t="s">
        <v>10</v>
      </c>
    </row>
    <row r="78" spans="1:3" ht="15.75" thickBot="1" x14ac:dyDescent="0.3">
      <c r="A78" s="268"/>
      <c r="B78" s="271"/>
      <c r="C78" s="54" t="s">
        <v>381</v>
      </c>
    </row>
    <row r="79" spans="1:3" ht="15.75" thickBot="1" x14ac:dyDescent="0.3">
      <c r="A79" s="266" t="s">
        <v>50</v>
      </c>
      <c r="B79" s="269" t="s">
        <v>382</v>
      </c>
      <c r="C79" s="54" t="s">
        <v>383</v>
      </c>
    </row>
    <row r="80" spans="1:3" ht="15.75" thickBot="1" x14ac:dyDescent="0.3">
      <c r="A80" s="267"/>
      <c r="B80" s="270"/>
      <c r="C80" s="54" t="s">
        <v>384</v>
      </c>
    </row>
    <row r="81" spans="1:3" ht="15.75" thickBot="1" x14ac:dyDescent="0.3">
      <c r="A81" s="268"/>
      <c r="B81" s="271"/>
      <c r="C81" s="54" t="s">
        <v>312</v>
      </c>
    </row>
    <row r="82" spans="1:3" ht="15.75" thickBot="1" x14ac:dyDescent="0.3">
      <c r="A82" s="266" t="s">
        <v>16</v>
      </c>
      <c r="B82" s="269" t="s">
        <v>385</v>
      </c>
      <c r="C82" s="54" t="s">
        <v>386</v>
      </c>
    </row>
    <row r="83" spans="1:3" ht="15.75" thickBot="1" x14ac:dyDescent="0.3">
      <c r="A83" s="267"/>
      <c r="B83" s="270"/>
      <c r="C83" s="54" t="s">
        <v>387</v>
      </c>
    </row>
    <row r="84" spans="1:3" ht="15.75" thickBot="1" x14ac:dyDescent="0.3">
      <c r="A84" s="267"/>
      <c r="B84" s="270"/>
      <c r="C84" s="54" t="s">
        <v>388</v>
      </c>
    </row>
    <row r="85" spans="1:3" ht="15.75" thickBot="1" x14ac:dyDescent="0.3">
      <c r="A85" s="268"/>
      <c r="B85" s="271"/>
      <c r="C85" s="54" t="s">
        <v>389</v>
      </c>
    </row>
    <row r="86" spans="1:3" ht="15.75" x14ac:dyDescent="0.25">
      <c r="A86" s="76"/>
      <c r="B86"/>
      <c r="C86"/>
    </row>
    <row r="87" spans="1:3" ht="22.5" customHeight="1" x14ac:dyDescent="0.25">
      <c r="A87" s="272" t="s">
        <v>390</v>
      </c>
      <c r="B87" s="273"/>
      <c r="C87" s="273"/>
    </row>
    <row r="88" spans="1:3" ht="16.5" thickBot="1" x14ac:dyDescent="0.3">
      <c r="A88" s="76"/>
      <c r="B88"/>
      <c r="C88"/>
    </row>
    <row r="89" spans="1:3" ht="15.75" thickBot="1" x14ac:dyDescent="0.3">
      <c r="A89" s="73" t="s">
        <v>226</v>
      </c>
      <c r="B89" s="74" t="s">
        <v>306</v>
      </c>
      <c r="C89" s="74" t="s">
        <v>307</v>
      </c>
    </row>
    <row r="90" spans="1:3" ht="30.75" thickBot="1" x14ac:dyDescent="0.3">
      <c r="A90" s="266" t="s">
        <v>30</v>
      </c>
      <c r="B90" s="266" t="s">
        <v>391</v>
      </c>
      <c r="C90" s="54" t="s">
        <v>392</v>
      </c>
    </row>
    <row r="91" spans="1:3" ht="15.75" thickBot="1" x14ac:dyDescent="0.3">
      <c r="A91" s="267"/>
      <c r="B91" s="267"/>
      <c r="C91" s="54" t="s">
        <v>393</v>
      </c>
    </row>
    <row r="92" spans="1:3" ht="15.75" thickBot="1" x14ac:dyDescent="0.3">
      <c r="A92" s="267"/>
      <c r="B92" s="267"/>
      <c r="C92" s="54" t="s">
        <v>394</v>
      </c>
    </row>
    <row r="93" spans="1:3" ht="15.75" thickBot="1" x14ac:dyDescent="0.3">
      <c r="A93" s="267"/>
      <c r="B93" s="267"/>
      <c r="C93" s="54" t="s">
        <v>395</v>
      </c>
    </row>
    <row r="94" spans="1:3" ht="15.75" thickBot="1" x14ac:dyDescent="0.3">
      <c r="A94" s="268"/>
      <c r="B94" s="268"/>
      <c r="C94" s="54" t="s">
        <v>396</v>
      </c>
    </row>
    <row r="95" spans="1:3" ht="15.75" thickBot="1" x14ac:dyDescent="0.3">
      <c r="A95" s="266" t="s">
        <v>32</v>
      </c>
      <c r="B95" s="266" t="s">
        <v>397</v>
      </c>
      <c r="C95" s="54" t="s">
        <v>398</v>
      </c>
    </row>
    <row r="96" spans="1:3" ht="15.75" thickBot="1" x14ac:dyDescent="0.3">
      <c r="A96" s="267"/>
      <c r="B96" s="267"/>
      <c r="C96" s="54" t="s">
        <v>399</v>
      </c>
    </row>
    <row r="97" spans="1:3" ht="15.75" thickBot="1" x14ac:dyDescent="0.3">
      <c r="A97" s="267"/>
      <c r="B97" s="267"/>
      <c r="C97" s="78" t="s">
        <v>400</v>
      </c>
    </row>
    <row r="98" spans="1:3" ht="15.75" thickBot="1" x14ac:dyDescent="0.3">
      <c r="A98" s="268"/>
      <c r="B98" s="268"/>
      <c r="C98" s="54" t="s">
        <v>401</v>
      </c>
    </row>
    <row r="99" spans="1:3" ht="15.75" thickBot="1" x14ac:dyDescent="0.3">
      <c r="A99" s="266" t="s">
        <v>34</v>
      </c>
      <c r="B99" s="266" t="s">
        <v>402</v>
      </c>
      <c r="C99" s="54" t="s">
        <v>403</v>
      </c>
    </row>
    <row r="100" spans="1:3" ht="27" customHeight="1" thickBot="1" x14ac:dyDescent="0.3">
      <c r="A100" s="267"/>
      <c r="B100" s="267"/>
      <c r="C100" s="54" t="s">
        <v>404</v>
      </c>
    </row>
    <row r="101" spans="1:3" ht="40.5" customHeight="1" thickBot="1" x14ac:dyDescent="0.3">
      <c r="A101" s="268"/>
      <c r="B101" s="268"/>
      <c r="C101" s="54" t="s">
        <v>405</v>
      </c>
    </row>
    <row r="102" spans="1:3" ht="45.75" thickBot="1" x14ac:dyDescent="0.3">
      <c r="A102" s="266" t="s">
        <v>38</v>
      </c>
      <c r="B102" s="266" t="s">
        <v>406</v>
      </c>
      <c r="C102" s="54" t="s">
        <v>407</v>
      </c>
    </row>
    <row r="103" spans="1:3" ht="15.75" thickBot="1" x14ac:dyDescent="0.3">
      <c r="A103" s="267"/>
      <c r="B103" s="267"/>
      <c r="C103" s="54" t="s">
        <v>408</v>
      </c>
    </row>
    <row r="104" spans="1:3" ht="30.75" thickBot="1" x14ac:dyDescent="0.3">
      <c r="A104" s="267"/>
      <c r="B104" s="267"/>
      <c r="C104" s="54" t="s">
        <v>409</v>
      </c>
    </row>
    <row r="105" spans="1:3" ht="15.75" thickBot="1" x14ac:dyDescent="0.3">
      <c r="A105" s="267"/>
      <c r="B105" s="267"/>
      <c r="C105" s="54" t="s">
        <v>410</v>
      </c>
    </row>
    <row r="106" spans="1:3" ht="15.75" thickBot="1" x14ac:dyDescent="0.3">
      <c r="A106" s="267"/>
      <c r="B106" s="267"/>
      <c r="C106" s="54" t="s">
        <v>411</v>
      </c>
    </row>
    <row r="107" spans="1:3" ht="15.75" thickBot="1" x14ac:dyDescent="0.3">
      <c r="A107" s="267"/>
      <c r="B107" s="267"/>
      <c r="C107" s="54" t="s">
        <v>412</v>
      </c>
    </row>
    <row r="108" spans="1:3" ht="15.75" thickBot="1" x14ac:dyDescent="0.3">
      <c r="A108" s="267"/>
      <c r="B108" s="267"/>
      <c r="C108" s="54" t="s">
        <v>413</v>
      </c>
    </row>
    <row r="109" spans="1:3" ht="30.75" thickBot="1" x14ac:dyDescent="0.3">
      <c r="A109" s="268"/>
      <c r="B109" s="268"/>
      <c r="C109" s="54" t="s">
        <v>414</v>
      </c>
    </row>
    <row r="110" spans="1:3" ht="15.75" thickBot="1" x14ac:dyDescent="0.3">
      <c r="A110" s="266" t="s">
        <v>37</v>
      </c>
      <c r="B110" s="266" t="s">
        <v>415</v>
      </c>
      <c r="C110" s="54" t="s">
        <v>416</v>
      </c>
    </row>
    <row r="111" spans="1:3" ht="15.75" thickBot="1" x14ac:dyDescent="0.3">
      <c r="A111" s="267"/>
      <c r="B111" s="267"/>
      <c r="C111" s="54" t="s">
        <v>417</v>
      </c>
    </row>
    <row r="112" spans="1:3" ht="15.75" thickBot="1" x14ac:dyDescent="0.3">
      <c r="A112" s="268"/>
      <c r="B112" s="268"/>
      <c r="C112" s="54" t="s">
        <v>418</v>
      </c>
    </row>
    <row r="113" spans="1:3" ht="15.75" thickBot="1" x14ac:dyDescent="0.3">
      <c r="A113" s="266" t="s">
        <v>39</v>
      </c>
      <c r="B113" s="266" t="s">
        <v>419</v>
      </c>
      <c r="C113" s="54" t="s">
        <v>420</v>
      </c>
    </row>
    <row r="114" spans="1:3" ht="15.75" thickBot="1" x14ac:dyDescent="0.3">
      <c r="A114" s="267"/>
      <c r="B114" s="267"/>
      <c r="C114" s="54" t="s">
        <v>421</v>
      </c>
    </row>
    <row r="115" spans="1:3" ht="15.75" thickBot="1" x14ac:dyDescent="0.3">
      <c r="A115" s="267"/>
      <c r="B115" s="267"/>
      <c r="C115" s="54" t="s">
        <v>422</v>
      </c>
    </row>
    <row r="116" spans="1:3" ht="15.75" thickBot="1" x14ac:dyDescent="0.3">
      <c r="A116" s="268"/>
      <c r="B116" s="268"/>
      <c r="C116" s="54" t="s">
        <v>423</v>
      </c>
    </row>
    <row r="117" spans="1:3" ht="15.75" thickBot="1" x14ac:dyDescent="0.3">
      <c r="A117" s="266" t="s">
        <v>33</v>
      </c>
      <c r="B117" s="266" t="s">
        <v>424</v>
      </c>
      <c r="C117" s="54" t="s">
        <v>425</v>
      </c>
    </row>
    <row r="118" spans="1:3" ht="15.75" thickBot="1" x14ac:dyDescent="0.3">
      <c r="A118" s="267"/>
      <c r="B118" s="267"/>
      <c r="C118" s="54" t="s">
        <v>426</v>
      </c>
    </row>
    <row r="119" spans="1:3" ht="15.75" thickBot="1" x14ac:dyDescent="0.3">
      <c r="A119" s="267"/>
      <c r="B119" s="267"/>
      <c r="C119" s="54" t="s">
        <v>427</v>
      </c>
    </row>
    <row r="120" spans="1:3" ht="15.75" thickBot="1" x14ac:dyDescent="0.3">
      <c r="A120" s="267"/>
      <c r="B120" s="267"/>
      <c r="C120" s="54" t="s">
        <v>428</v>
      </c>
    </row>
    <row r="121" spans="1:3" ht="15.75" thickBot="1" x14ac:dyDescent="0.3">
      <c r="A121" s="267"/>
      <c r="B121" s="267"/>
      <c r="C121" s="54" t="s">
        <v>429</v>
      </c>
    </row>
    <row r="122" spans="1:3" x14ac:dyDescent="0.25">
      <c r="A122" s="267"/>
      <c r="B122" s="267"/>
      <c r="C122" s="75" t="s">
        <v>430</v>
      </c>
    </row>
    <row r="123" spans="1:3" ht="15.75" thickBot="1" x14ac:dyDescent="0.3">
      <c r="A123" s="267"/>
      <c r="B123" s="267"/>
      <c r="C123" s="54" t="s">
        <v>431</v>
      </c>
    </row>
    <row r="124" spans="1:3" ht="15.75" thickBot="1" x14ac:dyDescent="0.3">
      <c r="A124" s="268"/>
      <c r="B124" s="268"/>
      <c r="C124" s="54" t="s">
        <v>432</v>
      </c>
    </row>
    <row r="125" spans="1:3" x14ac:dyDescent="0.25">
      <c r="A125" s="79"/>
      <c r="B125" s="79"/>
      <c r="C125" s="79"/>
    </row>
    <row r="126" spans="1:3" ht="50.25" customHeight="1" x14ac:dyDescent="0.25">
      <c r="A126" s="272" t="s">
        <v>433</v>
      </c>
      <c r="B126" s="273"/>
      <c r="C126" s="273"/>
    </row>
    <row r="127" spans="1:3" ht="16.5" thickBot="1" x14ac:dyDescent="0.3">
      <c r="A127" s="76"/>
      <c r="B127"/>
      <c r="C127"/>
    </row>
    <row r="128" spans="1:3" ht="15.75" thickBot="1" x14ac:dyDescent="0.3">
      <c r="A128" s="73" t="s">
        <v>226</v>
      </c>
      <c r="B128" s="74" t="s">
        <v>306</v>
      </c>
      <c r="C128" s="74" t="s">
        <v>307</v>
      </c>
    </row>
    <row r="129" spans="1:3" ht="15.75" thickBot="1" x14ac:dyDescent="0.3">
      <c r="A129" s="266" t="s">
        <v>60</v>
      </c>
      <c r="B129" s="266" t="s">
        <v>434</v>
      </c>
      <c r="C129" s="54" t="s">
        <v>435</v>
      </c>
    </row>
    <row r="130" spans="1:3" ht="15.75" thickBot="1" x14ac:dyDescent="0.3">
      <c r="A130" s="267"/>
      <c r="B130" s="267"/>
      <c r="C130" s="54" t="s">
        <v>436</v>
      </c>
    </row>
    <row r="131" spans="1:3" ht="15.75" thickBot="1" x14ac:dyDescent="0.3">
      <c r="A131" s="267"/>
      <c r="B131" s="267"/>
      <c r="C131" s="54" t="s">
        <v>437</v>
      </c>
    </row>
    <row r="132" spans="1:3" ht="15.75" thickBot="1" x14ac:dyDescent="0.3">
      <c r="A132" s="267"/>
      <c r="B132" s="267"/>
      <c r="C132" s="54" t="s">
        <v>438</v>
      </c>
    </row>
    <row r="133" spans="1:3" ht="30.75" thickBot="1" x14ac:dyDescent="0.3">
      <c r="A133" s="268"/>
      <c r="B133" s="268"/>
      <c r="C133" s="54" t="s">
        <v>439</v>
      </c>
    </row>
    <row r="134" spans="1:3" ht="15.75" thickBot="1" x14ac:dyDescent="0.3">
      <c r="A134" s="266" t="s">
        <v>62</v>
      </c>
      <c r="B134" s="266" t="s">
        <v>440</v>
      </c>
      <c r="C134" s="54" t="s">
        <v>441</v>
      </c>
    </row>
    <row r="135" spans="1:3" ht="15.75" thickBot="1" x14ac:dyDescent="0.3">
      <c r="A135" s="267"/>
      <c r="B135" s="267"/>
      <c r="C135" s="54" t="s">
        <v>442</v>
      </c>
    </row>
    <row r="136" spans="1:3" ht="15.75" thickBot="1" x14ac:dyDescent="0.3">
      <c r="A136" s="267"/>
      <c r="B136" s="267"/>
      <c r="C136" s="54" t="s">
        <v>443</v>
      </c>
    </row>
    <row r="137" spans="1:3" ht="15.75" thickBot="1" x14ac:dyDescent="0.3">
      <c r="A137" s="267"/>
      <c r="B137" s="267"/>
      <c r="C137" s="54" t="s">
        <v>444</v>
      </c>
    </row>
    <row r="138" spans="1:3" ht="15.75" thickBot="1" x14ac:dyDescent="0.3">
      <c r="A138" s="267"/>
      <c r="B138" s="267"/>
      <c r="C138" s="54" t="s">
        <v>445</v>
      </c>
    </row>
    <row r="139" spans="1:3" ht="15.75" thickBot="1" x14ac:dyDescent="0.3">
      <c r="A139" s="267"/>
      <c r="B139" s="267"/>
      <c r="C139" s="54" t="s">
        <v>446</v>
      </c>
    </row>
    <row r="140" spans="1:3" ht="15.75" thickBot="1" x14ac:dyDescent="0.3">
      <c r="A140" s="267"/>
      <c r="B140" s="267"/>
      <c r="C140" s="54" t="s">
        <v>447</v>
      </c>
    </row>
    <row r="141" spans="1:3" ht="15.75" thickBot="1" x14ac:dyDescent="0.3">
      <c r="A141" s="267"/>
      <c r="B141" s="267"/>
      <c r="C141" s="54" t="s">
        <v>448</v>
      </c>
    </row>
    <row r="142" spans="1:3" ht="15.75" thickBot="1" x14ac:dyDescent="0.3">
      <c r="A142" s="268"/>
      <c r="B142" s="268"/>
      <c r="C142" s="54" t="s">
        <v>449</v>
      </c>
    </row>
    <row r="143" spans="1:3" ht="15.75" thickBot="1" x14ac:dyDescent="0.3">
      <c r="A143" s="266" t="s">
        <v>63</v>
      </c>
      <c r="B143" s="266" t="s">
        <v>450</v>
      </c>
      <c r="C143" s="54" t="s">
        <v>451</v>
      </c>
    </row>
    <row r="144" spans="1:3" ht="15.75" thickBot="1" x14ac:dyDescent="0.3">
      <c r="A144" s="267"/>
      <c r="B144" s="267"/>
      <c r="C144" s="54" t="s">
        <v>452</v>
      </c>
    </row>
    <row r="145" spans="1:3" ht="15.75" thickBot="1" x14ac:dyDescent="0.3">
      <c r="A145" s="267"/>
      <c r="B145" s="267"/>
      <c r="C145" s="54" t="s">
        <v>453</v>
      </c>
    </row>
    <row r="146" spans="1:3" ht="15.75" thickBot="1" x14ac:dyDescent="0.3">
      <c r="A146" s="267"/>
      <c r="B146" s="267"/>
      <c r="C146" s="54" t="s">
        <v>454</v>
      </c>
    </row>
    <row r="147" spans="1:3" ht="15.75" thickBot="1" x14ac:dyDescent="0.3">
      <c r="A147" s="267"/>
      <c r="B147" s="267"/>
      <c r="C147" s="54" t="s">
        <v>455</v>
      </c>
    </row>
    <row r="148" spans="1:3" ht="15.75" thickBot="1" x14ac:dyDescent="0.3">
      <c r="A148" s="267"/>
      <c r="B148" s="267"/>
      <c r="C148" s="54" t="s">
        <v>456</v>
      </c>
    </row>
    <row r="149" spans="1:3" ht="15.75" thickBot="1" x14ac:dyDescent="0.3">
      <c r="A149" s="267"/>
      <c r="B149" s="267"/>
      <c r="C149" s="54" t="s">
        <v>457</v>
      </c>
    </row>
    <row r="150" spans="1:3" ht="15.75" thickBot="1" x14ac:dyDescent="0.3">
      <c r="A150" s="267"/>
      <c r="B150" s="267"/>
      <c r="C150" s="54" t="s">
        <v>458</v>
      </c>
    </row>
    <row r="151" spans="1:3" ht="15.75" thickBot="1" x14ac:dyDescent="0.3">
      <c r="A151" s="268"/>
      <c r="B151" s="268"/>
      <c r="C151" s="54" t="s">
        <v>40</v>
      </c>
    </row>
    <row r="152" spans="1:3" ht="15.75" thickBot="1" x14ac:dyDescent="0.3">
      <c r="A152" s="266" t="s">
        <v>59</v>
      </c>
      <c r="B152" s="266" t="s">
        <v>459</v>
      </c>
      <c r="C152" s="54" t="s">
        <v>460</v>
      </c>
    </row>
    <row r="153" spans="1:3" ht="15.75" thickBot="1" x14ac:dyDescent="0.3">
      <c r="A153" s="267"/>
      <c r="B153" s="267"/>
      <c r="C153" s="54" t="s">
        <v>461</v>
      </c>
    </row>
    <row r="154" spans="1:3" ht="15.75" thickBot="1" x14ac:dyDescent="0.3">
      <c r="A154" s="268"/>
      <c r="B154" s="268"/>
      <c r="C154" s="54" t="s">
        <v>462</v>
      </c>
    </row>
    <row r="155" spans="1:3" ht="15.75" thickBot="1" x14ac:dyDescent="0.3">
      <c r="A155" s="266" t="s">
        <v>61</v>
      </c>
      <c r="B155" s="266" t="s">
        <v>463</v>
      </c>
      <c r="C155" s="54" t="s">
        <v>464</v>
      </c>
    </row>
    <row r="156" spans="1:3" ht="15.75" thickBot="1" x14ac:dyDescent="0.3">
      <c r="A156" s="268"/>
      <c r="B156" s="268"/>
      <c r="C156" s="54" t="s">
        <v>465</v>
      </c>
    </row>
    <row r="157" spans="1:3" ht="30.75" thickBot="1" x14ac:dyDescent="0.3">
      <c r="A157" s="46" t="s">
        <v>58</v>
      </c>
      <c r="B157" s="54" t="s">
        <v>466</v>
      </c>
      <c r="C157" s="54" t="s">
        <v>58</v>
      </c>
    </row>
    <row r="158" spans="1:3" ht="15.75" thickBot="1" x14ac:dyDescent="0.3">
      <c r="A158" s="46" t="s">
        <v>12</v>
      </c>
      <c r="B158" s="54" t="s">
        <v>467</v>
      </c>
      <c r="C158" s="54" t="s">
        <v>12</v>
      </c>
    </row>
    <row r="159" spans="1:3" ht="15.75" x14ac:dyDescent="0.25">
      <c r="A159" s="76"/>
      <c r="B159"/>
      <c r="C159"/>
    </row>
    <row r="160" spans="1:3" ht="36.75" customHeight="1" x14ac:dyDescent="0.25">
      <c r="A160" s="272" t="s">
        <v>468</v>
      </c>
      <c r="B160" s="273"/>
      <c r="C160" s="273"/>
    </row>
    <row r="161" spans="1:3" ht="16.5" thickBot="1" x14ac:dyDescent="0.3">
      <c r="A161" s="76"/>
      <c r="B161"/>
      <c r="C161"/>
    </row>
    <row r="162" spans="1:3" ht="15.75" thickBot="1" x14ac:dyDescent="0.3">
      <c r="A162" s="73" t="s">
        <v>226</v>
      </c>
      <c r="B162" s="74" t="s">
        <v>306</v>
      </c>
      <c r="C162" s="74" t="s">
        <v>307</v>
      </c>
    </row>
    <row r="163" spans="1:3" ht="30.75" thickBot="1" x14ac:dyDescent="0.3">
      <c r="A163" s="46" t="s">
        <v>44</v>
      </c>
      <c r="B163" s="54" t="s">
        <v>469</v>
      </c>
      <c r="C163" s="54" t="s">
        <v>44</v>
      </c>
    </row>
    <row r="164" spans="1:3" ht="30.75" thickBot="1" x14ac:dyDescent="0.3">
      <c r="A164" s="46" t="s">
        <v>42</v>
      </c>
      <c r="B164" s="54" t="s">
        <v>470</v>
      </c>
      <c r="C164" s="54" t="s">
        <v>42</v>
      </c>
    </row>
    <row r="165" spans="1:3" ht="15.75" thickBot="1" x14ac:dyDescent="0.3">
      <c r="A165" s="46" t="s">
        <v>41</v>
      </c>
      <c r="B165" s="54" t="s">
        <v>471</v>
      </c>
      <c r="C165" s="54" t="s">
        <v>41</v>
      </c>
    </row>
    <row r="166" spans="1:3" ht="15.75" thickBot="1" x14ac:dyDescent="0.3">
      <c r="A166" s="46" t="s">
        <v>43</v>
      </c>
      <c r="B166" s="54" t="s">
        <v>472</v>
      </c>
      <c r="C166" s="54" t="s">
        <v>43</v>
      </c>
    </row>
    <row r="167" spans="1:3" ht="30.75" thickBot="1" x14ac:dyDescent="0.3">
      <c r="A167" s="46" t="s">
        <v>40</v>
      </c>
      <c r="B167" s="54" t="s">
        <v>473</v>
      </c>
      <c r="C167" s="54"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51</vt:i4>
      </vt:variant>
    </vt:vector>
  </HeadingPairs>
  <TitlesOfParts>
    <vt:vector size="90"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MR-1</vt:lpstr>
      <vt:lpstr>MR-2</vt:lpstr>
      <vt:lpstr>MR-3</vt:lpstr>
      <vt:lpstr>MR-4</vt:lpstr>
      <vt:lpstr>MR-5</vt:lpstr>
      <vt:lpstr>MR-6</vt:lpstr>
      <vt:lpstr>MR-7</vt:lpstr>
      <vt:lpstr>MR-8</vt:lpstr>
      <vt:lpstr>MR-9</vt:lpstr>
      <vt:lpstr>MR-12</vt:lpstr>
      <vt:lpstr>MR-13</vt:lpstr>
      <vt:lpstr>MR-14</vt:lpstr>
      <vt:lpstr>MR-15</vt:lpstr>
      <vt:lpstr>5</vt:lpstr>
      <vt:lpstr>6</vt:lpstr>
      <vt:lpstr>7</vt:lpstr>
      <vt:lpstr>8</vt:lpstr>
      <vt:lpstr>9</vt:lpstr>
      <vt:lpstr>10</vt:lpstr>
      <vt:lpstr>11</vt:lpstr>
      <vt:lpstr>12</vt:lpstr>
      <vt:lpstr>13</vt:lpstr>
      <vt:lpstr>14</vt:lpstr>
      <vt:lpstr>15</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'10'!Print_Area</vt:lpstr>
      <vt:lpstr>'11'!Print_Area</vt:lpstr>
      <vt:lpstr>'12'!Print_Area</vt:lpstr>
      <vt:lpstr>'13'!Print_Area</vt:lpstr>
      <vt:lpstr>'14'!Print_Area</vt:lpstr>
      <vt:lpstr>'15'!Print_Area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'MR-1'!Print_Area</vt:lpstr>
      <vt:lpstr>'MR-12'!Print_Area</vt:lpstr>
      <vt:lpstr>'MR-13'!Print_Area</vt:lpstr>
      <vt:lpstr>'MR-14'!Print_Area</vt:lpstr>
      <vt:lpstr>'MR-15'!Print_Area</vt:lpstr>
      <vt:lpstr>'MR-3'!Print_Area</vt:lpstr>
      <vt:lpstr>'MR-4'!Print_Area</vt:lpstr>
      <vt:lpstr>'MR-5'!Print_Area</vt:lpstr>
      <vt:lpstr>'MR-6'!Print_Area</vt:lpstr>
      <vt:lpstr>'MR-7'!Print_Area</vt:lpstr>
      <vt:lpstr>'MR-9'!Print_Area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Belete, Gabriel</cp:lastModifiedBy>
  <cp:lastPrinted>2015-09-17T18:56:32Z</cp:lastPrinted>
  <dcterms:created xsi:type="dcterms:W3CDTF">2015-03-19T18:31:05Z</dcterms:created>
  <dcterms:modified xsi:type="dcterms:W3CDTF">2015-09-17T19:03:01Z</dcterms:modified>
</cp:coreProperties>
</file>