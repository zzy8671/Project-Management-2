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DE2" lockStructure="1"/>
  <bookViews>
    <workbookView xWindow="-15" yWindow="-15" windowWidth="19440" windowHeight="6705" tabRatio="928" firstSheet="3" activeTab="21"/>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8" r:id="rId15"/>
    <sheet name="2" sheetId="9" r:id="rId16"/>
    <sheet name="3" sheetId="10" r:id="rId17"/>
    <sheet name="4" sheetId="11" r:id="rId18"/>
    <sheet name="5" sheetId="12" r:id="rId19"/>
    <sheet name="6" sheetId="13"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'12'!$A$2:$C$12</definedName>
    <definedName name="_xlnm.Print_Area" localSheetId="26">'13'!$A$1:$C$12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'3'!$A$2:$C$12</definedName>
    <definedName name="_xlnm.Print_Area" localSheetId="43">'30'!$A$1:$C$12</definedName>
    <definedName name="_xlnm.Print_Area" localSheetId="18">'5'!$A$2:$C$12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Documentation'!$1:$20</definedName>
    <definedName name="_xlnm.Print_Area" localSheetId="8">Assessments!$A$1:$C$44</definedName>
    <definedName name="_xlnm.Print_Area" localSheetId="7">'Audit Findings'!$A$1:$F$37</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Metrics!$A$1:$G$34</definedName>
    <definedName name="_xlnm.Print_Area" localSheetId="4">'New Products'!$A$1:$F$12</definedName>
    <definedName name="_xlnm.Print_Area" localSheetId="5">'Off-Balance Sheet'!$A$1:$A$12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<sst xmlns="http://schemas.openxmlformats.org/spreadsheetml/2006/main" count="1440" uniqueCount="612">
  <si>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</si>
  <si>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</si>
  <si>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</si>
  <si>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</si>
  <si>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</si>
  <si>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</si>
  <si>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</si>
  <si>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</si>
  <si>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</si>
  <si>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</si>
  <si>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</si>
  <si>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</si>
  <si>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</si>
  <si>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</si>
  <si>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</si>
  <si>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</si>
  <si>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</si>
  <si>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</si>
  <si>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</si>
  <si>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</si>
  <si>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</si>
  <si>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</si>
  <si>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</si>
  <si>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</si>
  <si>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</si>
  <si>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</si>
  <si>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</si>
  <si>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</si>
  <si>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</si>
  <si>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</si>
  <si>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</si>
  <si>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</si>
  <si>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</si>
  <si>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</si>
  <si>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</si>
  <si>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</si>
  <si>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</si>
  <si>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</si>
  <si>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</si>
  <si>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</si>
  <si>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</si>
  <si>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</si>
  <si>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</si>
  <si>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</si>
  <si>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</si>
  <si>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</si>
  <si>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</si>
  <si>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</si>
  <si>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</si>
  <si>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</si>
  <si>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</si>
  <si>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</si>
  <si>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</si>
  <si>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</si>
  <si>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</si>
  <si>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</si>
  <si>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</si>
  <si>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</si>
  <si>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</si>
  <si>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</si>
  <si>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</si>
  <si>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</si>
  <si>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</si>
  <si>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</si>
  <si>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</si>
  <si>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</si>
  <si>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</si>
  <si>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</si>
  <si>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</si>
  <si>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</si>
  <si>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</si>
  <si>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</si>
  <si>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</si>
  <si>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</si>
  <si>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</si>
  <si>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</si>
  <si>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</si>
  <si>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</si>
  <si>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</si>
  <si>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</si>
  <si>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</si>
  <si>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</si>
  <si>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</si>
  <si>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</si>
  <si>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</si>
  <si>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</si>
  <si>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</si>
  <si>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</si>
  <si>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</si>
  <si>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</si>
  <si>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</si>
  <si>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</si>
  <si>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</si>
  <si>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</si>
  <si>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</si>
  <si>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</si>
  <si>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</si>
  <si>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</si>
  <si>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</si>
  <si>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</si>
  <si>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</si>
  <si>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</si>
  <si>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</si>
  <si>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</si>
  <si>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</si>
  <si>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</si>
  <si>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</si>
  <si>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</si>
  <si>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</si>
  <si>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</si>
  <si>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</si>
  <si>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</si>
  <si>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</si>
  <si>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</si>
  <si>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</si>
  <si>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</si>
  <si>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</si>
  <si>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</si>
  <si>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</si>
  <si>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</si>
  <si>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</si>
  <si>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</si>
  <si>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</si>
  <si>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</si>
  <si>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</si>
  <si>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</si>
  <si>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</si>
  <si>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</si>
  <si>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</si>
  <si>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</si>
  <si>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</si>
  <si>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</si>
  <si>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</si>
  <si>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</si>
  <si>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</si>
  <si>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</si>
  <si>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</si>
  <si>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</si>
  <si>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</si>
  <si>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</si>
  <si>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</si>
  <si>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</si>
  <si>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</si>
  <si>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</si>
  <si>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</si>
  <si>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</si>
  <si>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</si>
  <si>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</si>
  <si>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</si>
  <si>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</si>
  <si>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</si>
  <si>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</si>
  <si>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</si>
  <si>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</si>
  <si>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</si>
  <si>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</si>
  <si>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</si>
  <si>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</si>
  <si>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</si>
  <si>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</si>
  <si>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</si>
  <si>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</si>
  <si>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</si>
  <si>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</si>
  <si>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</si>
  <si>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</si>
  <si>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</si>
  <si>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</si>
  <si>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</si>
  <si>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</si>
  <si>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</si>
  <si>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</si>
  <si>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</si>
  <si>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</si>
  <si>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</si>
  <si>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</si>
  <si>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</si>
  <si>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</si>
  <si>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</si>
  <si>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</si>
  <si>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</si>
  <si>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</si>
  <si>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</si>
  <si>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</si>
  <si>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</si>
  <si>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</si>
  <si>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</si>
  <si>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</si>
  <si>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</si>
  <si>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</si>
  <si>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</si>
  <si>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</si>
  <si>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</si>
  <si>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</si>
  <si>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</si>
  <si>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</si>
  <si>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</si>
  <si>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</si>
  <si>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</si>
  <si>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</si>
  <si>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</si>
  <si>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</si>
  <si>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</si>
  <si>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</si>
  <si>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</si>
  <si>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</si>
  <si>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</si>
  <si>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</si>
  <si>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</si>
  <si>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</si>
  <si>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</si>
  <si>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</si>
  <si>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</si>
  <si>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</si>
  <si>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</si>
  <si>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</si>
  <si>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</si>
  <si>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</si>
  <si>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</si>
  <si>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</si>
  <si>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</si>
  <si>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</si>
  <si>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</si>
  <si>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</si>
  <si>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</si>
  <si>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</si>
  <si>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</si>
  <si>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</si>
  <si>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</si>
  <si>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</si>
  <si>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</si>
  <si>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</si>
  <si>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</si>
  <si>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</si>
  <si>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</si>
  <si>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</si>
  <si>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</si>
  <si>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</si>
  <si>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</si>
  <si>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</si>
  <si>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</si>
  <si>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</si>
  <si>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</si>
  <si>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</si>
  <si>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</si>
  <si>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</si>
  <si>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</si>
  <si>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</si>
  <si>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</si>
  <si>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</si>
  <si>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</si>
  <si>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</si>
  <si>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</si>
  <si>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</si>
  <si>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</si>
  <si>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</si>
  <si>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</si>
  <si>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</si>
  <si>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</si>
  <si>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</si>
  <si>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</si>
  <si>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</si>
  <si>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</si>
  <si>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2. Business Overview</t>
  </si>
  <si>
    <t>3. Process Followed</t>
  </si>
  <si>
    <t>4. Strategic Plan</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</si>
  <si>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</si>
  <si>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</si>
  <si>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</si>
  <si>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</si>
  <si>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</si>
  <si>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</si>
  <si>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</si>
  <si>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</si>
  <si>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</si>
  <si>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</si>
  <si>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</si>
  <si>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</si>
  <si>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</si>
  <si>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</si>
  <si>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</si>
  <si>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</si>
  <si>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</si>
  <si>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</si>
  <si>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</si>
  <si>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</si>
  <si>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</si>
  <si>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</si>
  <si>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</si>
  <si>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</si>
  <si>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</si>
  <si>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</si>
  <si>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</si>
  <si>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</si>
  <si>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</si>
  <si>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High level summary of vendor management program highlighting any significant events over the past 12 months:</t>
  </si>
  <si>
    <t xml:space="preserve"> [Enter Vendor Management and program highlights here if applicable]
</t>
  </si>
  <si>
    <t>Summary results of most recent Credit Assessment:</t>
  </si>
  <si>
    <t xml:space="preserve"> [Enter Assessment results and any significant events]
</t>
  </si>
  <si>
    <t>Summary results of most recent Model Assessment:</t>
  </si>
  <si>
    <t xml:space="preserve">[Enter Assessment results and any significant events]
</t>
  </si>
  <si>
    <t>Highlight any other key inputs which informed the assessment and how they were used:</t>
  </si>
  <si>
    <t xml:space="preserve"> [Enter any other key inputs and how they were used]
</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</si>
  <si>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</si>
  <si>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</si>
  <si>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</si>
  <si>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</si>
  <si>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</si>
  <si>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</si>
  <si>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</si>
  <si>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</si>
  <si>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</si>
  <si>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</si>
  <si>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</si>
  <si>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 xml:space="preserve"> [Enter Business Metric commentary here if applicable]
</t>
  </si>
  <si>
    <t>Santander Holdings USA</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</si>
  <si>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</si>
  <si>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</si>
  <si>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</si>
  <si>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</si>
  <si>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</si>
  <si>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</si>
  <si>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</si>
  <si>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</si>
  <si>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</si>
  <si>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</si>
  <si>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</si>
  <si>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</si>
  <si>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</si>
  <si>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</si>
  <si>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</si>
  <si>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</si>
  <si>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</si>
  <si>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</si>
  <si>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</si>
  <si>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</si>
  <si>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</si>
  <si>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</si>
  <si>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</si>
  <si>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</si>
  <si>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</si>
  <si>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</si>
  <si>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</si>
  <si>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</si>
  <si>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</si>
  <si>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</si>
  <si>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</si>
  <si>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</si>
  <si>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</si>
  <si>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</si>
  <si>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</si>
  <si>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</si>
  <si>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</si>
  <si>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</si>
  <si>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</si>
  <si>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</si>
  <si>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</si>
  <si>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</si>
  <si>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</si>
  <si>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</si>
  <si>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</si>
  <si>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</si>
  <si>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</si>
  <si>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</si>
  <si>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</si>
  <si>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</si>
  <si>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</si>
  <si>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</si>
  <si>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</si>
  <si>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</si>
  <si>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</si>
  <si>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</si>
  <si>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</si>
  <si>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</si>
  <si>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</si>
  <si>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</si>
  <si>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</si>
  <si>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</si>
  <si>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Price Risk Includes the potential economic impact (decrease in the value of assets) that could be derived from SHUSA’s Subsidiaries participating in the underwriting of equity or debt capital markets transactions that are not fully sold into the market, and where the Subsidiary retains on its balance sheet a higher amount of exposure than anticipated.</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</si>
  <si>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</si>
  <si>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</si>
  <si>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</si>
  <si>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</si>
  <si>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</si>
  <si>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</si>
  <si>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</si>
  <si>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</si>
  <si>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</si>
  <si>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</si>
  <si>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</si>
  <si>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</si>
  <si>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</si>
  <si>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</si>
  <si>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</si>
  <si>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</si>
  <si>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</si>
  <si>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</si>
  <si>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</si>
  <si>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</si>
  <si>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</si>
  <si>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</si>
  <si>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</si>
  <si>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</si>
  <si>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</si>
  <si>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</si>
  <si>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</si>
  <si>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</si>
  <si>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</si>
  <si>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</si>
  <si>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</si>
  <si>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</si>
  <si>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</si>
  <si>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</si>
  <si>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</si>
  <si>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</si>
  <si>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</si>
  <si>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</si>
  <si>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</si>
  <si>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</si>
  <si>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</si>
  <si>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</si>
  <si>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</si>
  <si>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</si>
  <si>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</si>
  <si>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</si>
  <si>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</si>
  <si>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</si>
  <si>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</si>
  <si>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</si>
  <si>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</si>
  <si>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</si>
  <si>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</si>
  <si>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</si>
  <si>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</si>
  <si>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</si>
  <si>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</si>
  <si>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</si>
  <si>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</si>
  <si>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</si>
  <si>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</si>
  <si>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</si>
  <si>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</si>
  <si>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</si>
  <si>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</si>
  <si>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</si>
  <si>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</si>
  <si>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</si>
  <si>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</si>
  <si>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</si>
  <si>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</si>
  <si>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</si>
  <si>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</si>
  <si>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</si>
  <si>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</si>
  <si>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</si>
  <si>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</si>
  <si>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</si>
  <si>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</si>
  <si>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</si>
  <si>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</si>
  <si>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</si>
  <si>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</si>
  <si>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</si>
  <si>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</si>
  <si>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</si>
  <si>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</si>
  <si>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</si>
  <si>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</si>
  <si>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</si>
  <si>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</si>
  <si>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</si>
  <si>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</si>
  <si>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</si>
  <si>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</si>
  <si>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</si>
  <si>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</si>
  <si>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</si>
  <si>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</si>
  <si>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</si>
  <si>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</si>
  <si>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</si>
  <si>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</si>
  <si>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</si>
  <si>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</si>
  <si>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</si>
  <si>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</si>
  <si>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</si>
  <si>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</si>
  <si>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</si>
  <si>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</si>
  <si>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</si>
  <si>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</si>
  <si>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</si>
  <si>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</si>
  <si>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</si>
  <si>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</si>
  <si>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</si>
  <si>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</si>
  <si>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</si>
  <si>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</si>
  <si>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</si>
  <si>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</si>
  <si>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</si>
  <si>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</si>
  <si>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</si>
  <si>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</si>
  <si>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</si>
  <si>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</si>
  <si>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</si>
  <si>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</si>
  <si>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</si>
  <si>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</si>
  <si>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</si>
  <si>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</si>
  <si>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</si>
  <si>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</si>
  <si>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</si>
  <si>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SHUSA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</si>
  <si>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</si>
  <si>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</si>
  <si>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</si>
  <si>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ERMC Appvoval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</si>
  <si>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</si>
  <si>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</si>
  <si>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</si>
  <si>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</si>
  <si>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 xml:space="preserve"> [Enter commentary here, to create a Carriage Return hold down the [ALT]+[RETURN] ]
</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</si>
  <si>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</si>
  <si>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</si>
  <si>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</si>
  <si>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</si>
  <si>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This section should be a high level overview of Material Risks identified:</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</si>
  <si>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the business:
</t>
  </si>
  <si>
    <r>
      <t xml:space="preserve">Risk Driver </t>
    </r>
    <r>
      <rPr>
        <sz val="10"/>
        <color theme="1"/>
        <rFont val="Calibri"/>
        <family val="2"/>
        <scheme val="minor"/>
      </rPr>
      <t>- The economic, business or regulatory force(s) leading to the potential increase(s) in the Risk profile as capture under the 'Stressed Financial Impact'. Drivers(s) must be supported in the 'Financial Impact Rationale'.</t>
    </r>
  </si>
  <si>
    <r>
      <t xml:space="preserve">Risk Driver </t>
    </r>
    <r>
      <rPr>
        <sz val="10"/>
        <color theme="1"/>
        <rFont val="Calibri"/>
        <family val="2"/>
        <scheme val="minor"/>
      </rPr>
      <t>- The economic, business or regulatory force(s) leading to the potential increase(s) in the Risk profile as capture under the 'Stressed Financial Impact'. Driver(s) must be supported in the 'Financial Impact Rationale'.</t>
    </r>
  </si>
  <si>
    <t>Enter significant Audit/Regulatory finds and/or resolutions since the last annual assessment cycle (and those still open).</t>
  </si>
  <si>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xml:space="preserve">- An annual expected loss that considers a severe combination of circumstances that could reasonably be expected to occur in one annual period out of ten.  </t>
    </r>
  </si>
  <si>
    <r>
      <t>Annual Expected Loss (Base)</t>
    </r>
    <r>
      <rPr>
        <sz val="10"/>
        <color theme="1"/>
        <rFont val="Calibri"/>
        <family val="2"/>
        <scheme val="minor"/>
      </rPr>
      <t xml:space="preserve"> - A reasonable expectation of a negative impact to revenues/expenses within the next 12 month period in baseline conditions. This considers the amount at risk along with the current control environment both the design and effectiveness.
</t>
    </r>
  </si>
  <si>
    <t>Material Risk Tool version 1.3 updated May 27, 2015</t>
  </si>
  <si>
    <t>10.7  Compliance Assessment</t>
  </si>
  <si>
    <t>Summary results of most recent Compliance Assessment:</t>
  </si>
  <si>
    <t>10.8  Other</t>
  </si>
  <si>
    <t>Executive Session  May 27, 2015
Training Session June 3, 2015
Material Risk Workshop - June 9, 2015</t>
  </si>
  <si>
    <t>U.S. High Grade Initiative</t>
  </si>
  <si>
    <t>Launched</t>
  </si>
  <si>
    <t xml:space="preserve">N/A
</t>
  </si>
  <si>
    <t>N/A</t>
  </si>
  <si>
    <t>N.A.</t>
  </si>
  <si>
    <t>Liability Management</t>
  </si>
  <si>
    <t>Interest Rates (Up), Equity Prices (Down), Corporate Credit Spreads (Widen)</t>
  </si>
  <si>
    <t>Systems</t>
  </si>
  <si>
    <t>B&amp;D Settlement Risk</t>
  </si>
  <si>
    <t>Stabilization (Long/Short) positions</t>
  </si>
  <si>
    <t>Interest Rates (Up), Corporate Credit Spreads (Widen), Localized Economic Downturn (Specify Geography in risk description)</t>
  </si>
  <si>
    <t>Client Fraud / Disclosure</t>
  </si>
  <si>
    <t>IT</t>
  </si>
  <si>
    <t>Control Room</t>
  </si>
  <si>
    <t>These are conceptual risks, there is no data available to assess.</t>
  </si>
  <si>
    <t xml:space="preserve"> These are conceptual risks, there is no data available to assess.</t>
  </si>
  <si>
    <t>League tables are utilized to assist in planning volumes and gross fees.  Other strategic risks are conceptual with no data available to assess.</t>
  </si>
  <si>
    <t>This is a theoretical risk, laregly resulting in a reputational issue.  Therefore there is no data to assess.</t>
  </si>
  <si>
    <t xml:space="preserve">SIS limits stabilization positions to 10% of SIS's total underwriting.  A Market Risk Approval is needed to take the position and in a specific transaciton the ability to take the positition is monitored on Bloomberg.  </t>
  </si>
  <si>
    <t>SIS engaged in a workshop approach for identification of Material Risks for each of the business segments including Cash Equities, Debt Underwriting, Equity Underwriting, Fixed Income/Bond Trading, Futures Brokerage Activity, Fixed Income and Equity Research, Treasury and Technology and Operations.  The workshops took place between June 9, 2015 and June 16th 2015.  The workshops were led by the first line of defense point of contact for each business segment along with subject matter experts in the business line and representation from the risk areas including credit, market, operational, liquidity, along with compliance, legal, finance, HR and technology and operations.  Enrichment and aggregation of the Material Risks will occur following the workshops with guidance from the SIS and Branch Compliance Team.  The business segment material risk inventory will be delivered to SHUSA on June 30, 2015.  SIS will produce an aggregate list of Material Risks which will go through review and challenge in both July and August with the final deliverable to SHUSA on August 31, 2015.</t>
  </si>
  <si>
    <t>Sergio Lew</t>
  </si>
  <si>
    <t>Debt Capital Market</t>
  </si>
  <si>
    <t>GBM</t>
  </si>
  <si>
    <t>Review in progress -Internal Audit Annual SIS Audit</t>
  </si>
  <si>
    <t>Open. Results anticipated June 30, 2015</t>
  </si>
  <si>
    <t>In Progress (expected report date June 30, 2015.</t>
  </si>
  <si>
    <t>N/A: RCSA Assessment has not occurred.</t>
  </si>
  <si>
    <t xml:space="preserve">SIS has not had a RCSA buisness assessment.  </t>
  </si>
  <si>
    <t xml:space="preserve">No significant failures or significant events over the last 12 months.  The most current Business Continuity test was on December 11, 2014.  The objectives were satisfactorily completed with one exception Straight Through Processing did not flow from front to back office.  This was due to the complexities of interfaces between front/middle/bak systems and the time needed to configure the whole process required a timeframe more than one day and therefore was out of scope for the test.  Suggested solution to be considered for next test would entail after the trades are input into the the front office system, they are printed and input into the back office systems manually until all processes are configures and operational.
</t>
  </si>
  <si>
    <t xml:space="preserve">IT Risk assessment is currently in progress. Target completion is June 30, 2015.
</t>
  </si>
  <si>
    <t xml:space="preserve"> Debt Capital Markets </t>
  </si>
  <si>
    <t>Based on the number of invoices prepared (e.g., those deals where expenses aren't handled directly by the B&amp;D bank, but rather by each bank or deals where SIS is B&amp;D) and the historical sizes of invoices, we see the potential loss in any given year to be +/-$1mm.  In a worse case scenario we would not expect a loss to be above $3mm.</t>
  </si>
  <si>
    <t>Based on reviewing transactions year to date and also considering potential transactions where either we could not act or would have to act in a lesser capacity, we see the risk of loss in a given year to be up to $2mm.  Should we however begin to lose leading roles in transactions such as third party tender offers, our lost opportunity cost could reach $3-$5mm.</t>
  </si>
  <si>
    <t xml:space="preserve">For the reasons below, we do not believe this risk is quantifiable.  </t>
  </si>
  <si>
    <t>Based on recent market trends, overall issuances have been increasing, with approximately 2-3% growth from 2012 - 2014.  Assuming 5% volatility, we have the loss indicators above.  The stressed case assumes a failure of the US High Grade initiative, which is in early stages.</t>
  </si>
  <si>
    <t xml:space="preserve">The DCM business is highly correlated to the committed balance sheet of the Santander Group entities.  While the DCM Group has been proactive, particularly in LATAM, in providing alternative products or ideas to clients in order to increase potential P&amp;L, the major strategic iniative we have undertaken is the U.S. High Grade Plan.  Historically, Santander has not been active in the U.S. capital markets despite having a banking entity (SBNA).  In connection with this plan, DCM has worked closely with relationship bankers at SBNA to develop a strategic plan targeting U.S. clients in a tiered manner.  The goal is to increase the wallet to top tier status with issuers we see a likelihood of awarding SIS a lead bookrunner role and also to uptier at other issuers where we see a possibility of a higher role on capital markets products.  
</t>
  </si>
  <si>
    <t xml:space="preserve">The lack of Systems to enable efficient processes for billing and delivering causes reputational harm to SIS.  While our core geography has historically been LATAM and SIS has been able to work around the inability to bill &amp; deliver, it is known throughout the market.  LATAM issuers, however, are less sensitive to the inability.  As we expand into the U.S., however, the inability to bill &amp; deliver could, in addition to the reputational harm, have a material impact on our ability to win active bookrunner mandates.  At this point in the plan, we would not expect to lose many such transactions, therefore, the risk of loss is less than $1mm per year, however, in a ten year horizon, with the loss of 1-2 transactions a year, the potential missed P&amp;L could be $1-3mm.  Additionally, the manual nature combined with lack of capitalization at SIS, in our view, poses a significant risk.  Should timing be missed or inadequately reported, or accounting miss a potential deal on a given day, and SIS not have sufficient capital, the result would be either SIS not participate or participate at a lower economic level.
Additionally
In addition, the manual nature of our processes lead to increased risk.  For example, combining the manual nature with the fact that SIS is not capitalized can cause significant issues on the day of a transaction.  Should a deal be upsized or timing be incorrect, failure to timely notify accounting such that required capital is obtained by the pricing date could lead to SIS either not participating in a transaction or participating at a lower economic level.  
Additionally, the lack of systems creates manual processes.  Manual processes increase the chances of error.  Combined with the lack of capitalization at SIS, one of the major risks is not having the required capital to participate in a transaction.  </t>
  </si>
  <si>
    <t>The indicated loss amounts are based on the 10% limit and the transactions underwritten and based on general experience with market fluctuations.  With respect to worst case, we have included a related risk where transactions (i) do not price and (ii) the client(s) decide not to come back to the market.</t>
  </si>
  <si>
    <t xml:space="preserve">The DCM group has an unwritten policy that Accounting be copied on any invoice sent.
DCM Origination has requested on several occasions that either Accounts Receivable or Accounting compile, prepare and send invoices, however those they have refused and insisted this is DCM Origination responsibility.
</t>
  </si>
  <si>
    <t xml:space="preserve">Based on transaction history to date, we do not see a risk of loss generally on a yearly basis, however, in a worst case year, losses could be significant as the liability would be for the amount underwritten, or the loss thereon.  </t>
  </si>
  <si>
    <t>Based on the fact that this risk is operational, the loss incurred is hard to measure.  As the business grows, the inability to process transactions effectively and efficiently could lead to lost business.  Based on the fees to date and the potential for losing a mandate already awarded, we would expect losses to be under $5mm under the current business expectations.</t>
  </si>
  <si>
    <t>Issues raised to COO / IT Security.
Mitigating/Controlling this risk is dependent on the specific circumstance, so it is difficult to note specific controls.  DCM operates in such a manner as to manually handle a given process where there is and ability to do so.  DCM reaches out to IT/Operations on an ad hoc basis to rectify issues (e.g., to provide access to blocked websites, etc.).  As there is no accountability from IT/Operations to the front line, it is extremely difficult to ensure the issues are remedied.</t>
  </si>
  <si>
    <t>1. Due dligence is performed on all issuers to detect potential fraud.  
2. Legal has brought in external law firms to present on the securities laws and due diligence.  
3. SIS liaises with local teams, which is where the brunt of due diligence is performed (relationships are at the local level, for example, the relationship with Petrobras is in Brazil, PEMEX in Mexico, American Tower in the US at SBNA, etc.  Though this is a mitigant, the underlying fact that the majority of the informatioin on a given client is at the local level is in and of itself a risk.  Not only with disclosure, but also in the area of completing KYCs.
SIS also has and Underwriting Committee where all HY transactions are discussed as well as other select transactions depending on the circumstances.</t>
  </si>
  <si>
    <t>The risk here is that fraud at the client level could lead to potential liability of SIS under the securities laws.  In response to this the underwriters have a due diligence defense.  Where the undewriters have performed reasonable diligence and the fraud was not detected as a result thereof, the underwriters would not have liablity.  Based on this, and reviewing transaction history, we do not see a year to year loss here, however, in an extraordinary circumstance losses could be significant, especially where the issuer has gone bankrupt.  SIS was involved in one of the Petrobras bonds that are currently subject to litigation.  It is important to note that SIS, to a material extent, relies on relationships between employees of affiliates in due diligence matters, including with respect to general knowledge of the issuer, current events related to the issuer, risk factors affecting the issuer, as well as KYC matters.</t>
  </si>
  <si>
    <t>Richard Zobkiw</t>
  </si>
  <si>
    <t>Andrew Schwartz, Ron Grimsby, Stephen O'Connell, Carlos Nieto, Mercedes Pacheco, Delaney William, Rita Walz-Cuccioli, Wayne Ward, Michelle Murphy</t>
  </si>
  <si>
    <t xml:space="preserve">In general, the Debt Capital Markets Group does not take balance sheet risk.  The main risks identified include operational risks, potential fraud risk, legal risks, regulatory risks and risks relating to long/short positions in connection with lead managed transactions.  From a DCM Group perspective, we see the main risk to our business as being the lack of systems and processes to enable us to operate at the level of our peers.  We are one of a few global banks active in LATAM that does not have billing and delivering capabilities for all transactions.  This is a reputational matter and one that will have a larger impact as we roll out the U.S. high grade plan.  There is potential risk at client level that could result in legal liability (through improper or incorrect disclosure documents or fraud).There is internal fraud risk resulting from a conflict of interest in having the front office responsible for invoicing clients with fees and expenses.  In connection with lead managed transactions, Syndicate is permitted to take a long/short of up to 10% of SIS's underwriting allocation and as a result takes market risk on any such position taken.  Lastly, there are regulatory related risks, from DCM Group's perspective, mainly related to lack of a proper Control Room, for which we will defer to Compliance on.
</t>
  </si>
  <si>
    <t xml:space="preserve"> P&amp;L is monitored on a daily basis at the DCM Group Level.
Management holds weekly meetings with the team to discuss P&amp;L, pipeline, opportunities and other matters relating to the business.
Managing "Metricas" occur monthly where YTD, 6-month expected and full year expected P&amp;L are reviewed.
Market conditions, developments and anticipated movements are monitored constantly.
</t>
  </si>
  <si>
    <t>U.S. High Grade Business (includes high grade and high yield)</t>
  </si>
  <si>
    <t>DCM Group is not responsible for monitoring systems, etc.  However, DCM Origination is impacted by the firm's systems and as such we raise what we believe to be deficiencies to management.  Subsequent meetings are held to find potential solutions.
To mitigate the risks, there are manual controls in place:
Emails to interested parties (e.g., accounting, legal, compliance) inform of new business items, insiders on a given transaction, expected capital consumption, etc.
DCM Origination enters transactions into the GEM system.</t>
  </si>
  <si>
    <t>SIS does not accept B&amp;D roles for sizeable transactions.
DCM Group has raised B&amp;D to management.  There are ongoing discussions between Business Development and Operations and IT.</t>
  </si>
  <si>
    <t>The overall risk comprises a number of factors, some within our control, most not within our control.  This is an expansion of an existing product to a new geographic area.  SIS has invested capital upfront to attract and retain professionals with prior experience in the U.S. High Grade Market based on an approved business plan.  As the implementation of the plan is in its infancy, there is possibility of failure, however, based on number of transactions generated as well as the number of "improved" relationships with clients, SIS believes the plan is so far successful.   SIS needs to liaise with SBNA to ensure proper targeting of clients as our ability to grow the DCM Group business is highly correlated to the lending relationship at SBNA.  External factors such as a rise in rates, deteriorating economic conditions, financial crises, etc., can all have a material impact on the industry as a whole, thereby affecting DCM Origination's ability to meet projected revenues.  Additionally, as the business matures, issues such as IT and lack of capitalization at SIS can play a more significant role in the success of the plan.  DCM Group has raised these issues with various internal groups, which are responsible for improving these systems and those groups continue to have strategy sessions to provide a solution to those issues.</t>
  </si>
  <si>
    <t>In general, based on 10% of our underwriting we do not see losses over $1mm in a given year.  
Market conditions are the main driver here, including interest rates, volatility, economic/political events (like the current Greece situation), etc.  That said, the timeline of transactions minimizes this risk.  In reality, such major situations should not materialize in an instant.  Since the risks are generally anticipated, an issue would not be launched into the market.  The scenario would have to be that a risk developed intraday and generally after pricing when a short position has already been taken, or before pricing leading to a potential long position if the deal went ahead.   There is a related risk in that we are in the market with a transaction and we do not price the transaction related to market volatility.  Once a transaction is pulled, there is reputational risk and a decision would have to be made as to when, if at all, to revive the transaction.  Our worst case scenario assumes 2-3 transactions pulled and not revived.</t>
  </si>
  <si>
    <t>Invoice/Wire Fraud</t>
  </si>
  <si>
    <t>Given the lack of compliance programs/systems, DCM Group resorts to manually handling compliance issues, such as insider lists, and control room input.  The controls regarding FINRA questionnaire responses, insider trading monitoring, etc. should be assessed by Compliance.
At the DCM level, we have New Deal Procedures, which include:
Entering a potential transaction into the GEM system
Providing an Insider List
Sending a Business As Usual memo to inform interested parties (including accounting for capital assessment)
Sending an Underwriting Committee Notification to inform the underwriting committee of the transaction.
Syndicate informs Compliance as to the public announcment of transactions (triggering Control Room status change).</t>
  </si>
  <si>
    <t>Reliance on Affiliates</t>
  </si>
  <si>
    <t>1. Transactions cannot move forward without SIS involvement
2. The relevant product group in NY (DCM / ABS / LM) is in contact with the teams at the local affiliates during transactions
3. Local teams are apprised of procedures to be followed at SIS
4. Local teams participate in selected trainings (e.g., Due Diligence Presentations, etc.)
5. Underwriting Committee
6. Due Diligence Logs</t>
  </si>
  <si>
    <t>Based on our business, it is hard to quantify the risk.  The risk, in our view, would have to lead to either a law suit on a specific transaction or a regulatory action.  With respect to the former, failure to detect material misstatements or omissions in offering documents could lead to substantial liabilities at SIS.  With respect to regulatory issues, we would need Compliance to assess the potential impact.</t>
  </si>
  <si>
    <t>The Santander group is comprised of various standalone entities, many of which use SIS's products, including DCM.  Given the nature of the DCM business and the liabilities attached to the business, the reliance on other Santander entities for items such as due diligence, KYC processes, etc., leads to increased risk.  Additionally, as entities may not be familiar with rules and regulations in the U.S., the risk of potential breaches (e.g., chinese walls, control of material non-public information, etc.) is also increased.  With respect to due diligence, SIS can guide the local entities on requirements, however, it is difficult to "check" as SIS does not have in depth familiarity with the clients.  This same risk is inherent in the KYC process where SIS personnel are relying on the local affiliates to be truthful and accurate in the information provided.    
We believe that the feedback system and log requirements are sufficient mitigators to ensure that the local teams are engaged in the due diligence process.  As a result, we believe the risk of loss to be minimal in a given year, however, based on a worst case scenario, material dislosure omissions or undetected fraud could result in material liabilities.  An area where we see room for improvement would be for the Santander Group to have more accountability between entities for cross-border activities.  
With respect to impacts from regulatory issues, we do not have sufficient information to determine the potential impact.</t>
  </si>
  <si>
    <t>The future potential impact of non compliance could reach $150K with restitution and fines.  Repeated non compliane could in a stressed financial situation could reach $1M though this would be a small possibility.</t>
  </si>
  <si>
    <t xml:space="preserve">A compliance assessment was completed on April 9, 2015 for Debt Capital Markets (DCM). The line of business rating aggregation calculation of the inherent risk is 2.47 which is low- moderate; the control effectiveness is 2.63 which is satisfactory, and a residual risk of 2.55 which is moderate. It is important to note that although some areas of regulation have a lower inherent risk, the lack of effective control increases the residual risk beyond the aggregate level.
RULE/REGULATION INHERENT RISK RESIDUAL RISK CONTROL EFFECTIVENESS COMMENT
Security Act, Section 5(c) - "gun jumping" Moderate Elevated Needs Improvement Controls not in place. Policies and Procedures are brief. 
FINRA Rule 5110 - Corporate Financing Rule - Underwriting Terms and Arrangements Moderate Elevated Weak Policies and Procedures do not address this extensive rule.
10b-5 - Employment of manipulative and deceptive devices. Moderate Elevated Needs Improvement Controls not in place. Policies and Procedures are brief.
Books and Records Low-Moderate Moderate Satisfactory There is no oversight to ensure that the control is being followed.  
Together with ECM the recommendations noted in the compliance assessments have not been fully implemented. An automated Global Control Room would be needed to fully implement the recommendations. At this time the lack of an automated Global Control Room would not rise to a material risk as the manual work around will suffice until the automation is implemented in 2016. This applies to the Electronic  Document Retention program as well.
</t>
  </si>
  <si>
    <t>The DCM group comprises DCM Origination, Asset-Backed Securitization Origination and Liability Management businesses.  
The DCM Origination  group in NY brings together the various international clients the Group services.   The primary products are unsecured bonds.  Distribution of those bonds is managed by the Syndicate Department. The main regions of clients are LATAM (mainly Brazil, Mexico &amp; Chile), Europe and the U.S., with the U.S. being a recent focus for expansion.   2015 YTD underwriting for the DCM Origination team is approximately $4.8 billion and 2014 full year underwriting for DCM Origintion was approximately $8.8bn.  Gross fees for 2014 were approximately $55mm.  Expected gross fees related to the US High Grade Plan for 2015 and 2016 are $32mm and $38mm, respectively.  
The ABS Origination team Business Overview:
In SIS, ABS originates and structures U.S and cross-border securitizations in various asset classes such as consumer and commercial receivables, financial and export future flows, and infrastructure/project finance securitizations. 
Current volume of approximately ‎$2 billion. 
Financial exposure limited due to underwriting commitment execution after deals have priced. 
Strategic Plan:
Projected volumes of $3.3 billion by 2018 with expected P&amp;L of $25 million to be achieved by leveraging Santander's client base in the U.S and Latin America and providing innovative ideas to clients. 
The Liability Management department:
• Liability Management generally comprises of three products:
o Tender Offers – a public offer to purchase bonds by an issuer or third party
o Exchange Offers – an offer by an issuer to “swap” an existing bond in the market with a new security
o Consent Solicitations – an offer by an issuer made to existing holders of the issuer's notes to modify terms of the note indenture
• The three products mentioned above can be combined and structure to meet a particular situation (i.e. –Tender Offer with Exit Consents)
• Generally, there is no financial exposure for Santander as the role (“Dealer Manager”) is an advisory role only
o Dealer Managers typically advise on all aspects of the transaction (structure, documentation, etc.) as well as market the transaction once announced to the market
• Santander expects 5-10 transaction annually, totaling volumes of USD2.5-5bn of targeted bonds
Strategic Plan
• Leverage off of existing banking relationships, established Latin American DCM platform, and growing US High Grade DCM Plan to provide differentiating and innovative solutions, addressing an issuers existing debt curve
The Syndicate Department is responsible for facilitating the distribution of the above mentioned primary issuances.  In connection with lead managed transactions, Sydncate generally is permitted to take long/short position of up to 10% of SIS's underwriting.</t>
  </si>
  <si>
    <t>The U.S. High Grade Initiative is not a "new product" in the traditionial sense, however, per discussioin in the work shop, we are highlighting it here.  DCM has recruited experienced U.S. Debt Capital Markets professionals to target SBNA clients for which the typical business was a co-manager role.  The goal is to build the business together with the SBNA coverage bankers in order to up-tier our roles from Co-Manager to senior co-manager, passive bookrunner, active bookrunner, etc.   Santander has actively led three U.S. corporate deals since this initiative began in mid 2014.  
Likewise, the Liability Management product has been offered by DCM historically, however, in 2014 SIS hired a dedicated LM specialist.  
In neither case do we expect any different level of review than what the DCM group currently undergoes.</t>
  </si>
  <si>
    <t xml:space="preserve">  There are no off balance sheet assets or liabilities in connection with the DCM activities. 
</t>
  </si>
  <si>
    <t>All significant risk events are reviewed at the monthly Risk Committee.  The meeting is chaired by the CRO. Areas reviewed monthly include  market risk metrics related to the ETD business, including a price sensitivity analysis of the positions held at CME; a review of the margin requirements and the amount of excess margin maintained by the customer; counterparty credit risk; liquidity risk and the liquidity buffer; operational risk and a review of operational errors and failure in processes;  a report from Information Technology and Operations (ITOPs) reviewing significant items and tolerance metrics; compliance matters including any  examination reviews and findings; and, legal matters including threatened and pending litigation.</t>
  </si>
  <si>
    <t>DCM Group's view is that this risk is theoretical.  In essence the risk here is the lack of liquidity (SIS draws on sub loans from Madrid to meet capital and sometimes liquidity needs), could potentially cause a failed settlement.  In practice, funds are drawn and received at SIS a day prior to settlement.  A fed wire is sent to the issuer as early as possible on the morning of the settlement.  When receipt is confirmed, the transaction is settled with DTC at which time SIS is credited for the bonds and they can then settle with investors.  While it is possible that funds are delayed (not in the control of SIS) and thereby failed settlements, this risk is unlikely.  In the limited cases where delays have been seen, all were in Peru and all were delayed because of intermediary banks in Peru, we have been able to track down funds and settle.   Practically, it would be a reputational matter for the issuer as well not to settle on time.  The risk here is low.</t>
  </si>
  <si>
    <t>There is an inherent conflict of interest in Front Office preparing invoices for fees and/or expenses.  This conflict could lead to various types of fraud, including collusion between front office and clients to receive more or less fees or the possibility of front office personnel providing incorrect wire instructions.  DCM Origination has previously sought to correct this conflict by discussing with accounting the possibility of tracking transactions by unique IDs and also having either Accounting or AP/AR prepare and send such invoices.  However, Accounting has refused to do so and also indicated unique transaction IDs would increase the potential for loss/errors.  In addition to the potential for fraud, there is the potential for missed reimbursable expenses.  Accounting/AP does not retain records in a manner we believe efficient.  In requesting expenses, we are often provided with a spreadsheet with many related and unrelated entries, for which we need to parse through.  Based on this, we are of the view that it is also likely some expenses that should be picked up are not provided to us in the AP search.</t>
  </si>
  <si>
    <t xml:space="preserve">DCM Group is a fast paced business environment that operates 24/7 in order to execute transactions.  IT systems are seriously lacking to support such a business and lags far behind our competition
Issues include: IT unavailable after 5pm or on weekends.  IT has no process/program to scan zip files and allow DCM Origination to receive such files, which are a predominent file type sent by law firms and banks working with SIS on transactions.  IT blocks websites that should not be blocked, impression given is that they have no ability to monitor and therefore default to blocking sites.  Sites that have been blocked have included the World Bank, NYS Bar Association, Renewable Energy sites, Client sites hosting their financial information, Linked IN, anything sports, financial and other blogs or forums, etc.  Not having access to these resources impairs our ability to conduct due diligence, review potential recruits, understand market and industry developments and generally interact with clients.
DCM does not have stable and consistent access to a printer.  While this may seem unimportant to IT or the areas that manage the service contracts with our printer, it is a significant risk as our business is document intensive and our liability is tied to those documents.  For example, not being able to timely mark up a document and return it to legal counsel, could cause certain comments to not be made to the disclosure documents.  While we of course review the revised documents, there is always a chance something is missed.
Although unlikely, there is the potential that mismanaging transaction timing could lead to SIS being removed from a transaction by an issuer.
</t>
  </si>
  <si>
    <t>The risk as DCM Group sees it is that we have increased risk in not meeting requirements due to the manual nature of inputs.  Compliance does not have a proper control room, which leads to uncertainty when responding to FINRA questionnaires in connection with transactions and increased time consumption inputting information into the control room, including wall-crossing requests, which need to be coupled with emails.  In some cases we are asked to wall cross non-SIS employees, and Compliance has put the responsiblity of getting the needed approvals from the non-SIS employee's side.  For example, if we need to wall cross an SBNA employee, we need to track down that employee's manager (there are no organization charts or reporting line information) as well as that person's compliance for approval (Compliance functions should be global and SIS compliance should be able to reach out to compliance at the other entity).  In short, these systems and processes should be automated from a front office perspective.  [BILL, PLEASE REVIEW AND PROVIDE YOUR COMMENTS] Compliance agrees with the assessment by DCM. In the current environment of manual processing of deal information the potential impact for fines and restitution will increase as the business expands. Because the Firm has no past history of violations in this area the figures stated appear within reasonable expectations. With the SIS infrastructure project for an automated global control room slated for implementation in 2016 Compliance believes the potential to rise to a fine of $1-$5 M to be minimal and that this issue does not pose a material risk on its own at this point in time.</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</si>
</sst>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s>
  <fonts count="66"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b/>
      <sz val="26"/>
      <color theme="1"/>
      <name val="Calibri"/>
      <family val="2"/>
      <scheme val="minor"/>
    </font>
    <font>
      <sz val="11"/>
      <color theme="1"/>
      <name val="Calibri"/>
      <family val="2"/>
    </font>
  </fonts>
  <fills count="37">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
      <patternFill patternType="solid">
        <fgColor rgb="FFDCE6F1"/>
        <bgColor rgb="FF000000"/>
      </patternFill>
    </fill>
  </fills>
  <borders count="4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24">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4" fillId="35" borderId="4" xfId="0" applyFont="1" applyFill="1" applyBorder="1" applyAlignment="1">
      <alignment vertical="center" wrapText="1"/>
    </xf>
    <xf numFmtId="0" fontId="54"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6"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8"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2" fillId="0" borderId="2" xfId="0" applyFont="1" applyBorder="1" applyAlignment="1" applyProtection="1">
      <alignment vertical="center" wrapText="1"/>
      <protection locked="0"/>
    </xf>
    <xf numFmtId="14" fontId="62" fillId="0" borderId="2" xfId="0" applyNumberFormat="1" applyFont="1" applyBorder="1" applyAlignment="1" applyProtection="1">
      <alignment vertical="center" wrapText="1"/>
      <protection locked="0"/>
    </xf>
    <xf numFmtId="6" fontId="62" fillId="0" borderId="2" xfId="0" applyNumberFormat="1" applyFont="1" applyBorder="1" applyAlignment="1" applyProtection="1">
      <alignment vertical="center" wrapText="1"/>
      <protection locked="0"/>
    </xf>
    <xf numFmtId="0" fontId="62" fillId="0" borderId="21" xfId="0" applyFont="1" applyBorder="1" applyAlignment="1" applyProtection="1">
      <alignment vertical="center" wrapText="1"/>
      <protection locked="0"/>
    </xf>
    <xf numFmtId="0" fontId="62" fillId="0" borderId="26" xfId="0" applyFont="1" applyBorder="1" applyAlignment="1" applyProtection="1">
      <alignment vertical="center" wrapText="1"/>
      <protection locked="0"/>
    </xf>
    <xf numFmtId="14" fontId="62" fillId="0" borderId="21" xfId="0" applyNumberFormat="1" applyFont="1" applyBorder="1" applyAlignment="1" applyProtection="1">
      <alignment vertical="center" wrapText="1"/>
      <protection locked="0"/>
    </xf>
    <xf numFmtId="0" fontId="55" fillId="31" borderId="0" xfId="0" applyFont="1" applyFill="1"/>
    <xf numFmtId="0" fontId="0" fillId="0" borderId="0" xfId="0" applyAlignment="1">
      <alignment vertical="top"/>
    </xf>
    <xf numFmtId="0" fontId="0" fillId="31" borderId="0" xfId="0" applyFill="1" applyAlignment="1">
      <alignment vertical="top"/>
    </xf>
    <xf numFmtId="0" fontId="62" fillId="0" borderId="2" xfId="0" applyFont="1" applyBorder="1" applyAlignment="1" applyProtection="1">
      <alignment vertical="center" wrapText="1"/>
      <protection locked="0"/>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64" fillId="31" borderId="0" xfId="0" applyFont="1" applyFill="1" applyAlignment="1" applyProtection="1">
      <alignment horizontal="center" vertical="center" wrapText="1"/>
      <protection locked="0"/>
    </xf>
    <xf numFmtId="0" fontId="6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62" fillId="0" borderId="30" xfId="0" applyFont="1" applyBorder="1" applyAlignment="1" applyProtection="1">
      <alignment vertical="center" wrapText="1"/>
      <protection locked="0"/>
    </xf>
    <xf numFmtId="0" fontId="63" fillId="0" borderId="31" xfId="0" applyFont="1" applyBorder="1" applyAlignment="1" applyProtection="1">
      <protection locked="0"/>
    </xf>
    <xf numFmtId="0" fontId="63" fillId="0" borderId="32" xfId="0" applyFont="1" applyBorder="1" applyAlignment="1" applyProtection="1">
      <protection locked="0"/>
    </xf>
    <xf numFmtId="0" fontId="62" fillId="0" borderId="35" xfId="0" applyFont="1" applyBorder="1" applyAlignment="1" applyProtection="1">
      <alignment vertical="center" wrapText="1"/>
      <protection locked="0"/>
    </xf>
    <xf numFmtId="0" fontId="63" fillId="0" borderId="36" xfId="0" applyFont="1" applyBorder="1" applyAlignment="1" applyProtection="1">
      <protection locked="0"/>
    </xf>
    <xf numFmtId="0" fontId="63" fillId="0" borderId="1"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62" fillId="0" borderId="2" xfId="0" applyFont="1" applyBorder="1" applyAlignment="1" applyProtection="1">
      <alignment vertical="center" wrapText="1"/>
      <protection locked="0"/>
    </xf>
    <xf numFmtId="0" fontId="63" fillId="0" borderId="2" xfId="0" applyFont="1" applyBorder="1" applyAlignment="1" applyProtection="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21" xfId="0" applyBorder="1" applyAlignment="1">
      <alignment vertical="top" wrapText="1"/>
    </xf>
    <xf numFmtId="0" fontId="41" fillId="31" borderId="18" xfId="0" applyFont="1" applyFill="1" applyBorder="1" applyAlignment="1">
      <alignment vertical="top" wrapText="1"/>
    </xf>
    <xf numFmtId="0" fontId="0" fillId="0" borderId="19" xfId="0" applyBorder="1" applyAlignment="1" applyProtection="1">
      <alignment vertical="top"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1" borderId="20" xfId="0" applyFill="1" applyBorder="1" applyAlignment="1">
      <alignment vertical="top" wrapText="1"/>
    </xf>
    <xf numFmtId="0" fontId="0" fillId="31" borderId="18" xfId="0" applyFill="1" applyBorder="1" applyAlignment="1">
      <alignment wrapText="1"/>
    </xf>
    <xf numFmtId="0" fontId="0" fillId="0" borderId="44" xfId="0" applyBorder="1" applyAlignment="1">
      <alignment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0" fillId="31" borderId="18" xfId="0" applyFill="1" applyBorder="1" applyAlignment="1">
      <alignment vertical="top" wrapText="1"/>
    </xf>
    <xf numFmtId="0" fontId="65" fillId="36" borderId="22" xfId="0" applyFont="1" applyFill="1" applyBorder="1" applyAlignment="1" applyProtection="1">
      <alignment horizontal="left" vertical="top" wrapText="1"/>
      <protection locked="0"/>
    </xf>
    <xf numFmtId="0" fontId="65" fillId="36" borderId="25" xfId="0" applyFont="1" applyFill="1" applyBorder="1" applyAlignment="1" applyProtection="1">
      <alignment horizontal="left" vertical="top" wrapText="1"/>
      <protection locked="0"/>
    </xf>
    <xf numFmtId="0" fontId="65" fillId="36" borderId="23" xfId="0" applyFont="1" applyFill="1" applyBorder="1" applyAlignment="1" applyProtection="1">
      <alignment horizontal="left" vertical="top" wrapText="1"/>
      <protection locked="0"/>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5" fillId="0" borderId="16" xfId="0" applyFont="1" applyBorder="1" applyAlignment="1">
      <alignment vertical="center" wrapText="1"/>
    </xf>
    <xf numFmtId="0" fontId="55" fillId="0" borderId="41" xfId="0" applyFont="1" applyBorder="1" applyAlignment="1">
      <alignment vertical="center" wrapText="1"/>
    </xf>
    <xf numFmtId="0" fontId="55" fillId="0" borderId="26" xfId="0" applyFont="1" applyBorder="1" applyAlignment="1">
      <alignment vertical="center" wrapText="1"/>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view="pageLayout" zoomScaleNormal="90" workbookViewId="0">
      <selection activeCell="A14" sqref="A14:D40"/>
    </sheetView>
  </sheetViews>
  <sheetFormatPr defaultColWidth="0" defaultRowHeight="0" customHeight="1" zeroHeight="1" x14ac:dyDescent="0.25"/>
  <cols>
    <col min="1" max="1" width="28.85546875" style="103" customWidth="1"/>
    <col min="2" max="2" width="9.140625" style="103" customWidth="1"/>
    <col min="3" max="3" width="13" style="103" customWidth="1"/>
    <col min="4" max="4" width="13.140625" style="103" customWidth="1"/>
    <col min="5" max="5" width="47.7109375" style="103"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8" t="s">
        <v>525</v>
      </c>
      <c r="B1" s="43"/>
      <c r="C1" s="43"/>
      <c r="D1" s="43"/>
      <c r="E1" s="43"/>
      <c r="AA1" s="43">
        <v>0</v>
      </c>
    </row>
    <row r="2" spans="1:27" ht="15" x14ac:dyDescent="0.25">
      <c r="A2" s="43"/>
      <c r="B2" s="43"/>
      <c r="C2" s="43"/>
      <c r="D2" s="43"/>
      <c r="E2" s="118" t="s">
        <v>538</v>
      </c>
    </row>
    <row r="3" spans="1:27" ht="15" x14ac:dyDescent="0.25">
      <c r="A3" s="39"/>
      <c r="B3" s="39"/>
      <c r="C3" s="39"/>
      <c r="D3" s="39"/>
      <c r="E3" s="122" t="s">
        <v>519</v>
      </c>
      <c r="F3" s="123"/>
    </row>
    <row r="4" spans="1:27" ht="15" x14ac:dyDescent="0.25">
      <c r="A4" s="39"/>
      <c r="B4" s="39"/>
      <c r="C4" s="39"/>
      <c r="D4" s="39"/>
      <c r="E4" s="124"/>
      <c r="F4" s="125"/>
    </row>
    <row r="5" spans="1:27" ht="4.5" customHeight="1" x14ac:dyDescent="0.25">
      <c r="A5" s="39"/>
      <c r="B5" s="39"/>
      <c r="C5" s="39"/>
      <c r="D5" s="39"/>
      <c r="E5" s="124"/>
      <c r="F5" s="125"/>
    </row>
    <row r="6" spans="1:27" ht="4.5" customHeight="1" x14ac:dyDescent="0.25">
      <c r="A6" s="39"/>
      <c r="B6" s="39"/>
      <c r="C6" s="39"/>
      <c r="D6" s="39"/>
      <c r="E6" s="124"/>
      <c r="F6" s="125"/>
    </row>
    <row r="7" spans="1:27" ht="15" x14ac:dyDescent="0.25">
      <c r="A7" s="39"/>
      <c r="B7" s="39"/>
      <c r="C7" s="39"/>
      <c r="D7" s="39"/>
      <c r="E7" s="124"/>
      <c r="F7" s="125"/>
    </row>
    <row r="8" spans="1:27" ht="15" x14ac:dyDescent="0.25">
      <c r="A8" s="39"/>
      <c r="B8" s="39"/>
      <c r="C8" s="39"/>
      <c r="D8" s="39"/>
      <c r="E8" s="124"/>
      <c r="F8" s="125"/>
    </row>
    <row r="9" spans="1:27" ht="15" x14ac:dyDescent="0.25">
      <c r="A9" s="39"/>
      <c r="B9" s="39"/>
      <c r="C9" s="39"/>
      <c r="D9" s="39"/>
      <c r="E9" s="124"/>
      <c r="F9" s="125"/>
    </row>
    <row r="10" spans="1:27" ht="15" hidden="1" customHeight="1" x14ac:dyDescent="0.25">
      <c r="A10" s="39"/>
      <c r="B10" s="39"/>
      <c r="C10" s="39"/>
      <c r="D10" s="39"/>
      <c r="E10" s="124"/>
      <c r="F10" s="125"/>
    </row>
    <row r="11" spans="1:27" ht="15" hidden="1" customHeight="1" x14ac:dyDescent="0.25">
      <c r="A11" s="39"/>
      <c r="B11" s="39"/>
      <c r="C11" s="39"/>
      <c r="D11" s="39"/>
      <c r="E11" s="124"/>
      <c r="F11" s="125"/>
    </row>
    <row r="12" spans="1:27" ht="15" hidden="1" customHeight="1" x14ac:dyDescent="0.25">
      <c r="A12" s="108"/>
      <c r="B12" s="39"/>
      <c r="C12" s="39"/>
      <c r="D12" s="39"/>
      <c r="E12" s="124"/>
      <c r="F12" s="125"/>
    </row>
    <row r="13" spans="1:27" ht="15" x14ac:dyDescent="0.25">
      <c r="A13" s="39"/>
      <c r="B13" s="39"/>
      <c r="C13" s="39"/>
      <c r="D13" s="39"/>
      <c r="E13" s="124"/>
      <c r="F13" s="125"/>
    </row>
    <row r="14" spans="1:27" ht="15" customHeight="1" x14ac:dyDescent="0.25">
      <c r="A14" s="128" t="s">
        <v>530</v>
      </c>
      <c r="B14" s="129"/>
      <c r="C14" s="130"/>
      <c r="D14" s="130"/>
      <c r="E14" s="124"/>
      <c r="F14" s="125"/>
    </row>
    <row r="15" spans="1:27" ht="15" customHeight="1" x14ac:dyDescent="0.25">
      <c r="A15" s="131"/>
      <c r="B15" s="132"/>
      <c r="C15" s="133"/>
      <c r="D15" s="133"/>
      <c r="E15" s="124"/>
      <c r="F15" s="125"/>
    </row>
    <row r="16" spans="1:27" ht="15" customHeight="1" x14ac:dyDescent="0.25">
      <c r="A16" s="131"/>
      <c r="B16" s="132"/>
      <c r="C16" s="133"/>
      <c r="D16" s="133"/>
      <c r="E16" s="124"/>
      <c r="F16" s="125"/>
    </row>
    <row r="17" spans="1:6" ht="53.25" customHeight="1" x14ac:dyDescent="0.25">
      <c r="A17" s="131"/>
      <c r="B17" s="132"/>
      <c r="C17" s="133"/>
      <c r="D17" s="133"/>
      <c r="E17" s="124"/>
      <c r="F17" s="125"/>
    </row>
    <row r="18" spans="1:6" ht="15" x14ac:dyDescent="0.25">
      <c r="A18" s="131"/>
      <c r="B18" s="132"/>
      <c r="C18" s="133"/>
      <c r="D18" s="133"/>
      <c r="E18" s="124"/>
      <c r="F18" s="125"/>
    </row>
    <row r="19" spans="1:6" ht="15" x14ac:dyDescent="0.25">
      <c r="A19" s="131"/>
      <c r="B19" s="132"/>
      <c r="C19" s="133"/>
      <c r="D19" s="133"/>
      <c r="E19" s="124"/>
      <c r="F19" s="125"/>
    </row>
    <row r="20" spans="1:6" ht="15" x14ac:dyDescent="0.25">
      <c r="A20" s="131"/>
      <c r="B20" s="132"/>
      <c r="C20" s="133"/>
      <c r="D20" s="133"/>
      <c r="E20" s="124"/>
      <c r="F20" s="125"/>
    </row>
    <row r="21" spans="1:6" ht="15" x14ac:dyDescent="0.25">
      <c r="A21" s="131"/>
      <c r="B21" s="132"/>
      <c r="C21" s="133"/>
      <c r="D21" s="133"/>
      <c r="E21" s="124"/>
      <c r="F21" s="125"/>
    </row>
    <row r="22" spans="1:6" ht="15" x14ac:dyDescent="0.25">
      <c r="A22" s="131"/>
      <c r="B22" s="132"/>
      <c r="C22" s="133"/>
      <c r="D22" s="133"/>
      <c r="E22" s="124"/>
      <c r="F22" s="125"/>
    </row>
    <row r="23" spans="1:6" ht="15" x14ac:dyDescent="0.25">
      <c r="A23" s="131"/>
      <c r="B23" s="132"/>
      <c r="C23" s="133"/>
      <c r="D23" s="133"/>
      <c r="E23" s="124"/>
      <c r="F23" s="125"/>
    </row>
    <row r="24" spans="1:6" ht="15" customHeight="1" x14ac:dyDescent="0.25">
      <c r="A24" s="131"/>
      <c r="B24" s="132"/>
      <c r="C24" s="133"/>
      <c r="D24" s="133"/>
      <c r="E24" s="124"/>
      <c r="F24" s="125"/>
    </row>
    <row r="25" spans="1:6" ht="15" customHeight="1" x14ac:dyDescent="0.25">
      <c r="A25" s="131"/>
      <c r="B25" s="132"/>
      <c r="C25" s="133"/>
      <c r="D25" s="133"/>
      <c r="E25" s="124"/>
      <c r="F25" s="125"/>
    </row>
    <row r="26" spans="1:6" ht="15" customHeight="1" x14ac:dyDescent="0.25">
      <c r="A26" s="131"/>
      <c r="B26" s="132"/>
      <c r="C26" s="133"/>
      <c r="D26" s="133"/>
      <c r="E26" s="124"/>
      <c r="F26" s="125"/>
    </row>
    <row r="27" spans="1:6" ht="36" customHeight="1" x14ac:dyDescent="0.25">
      <c r="A27" s="131"/>
      <c r="B27" s="132"/>
      <c r="C27" s="133"/>
      <c r="D27" s="133"/>
      <c r="E27" s="124"/>
      <c r="F27" s="125"/>
    </row>
    <row r="28" spans="1:6" ht="36" customHeight="1" x14ac:dyDescent="0.25">
      <c r="A28" s="131"/>
      <c r="B28" s="132"/>
      <c r="C28" s="133"/>
      <c r="D28" s="133"/>
      <c r="E28" s="124"/>
      <c r="F28" s="125"/>
    </row>
    <row r="29" spans="1:6" ht="36" customHeight="1" x14ac:dyDescent="0.25">
      <c r="A29" s="131"/>
      <c r="B29" s="132"/>
      <c r="C29" s="133"/>
      <c r="D29" s="133"/>
      <c r="E29" s="124"/>
      <c r="F29" s="125"/>
    </row>
    <row r="30" spans="1:6" ht="36" customHeight="1" x14ac:dyDescent="0.25">
      <c r="A30" s="131"/>
      <c r="B30" s="132"/>
      <c r="C30" s="133"/>
      <c r="D30" s="133"/>
      <c r="E30" s="124"/>
      <c r="F30" s="125"/>
    </row>
    <row r="31" spans="1:6" ht="36" customHeight="1" x14ac:dyDescent="0.25">
      <c r="A31" s="131"/>
      <c r="B31" s="132"/>
      <c r="C31" s="133"/>
      <c r="D31" s="133"/>
      <c r="E31" s="124"/>
      <c r="F31" s="125"/>
    </row>
    <row r="32" spans="1:6" ht="15" x14ac:dyDescent="0.25">
      <c r="A32" s="131"/>
      <c r="B32" s="132"/>
      <c r="C32" s="133"/>
      <c r="D32" s="133"/>
      <c r="E32" s="124"/>
      <c r="F32" s="125"/>
    </row>
    <row r="33" spans="1:6" ht="15" customHeight="1" x14ac:dyDescent="0.25">
      <c r="A33" s="131"/>
      <c r="B33" s="132"/>
      <c r="C33" s="133"/>
      <c r="D33" s="133"/>
      <c r="E33" s="124"/>
      <c r="F33" s="125"/>
    </row>
    <row r="34" spans="1:6" ht="15" customHeight="1" x14ac:dyDescent="0.25">
      <c r="A34" s="131"/>
      <c r="B34" s="132"/>
      <c r="C34" s="133"/>
      <c r="D34" s="133"/>
      <c r="E34" s="124"/>
      <c r="F34" s="125"/>
    </row>
    <row r="35" spans="1:6" ht="15" x14ac:dyDescent="0.25">
      <c r="A35" s="131"/>
      <c r="B35" s="132"/>
      <c r="C35" s="133"/>
      <c r="D35" s="133"/>
      <c r="E35" s="124"/>
      <c r="F35" s="125"/>
    </row>
    <row r="36" spans="1:6" ht="31.5" customHeight="1" x14ac:dyDescent="0.25">
      <c r="A36" s="131"/>
      <c r="B36" s="132"/>
      <c r="C36" s="133"/>
      <c r="D36" s="133"/>
      <c r="E36" s="124"/>
      <c r="F36" s="125"/>
    </row>
    <row r="37" spans="1:6" ht="31.5" customHeight="1" x14ac:dyDescent="0.25">
      <c r="A37" s="131"/>
      <c r="B37" s="132"/>
      <c r="C37" s="133"/>
      <c r="D37" s="133"/>
      <c r="E37" s="124"/>
      <c r="F37" s="125"/>
    </row>
    <row r="38" spans="1:6" ht="31.5" customHeight="1" x14ac:dyDescent="0.25">
      <c r="A38" s="131"/>
      <c r="B38" s="132"/>
      <c r="C38" s="133"/>
      <c r="D38" s="133"/>
      <c r="E38" s="124"/>
      <c r="F38" s="125"/>
    </row>
    <row r="39" spans="1:6" ht="31.5" customHeight="1" x14ac:dyDescent="0.25">
      <c r="A39" s="131"/>
      <c r="B39" s="132"/>
      <c r="C39" s="133"/>
      <c r="D39" s="133"/>
      <c r="E39" s="124"/>
      <c r="F39" s="125"/>
    </row>
    <row r="40" spans="1:6" ht="15" x14ac:dyDescent="0.25">
      <c r="A40" s="134"/>
      <c r="B40" s="135"/>
      <c r="C40" s="136"/>
      <c r="D40" s="136"/>
      <c r="E40" s="126"/>
      <c r="F40" s="127"/>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topLeftCell="A28" zoomScaleNormal="100" zoomScaleSheetLayoutView="100" workbookViewId="0">
      <selection activeCell="K14" sqref="K14:O1048576"/>
    </sheetView>
  </sheetViews>
  <sheetFormatPr defaultColWidth="0" defaultRowHeight="15" zeroHeight="1" x14ac:dyDescent="0.25"/>
  <cols>
    <col min="1" max="8" width="9.140625" style="43" customWidth="1"/>
    <col min="9" max="10" width="7.7109375" style="43" customWidth="1"/>
    <col min="11" max="11" width="7.7109375" style="119" hidden="1" customWidth="1"/>
    <col min="12" max="15" width="3.85546875" style="119" hidden="1" customWidth="1"/>
    <col min="16" max="16384" width="0.85546875" style="43" hidden="1"/>
  </cols>
  <sheetData>
    <row r="1" spans="1:15 16383:16383" ht="21" x14ac:dyDescent="0.35">
      <c r="B1" s="88"/>
      <c r="L1" s="39"/>
      <c r="M1" s="39"/>
      <c r="N1" s="39"/>
      <c r="O1" s="39"/>
      <c r="XFC1" s="43" t="s">
        <v>499</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8"/>
      <c r="L12" s="36"/>
      <c r="M12" s="36"/>
      <c r="N12" s="36"/>
      <c r="O12" s="36"/>
    </row>
    <row r="13" spans="1:15 16383:16383" x14ac:dyDescent="0.25">
      <c r="K13" s="36"/>
      <c r="L13" s="36"/>
      <c r="M13" s="36"/>
      <c r="N13" s="36"/>
      <c r="O13" s="36"/>
    </row>
    <row r="14" spans="1:15 16383:16383" x14ac:dyDescent="0.25">
      <c r="A14" s="137" t="s">
        <v>315</v>
      </c>
      <c r="B14" s="138"/>
      <c r="C14" s="138"/>
      <c r="D14" s="138"/>
      <c r="E14" s="138"/>
      <c r="F14" s="138"/>
      <c r="G14" s="138"/>
      <c r="H14" s="138"/>
      <c r="I14" s="138"/>
      <c r="J14" s="138"/>
      <c r="K14" s="120"/>
    </row>
    <row r="15" spans="1:15 16383:16383" x14ac:dyDescent="0.25">
      <c r="A15" s="138"/>
      <c r="B15" s="138"/>
      <c r="C15" s="138"/>
      <c r="D15" s="138"/>
      <c r="E15" s="138"/>
      <c r="F15" s="138"/>
      <c r="G15" s="138"/>
      <c r="H15" s="138"/>
      <c r="I15" s="138"/>
      <c r="J15" s="138"/>
    </row>
    <row r="16" spans="1:15 16383:16383" x14ac:dyDescent="0.25">
      <c r="A16" s="138"/>
      <c r="B16" s="138"/>
      <c r="C16" s="138"/>
      <c r="D16" s="138"/>
      <c r="E16" s="138"/>
      <c r="F16" s="138"/>
      <c r="G16" s="138"/>
      <c r="H16" s="138"/>
      <c r="I16" s="138"/>
      <c r="J16" s="138"/>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39" t="s">
        <v>488</v>
      </c>
      <c r="B24" s="140"/>
      <c r="C24" s="140"/>
      <c r="D24" s="140"/>
      <c r="E24" s="140"/>
      <c r="F24" s="140"/>
      <c r="G24" s="140"/>
      <c r="H24" s="140"/>
      <c r="I24" s="140"/>
      <c r="J24" s="140"/>
    </row>
    <row r="25" spans="1:10" x14ac:dyDescent="0.25">
      <c r="A25" s="140"/>
      <c r="B25" s="140"/>
      <c r="C25" s="140"/>
      <c r="D25" s="140"/>
      <c r="E25" s="140"/>
      <c r="F25" s="140"/>
      <c r="G25" s="140"/>
      <c r="H25" s="140"/>
      <c r="I25" s="140"/>
      <c r="J25" s="140"/>
    </row>
    <row r="26" spans="1:10" x14ac:dyDescent="0.25">
      <c r="A26" s="140"/>
      <c r="B26" s="140"/>
      <c r="C26" s="140"/>
      <c r="D26" s="140"/>
      <c r="E26" s="140"/>
      <c r="F26" s="140"/>
      <c r="G26" s="140"/>
      <c r="H26" s="140"/>
      <c r="I26" s="140"/>
      <c r="J26" s="140"/>
    </row>
    <row r="27" spans="1:10" x14ac:dyDescent="0.25">
      <c r="A27" s="141"/>
      <c r="B27" s="141"/>
      <c r="C27" s="141"/>
      <c r="D27" s="141"/>
      <c r="E27" s="141"/>
      <c r="F27" s="141"/>
      <c r="G27" s="141"/>
      <c r="H27" s="141"/>
      <c r="I27" s="141"/>
      <c r="J27" s="141"/>
    </row>
    <row r="28" spans="1:10" x14ac:dyDescent="0.25">
      <c r="A28" s="141"/>
      <c r="B28" s="141"/>
      <c r="C28" s="141"/>
      <c r="D28" s="141"/>
      <c r="E28" s="141"/>
      <c r="F28" s="141"/>
      <c r="G28" s="141"/>
      <c r="H28" s="141"/>
      <c r="I28" s="141"/>
      <c r="J28" s="141"/>
    </row>
    <row r="29" spans="1:10" x14ac:dyDescent="0.25"/>
    <row r="30" spans="1:10" x14ac:dyDescent="0.25"/>
    <row r="31" spans="1:10" ht="15" customHeight="1" x14ac:dyDescent="0.25"/>
    <row r="32" spans="1:10" ht="5.25" customHeight="1" x14ac:dyDescent="0.25"/>
    <row r="33" spans="1:10" ht="42" customHeight="1" x14ac:dyDescent="0.25">
      <c r="A33" s="142" t="s">
        <v>573</v>
      </c>
      <c r="B33" s="143"/>
      <c r="C33" s="143"/>
      <c r="D33" s="143"/>
      <c r="E33" s="143"/>
      <c r="F33" s="143"/>
      <c r="G33" s="143"/>
      <c r="H33" s="143"/>
      <c r="I33" s="143"/>
      <c r="J33" s="143"/>
    </row>
    <row r="34" spans="1:10" x14ac:dyDescent="0.25">
      <c r="A34" s="143"/>
      <c r="B34" s="143"/>
      <c r="C34" s="143"/>
      <c r="D34" s="143"/>
      <c r="E34" s="143"/>
      <c r="F34" s="143"/>
      <c r="G34" s="143"/>
      <c r="H34" s="143"/>
      <c r="I34" s="143"/>
      <c r="J34" s="143"/>
    </row>
    <row r="35" spans="1:10" ht="15" customHeight="1" x14ac:dyDescent="0.25"/>
    <row r="36" spans="1:10" ht="15" customHeight="1"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0"/>
  <sheetViews>
    <sheetView view="pageLayout" zoomScaleNormal="100" workbookViewId="0">
      <selection activeCell="C2" sqref="C2"/>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256</v>
      </c>
      <c r="B1" s="45"/>
      <c r="AA1" s="43" t="s">
        <v>499</v>
      </c>
    </row>
    <row r="2" spans="1:27" ht="15.75" thickBot="1" x14ac:dyDescent="0.3"/>
    <row r="3" spans="1:27" ht="29.25" customHeight="1" thickBot="1" x14ac:dyDescent="0.3">
      <c r="A3" s="144" t="s">
        <v>257</v>
      </c>
      <c r="B3" s="145"/>
      <c r="C3" s="106"/>
    </row>
    <row r="4" spans="1:27" ht="33.75" customHeight="1" thickBot="1" x14ac:dyDescent="0.3">
      <c r="A4" s="144" t="s">
        <v>316</v>
      </c>
      <c r="B4" s="145"/>
      <c r="C4" s="107" t="s">
        <v>565</v>
      </c>
    </row>
    <row r="5" spans="1:27" ht="33.75" customHeight="1" thickBot="1" x14ac:dyDescent="0.3">
      <c r="A5" s="144" t="s">
        <v>317</v>
      </c>
      <c r="B5" s="145"/>
      <c r="C5" s="107"/>
    </row>
    <row r="6" spans="1:27" ht="33.75" customHeight="1" thickBot="1" x14ac:dyDescent="0.3">
      <c r="A6" s="144" t="s">
        <v>1</v>
      </c>
      <c r="B6" s="145"/>
      <c r="C6" s="107" t="s">
        <v>564</v>
      </c>
    </row>
    <row r="7" spans="1:27" ht="33.75" customHeight="1" thickBot="1" x14ac:dyDescent="0.3">
      <c r="A7" s="144" t="s">
        <v>258</v>
      </c>
      <c r="B7" s="145"/>
      <c r="C7" s="107" t="s">
        <v>563</v>
      </c>
    </row>
    <row r="8" spans="1:27" ht="33.75" customHeight="1" thickBot="1" x14ac:dyDescent="0.3">
      <c r="A8" s="144" t="s">
        <v>520</v>
      </c>
      <c r="B8" s="145"/>
      <c r="C8" s="107"/>
    </row>
    <row r="9" spans="1:27" ht="33.75" customHeight="1" thickBot="1" x14ac:dyDescent="0.3">
      <c r="A9" s="144" t="s">
        <v>521</v>
      </c>
      <c r="B9" s="145"/>
      <c r="C9" s="107"/>
    </row>
    <row r="10" spans="1:27" ht="33.75" customHeight="1" thickBot="1" x14ac:dyDescent="0.3">
      <c r="A10" s="144" t="s">
        <v>259</v>
      </c>
      <c r="B10" s="145"/>
      <c r="C10" s="107" t="s">
        <v>542</v>
      </c>
    </row>
    <row r="11" spans="1:27" ht="33.75" customHeight="1" thickBot="1" x14ac:dyDescent="0.3">
      <c r="A11" s="144" t="s">
        <v>260</v>
      </c>
      <c r="B11" s="145"/>
      <c r="C11" s="107" t="s">
        <v>588</v>
      </c>
    </row>
    <row r="12" spans="1:27" ht="33.75" customHeight="1" thickBot="1" x14ac:dyDescent="0.3">
      <c r="A12" s="144" t="s">
        <v>522</v>
      </c>
      <c r="B12" s="145"/>
      <c r="C12" s="107" t="s">
        <v>587</v>
      </c>
    </row>
    <row r="13" spans="1:27" ht="33.75" customHeight="1" thickBot="1" x14ac:dyDescent="0.3">
      <c r="A13" s="144" t="s">
        <v>261</v>
      </c>
      <c r="B13" s="145"/>
      <c r="C13" s="107" t="s">
        <v>563</v>
      </c>
    </row>
    <row r="14" spans="1:27" x14ac:dyDescent="0.25"/>
    <row r="15" spans="1:27" ht="15.75" thickBot="1" x14ac:dyDescent="0.3">
      <c r="A15" s="68" t="s">
        <v>498</v>
      </c>
      <c r="B15" s="146"/>
      <c r="C15" s="147"/>
    </row>
    <row r="16" spans="1:27" x14ac:dyDescent="0.25"/>
    <row r="17" spans="1:3" x14ac:dyDescent="0.25">
      <c r="A17" s="89" t="s">
        <v>523</v>
      </c>
      <c r="B17" s="47"/>
    </row>
    <row r="18" spans="1:3" x14ac:dyDescent="0.25"/>
    <row r="19" spans="1:3" x14ac:dyDescent="0.25">
      <c r="A19" s="48" t="s">
        <v>262</v>
      </c>
      <c r="B19" s="49"/>
      <c r="C19" s="50"/>
    </row>
    <row r="20" spans="1:3" ht="198.75" customHeight="1" x14ac:dyDescent="0.25">
      <c r="A20" s="148" t="s">
        <v>517</v>
      </c>
      <c r="B20" s="136"/>
      <c r="C20" s="149"/>
    </row>
  </sheetData>
  <sheetProtection password="CDE2" sheet="1" objects="1" scenarios="1" formatRows="0"/>
  <mergeCells count="13">
    <mergeCell ref="A11:B11"/>
    <mergeCell ref="A12:B12"/>
    <mergeCell ref="A13:B13"/>
    <mergeCell ref="B15:C15"/>
    <mergeCell ref="A20:C20"/>
    <mergeCell ref="A10:B10"/>
    <mergeCell ref="A3:B3"/>
    <mergeCell ref="A4:B4"/>
    <mergeCell ref="A5:B5"/>
    <mergeCell ref="A6:B6"/>
    <mergeCell ref="A7:B7"/>
    <mergeCell ref="A8:B8"/>
    <mergeCell ref="A9:B9"/>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&amp;CDebt Capital Markets</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topLeftCell="A12" zoomScaleNormal="100" zoomScaleSheetLayoutView="100" workbookViewId="0">
      <selection activeCell="A12" sqref="A12"/>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266</v>
      </c>
      <c r="AA1" s="43" t="s">
        <v>500</v>
      </c>
    </row>
    <row r="2" spans="1:27" ht="30" x14ac:dyDescent="0.25">
      <c r="A2" s="42" t="s">
        <v>531</v>
      </c>
    </row>
    <row r="3" spans="1:27" ht="159" customHeight="1" x14ac:dyDescent="0.25">
      <c r="A3" s="98" t="s">
        <v>589</v>
      </c>
    </row>
    <row r="4" spans="1:27" ht="15.75" thickBot="1" x14ac:dyDescent="0.3">
      <c r="A4" s="72" t="s">
        <v>263</v>
      </c>
    </row>
    <row r="5" spans="1:27" ht="75" x14ac:dyDescent="0.25">
      <c r="A5" s="42" t="s">
        <v>532</v>
      </c>
    </row>
    <row r="6" spans="1:27" ht="409.5" x14ac:dyDescent="0.25">
      <c r="A6" s="98" t="s">
        <v>604</v>
      </c>
    </row>
    <row r="7" spans="1:27" ht="81.75" customHeight="1" thickBot="1" x14ac:dyDescent="0.3">
      <c r="A7" s="72" t="s">
        <v>264</v>
      </c>
    </row>
    <row r="8" spans="1:27" ht="150" x14ac:dyDescent="0.25">
      <c r="A8" s="42" t="s">
        <v>486</v>
      </c>
    </row>
    <row r="9" spans="1:27" ht="195.75" customHeight="1" x14ac:dyDescent="0.25">
      <c r="A9" s="98" t="s">
        <v>562</v>
      </c>
    </row>
    <row r="10" spans="1:27" ht="109.5" customHeight="1" thickBot="1" x14ac:dyDescent="0.3">
      <c r="A10" s="72" t="s">
        <v>265</v>
      </c>
    </row>
    <row r="11" spans="1:27" ht="144.75" customHeight="1" x14ac:dyDescent="0.25">
      <c r="A11" s="42" t="s">
        <v>487</v>
      </c>
    </row>
    <row r="12" spans="1:27" ht="232.5" customHeight="1" x14ac:dyDescent="0.25">
      <c r="A12" s="98" t="s">
        <v>578</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topLeftCell="A4" zoomScaleNormal="100" zoomScaleSheetLayoutView="100" workbookViewId="0">
      <selection activeCell="A12" sqref="A12:E12"/>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272</v>
      </c>
      <c r="B1" s="56"/>
      <c r="C1" s="56"/>
      <c r="D1" s="56"/>
      <c r="E1" s="56"/>
      <c r="AA1" s="43" t="s">
        <v>500</v>
      </c>
    </row>
    <row r="2" spans="1:27" x14ac:dyDescent="0.25">
      <c r="A2" s="150" t="s">
        <v>273</v>
      </c>
      <c r="B2" s="151"/>
      <c r="C2" s="151"/>
      <c r="D2" s="151"/>
      <c r="E2" s="151"/>
      <c r="F2" s="151"/>
      <c r="G2" s="55"/>
      <c r="H2" s="55"/>
      <c r="I2" s="55"/>
      <c r="J2" s="55"/>
      <c r="K2" s="55"/>
      <c r="L2" s="55"/>
      <c r="M2" s="55"/>
      <c r="N2" s="55"/>
    </row>
    <row r="3" spans="1:27" ht="15.75" thickBot="1" x14ac:dyDescent="0.3"/>
    <row r="4" spans="1:27" ht="15.75" thickBot="1" x14ac:dyDescent="0.3">
      <c r="A4" s="52" t="s">
        <v>267</v>
      </c>
      <c r="B4" s="53" t="s">
        <v>268</v>
      </c>
      <c r="C4" s="53" t="s">
        <v>269</v>
      </c>
      <c r="D4" s="53" t="s">
        <v>270</v>
      </c>
      <c r="E4" s="53" t="s">
        <v>271</v>
      </c>
    </row>
    <row r="5" spans="1:27" ht="15.75" thickBot="1" x14ac:dyDescent="0.3">
      <c r="A5" s="116" t="s">
        <v>543</v>
      </c>
      <c r="B5" s="115"/>
      <c r="C5" s="117" t="s">
        <v>544</v>
      </c>
      <c r="D5" s="115"/>
      <c r="E5" s="115"/>
    </row>
    <row r="6" spans="1:27" ht="15.75" thickBot="1" x14ac:dyDescent="0.3">
      <c r="A6" s="116" t="s">
        <v>548</v>
      </c>
      <c r="B6" s="115"/>
      <c r="C6" s="115" t="s">
        <v>544</v>
      </c>
      <c r="D6" s="115"/>
      <c r="E6" s="115"/>
    </row>
    <row r="7" spans="1:27" ht="15.75" thickBot="1" x14ac:dyDescent="0.3">
      <c r="A7" s="116"/>
      <c r="B7" s="115"/>
      <c r="C7" s="115"/>
      <c r="D7" s="115"/>
      <c r="E7" s="115"/>
    </row>
    <row r="8" spans="1:27" ht="15.75" thickBot="1" x14ac:dyDescent="0.3">
      <c r="A8" s="116"/>
      <c r="B8" s="115"/>
      <c r="C8" s="115"/>
      <c r="D8" s="115"/>
      <c r="E8" s="115"/>
    </row>
    <row r="9" spans="1:27" ht="15.75" thickBot="1" x14ac:dyDescent="0.3">
      <c r="A9" s="116"/>
      <c r="B9" s="115"/>
      <c r="C9" s="115"/>
      <c r="D9" s="115"/>
      <c r="E9" s="115"/>
    </row>
    <row r="10" spans="1:27" x14ac:dyDescent="0.25">
      <c r="A10" s="44"/>
      <c r="B10"/>
      <c r="C10"/>
      <c r="D10"/>
      <c r="E10"/>
    </row>
    <row r="11" spans="1:27" ht="48.75" customHeight="1" x14ac:dyDescent="0.25">
      <c r="A11" s="150" t="s">
        <v>274</v>
      </c>
      <c r="B11" s="152"/>
      <c r="C11" s="152"/>
      <c r="D11" s="152"/>
      <c r="E11" s="152"/>
    </row>
    <row r="12" spans="1:27" ht="61.5" customHeight="1" x14ac:dyDescent="0.25">
      <c r="A12" s="153" t="s">
        <v>605</v>
      </c>
      <c r="B12" s="154"/>
      <c r="C12" s="154"/>
      <c r="D12" s="154"/>
      <c r="E12" s="155"/>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zoomScaleNormal="100" zoomScalePageLayoutView="80" workbookViewId="0">
      <selection activeCell="A3" sqref="A3"/>
    </sheetView>
  </sheetViews>
  <sheetFormatPr defaultColWidth="0" defaultRowHeight="15" zeroHeight="1" x14ac:dyDescent="0.25"/>
  <cols>
    <col min="1" max="1" width="146.7109375" style="92" customWidth="1"/>
    <col min="2" max="16384" width="2" style="43" hidden="1"/>
  </cols>
  <sheetData>
    <row r="1" spans="1:27" ht="21.75" customHeight="1" thickBot="1" x14ac:dyDescent="0.3">
      <c r="A1" s="72" t="s">
        <v>512</v>
      </c>
      <c r="AA1" s="43" t="s">
        <v>500</v>
      </c>
    </row>
    <row r="2" spans="1:27" ht="57" customHeight="1" x14ac:dyDescent="0.25">
      <c r="A2" s="42" t="s">
        <v>513</v>
      </c>
    </row>
    <row r="3" spans="1:27" ht="52.5" customHeight="1" x14ac:dyDescent="0.25">
      <c r="A3" s="98" t="s">
        <v>606</v>
      </c>
    </row>
    <row r="4" spans="1:27" ht="24.75" customHeight="1" x14ac:dyDescent="0.25">
      <c r="A4" s="99"/>
    </row>
    <row r="5" spans="1:27" x14ac:dyDescent="0.25">
      <c r="A5" s="100"/>
    </row>
    <row r="6" spans="1:27" x14ac:dyDescent="0.25">
      <c r="A6" s="100"/>
    </row>
    <row r="7" spans="1:27" ht="27.75" customHeight="1" x14ac:dyDescent="0.25">
      <c r="A7" s="99"/>
    </row>
    <row r="8" spans="1:27" ht="21.75" customHeight="1" x14ac:dyDescent="0.25">
      <c r="A8" s="100"/>
    </row>
    <row r="9" spans="1:27" ht="20.25" customHeight="1" x14ac:dyDescent="0.25">
      <c r="A9" s="100"/>
    </row>
    <row r="10" spans="1:27" ht="24.75" customHeight="1" x14ac:dyDescent="0.25">
      <c r="A10" s="99"/>
    </row>
    <row r="11" spans="1:27" ht="22.5" customHeight="1" x14ac:dyDescent="0.25">
      <c r="A11" s="100"/>
    </row>
    <row r="12" spans="1:27" ht="20.25" customHeight="1" x14ac:dyDescent="0.25">
      <c r="A12" s="100"/>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topLeftCell="A7" zoomScaleNormal="100" workbookViewId="0">
      <selection activeCell="A12" sqref="A12:D12"/>
    </sheetView>
  </sheetViews>
  <sheetFormatPr defaultColWidth="0" defaultRowHeight="15" zeroHeight="1" x14ac:dyDescent="0.25"/>
  <cols>
    <col min="1" max="2" width="28.85546875" style="43" customWidth="1"/>
    <col min="3" max="3" width="60.28515625" style="43" customWidth="1"/>
    <col min="4" max="4" width="43.7109375" style="43" customWidth="1"/>
    <col min="5" max="16384" width="2.5703125" style="43" hidden="1"/>
  </cols>
  <sheetData>
    <row r="1" spans="1:27" ht="15.75" thickBot="1" x14ac:dyDescent="0.3">
      <c r="A1" s="57" t="s">
        <v>501</v>
      </c>
      <c r="B1" s="56"/>
      <c r="C1" s="56"/>
      <c r="D1" s="56"/>
      <c r="AA1" s="43" t="s">
        <v>500</v>
      </c>
    </row>
    <row r="2" spans="1:27" x14ac:dyDescent="0.25">
      <c r="A2" s="164" t="s">
        <v>280</v>
      </c>
      <c r="B2" s="165"/>
      <c r="C2" s="165"/>
      <c r="D2" s="165"/>
    </row>
    <row r="3" spans="1:27" x14ac:dyDescent="0.25"/>
    <row r="4" spans="1:27" x14ac:dyDescent="0.25">
      <c r="A4" s="61" t="s">
        <v>275</v>
      </c>
      <c r="B4" s="61" t="s">
        <v>276</v>
      </c>
      <c r="C4" s="61" t="s">
        <v>277</v>
      </c>
      <c r="D4" s="61" t="s">
        <v>278</v>
      </c>
    </row>
    <row r="5" spans="1:27" x14ac:dyDescent="0.25">
      <c r="A5" s="112"/>
      <c r="B5" s="112"/>
      <c r="C5" s="112"/>
      <c r="D5" s="112"/>
    </row>
    <row r="6" spans="1:27" x14ac:dyDescent="0.25">
      <c r="A6" s="112"/>
      <c r="B6" s="112"/>
      <c r="C6" s="112"/>
      <c r="D6" s="112"/>
    </row>
    <row r="7" spans="1:27" x14ac:dyDescent="0.25">
      <c r="A7" s="113"/>
      <c r="B7" s="113"/>
      <c r="C7" s="114"/>
      <c r="D7" s="112"/>
    </row>
    <row r="8" spans="1:27" x14ac:dyDescent="0.25">
      <c r="A8" s="112"/>
      <c r="B8" s="112"/>
      <c r="C8" s="112"/>
      <c r="D8" s="112"/>
    </row>
    <row r="9" spans="1:27" x14ac:dyDescent="0.25">
      <c r="A9" s="112"/>
      <c r="B9" s="112"/>
      <c r="C9" s="112"/>
      <c r="D9" s="112"/>
    </row>
    <row r="10" spans="1:27" x14ac:dyDescent="0.25"/>
    <row r="11" spans="1:27" x14ac:dyDescent="0.25">
      <c r="A11" s="43" t="s">
        <v>279</v>
      </c>
    </row>
    <row r="12" spans="1:27" ht="126.75" customHeight="1" x14ac:dyDescent="0.25">
      <c r="A12" s="153" t="s">
        <v>607</v>
      </c>
      <c r="B12" s="162"/>
      <c r="C12" s="162"/>
      <c r="D12" s="163"/>
    </row>
    <row r="13" spans="1:27" ht="20.25" customHeight="1" x14ac:dyDescent="0.25">
      <c r="A13" s="58"/>
      <c r="B13" s="33"/>
      <c r="C13" s="33"/>
      <c r="D13" s="33"/>
    </row>
    <row r="14" spans="1:27" ht="20.25" customHeight="1" thickBot="1" x14ac:dyDescent="0.3">
      <c r="A14" s="111" t="s">
        <v>502</v>
      </c>
      <c r="B14" s="62"/>
      <c r="C14" s="62"/>
      <c r="D14" s="62"/>
    </row>
    <row r="15" spans="1:27" x14ac:dyDescent="0.25">
      <c r="A15" s="63" t="s">
        <v>503</v>
      </c>
      <c r="B15" s="64"/>
      <c r="C15" s="64"/>
      <c r="D15" s="64"/>
    </row>
    <row r="16" spans="1:27" ht="49.5" customHeight="1" x14ac:dyDescent="0.25">
      <c r="A16" s="166" t="s">
        <v>281</v>
      </c>
      <c r="B16" s="133"/>
      <c r="C16" s="133"/>
      <c r="D16" s="133"/>
    </row>
    <row r="17" spans="1:4" x14ac:dyDescent="0.25">
      <c r="A17" s="61" t="s">
        <v>3</v>
      </c>
      <c r="B17" s="167" t="s">
        <v>282</v>
      </c>
      <c r="C17" s="168"/>
      <c r="D17" s="168"/>
    </row>
    <row r="18" spans="1:4" x14ac:dyDescent="0.25">
      <c r="A18" s="60" t="s">
        <v>31</v>
      </c>
      <c r="B18" s="156" t="s">
        <v>557</v>
      </c>
      <c r="C18" s="157"/>
      <c r="D18" s="158"/>
    </row>
    <row r="19" spans="1:4" x14ac:dyDescent="0.25">
      <c r="A19" s="59" t="s">
        <v>13</v>
      </c>
      <c r="B19" s="169" t="s">
        <v>557</v>
      </c>
      <c r="C19" s="170"/>
      <c r="D19" s="170"/>
    </row>
    <row r="20" spans="1:4" x14ac:dyDescent="0.25">
      <c r="A20" s="59" t="s">
        <v>15</v>
      </c>
      <c r="B20" s="169" t="s">
        <v>558</v>
      </c>
      <c r="C20" s="170"/>
      <c r="D20" s="170"/>
    </row>
    <row r="21" spans="1:4" x14ac:dyDescent="0.25">
      <c r="A21" s="59" t="s">
        <v>11</v>
      </c>
      <c r="B21" s="169" t="s">
        <v>557</v>
      </c>
      <c r="C21" s="170"/>
      <c r="D21" s="170"/>
    </row>
    <row r="22" spans="1:4" x14ac:dyDescent="0.25">
      <c r="A22" s="59" t="s">
        <v>283</v>
      </c>
      <c r="B22" s="169" t="s">
        <v>559</v>
      </c>
      <c r="C22" s="170"/>
      <c r="D22" s="170"/>
    </row>
    <row r="23" spans="1:4" x14ac:dyDescent="0.25">
      <c r="A23" s="59" t="s">
        <v>25</v>
      </c>
      <c r="B23" s="159" t="s">
        <v>557</v>
      </c>
      <c r="C23" s="160"/>
      <c r="D23" s="161"/>
    </row>
    <row r="24" spans="1:4" x14ac:dyDescent="0.25">
      <c r="A24" s="59" t="s">
        <v>17</v>
      </c>
      <c r="B24" s="169" t="s">
        <v>560</v>
      </c>
      <c r="C24" s="170"/>
      <c r="D24" s="170"/>
    </row>
    <row r="25" spans="1:4" x14ac:dyDescent="0.25">
      <c r="A25" s="59" t="s">
        <v>9</v>
      </c>
      <c r="B25" s="169" t="s">
        <v>547</v>
      </c>
      <c r="C25" s="170"/>
      <c r="D25" s="170"/>
    </row>
    <row r="26" spans="1:4" x14ac:dyDescent="0.25"/>
    <row r="27" spans="1:4" ht="15.75" x14ac:dyDescent="0.25">
      <c r="A27" s="109" t="s">
        <v>504</v>
      </c>
    </row>
    <row r="28" spans="1:4" x14ac:dyDescent="0.25">
      <c r="A28" s="110" t="s">
        <v>284</v>
      </c>
    </row>
    <row r="29" spans="1:4" ht="66.75" customHeight="1" x14ac:dyDescent="0.25">
      <c r="A29" s="171" t="s">
        <v>545</v>
      </c>
      <c r="B29" s="172"/>
      <c r="C29" s="172"/>
      <c r="D29" s="173"/>
    </row>
  </sheetData>
  <sheetProtection password="CDE2" sheet="1" objects="1" scenarios="1" formatCells="0" formatColumns="0" formatRows="0"/>
  <mergeCells count="13">
    <mergeCell ref="A29:D29"/>
    <mergeCell ref="B21:D21"/>
    <mergeCell ref="B22:D22"/>
    <mergeCell ref="B24:D24"/>
    <mergeCell ref="B25:D25"/>
    <mergeCell ref="B18:D18"/>
    <mergeCell ref="B23:D23"/>
    <mergeCell ref="A12:D12"/>
    <mergeCell ref="A2:D2"/>
    <mergeCell ref="A16:D16"/>
    <mergeCell ref="B17:D17"/>
    <mergeCell ref="B19:D19"/>
    <mergeCell ref="B20:D20"/>
  </mergeCells>
  <pageMargins left="0.2" right="0.2" top="0.75" bottom="0.75" header="0.3" footer="0.3"/>
  <pageSetup scale="62"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37"/>
  <sheetViews>
    <sheetView view="pageLayout" zoomScaleNormal="100" workbookViewId="0">
      <selection activeCell="A5" sqref="A5:F5"/>
    </sheetView>
  </sheetViews>
  <sheetFormatPr defaultColWidth="0" defaultRowHeight="15" zeroHeight="1" x14ac:dyDescent="0.25"/>
  <cols>
    <col min="1" max="1" width="22" style="43" customWidth="1"/>
    <col min="2" max="2" width="24.140625" style="43" customWidth="1"/>
    <col min="3" max="3" width="19.140625" style="43" customWidth="1"/>
    <col min="4" max="4" width="21.7109375" style="43" customWidth="1"/>
    <col min="5" max="5" width="17.140625" style="43" customWidth="1"/>
    <col min="6" max="6" width="26" style="43" customWidth="1"/>
    <col min="7" max="16384" width="2.140625" style="43" hidden="1"/>
  </cols>
  <sheetData>
    <row r="1" spans="1:27" x14ac:dyDescent="0.25">
      <c r="AA1" s="43" t="s">
        <v>500</v>
      </c>
    </row>
    <row r="2" spans="1:27" ht="15.75" thickBot="1" x14ac:dyDescent="0.3">
      <c r="A2" s="101" t="s">
        <v>514</v>
      </c>
      <c r="B2" s="56"/>
      <c r="C2" s="56"/>
      <c r="D2" s="56"/>
      <c r="E2" s="56"/>
      <c r="F2" s="56"/>
    </row>
    <row r="3" spans="1:27" x14ac:dyDescent="0.25">
      <c r="A3" s="43" t="s">
        <v>535</v>
      </c>
    </row>
    <row r="4" spans="1:27" x14ac:dyDescent="0.25">
      <c r="A4" s="67" t="s">
        <v>285</v>
      </c>
      <c r="B4" s="67" t="s">
        <v>286</v>
      </c>
      <c r="C4" s="67" t="s">
        <v>287</v>
      </c>
      <c r="D4" s="67" t="s">
        <v>288</v>
      </c>
      <c r="E4" s="67" t="s">
        <v>289</v>
      </c>
      <c r="F4" s="67" t="s">
        <v>270</v>
      </c>
    </row>
    <row r="5" spans="1:27" ht="38.25" x14ac:dyDescent="0.25">
      <c r="A5" s="104" t="s">
        <v>566</v>
      </c>
      <c r="B5" s="104" t="s">
        <v>567</v>
      </c>
      <c r="C5" s="104" t="s">
        <v>546</v>
      </c>
      <c r="D5" s="121" t="s">
        <v>546</v>
      </c>
      <c r="E5" s="121" t="s">
        <v>546</v>
      </c>
      <c r="F5" s="104" t="s">
        <v>568</v>
      </c>
    </row>
    <row r="6" spans="1:27" x14ac:dyDescent="0.25">
      <c r="A6" s="104"/>
      <c r="B6" s="104"/>
      <c r="C6" s="104"/>
      <c r="D6" s="105"/>
      <c r="E6" s="105"/>
      <c r="F6" s="104"/>
    </row>
    <row r="7" spans="1:27" x14ac:dyDescent="0.25">
      <c r="A7" s="104"/>
      <c r="B7" s="104"/>
      <c r="C7" s="104"/>
      <c r="D7" s="105"/>
      <c r="E7" s="105"/>
      <c r="F7" s="104"/>
    </row>
    <row r="8" spans="1:27" x14ac:dyDescent="0.25">
      <c r="A8" s="104"/>
      <c r="B8" s="104"/>
      <c r="C8" s="104"/>
      <c r="D8" s="105"/>
      <c r="E8" s="105"/>
      <c r="F8" s="104"/>
    </row>
    <row r="9" spans="1:27" x14ac:dyDescent="0.25">
      <c r="A9" s="104"/>
      <c r="B9" s="104"/>
      <c r="C9" s="104"/>
      <c r="D9" s="105"/>
      <c r="E9" s="105"/>
      <c r="F9" s="104"/>
    </row>
    <row r="10" spans="1:27" x14ac:dyDescent="0.25">
      <c r="A10" s="104"/>
      <c r="B10" s="104"/>
      <c r="C10" s="104"/>
      <c r="D10" s="105"/>
      <c r="E10" s="105"/>
      <c r="F10" s="104"/>
    </row>
    <row r="11" spans="1:27" x14ac:dyDescent="0.25">
      <c r="A11" s="93"/>
      <c r="B11" s="93"/>
      <c r="C11" s="93"/>
      <c r="D11" s="93"/>
      <c r="E11" s="93"/>
      <c r="F11" s="93"/>
    </row>
    <row r="12" spans="1:27" x14ac:dyDescent="0.25">
      <c r="A12" s="93" t="s">
        <v>527</v>
      </c>
      <c r="B12" s="93"/>
      <c r="C12" s="93"/>
      <c r="D12" s="93"/>
      <c r="E12" s="93"/>
      <c r="F12" s="93"/>
    </row>
    <row r="13" spans="1:27" x14ac:dyDescent="0.25">
      <c r="A13" s="174" t="s">
        <v>526</v>
      </c>
      <c r="B13" s="175"/>
      <c r="C13" s="175"/>
      <c r="D13" s="175"/>
      <c r="E13" s="176"/>
      <c r="F13" s="177"/>
    </row>
    <row r="14" spans="1:27" x14ac:dyDescent="0.25">
      <c r="A14" s="178"/>
      <c r="B14" s="179"/>
      <c r="C14" s="179"/>
      <c r="D14" s="179"/>
      <c r="E14" s="179"/>
      <c r="F14" s="180"/>
    </row>
    <row r="15" spans="1:27" x14ac:dyDescent="0.25">
      <c r="A15" s="93"/>
      <c r="B15" s="93"/>
      <c r="C15" s="93"/>
      <c r="D15" s="93"/>
      <c r="E15" s="93"/>
      <c r="F15" s="93"/>
    </row>
    <row r="16" spans="1:27" x14ac:dyDescent="0.25">
      <c r="A16" s="93"/>
      <c r="B16" s="93"/>
      <c r="C16" s="93"/>
      <c r="D16" s="93"/>
      <c r="E16" s="93"/>
      <c r="F16" s="93"/>
    </row>
    <row r="17" spans="1:6" x14ac:dyDescent="0.25">
      <c r="A17" s="93"/>
      <c r="B17" s="93"/>
      <c r="C17" s="93"/>
      <c r="D17" s="93"/>
      <c r="E17" s="93"/>
      <c r="F17" s="93"/>
    </row>
    <row r="18" spans="1:6" x14ac:dyDescent="0.25">
      <c r="A18" s="93"/>
      <c r="B18" s="93"/>
      <c r="C18" s="93"/>
      <c r="D18" s="93"/>
      <c r="E18" s="93"/>
      <c r="F18" s="93"/>
    </row>
    <row r="19" spans="1:6" x14ac:dyDescent="0.25">
      <c r="A19" s="93"/>
      <c r="B19" s="93"/>
      <c r="C19" s="93"/>
      <c r="D19" s="93"/>
      <c r="E19" s="93"/>
      <c r="F19" s="93"/>
    </row>
    <row r="20" spans="1:6" x14ac:dyDescent="0.25">
      <c r="A20" s="93"/>
      <c r="B20" s="93"/>
      <c r="C20" s="93"/>
      <c r="D20" s="93"/>
      <c r="E20" s="93"/>
      <c r="F20" s="93"/>
    </row>
    <row r="21" spans="1:6" x14ac:dyDescent="0.25">
      <c r="A21" s="93"/>
      <c r="B21" s="93"/>
      <c r="C21" s="93"/>
      <c r="D21" s="93"/>
      <c r="E21" s="93"/>
      <c r="F21" s="93"/>
    </row>
    <row r="22" spans="1:6" x14ac:dyDescent="0.25">
      <c r="A22" s="93"/>
      <c r="B22" s="93"/>
      <c r="C22" s="93"/>
      <c r="D22" s="93"/>
      <c r="E22" s="93"/>
      <c r="F22" s="93"/>
    </row>
    <row r="23" spans="1:6" x14ac:dyDescent="0.25">
      <c r="A23" s="93"/>
      <c r="B23" s="93"/>
      <c r="C23" s="93"/>
      <c r="D23" s="93"/>
      <c r="E23" s="93"/>
      <c r="F23" s="93"/>
    </row>
    <row r="24" spans="1:6" x14ac:dyDescent="0.25">
      <c r="A24" s="93"/>
      <c r="B24" s="93"/>
      <c r="C24" s="93"/>
      <c r="D24" s="93"/>
      <c r="E24" s="93"/>
      <c r="F24" s="93"/>
    </row>
    <row r="25" spans="1:6" x14ac:dyDescent="0.25">
      <c r="A25" s="93"/>
      <c r="B25" s="93"/>
      <c r="C25" s="93"/>
      <c r="D25" s="93"/>
      <c r="E25" s="93"/>
      <c r="F25" s="93"/>
    </row>
    <row r="26" spans="1:6" x14ac:dyDescent="0.25">
      <c r="A26" s="93"/>
      <c r="B26" s="93"/>
      <c r="C26" s="93"/>
      <c r="D26" s="93"/>
      <c r="E26" s="93"/>
      <c r="F26" s="93"/>
    </row>
    <row r="27" spans="1:6" x14ac:dyDescent="0.25">
      <c r="A27" s="93"/>
      <c r="B27" s="93"/>
      <c r="C27" s="93"/>
      <c r="D27" s="93"/>
      <c r="E27" s="93"/>
      <c r="F27" s="93"/>
    </row>
    <row r="28" spans="1:6" x14ac:dyDescent="0.25">
      <c r="A28" s="93"/>
      <c r="B28" s="93"/>
      <c r="C28" s="93"/>
      <c r="D28" s="93"/>
      <c r="E28" s="93"/>
      <c r="F28" s="93"/>
    </row>
    <row r="29" spans="1:6" x14ac:dyDescent="0.25">
      <c r="A29" s="93"/>
      <c r="B29" s="93"/>
      <c r="C29" s="93"/>
      <c r="D29" s="93"/>
      <c r="E29" s="93"/>
      <c r="F29" s="93"/>
    </row>
    <row r="30" spans="1:6" x14ac:dyDescent="0.25">
      <c r="A30" s="93"/>
      <c r="B30" s="93"/>
      <c r="C30" s="93"/>
      <c r="D30" s="93"/>
      <c r="E30" s="93"/>
      <c r="F30" s="93"/>
    </row>
    <row r="31" spans="1:6" x14ac:dyDescent="0.25">
      <c r="A31" s="93"/>
      <c r="B31" s="93"/>
      <c r="C31" s="93"/>
      <c r="D31" s="93"/>
      <c r="E31" s="93"/>
      <c r="F31" s="93"/>
    </row>
    <row r="32" spans="1:6" x14ac:dyDescent="0.25">
      <c r="A32" s="93"/>
      <c r="B32" s="93"/>
      <c r="C32" s="93"/>
      <c r="D32" s="93"/>
      <c r="E32" s="93"/>
      <c r="F32" s="93"/>
    </row>
    <row r="33" spans="1:6" x14ac:dyDescent="0.25">
      <c r="A33" s="93"/>
      <c r="B33" s="93"/>
      <c r="C33" s="93"/>
      <c r="D33" s="93"/>
      <c r="E33" s="93"/>
      <c r="F33" s="93"/>
    </row>
    <row r="34" spans="1:6" x14ac:dyDescent="0.25">
      <c r="A34" s="93"/>
      <c r="B34" s="93"/>
      <c r="C34" s="93"/>
      <c r="D34" s="93"/>
      <c r="E34" s="93"/>
      <c r="F34" s="93"/>
    </row>
    <row r="35" spans="1:6" x14ac:dyDescent="0.25">
      <c r="A35" s="93"/>
      <c r="B35" s="93"/>
      <c r="C35" s="93"/>
      <c r="D35" s="93"/>
      <c r="E35" s="93"/>
      <c r="F35" s="93"/>
    </row>
    <row r="36" spans="1:6" x14ac:dyDescent="0.25">
      <c r="A36" s="93"/>
      <c r="B36" s="93"/>
      <c r="C36" s="93"/>
      <c r="D36" s="93"/>
      <c r="E36" s="93"/>
      <c r="F36" s="93"/>
    </row>
    <row r="37" spans="1:6" x14ac:dyDescent="0.25"/>
  </sheetData>
  <sheetProtection password="CDE2" sheet="1" objects="1" scenarios="1" formatCells="0" formatColumns="0" formatRows="0"/>
  <mergeCells count="1">
    <mergeCell ref="A13:F14"/>
  </mergeCells>
  <pageMargins left="0.25" right="0.25" top="0.75" bottom="0.75" header="0.3" footer="0.3"/>
  <pageSetup scale="7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6"/>
  <sheetViews>
    <sheetView view="pageLayout" zoomScaleNormal="100" workbookViewId="0">
      <selection activeCell="A39" sqref="A39"/>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101" t="s">
        <v>515</v>
      </c>
      <c r="B1" s="56"/>
      <c r="C1" s="56"/>
      <c r="AA1" s="43" t="s">
        <v>500</v>
      </c>
    </row>
    <row r="2" spans="1:27" x14ac:dyDescent="0.25">
      <c r="A2" s="68" t="s">
        <v>505</v>
      </c>
    </row>
    <row r="3" spans="1:27" ht="51" customHeight="1" thickBot="1" x14ac:dyDescent="0.3">
      <c r="A3" s="183" t="s">
        <v>290</v>
      </c>
      <c r="B3" s="184"/>
      <c r="C3" s="184"/>
    </row>
    <row r="4" spans="1:27" ht="15.75" thickBot="1" x14ac:dyDescent="0.3">
      <c r="A4" s="65" t="s">
        <v>3</v>
      </c>
      <c r="B4" s="66" t="s">
        <v>291</v>
      </c>
      <c r="C4" s="66" t="s">
        <v>292</v>
      </c>
    </row>
    <row r="5" spans="1:27" ht="16.5" thickBot="1" x14ac:dyDescent="0.3">
      <c r="A5" s="69" t="s">
        <v>39</v>
      </c>
      <c r="B5" s="115" t="s">
        <v>569</v>
      </c>
      <c r="C5" s="115" t="s">
        <v>569</v>
      </c>
    </row>
    <row r="6" spans="1:27" ht="16.5" thickBot="1" x14ac:dyDescent="0.3">
      <c r="A6" s="69" t="s">
        <v>38</v>
      </c>
      <c r="B6" s="115" t="s">
        <v>569</v>
      </c>
      <c r="C6" s="115" t="s">
        <v>569</v>
      </c>
    </row>
    <row r="7" spans="1:27" ht="16.5" thickBot="1" x14ac:dyDescent="0.3">
      <c r="A7" s="69" t="s">
        <v>37</v>
      </c>
      <c r="B7" s="115" t="s">
        <v>569</v>
      </c>
      <c r="C7" s="115" t="s">
        <v>569</v>
      </c>
    </row>
    <row r="8" spans="1:27" ht="16.5" thickBot="1" x14ac:dyDescent="0.3">
      <c r="A8" s="69" t="s">
        <v>34</v>
      </c>
      <c r="B8" s="115" t="s">
        <v>569</v>
      </c>
      <c r="C8" s="115" t="s">
        <v>569</v>
      </c>
    </row>
    <row r="9" spans="1:27" ht="16.5" thickBot="1" x14ac:dyDescent="0.3">
      <c r="A9" s="69" t="s">
        <v>33</v>
      </c>
      <c r="B9" s="115" t="s">
        <v>569</v>
      </c>
      <c r="C9" s="115" t="s">
        <v>569</v>
      </c>
    </row>
    <row r="10" spans="1:27" ht="16.5" thickBot="1" x14ac:dyDescent="0.3">
      <c r="A10" s="69" t="s">
        <v>32</v>
      </c>
      <c r="B10" s="115" t="s">
        <v>569</v>
      </c>
      <c r="C10" s="115" t="s">
        <v>569</v>
      </c>
    </row>
    <row r="11" spans="1:27" ht="16.5" thickBot="1" x14ac:dyDescent="0.3">
      <c r="A11" s="69" t="s">
        <v>30</v>
      </c>
      <c r="B11" s="115" t="s">
        <v>569</v>
      </c>
      <c r="C11" s="115" t="s">
        <v>569</v>
      </c>
    </row>
    <row r="12" spans="1:27" x14ac:dyDescent="0.25"/>
    <row r="13" spans="1:27" x14ac:dyDescent="0.25">
      <c r="A13" s="43" t="s">
        <v>293</v>
      </c>
    </row>
    <row r="14" spans="1:27" ht="71.25" customHeight="1" x14ac:dyDescent="0.25">
      <c r="A14" s="153" t="s">
        <v>570</v>
      </c>
      <c r="B14" s="181"/>
      <c r="C14" s="182"/>
    </row>
    <row r="15" spans="1:27" x14ac:dyDescent="0.25"/>
    <row r="16" spans="1:27" x14ac:dyDescent="0.25">
      <c r="A16" s="68" t="s">
        <v>506</v>
      </c>
    </row>
    <row r="17" spans="1:3" x14ac:dyDescent="0.25">
      <c r="A17" s="43" t="s">
        <v>294</v>
      </c>
    </row>
    <row r="18" spans="1:3" ht="180" customHeight="1" x14ac:dyDescent="0.25">
      <c r="A18" s="153" t="s">
        <v>571</v>
      </c>
      <c r="B18" s="181"/>
      <c r="C18" s="182"/>
    </row>
    <row r="19" spans="1:3" x14ac:dyDescent="0.25"/>
    <row r="20" spans="1:3" x14ac:dyDescent="0.25">
      <c r="A20" s="68" t="s">
        <v>507</v>
      </c>
    </row>
    <row r="21" spans="1:3" x14ac:dyDescent="0.25">
      <c r="A21" s="43" t="s">
        <v>295</v>
      </c>
    </row>
    <row r="22" spans="1:3" ht="48.75" customHeight="1" x14ac:dyDescent="0.25">
      <c r="A22" s="153" t="s">
        <v>296</v>
      </c>
      <c r="B22" s="181"/>
      <c r="C22" s="182"/>
    </row>
    <row r="23" spans="1:3" x14ac:dyDescent="0.25"/>
    <row r="24" spans="1:3" x14ac:dyDescent="0.25">
      <c r="A24" s="68" t="s">
        <v>508</v>
      </c>
    </row>
    <row r="25" spans="1:3" x14ac:dyDescent="0.25">
      <c r="A25" s="43" t="s">
        <v>294</v>
      </c>
    </row>
    <row r="26" spans="1:3" ht="44.25" customHeight="1" x14ac:dyDescent="0.25">
      <c r="A26" s="153" t="s">
        <v>572</v>
      </c>
      <c r="B26" s="181"/>
      <c r="C26" s="182"/>
    </row>
    <row r="27" spans="1:3" x14ac:dyDescent="0.25"/>
    <row r="28" spans="1:3" x14ac:dyDescent="0.25">
      <c r="A28" s="68" t="s">
        <v>509</v>
      </c>
    </row>
    <row r="29" spans="1:3" x14ac:dyDescent="0.25">
      <c r="A29" s="43" t="s">
        <v>297</v>
      </c>
    </row>
    <row r="30" spans="1:3" ht="38.25" customHeight="1" x14ac:dyDescent="0.25">
      <c r="A30" s="153" t="s">
        <v>298</v>
      </c>
      <c r="B30" s="181"/>
      <c r="C30" s="182"/>
    </row>
    <row r="31" spans="1:3" x14ac:dyDescent="0.25"/>
    <row r="32" spans="1:3" x14ac:dyDescent="0.25">
      <c r="A32" s="68" t="s">
        <v>510</v>
      </c>
    </row>
    <row r="33" spans="1:3" x14ac:dyDescent="0.25">
      <c r="A33" s="43" t="s">
        <v>299</v>
      </c>
    </row>
    <row r="34" spans="1:3" ht="42.75" customHeight="1" x14ac:dyDescent="0.25">
      <c r="A34" s="153" t="s">
        <v>300</v>
      </c>
      <c r="B34" s="181"/>
      <c r="C34" s="182"/>
    </row>
    <row r="35" spans="1:3" x14ac:dyDescent="0.25"/>
    <row r="36" spans="1:3" x14ac:dyDescent="0.25">
      <c r="A36" s="68" t="s">
        <v>539</v>
      </c>
    </row>
    <row r="37" spans="1:3" x14ac:dyDescent="0.25">
      <c r="A37" s="43" t="s">
        <v>540</v>
      </c>
    </row>
    <row r="38" spans="1:3" ht="292.5" customHeight="1" x14ac:dyDescent="0.25">
      <c r="A38" s="153" t="s">
        <v>603</v>
      </c>
      <c r="B38" s="181"/>
      <c r="C38" s="182"/>
    </row>
    <row r="39" spans="1:3" x14ac:dyDescent="0.25"/>
    <row r="40" spans="1:3" x14ac:dyDescent="0.25">
      <c r="A40" s="68" t="s">
        <v>541</v>
      </c>
    </row>
    <row r="41" spans="1:3" x14ac:dyDescent="0.25">
      <c r="A41" s="43" t="s">
        <v>301</v>
      </c>
    </row>
    <row r="42" spans="1:3" ht="57.75" customHeight="1" x14ac:dyDescent="0.25">
      <c r="A42" s="153" t="s">
        <v>302</v>
      </c>
      <c r="B42" s="181"/>
      <c r="C42" s="182"/>
    </row>
    <row r="43" spans="1:3" x14ac:dyDescent="0.25">
      <c r="A43" s="93"/>
      <c r="B43" s="93"/>
      <c r="C43" s="93"/>
    </row>
    <row r="44" spans="1:3" x14ac:dyDescent="0.25">
      <c r="A44" s="93"/>
      <c r="B44" s="93"/>
      <c r="C44" s="93"/>
    </row>
    <row r="45" spans="1:3" x14ac:dyDescent="0.25">
      <c r="A45" s="93"/>
      <c r="B45" s="93"/>
      <c r="C45" s="93"/>
    </row>
    <row r="46" spans="1:3" x14ac:dyDescent="0.25">
      <c r="A46" s="93"/>
      <c r="B46" s="93"/>
      <c r="C46" s="93"/>
    </row>
  </sheetData>
  <sheetProtection password="CDE2" sheet="1" objects="1" scenarios="1" formatCells="0" formatColumns="0" formatRows="0"/>
  <mergeCells count="9">
    <mergeCell ref="A34:C34"/>
    <mergeCell ref="A42:C42"/>
    <mergeCell ref="A3:C3"/>
    <mergeCell ref="A14:C14"/>
    <mergeCell ref="A18:C18"/>
    <mergeCell ref="A22:C22"/>
    <mergeCell ref="A26:C26"/>
    <mergeCell ref="A30:C30"/>
    <mergeCell ref="A38:C38"/>
  </mergeCells>
  <pageMargins left="0.2" right="0.2" top="0.5" bottom="0.5" header="0.3" footer="0.3"/>
  <pageSetup scale="78"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34"/>
  <sheetViews>
    <sheetView view="pageLayout" zoomScaleNormal="100" workbookViewId="0">
      <selection activeCell="A14" sqref="A14:D40"/>
    </sheetView>
  </sheetViews>
  <sheetFormatPr defaultColWidth="0" defaultRowHeight="15" zeroHeight="1" x14ac:dyDescent="0.25"/>
  <cols>
    <col min="1" max="1" width="23.5703125" style="43" customWidth="1"/>
    <col min="2" max="6" width="16.140625" style="43" customWidth="1"/>
    <col min="7" max="7" width="26" style="43" customWidth="1"/>
    <col min="8" max="16384" width="2" style="43" hidden="1"/>
  </cols>
  <sheetData>
    <row r="1" spans="1:27" x14ac:dyDescent="0.25">
      <c r="AA1" s="43" t="s">
        <v>500</v>
      </c>
    </row>
    <row r="2" spans="1:27" x14ac:dyDescent="0.25">
      <c r="A2" s="102" t="s">
        <v>516</v>
      </c>
    </row>
    <row r="3" spans="1:27" ht="15.75" thickBot="1" x14ac:dyDescent="0.3">
      <c r="A3" s="43" t="s">
        <v>303</v>
      </c>
    </row>
    <row r="4" spans="1:27" ht="22.5" customHeight="1" thickBot="1" x14ac:dyDescent="0.3">
      <c r="A4" s="185" t="s">
        <v>304</v>
      </c>
      <c r="B4" s="187" t="s">
        <v>305</v>
      </c>
      <c r="C4" s="188"/>
      <c r="D4" s="188"/>
      <c r="E4" s="189"/>
      <c r="F4" s="187" t="s">
        <v>306</v>
      </c>
      <c r="G4" s="189"/>
    </row>
    <row r="5" spans="1:27" ht="15.75" thickBot="1" x14ac:dyDescent="0.3">
      <c r="A5" s="186"/>
      <c r="B5" s="97" t="s">
        <v>307</v>
      </c>
      <c r="C5" s="97" t="s">
        <v>308</v>
      </c>
      <c r="D5" s="97" t="s">
        <v>309</v>
      </c>
      <c r="E5" s="97" t="s">
        <v>310</v>
      </c>
      <c r="F5" s="97" t="s">
        <v>311</v>
      </c>
      <c r="G5" s="97" t="s">
        <v>312</v>
      </c>
    </row>
    <row r="6" spans="1:27" ht="15.75" thickBot="1" x14ac:dyDescent="0.3">
      <c r="A6" s="96"/>
      <c r="B6" s="94"/>
      <c r="C6" s="94"/>
      <c r="D6" s="94"/>
      <c r="E6" s="94"/>
      <c r="F6" s="94"/>
      <c r="G6" s="94"/>
    </row>
    <row r="7" spans="1:27" ht="15.75" thickBot="1" x14ac:dyDescent="0.3">
      <c r="A7" s="96"/>
      <c r="B7" s="94"/>
      <c r="C7" s="94"/>
      <c r="D7" s="94"/>
      <c r="E7" s="94"/>
      <c r="F7" s="94"/>
      <c r="G7" s="94"/>
    </row>
    <row r="8" spans="1:27" ht="15.75" thickBot="1" x14ac:dyDescent="0.3">
      <c r="A8" s="96"/>
      <c r="B8" s="94"/>
      <c r="C8" s="94"/>
      <c r="D8" s="94"/>
      <c r="E8" s="94"/>
      <c r="F8" s="94"/>
      <c r="G8" s="94"/>
    </row>
    <row r="9" spans="1:27" ht="15.75" thickBot="1" x14ac:dyDescent="0.3">
      <c r="A9" s="96"/>
      <c r="B9" s="94"/>
      <c r="C9" s="94"/>
      <c r="D9" s="94"/>
      <c r="E9" s="94"/>
      <c r="F9" s="94"/>
      <c r="G9" s="94"/>
    </row>
    <row r="10" spans="1:27" ht="15.75" thickBot="1" x14ac:dyDescent="0.3">
      <c r="A10" s="96"/>
      <c r="B10" s="94"/>
      <c r="C10" s="94"/>
      <c r="D10" s="94"/>
      <c r="E10" s="94"/>
      <c r="F10" s="94"/>
      <c r="G10" s="94"/>
    </row>
    <row r="11" spans="1:27" x14ac:dyDescent="0.25"/>
    <row r="12" spans="1:27" x14ac:dyDescent="0.25">
      <c r="A12" s="43" t="s">
        <v>313</v>
      </c>
    </row>
    <row r="13" spans="1:27" ht="57.75" customHeight="1" x14ac:dyDescent="0.25">
      <c r="A13" s="153" t="s">
        <v>314</v>
      </c>
      <c r="B13" s="162"/>
      <c r="C13" s="162"/>
      <c r="D13" s="162"/>
      <c r="E13" s="162"/>
      <c r="F13" s="162"/>
      <c r="G13" s="163"/>
    </row>
    <row r="14" spans="1:27" x14ac:dyDescent="0.25">
      <c r="A14" s="93"/>
      <c r="B14" s="93"/>
      <c r="C14" s="93"/>
      <c r="D14" s="93"/>
      <c r="E14" s="93"/>
      <c r="F14" s="93"/>
      <c r="G14" s="93"/>
    </row>
    <row r="15" spans="1:27" x14ac:dyDescent="0.25">
      <c r="A15" s="93"/>
      <c r="B15" s="93"/>
      <c r="C15" s="93"/>
      <c r="D15" s="93"/>
      <c r="E15" s="93"/>
      <c r="F15" s="93"/>
      <c r="G15" s="93"/>
    </row>
    <row r="16" spans="1:27" x14ac:dyDescent="0.25">
      <c r="A16" s="93"/>
      <c r="B16" s="93"/>
      <c r="C16" s="93"/>
      <c r="D16" s="93"/>
      <c r="E16" s="93"/>
      <c r="F16" s="93"/>
      <c r="G16" s="93"/>
    </row>
    <row r="17" spans="1:7" x14ac:dyDescent="0.25">
      <c r="A17" s="93"/>
      <c r="B17" s="93"/>
      <c r="C17" s="93"/>
      <c r="D17" s="93"/>
      <c r="E17" s="93"/>
      <c r="F17" s="93"/>
      <c r="G17" s="93"/>
    </row>
    <row r="18" spans="1:7" x14ac:dyDescent="0.25">
      <c r="A18" s="93"/>
      <c r="B18" s="93"/>
      <c r="C18" s="93"/>
      <c r="D18" s="95"/>
      <c r="E18" s="93"/>
      <c r="F18" s="93"/>
      <c r="G18" s="93"/>
    </row>
    <row r="19" spans="1:7" x14ac:dyDescent="0.25">
      <c r="A19" s="93"/>
      <c r="B19" s="93"/>
      <c r="C19" s="93"/>
      <c r="D19" s="93"/>
      <c r="E19" s="93"/>
      <c r="F19" s="93"/>
      <c r="G19" s="93"/>
    </row>
    <row r="20" spans="1:7" x14ac:dyDescent="0.25">
      <c r="A20" s="93"/>
      <c r="B20" s="93"/>
      <c r="C20" s="93"/>
      <c r="D20" s="93"/>
      <c r="E20" s="93"/>
      <c r="F20" s="93"/>
      <c r="G20" s="93"/>
    </row>
    <row r="21" spans="1:7" x14ac:dyDescent="0.25">
      <c r="A21" s="93"/>
      <c r="B21" s="93"/>
      <c r="C21" s="93"/>
      <c r="D21" s="93"/>
      <c r="E21" s="93"/>
      <c r="F21" s="93"/>
      <c r="G21" s="93"/>
    </row>
    <row r="22" spans="1:7" x14ac:dyDescent="0.25">
      <c r="A22" s="93"/>
      <c r="B22" s="93"/>
      <c r="C22" s="93"/>
      <c r="D22" s="93"/>
      <c r="E22" s="93"/>
      <c r="F22" s="93"/>
      <c r="G22" s="93"/>
    </row>
    <row r="23" spans="1:7" x14ac:dyDescent="0.25">
      <c r="A23" s="93"/>
      <c r="B23" s="93"/>
      <c r="C23" s="93"/>
      <c r="D23" s="93"/>
      <c r="E23" s="93"/>
      <c r="F23" s="93"/>
      <c r="G23" s="93"/>
    </row>
    <row r="24" spans="1:7" x14ac:dyDescent="0.25">
      <c r="A24" s="93"/>
      <c r="B24" s="93"/>
      <c r="C24" s="93"/>
      <c r="D24" s="93"/>
      <c r="E24" s="93"/>
      <c r="F24" s="93"/>
      <c r="G24" s="93"/>
    </row>
    <row r="25" spans="1:7" x14ac:dyDescent="0.25">
      <c r="A25" s="93"/>
      <c r="B25" s="93"/>
      <c r="C25" s="93"/>
      <c r="D25" s="93"/>
      <c r="E25" s="93"/>
      <c r="F25" s="93"/>
      <c r="G25" s="93"/>
    </row>
    <row r="26" spans="1:7" x14ac:dyDescent="0.25">
      <c r="A26" s="93"/>
      <c r="B26" s="93"/>
      <c r="C26" s="93"/>
      <c r="D26" s="93"/>
      <c r="E26" s="93"/>
      <c r="F26" s="93"/>
      <c r="G26" s="93"/>
    </row>
    <row r="27" spans="1:7" x14ac:dyDescent="0.25">
      <c r="A27" s="93"/>
      <c r="B27" s="93"/>
      <c r="C27" s="93"/>
      <c r="D27" s="93"/>
      <c r="E27" s="93"/>
      <c r="F27" s="93"/>
      <c r="G27" s="93"/>
    </row>
    <row r="28" spans="1:7" x14ac:dyDescent="0.25">
      <c r="A28" s="93"/>
      <c r="B28" s="93"/>
      <c r="C28" s="93"/>
      <c r="D28" s="93"/>
      <c r="E28" s="93"/>
      <c r="F28" s="93"/>
      <c r="G28" s="93"/>
    </row>
    <row r="29" spans="1:7" x14ac:dyDescent="0.25">
      <c r="A29" s="93"/>
      <c r="B29" s="93"/>
      <c r="C29" s="93"/>
      <c r="D29" s="93"/>
      <c r="E29" s="93"/>
      <c r="F29" s="93"/>
      <c r="G29" s="93"/>
    </row>
    <row r="30" spans="1:7" x14ac:dyDescent="0.25">
      <c r="A30" s="93"/>
      <c r="B30" s="93"/>
      <c r="C30" s="93"/>
      <c r="D30" s="93"/>
      <c r="E30" s="93"/>
      <c r="F30" s="93"/>
      <c r="G30" s="93"/>
    </row>
    <row r="31" spans="1:7" x14ac:dyDescent="0.25">
      <c r="A31" s="93"/>
      <c r="B31" s="93"/>
      <c r="C31" s="93"/>
      <c r="D31" s="93"/>
      <c r="E31" s="93"/>
      <c r="F31" s="93"/>
      <c r="G31" s="93"/>
    </row>
    <row r="32" spans="1:7" x14ac:dyDescent="0.25">
      <c r="A32" s="93"/>
      <c r="B32" s="93"/>
      <c r="C32" s="93"/>
      <c r="D32" s="93"/>
      <c r="E32" s="93"/>
      <c r="F32" s="93"/>
      <c r="G32" s="93"/>
    </row>
    <row r="33" spans="1:7" x14ac:dyDescent="0.25">
      <c r="A33" s="93"/>
      <c r="B33" s="93"/>
      <c r="C33" s="93"/>
      <c r="D33" s="93"/>
      <c r="E33" s="93"/>
      <c r="F33" s="93"/>
      <c r="G33" s="93"/>
    </row>
    <row r="34" spans="1:7" x14ac:dyDescent="0.25">
      <c r="A34" s="93"/>
      <c r="B34" s="93"/>
      <c r="C34" s="93"/>
      <c r="D34" s="93"/>
      <c r="E34" s="93"/>
      <c r="F34" s="93"/>
      <c r="G34" s="93"/>
    </row>
  </sheetData>
  <sheetProtection password="CDE2" sheet="1" objects="1" scenarios="1" formatCells="0" formatColumns="0" formatRows="0"/>
  <mergeCells count="4">
    <mergeCell ref="A4:A5"/>
    <mergeCell ref="B4:E4"/>
    <mergeCell ref="F4:G4"/>
    <mergeCell ref="A13:G13"/>
  </mergeCells>
  <pageMargins left="0.25" right="0.25" top="0.75" bottom="0.75" header="0.3" footer="0.3"/>
  <pageSetup scale="78"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528</v>
      </c>
    </row>
    <row r="88" spans="1:4" x14ac:dyDescent="0.25">
      <c r="A88" t="s">
        <v>31</v>
      </c>
      <c r="B88" s="13" t="s">
        <v>183</v>
      </c>
    </row>
    <row r="89" spans="1:4" x14ac:dyDescent="0.25">
      <c r="A89" t="s">
        <v>31</v>
      </c>
      <c r="B89" s="13" t="s">
        <v>529</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J6" sqref="J6"/>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316</v>
      </c>
      <c r="C1" s="1" t="s">
        <v>1</v>
      </c>
      <c r="D1" s="2" t="s">
        <v>2</v>
      </c>
      <c r="E1" s="3" t="s">
        <v>3</v>
      </c>
      <c r="F1" s="2" t="s">
        <v>226</v>
      </c>
      <c r="G1" s="2" t="s">
        <v>76</v>
      </c>
      <c r="H1" s="4" t="s">
        <v>6</v>
      </c>
      <c r="I1" s="2" t="s">
        <v>65</v>
      </c>
      <c r="J1" s="1" t="s">
        <v>4</v>
      </c>
      <c r="K1" s="4" t="s">
        <v>224</v>
      </c>
      <c r="L1" s="4" t="s">
        <v>110</v>
      </c>
      <c r="M1" s="1" t="s">
        <v>5</v>
      </c>
      <c r="N1" s="4" t="s">
        <v>511</v>
      </c>
      <c r="O1" s="4" t="s">
        <v>489</v>
      </c>
    </row>
    <row r="2" spans="1:15" ht="105.75" customHeight="1" x14ac:dyDescent="0.25">
      <c r="A2" s="5" t="s">
        <v>0</v>
      </c>
      <c r="B2" s="5" t="s">
        <v>524</v>
      </c>
      <c r="C2" s="5" t="s">
        <v>66</v>
      </c>
      <c r="D2" s="5" t="s">
        <v>7</v>
      </c>
      <c r="E2" s="6" t="s">
        <v>229</v>
      </c>
      <c r="F2" s="5" t="s">
        <v>228</v>
      </c>
      <c r="G2" s="5" t="s">
        <v>230</v>
      </c>
      <c r="H2" s="25" t="s">
        <v>223</v>
      </c>
      <c r="I2" s="5" t="s">
        <v>111</v>
      </c>
      <c r="J2" s="25" t="s">
        <v>231</v>
      </c>
      <c r="K2" s="5" t="s">
        <v>225</v>
      </c>
      <c r="L2" s="5" t="s">
        <v>227</v>
      </c>
      <c r="M2" s="5" t="s">
        <v>250</v>
      </c>
      <c r="N2" s="37" t="s">
        <v>518</v>
      </c>
      <c r="O2" s="37" t="s">
        <v>490</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492</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493</v>
      </c>
      <c r="E2" s="5" t="s">
        <v>7</v>
      </c>
      <c r="F2" s="6" t="s">
        <v>229</v>
      </c>
      <c r="G2" s="5" t="s">
        <v>228</v>
      </c>
      <c r="H2" s="5" t="s">
        <v>230</v>
      </c>
      <c r="I2" s="25" t="s">
        <v>223</v>
      </c>
      <c r="J2" s="5" t="s">
        <v>111</v>
      </c>
      <c r="K2" s="25" t="s">
        <v>231</v>
      </c>
      <c r="L2" s="5" t="s">
        <v>225</v>
      </c>
      <c r="M2" s="5" t="s">
        <v>227</v>
      </c>
      <c r="N2" s="5" t="s">
        <v>250</v>
      </c>
      <c r="O2" s="37" t="s">
        <v>247</v>
      </c>
    </row>
    <row r="3" spans="1:15" x14ac:dyDescent="0.25">
      <c r="B3" s="7" t="str">
        <f>'Approval and Documentation'!C$4</f>
        <v>GBM</v>
      </c>
      <c r="C3" s="7" t="str">
        <f>'Approval and Documentation'!C$6</f>
        <v>Debt Capital Market</v>
      </c>
      <c r="D3" s="8">
        <f>'1'!$C$1</f>
        <v>0</v>
      </c>
      <c r="E3" s="7">
        <v>1</v>
      </c>
      <c r="F3" s="8" t="str">
        <f>'1'!$C$2</f>
        <v xml:space="preserve">Strategic </v>
      </c>
      <c r="G3" s="8" t="str">
        <f>'1'!$C$3</f>
        <v>Expansion Risk</v>
      </c>
      <c r="H3" s="8" t="str">
        <f>'1'!$C$4</f>
        <v>U.S. High Grade Business (includes high grade and high yield)</v>
      </c>
      <c r="I3" s="8" t="str">
        <f>'1'!$A$12</f>
        <v>The overall risk comprises a number of factors, some within our control, most not within our control.  This is an expansion of an existing product to a new geographic area.  SIS has invested capital upfront to attract and retain professionals with prior experience in the U.S. High Grade Market based on an approved business plan.  As the implementation of the plan is in its infancy, there is possibility of failure, however, based on number of transactions generated as well as the number of "improved" relationships with clients, SIS believes the plan is so far successful.   SIS needs to liaise with SBNA to ensure proper targeting of clients as our ability to grow the DCM Group business is highly correlated to the lending relationship at SBNA.  External factors such as a rise in rates, deteriorating economic conditions, financial crises, etc., can all have a material impact on the industry as a whole, thereby affecting DCM Origination's ability to meet projected revenues.  Additionally, as the business matures, issues such as IT and lack of capitalization at SIS can play a more significant role in the success of the plan.  DCM Group has raised these issues with various internal groups, which are responsible for improving these systems and those groups continue to have strategy sessions to provide a solution to those issues.</v>
      </c>
      <c r="J3" s="8" t="str">
        <f>'1'!$C$5</f>
        <v>Interest Rates (Up), Equity Prices (Down), Corporate Credit Spreads (Widen)</v>
      </c>
      <c r="K3" s="8" t="str">
        <f>'1'!$A$9</f>
        <v xml:space="preserve"> P&amp;L is monitored on a daily basis at the DCM Group Level.
Management holds weekly meetings with the team to discuss P&amp;L, pipeline, opportunities and other matters relating to the business.
Managing "Metricas" occur monthly where YTD, 6-month expected and full year expected P&amp;L are reviewed.
Market conditions, developments and anticipated movements are monitored constantly.
</v>
      </c>
      <c r="L3" s="8" t="str">
        <f>'1'!$C$6</f>
        <v>$1 - $5 M</v>
      </c>
      <c r="M3" s="8" t="str">
        <f>'1'!$C$7</f>
        <v>$5 M - $50 M</v>
      </c>
      <c r="N3" s="8" t="str">
        <f>'1'!$B$10</f>
        <v>Based on recent market trends, overall issuances have been increasing, with approximately 2-3% growth from 2012 - 2014.  Assuming 5% volatility, we have the loss indicators above.  The stressed case assumes a failure of the US High Grade initiative, which is in early stages.</v>
      </c>
      <c r="O3" s="10"/>
    </row>
    <row r="4" spans="1:15" x14ac:dyDescent="0.25">
      <c r="A4" s="7"/>
      <c r="B4" s="7" t="str">
        <f>'Approval and Documentation'!C$4</f>
        <v>GBM</v>
      </c>
      <c r="C4" s="7" t="str">
        <f>'Approval and Documentation'!C$6</f>
        <v>Debt Capital Market</v>
      </c>
      <c r="D4" s="8">
        <f>'2'!$C$1</f>
        <v>0</v>
      </c>
      <c r="E4" s="11">
        <v>2</v>
      </c>
      <c r="F4" s="8" t="str">
        <f>'2'!$C$2</f>
        <v xml:space="preserve">Strategic </v>
      </c>
      <c r="G4" s="8" t="str">
        <f>'2'!$C$3</f>
        <v>Systems strategy and data architecture</v>
      </c>
      <c r="H4" s="8" t="str">
        <f>'2'!$C$4</f>
        <v>Systems</v>
      </c>
      <c r="I4" s="8" t="str">
        <f>'2'!$A$12</f>
        <v xml:space="preserve">The lack of Systems to enable efficient processes for billing and delivering causes reputational harm to SIS.  While our core geography has historically been LATAM and SIS has been able to work around the inability to bill &amp; deliver, it is known throughout the market.  LATAM issuers, however, are less sensitive to the inability.  As we expand into the U.S., however, the inability to bill &amp; deliver could, in addition to the reputational harm, have a material impact on our ability to win active bookrunner mandates.  At this point in the plan, we would not expect to lose many such transactions, therefore, the risk of loss is less than $1mm per year, however, in a ten year horizon, with the loss of 1-2 transactions a year, the potential missed P&amp;L could be $1-3mm.  Additionally, the manual nature combined with lack of capitalization at SIS, in our view, poses a significant risk.  Should timing be missed or inadequately reported, or accounting miss a potential deal on a given day, and SIS not have sufficient capital, the result would be either SIS not participate or participate at a lower economic level.
Additionally
In addition, the manual nature of our processes lead to increased risk.  For example, combining the manual nature with the fact that SIS is not capitalized can cause significant issues on the day of a transaction.  Should a deal be upsized or timing be incorrect, failure to timely notify accounting such that required capital is obtained by the pricing date could lead to SIS either not participating in a transaction or participating at a lower economic level.  
Additionally, the lack of systems creates manual processes.  Manual processes increase the chances of error.  Combined with the lack of capitalization at SIS, one of the major risks is not having the required capital to participate in a transaction.  </v>
      </c>
      <c r="J4" s="8">
        <f>'2'!$C$5</f>
        <v>0</v>
      </c>
      <c r="K4" s="8" t="str">
        <f>'2'!$A$9</f>
        <v>DCM Group is not responsible for monitoring systems, etc.  However, DCM Origination is impacted by the firm's systems and as such we raise what we believe to be deficiencies to management.  Subsequent meetings are held to find potential solutions.
To mitigate the risks, there are manual controls in place:
Emails to interested parties (e.g., accounting, legal, compliance) inform of new business items, insiders on a given transaction, expected capital consumption, etc.
DCM Origination enters transactions into the GEM system.</v>
      </c>
      <c r="L4" s="8" t="str">
        <f>'2'!$C$6</f>
        <v>$1 - $5 M</v>
      </c>
      <c r="M4" s="8" t="str">
        <f>'2'!$C$7</f>
        <v>$5 M - $50 M</v>
      </c>
      <c r="N4" s="8" t="str">
        <f>'2'!$B$10</f>
        <v>Based on reviewing transactions year to date and also considering potential transactions where either we could not act or would have to act in a lesser capacity, we see the risk of loss in a given year to be up to $2mm.  Should we however begin to lose leading roles in transactions such as third party tender offers, our lost opportunity cost could reach $3-$5mm.</v>
      </c>
      <c r="O4" s="10"/>
    </row>
    <row r="5" spans="1:15" x14ac:dyDescent="0.25">
      <c r="A5" s="7"/>
      <c r="B5" s="7" t="str">
        <f>'Approval and Documentation'!C$4</f>
        <v>GBM</v>
      </c>
      <c r="C5" s="7" t="str">
        <f>'Approval and Documentation'!C$6</f>
        <v>Debt Capital Market</v>
      </c>
      <c r="D5" s="8">
        <f>'3'!$C$1</f>
        <v>0</v>
      </c>
      <c r="E5" s="7">
        <v>3</v>
      </c>
      <c r="F5" s="8" t="str">
        <f>'3'!$C$2</f>
        <v>Credit</v>
      </c>
      <c r="G5" s="8" t="str">
        <f>'3'!$C$3</f>
        <v>Settlement</v>
      </c>
      <c r="H5" s="8" t="str">
        <f>'3'!$C$4</f>
        <v>B&amp;D Settlement Risk</v>
      </c>
      <c r="I5" s="8" t="str">
        <f>'3'!$A$12</f>
        <v>DCM Group's view is that this risk is theoretical.  In essence the risk here is the lack of liquidity (SIS draws on sub loans from Madrid to meet capital and sometimes liquidity needs), could potentially cause a failed settlement.  In practice, funds are drawn and received at SIS a day prior to settlement.  A fed wire is sent to the issuer as early as possible on the morning of the settlement.  When receipt is confirmed, the transaction is settled with DTC at which time SIS is credited for the bonds and they can then settle with investors.  While it is possible that funds are delayed (not in the control of SIS) and thereby failed settlements, this risk is unlikely.  In the limited cases where delays have been seen, all were in Peru and all were delayed because of intermediary banks in Peru, we have been able to track down funds and settle.   Practically, it would be a reputational matter for the issuer as well not to settle on time.  The risk here is low.</v>
      </c>
      <c r="J5" s="8">
        <f>'3'!$C$5</f>
        <v>0</v>
      </c>
      <c r="K5" s="8" t="str">
        <f>'3'!$A$9</f>
        <v>SIS does not accept B&amp;D roles for sizeable transactions.
DCM Group has raised B&amp;D to management.  There are ongoing discussions between Business Development and Operations and IT.</v>
      </c>
      <c r="L5" s="8" t="str">
        <f>'3'!$C$6</f>
        <v>$1 - $5 M</v>
      </c>
      <c r="M5" s="8" t="str">
        <f>'3'!$C$7</f>
        <v>$1 - $5 M</v>
      </c>
      <c r="N5" s="8" t="str">
        <f>'3'!$B$10</f>
        <v xml:space="preserve">For the reasons below, we do not believe this risk is quantifiable.  </v>
      </c>
      <c r="O5" s="10"/>
    </row>
    <row r="6" spans="1:15" x14ac:dyDescent="0.25">
      <c r="A6" s="7"/>
      <c r="B6" s="7" t="str">
        <f>'Approval and Documentation'!C$4</f>
        <v>GBM</v>
      </c>
      <c r="C6" s="7" t="str">
        <f>'Approval and Documentation'!C$6</f>
        <v>Debt Capital Market</v>
      </c>
      <c r="D6" s="8">
        <f>'4'!$C$1</f>
        <v>0</v>
      </c>
      <c r="E6" s="11">
        <v>4</v>
      </c>
      <c r="F6" s="8" t="str">
        <f>'4'!$C$2</f>
        <v>Market</v>
      </c>
      <c r="G6" s="8" t="str">
        <f>'4'!$C$3</f>
        <v>Price Risk</v>
      </c>
      <c r="H6" s="8" t="str">
        <f>'4'!$C$4</f>
        <v>Stabilization (Long/Short) positions</v>
      </c>
      <c r="I6" s="8" t="str">
        <f>'4'!$A$12</f>
        <v>In general, based on 10% of our underwriting we do not see losses over $1mm in a given year.  
Market conditions are the main driver here, including interest rates, volatility, economic/political events (like the current Greece situation), etc.  That said, the timeline of transactions minimizes this risk.  In reality, such major situations should not materialize in an instant.  Since the risks are generally anticipated, an issue would not be launched into the market.  The scenario would have to be that a risk developed intraday and generally after pricing when a short position has already been taken, or before pricing leading to a potential long position if the deal went ahead.   There is a related risk in that we are in the market with a transaction and we do not price the transaction related to market volatility.  Once a transaction is pulled, there is reputational risk and a decision would have to be made as to when, if at all, to revive the transaction.  Our worst case scenario assumes 2-3 transactions pulled and not revived.</v>
      </c>
      <c r="J6" s="8" t="str">
        <f>'4'!$C$5</f>
        <v>Interest Rates (Up), Corporate Credit Spreads (Widen), Localized Economic Downturn (Specify Geography in risk description)</v>
      </c>
      <c r="K6" s="8" t="str">
        <f>'4'!$A$9</f>
        <v xml:space="preserve">SIS limits stabilization positions to 10% of SIS's total underwriting.  A Market Risk Approval is needed to take the position and in a specific transaciton the ability to take the positition is monitored on Bloomberg.  </v>
      </c>
      <c r="L6" s="8" t="str">
        <f>'4'!$C$6</f>
        <v>$1 - $5 M</v>
      </c>
      <c r="M6" s="8" t="str">
        <f>'4'!$C$7</f>
        <v>$5 M - $50 M</v>
      </c>
      <c r="N6" s="8" t="str">
        <f>'4'!$B$10</f>
        <v>The indicated loss amounts are based on the 10% limit and the transactions underwritten and based on general experience with market fluctuations.  With respect to worst case, we have included a related risk where transactions (i) do not price and (ii) the client(s) decide not to come back to the market.</v>
      </c>
      <c r="O6" s="10"/>
    </row>
    <row r="7" spans="1:15" x14ac:dyDescent="0.25">
      <c r="A7" s="7"/>
      <c r="B7" s="7" t="str">
        <f>'Approval and Documentation'!C$4</f>
        <v>GBM</v>
      </c>
      <c r="C7" s="7" t="str">
        <f>'Approval and Documentation'!C$6</f>
        <v>Debt Capital Market</v>
      </c>
      <c r="D7" s="8">
        <f>'5'!$C$1</f>
        <v>0</v>
      </c>
      <c r="E7" s="7">
        <v>5</v>
      </c>
      <c r="F7" s="8" t="str">
        <f>'5'!$C$2</f>
        <v>Operational</v>
      </c>
      <c r="G7" s="8" t="str">
        <f>'5'!$C$3</f>
        <v>Internal Fraud</v>
      </c>
      <c r="H7" s="8" t="str">
        <f>'5'!$C$4</f>
        <v>Invoice/Wire Fraud</v>
      </c>
      <c r="I7" s="8" t="str">
        <f>'5'!$A$12</f>
        <v>There is an inherent conflict of interest in Front Office preparing invoices for fees and/or expenses.  This conflict could lead to various types of fraud, including collusion between front office and clients to receive more or less fees or the possibility of front office personnel providing incorrect wire instructions.  DCM Origination has previously sought to correct this conflict by discussing with accounting the possibility of tracking transactions by unique IDs and also having either Accounting or AP/AR prepare and send such invoices.  However, Accounting has refused to do so and also indicated unique transaction IDs would increase the potential for loss/errors.  In addition to the potential for fraud, there is the potential for missed reimbursable expenses.  Accounting/AP does not retain records in a manner we believe efficient.  In requesting expenses, we are often provided with a spreadsheet with many related and unrelated entries, for which we need to parse through.  Based on this, we are of the view that it is also likely some expenses that should be picked up are not provided to us in the AP search.</v>
      </c>
      <c r="J7" s="8">
        <f>'5'!$C$5</f>
        <v>0</v>
      </c>
      <c r="K7" s="8" t="str">
        <f>'5'!$A$9</f>
        <v xml:space="preserve">The DCM group has an unwritten policy that Accounting be copied on any invoice sent.
DCM Origination has requested on several occasions that either Accounts Receivable or Accounting compile, prepare and send invoices, however those they have refused and insisted this is DCM Origination responsibility.
</v>
      </c>
      <c r="L7" s="8" t="str">
        <f>'5'!$C$6</f>
        <v>$1 - $5 M</v>
      </c>
      <c r="M7" s="8" t="str">
        <f>'5'!$C$7</f>
        <v>$1 - $5 M</v>
      </c>
      <c r="N7" s="8" t="str">
        <f>'5'!$B$10</f>
        <v>Based on the number of invoices prepared (e.g., those deals where expenses aren't handled directly by the B&amp;D bank, but rather by each bank or deals where SIS is B&amp;D) and the historical sizes of invoices, we see the potential loss in any given year to be +/-$1mm.  In a worse case scenario we would not expect a loss to be above $3mm.</v>
      </c>
      <c r="O7" s="10"/>
    </row>
    <row r="8" spans="1:15" x14ac:dyDescent="0.25">
      <c r="A8" s="7"/>
      <c r="B8" s="7" t="str">
        <f>'Approval and Documentation'!C$4</f>
        <v>GBM</v>
      </c>
      <c r="C8" s="7" t="str">
        <f>'Approval and Documentation'!C$6</f>
        <v>Debt Capital Market</v>
      </c>
      <c r="D8" s="8">
        <f>'6'!$C$1</f>
        <v>0</v>
      </c>
      <c r="E8" s="11">
        <v>6</v>
      </c>
      <c r="F8" s="8" t="str">
        <f>'6'!$C$2</f>
        <v>Operational</v>
      </c>
      <c r="G8" s="8" t="str">
        <f>'6'!$C$3</f>
        <v>External Fraud</v>
      </c>
      <c r="H8" s="8" t="str">
        <f>'6'!$C$4</f>
        <v>Client Fraud / Disclosure</v>
      </c>
      <c r="I8" s="8" t="str">
        <f>'6'!$A$12</f>
        <v>The risk here is that fraud at the client level could lead to potential liability of SIS under the securities laws.  In response to this the underwriters have a due diligence defense.  Where the undewriters have performed reasonable diligence and the fraud was not detected as a result thereof, the underwriters would not have liablity.  Based on this, and reviewing transaction history, we do not see a year to year loss here, however, in an extraordinary circumstance losses could be significant, especially where the issuer has gone bankrupt.  SIS was involved in one of the Petrobras bonds that are currently subject to litigation.  It is important to note that SIS, to a material extent, relies on relationships between employees of affiliates in due diligence matters, including with respect to general knowledge of the issuer, current events related to the issuer, risk factors affecting the issuer, as well as KYC matters.</v>
      </c>
      <c r="J8" s="8">
        <f>'6'!$C$5</f>
        <v>0</v>
      </c>
      <c r="K8" s="8" t="str">
        <f>'6'!$A$9</f>
        <v>1. Due dligence is performed on all issuers to detect potential fraud.  
2. Legal has brought in external law firms to present on the securities laws and due diligence.  
3. SIS liaises with local teams, which is where the brunt of due diligence is performed (relationships are at the local level, for example, the relationship with Petrobras is in Brazil, PEMEX in Mexico, American Tower in the US at SBNA, etc.  Though this is a mitigant, the underlying fact that the majority of the informatioin on a given client is at the local level is in and of itself a risk.  Not only with disclosure, but also in the area of completing KYCs.
SIS also has and Underwriting Committee where all HY transactions are discussed as well as other select transactions depending on the circumstances.</v>
      </c>
      <c r="L8" s="8" t="str">
        <f>'6'!$C$6</f>
        <v>$1 - $5 M</v>
      </c>
      <c r="M8" s="8" t="str">
        <f>'6'!$C$7</f>
        <v>$5 M - $50 M</v>
      </c>
      <c r="N8" s="8" t="str">
        <f>'6'!$B$10</f>
        <v xml:space="preserve">Based on transaction history to date, we do not see a risk of loss generally on a yearly basis, however, in a worst case year, losses could be significant as the liability would be for the amount underwritten, or the loss thereon.  </v>
      </c>
      <c r="O8" s="10"/>
    </row>
    <row r="9" spans="1:15" x14ac:dyDescent="0.25">
      <c r="A9" s="7"/>
      <c r="B9" s="7" t="str">
        <f>'Approval and Documentation'!C$4</f>
        <v>GBM</v>
      </c>
      <c r="C9" s="7" t="str">
        <f>'Approval and Documentation'!C$6</f>
        <v>Debt Capital Market</v>
      </c>
      <c r="D9" s="8">
        <f>'7'!$C$1</f>
        <v>0</v>
      </c>
      <c r="E9" s="7">
        <v>7</v>
      </c>
      <c r="F9" s="8" t="str">
        <f>'7'!$C$2</f>
        <v>Operational</v>
      </c>
      <c r="G9" s="8" t="str">
        <f>'7'!$C$3</f>
        <v>Business Disruption and System Failures</v>
      </c>
      <c r="H9" s="8" t="str">
        <f>'7'!$C$4</f>
        <v>IT</v>
      </c>
      <c r="I9" s="8" t="str">
        <f>'7'!$A$12</f>
        <v xml:space="preserve">DCM Group is a fast paced business environment that operates 24/7 in order to execute transactions.  IT systems are seriously lacking to support such a business and lags far behind our competition
Issues include: IT unavailable after 5pm or on weekends.  IT has no process/program to scan zip files and allow DCM Origination to receive such files, which are a predominent file type sent by law firms and banks working with SIS on transactions.  IT blocks websites that should not be blocked, impression given is that they have no ability to monitor and therefore default to blocking sites.  Sites that have been blocked have included the World Bank, NYS Bar Association, Renewable Energy sites, Client sites hosting their financial information, Linked IN, anything sports, financial and other blogs or forums, etc.  Not having access to these resources impairs our ability to conduct due diligence, review potential recruits, understand market and industry developments and generally interact with clients.
DCM does not have stable and consistent access to a printer.  While this may seem unimportant to IT or the areas that manage the service contracts with our printer, it is a significant risk as our business is document intensive and our liability is tied to those documents.  For example, not being able to timely mark up a document and return it to legal counsel, could cause certain comments to not be made to the disclosure documents.  While we of course review the revised documents, there is always a chance something is missed.
Although unlikely, there is the potential that mismanaging transaction timing could lead to SIS being removed from a transaction by an issuer.
</v>
      </c>
      <c r="J9" s="8">
        <f>'7'!$C$5</f>
        <v>0</v>
      </c>
      <c r="K9" s="8" t="str">
        <f>'7'!$A$9</f>
        <v>Issues raised to COO / IT Security.
Mitigating/Controlling this risk is dependent on the specific circumstance, so it is difficult to note specific controls.  DCM operates in such a manner as to manually handle a given process where there is and ability to do so.  DCM reaches out to IT/Operations on an ad hoc basis to rectify issues (e.g., to provide access to blocked websites, etc.).  As there is no accountability from IT/Operations to the front line, it is extremely difficult to ensure the issues are remedied.</v>
      </c>
      <c r="L9" s="8" t="str">
        <f>'7'!$C$6</f>
        <v>$1 - $5 M</v>
      </c>
      <c r="M9" s="8" t="str">
        <f>'7'!$C$7</f>
        <v>$1 - $5 M</v>
      </c>
      <c r="N9" s="8" t="str">
        <f>'7'!$B$10</f>
        <v>Based on the fact that this risk is operational, the loss incurred is hard to measure.  As the business grows, the inability to process transactions effectively and efficiently could lead to lost business.  Based on the fees to date and the potential for losing a mandate already awarded, we would expect losses to be under $5mm under the current business expectations.</v>
      </c>
      <c r="O9" s="10"/>
    </row>
    <row r="10" spans="1:15" x14ac:dyDescent="0.25">
      <c r="A10" s="7"/>
      <c r="B10" s="7" t="str">
        <f>'Approval and Documentation'!C$4</f>
        <v>GBM</v>
      </c>
      <c r="C10" s="7" t="str">
        <f>'Approval and Documentation'!C$6</f>
        <v>Debt Capital Market</v>
      </c>
      <c r="D10" s="8">
        <f>'8'!$C$1</f>
        <v>0</v>
      </c>
      <c r="E10" s="11">
        <v>8</v>
      </c>
      <c r="F10" s="8" t="str">
        <f>'8'!$C$2</f>
        <v>Compliance</v>
      </c>
      <c r="G10" s="8" t="str">
        <f>'8'!$C$3</f>
        <v>Regulatory Programs</v>
      </c>
      <c r="H10" s="8" t="str">
        <f>'8'!$C$4</f>
        <v>Control Room</v>
      </c>
      <c r="I10" s="8" t="str">
        <f>'8'!$A$12</f>
        <v>The risk as DCM Group sees it is that we have increased risk in not meeting requirements due to the manual nature of inputs.  Compliance does not have a proper control room, which leads to uncertainty when responding to FINRA questionnaires in connection with transactions and increased time consumption inputting information into the control room, including wall-crossing requests, which need to be coupled with emails.  In some cases we are asked to wall cross non-SIS employees, and Compliance has put the responsiblity of getting the needed approvals from the non-SIS employee's side.  For example, if we need to wall cross an SBNA employee, we need to track down that employee's manager (there are no organization charts or reporting line information) as well as that person's compliance for approval (Compliance functions should be global and SIS compliance should be able to reach out to compliance at the other entity).  In short, these systems and processes should be automated from a front office perspective.  [BILL, PLEASE REVIEW AND PROVIDE YOUR COMMENTS] Compliance agrees with the assessment by DCM. In the current environment of manual processing of deal information the potential impact for fines and restitution will increase as the business expands. Because the Firm has no past history of violations in this area the figures stated appear within reasonable expectations. With the SIS infrastructure project for an automated global control room slated for implementation in 2016 Compliance believes the potential to rise to a fine of $1-$5 M to be minimal and that this issue does not pose a material risk on its own at this point in time.</v>
      </c>
      <c r="J10" s="8">
        <f>'8'!$C$5</f>
        <v>0</v>
      </c>
      <c r="K10" s="8" t="str">
        <f>'8'!$A$9</f>
        <v>Given the lack of compliance programs/systems, DCM Group resorts to manually handling compliance issues, such as insider lists, and control room input.  The controls regarding FINRA questionnaire responses, insider trading monitoring, etc. should be assessed by Compliance.
At the DCM level, we have New Deal Procedures, which include:
Entering a potential transaction into the GEM system
Providing an Insider List
Sending a Business As Usual memo to inform interested parties (including accounting for capital assessment)
Sending an Underwriting Committee Notification to inform the underwriting committee of the transaction.
Syndicate informs Compliance as to the public announcment of transactions (triggering Control Room status change).</v>
      </c>
      <c r="L10" s="8" t="str">
        <f>'8'!$C$6</f>
        <v>$1 - $5 M</v>
      </c>
      <c r="M10" s="8" t="str">
        <f>'8'!$C$7</f>
        <v>$1 - $5 M</v>
      </c>
      <c r="N10" s="8" t="str">
        <f>'8'!$B$10</f>
        <v>The future potential impact of non compliance could reach $150K with restitution and fines.  Repeated non compliane could in a stressed financial situation could reach $1M though this would be a small possibility.</v>
      </c>
      <c r="O10" s="10"/>
    </row>
    <row r="11" spans="1:15" x14ac:dyDescent="0.25">
      <c r="A11" s="7"/>
      <c r="B11" s="7" t="str">
        <f>'Approval and Documentation'!C$4</f>
        <v>GBM</v>
      </c>
      <c r="C11" s="7" t="str">
        <f>'Approval and Documentation'!C$6</f>
        <v>Debt Capital Market</v>
      </c>
      <c r="D11" s="8">
        <f>'9'!$C$1</f>
        <v>0</v>
      </c>
      <c r="E11" s="7">
        <v>9</v>
      </c>
      <c r="F11" s="8" t="str">
        <f>'9'!$C$2</f>
        <v>Operational</v>
      </c>
      <c r="G11" s="8" t="str">
        <f>'9'!$C$3</f>
        <v>Clients, Products and Business Practices</v>
      </c>
      <c r="H11" s="8" t="str">
        <f>'9'!$C$4</f>
        <v>Reliance on Affiliates</v>
      </c>
      <c r="I11" s="8" t="str">
        <f>'9'!$A$12</f>
        <v>The Santander group is comprised of various standalone entities, many of which use SIS's products, including DCM.  Given the nature of the DCM business and the liabilities attached to the business, the reliance on other Santander entities for items such as due diligence, KYC processes, etc., leads to increased risk.  Additionally, as entities may not be familiar with rules and regulations in the U.S., the risk of potential breaches (e.g., chinese walls, control of material non-public information, etc.) is also increased.  With respect to due diligence, SIS can guide the local entities on requirements, however, it is difficult to "check" as SIS does not have in depth familiarity with the clients.  This same risk is inherent in the KYC process where SIS personnel are relying on the local affiliates to be truthful and accurate in the information provided.    
We believe that the feedback system and log requirements are sufficient mitigators to ensure that the local teams are engaged in the due diligence process.  As a result, we believe the risk of loss to be minimal in a given year, however, based on a worst case scenario, material dislosure omissions or undetected fraud could result in material liabilities.  An area where we see room for improvement would be for the Santander Group to have more accountability between entities for cross-border activities.  
With respect to impacts from regulatory issues, we do not have sufficient information to determine the potential impact.</v>
      </c>
      <c r="J11" s="8">
        <f>'9'!$C$5</f>
        <v>0</v>
      </c>
      <c r="K11" s="8" t="str">
        <f>'9'!$A$9</f>
        <v>1. Transactions cannot move forward without SIS involvement
2. The relevant product group in NY (DCM / ABS / LM) is in contact with the teams at the local affiliates during transactions
3. Local teams are apprised of procedures to be followed at SIS
4. Local teams participate in selected trainings (e.g., Due Diligence Presentations, etc.)
5. Underwriting Committee
6. Due Diligence Logs</v>
      </c>
      <c r="L11" s="8" t="str">
        <f>'9'!$C$6</f>
        <v>$1 - $5 M</v>
      </c>
      <c r="M11" s="8" t="str">
        <f>'9'!$C$7</f>
        <v>$5 M - $50 M</v>
      </c>
      <c r="N11" s="8" t="str">
        <f>'9'!$B$10</f>
        <v>Based on our business, it is hard to quantify the risk.  The risk, in our view, would have to lead to either a law suit on a specific transaction or a regulatory action.  With respect to the former, failure to detect material misstatements or omissions in offering documents could lead to substantial liabilities at SIS.  With respect to regulatory issues, we would need Compliance to assess the potential impact.</v>
      </c>
      <c r="O11" s="10"/>
    </row>
    <row r="12" spans="1:15" x14ac:dyDescent="0.25">
      <c r="A12" s="7"/>
      <c r="B12" s="7" t="str">
        <f>'Approval and Documentation'!C$4</f>
        <v>GBM</v>
      </c>
      <c r="C12" s="7" t="str">
        <f>'Approval and Documentation'!C$6</f>
        <v>Debt Capital Market</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t="str">
        <f>'Approval and Documentation'!C$4</f>
        <v>GBM</v>
      </c>
      <c r="C13" s="7" t="str">
        <f>'Approval and Documentation'!C$6</f>
        <v>Debt Capital Market</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t="str">
        <f>'Approval and Documentation'!C$4</f>
        <v>GBM</v>
      </c>
      <c r="C14" s="7" t="str">
        <f>'Approval and Documentation'!C$6</f>
        <v>Debt Capital Market</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t="str">
        <f>'Approval and Documentation'!C$4</f>
        <v>GBM</v>
      </c>
      <c r="C15" s="7" t="str">
        <f>'Approval and Documentation'!C$6</f>
        <v>Debt Capital Market</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t="str">
        <f>'Approval and Documentation'!C$4</f>
        <v>GBM</v>
      </c>
      <c r="C16" s="7" t="str">
        <f>'Approval and Documentation'!C$6</f>
        <v>Debt Capital Market</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t="str">
        <f>'Approval and Documentation'!C$4</f>
        <v>GBM</v>
      </c>
      <c r="C17" s="7" t="str">
        <f>'Approval and Documentation'!C$6</f>
        <v>Debt Capital Market</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t="str">
        <f>'Approval and Documentation'!C$4</f>
        <v>GBM</v>
      </c>
      <c r="C18" s="7" t="str">
        <f>'Approval and Documentation'!C$6</f>
        <v>Debt Capital Market</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t="str">
        <f>'Approval and Documentation'!C$4</f>
        <v>GBM</v>
      </c>
      <c r="C19" s="7" t="str">
        <f>'Approval and Documentation'!C$6</f>
        <v>Debt Capital Market</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t="str">
        <f>'Approval and Documentation'!C$4</f>
        <v>GBM</v>
      </c>
      <c r="C20" s="7" t="str">
        <f>'Approval and Documentation'!C$6</f>
        <v>Debt Capital Market</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t="str">
        <f>'Approval and Documentation'!C$4</f>
        <v>GBM</v>
      </c>
      <c r="C21" s="7" t="str">
        <f>'Approval and Documentation'!C$6</f>
        <v>Debt Capital Market</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t="str">
        <f>'Approval and Documentation'!C$4</f>
        <v>GBM</v>
      </c>
      <c r="C22" s="7" t="str">
        <f>'Approval and Documentation'!C$6</f>
        <v>Debt Capital Market</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t="str">
        <f>'Approval and Documentation'!C$4</f>
        <v>GBM</v>
      </c>
      <c r="C23" s="7" t="str">
        <f>'Approval and Documentation'!C$6</f>
        <v>Debt Capital Market</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t="str">
        <f>'Approval and Documentation'!C$4</f>
        <v>GBM</v>
      </c>
      <c r="C24" s="7" t="str">
        <f>'Approval and Documentation'!C$6</f>
        <v>Debt Capital Market</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t="str">
        <f>'Approval and Documentation'!C$4</f>
        <v>GBM</v>
      </c>
      <c r="C25" s="7" t="str">
        <f>'Approval and Documentation'!C$6</f>
        <v>Debt Capital Market</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t="str">
        <f>'Approval and Documentation'!C$4</f>
        <v>GBM</v>
      </c>
      <c r="C26" s="7" t="str">
        <f>'Approval and Documentation'!C$6</f>
        <v>Debt Capital Market</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t="str">
        <f>'Approval and Documentation'!C$4</f>
        <v>GBM</v>
      </c>
      <c r="C27" s="7" t="str">
        <f>'Approval and Documentation'!C$6</f>
        <v>Debt Capital Market</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t="str">
        <f>'Approval and Documentation'!C$4</f>
        <v>GBM</v>
      </c>
      <c r="C28" s="7" t="str">
        <f>'Approval and Documentation'!C$6</f>
        <v>Debt Capital Market</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t="str">
        <f>'Approval and Documentation'!C$4</f>
        <v>GBM</v>
      </c>
      <c r="C29" s="7" t="str">
        <f>'Approval and Documentation'!C$6</f>
        <v>Debt Capital Market</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t="str">
        <f>'Approval and Documentation'!C$4</f>
        <v>GBM</v>
      </c>
      <c r="C30" s="7" t="str">
        <f>'Approval and Documentation'!C$6</f>
        <v>Debt Capital Market</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t="str">
        <f>'Approval and Documentation'!C$4</f>
        <v>GBM</v>
      </c>
      <c r="C31" s="7" t="str">
        <f>'Approval and Documentation'!C$6</f>
        <v>Debt Capital Market</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t="str">
        <f>'Approval and Documentation'!C$4</f>
        <v>GBM</v>
      </c>
      <c r="C32" s="7" t="str">
        <f>'Approval and Documentation'!C$6</f>
        <v>Debt Capital Market</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t="str">
        <f>'Approval and Documentation'!C$4</f>
        <v>GBM</v>
      </c>
      <c r="C33" s="7" t="str">
        <f>'Approval and Documentation'!C$6</f>
        <v>Debt Capital Market</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t="str">
        <f>'Approval and Documentation'!C$4</f>
        <v>GBM</v>
      </c>
      <c r="C34" s="7" t="str">
        <f>'Approval and Documentation'!C$6</f>
        <v>Debt Capital Market</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t="str">
        <f>'Approval and Documentation'!C$4</f>
        <v>GBM</v>
      </c>
      <c r="C35" s="7" t="str">
        <f>'Approval and Documentation'!C$6</f>
        <v>Debt Capital Market</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t="str">
        <f>'Approval and Documentation'!C$4</f>
        <v>GBM</v>
      </c>
      <c r="C36" s="7" t="str">
        <f>'Approval and Documentation'!C$6</f>
        <v>Debt Capital Market</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t="str">
        <f>'Approval and Documentation'!C$4</f>
        <v>GBM</v>
      </c>
      <c r="C37" s="7" t="str">
        <f>'Approval and Documentation'!C$6</f>
        <v>Debt Capital Market</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t="str">
        <f>'Approval and Documentation'!C$4</f>
        <v>GBM</v>
      </c>
      <c r="C38" s="7" t="str">
        <f>'Approval and Documentation'!C$6</f>
        <v>Debt Capital Market</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t="str">
        <f>'Approval and Documentation'!C$4</f>
        <v>GBM</v>
      </c>
      <c r="C39" s="7" t="str">
        <f>'Approval and Documentation'!C$6</f>
        <v>Debt Capital Market</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t="str">
        <f>'Approval and Documentation'!C$4</f>
        <v>GBM</v>
      </c>
      <c r="C40" s="7" t="str">
        <f>'Approval and Documentation'!C$6</f>
        <v>Debt Capital Market</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t="str">
        <f>'Approval and Documentation'!C$4</f>
        <v>GBM</v>
      </c>
      <c r="C41" s="7" t="str">
        <f>'Approval and Documentation'!C$6</f>
        <v>Debt Capital Market</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t="str">
        <f>'Approval and Documentation'!C$4</f>
        <v>GBM</v>
      </c>
      <c r="C42" s="7" t="str">
        <f>'Approval and Documentation'!C$6</f>
        <v>Debt Capital Market</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topLeftCell="A7" zoomScaleNormal="10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5" t="s">
        <v>495</v>
      </c>
      <c r="B1" s="145"/>
      <c r="C1" s="73"/>
      <c r="Q1" s="81"/>
      <c r="R1" s="81"/>
      <c r="AA1" s="39" t="str">
        <f>C2</f>
        <v xml:space="preserve">Strategic </v>
      </c>
    </row>
    <row r="2" spans="1:27" ht="30.75" customHeight="1" thickBot="1" x14ac:dyDescent="0.3">
      <c r="A2" s="203" t="s">
        <v>255</v>
      </c>
      <c r="B2" s="194"/>
      <c r="C2" s="90" t="s">
        <v>20</v>
      </c>
      <c r="R2" s="42" t="str">
        <f t="shared" ref="R2:R7" si="0">A2</f>
        <v>Risk Type  - The Risk Type from the SHUSA ERM Risk Taxonomy</v>
      </c>
    </row>
    <row r="3" spans="1:27" ht="24" customHeight="1" thickBot="1" x14ac:dyDescent="0.3">
      <c r="A3" s="195" t="s">
        <v>251</v>
      </c>
      <c r="B3" s="145"/>
      <c r="C3" s="70" t="s">
        <v>23</v>
      </c>
      <c r="R3" s="42" t="str">
        <f t="shared" si="0"/>
        <v>Risk Sub Type  - The Risk Sub-Category from the SHUSA ERM Risk Taxonomy</v>
      </c>
    </row>
    <row r="4" spans="1:27" ht="31.5" customHeight="1" thickBot="1" x14ac:dyDescent="0.3">
      <c r="A4" s="195" t="s">
        <v>252</v>
      </c>
      <c r="B4" s="145"/>
      <c r="C4" s="73" t="s">
        <v>591</v>
      </c>
      <c r="R4" s="42" t="str">
        <f t="shared" si="0"/>
        <v>Risk Name - The name of the risk which helps define it and differentiate it from other risks in other Business Lines with a similar Risk Category</v>
      </c>
    </row>
    <row r="5" spans="1:27" ht="39" customHeight="1" thickBot="1" x14ac:dyDescent="0.3">
      <c r="A5" s="195" t="s">
        <v>533</v>
      </c>
      <c r="B5" s="145"/>
      <c r="C5" s="71" t="s">
        <v>549</v>
      </c>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195" t="s">
        <v>537</v>
      </c>
      <c r="B6" s="145"/>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193" t="s">
        <v>536</v>
      </c>
      <c r="B7" s="194"/>
      <c r="C7" s="70"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97.5" customHeight="1" thickBot="1" x14ac:dyDescent="0.3">
      <c r="A9" s="200" t="s">
        <v>590</v>
      </c>
      <c r="B9" s="201"/>
      <c r="C9" s="202"/>
      <c r="Q9" s="38" t="str">
        <f>A9</f>
        <v xml:space="preserve"> P&amp;L is monitored on a daily basis at the DCM Group Level.
Management holds weekly meetings with the team to discuss P&amp;L, pipeline, opportunities and other matters relating to the business.
Managing "Metricas" occur monthly where YTD, 6-month expected and full year expected P&amp;L are reviewed.
Market conditions, developments and anticipated movements are monitored constantly.
</v>
      </c>
    </row>
    <row r="10" spans="1:27" ht="93" customHeight="1" thickBot="1" x14ac:dyDescent="0.3">
      <c r="A10" s="41" t="s">
        <v>496</v>
      </c>
      <c r="B10" s="190" t="s">
        <v>577</v>
      </c>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180.75" customHeight="1" thickBot="1" x14ac:dyDescent="0.3">
      <c r="A12" s="190" t="s">
        <v>594</v>
      </c>
      <c r="B12" s="191"/>
      <c r="C12" s="192"/>
      <c r="Q12" s="38" t="str">
        <f>A12</f>
        <v>The overall risk comprises a number of factors, some within our control, most not within our control.  This is an expansion of an existing product to a new geographic area.  SIS has invested capital upfront to attract and retain professionals with prior experience in the U.S. High Grade Market based on an approved business plan.  As the implementation of the plan is in its infancy, there is possibility of failure, however, based on number of transactions generated as well as the number of "improved" relationships with clients, SIS believes the plan is so far successful.   SIS needs to liaise with SBNA to ensure proper targeting of clients as our ability to grow the DCM Group business is highly correlated to the lending relationship at SBNA.  External factors such as a rise in rates, deteriorating economic conditions, financial crises, etc., can all have a material impact on the industry as a whole, thereby affecting DCM Origination's ability to meet projected revenues.  Additionally, as the business matures, issues such as IT and lack of capitalization at SIS can play a more significant role in the success of the plan.  DCM Group has raised these issues with various internal groups, which are responsible for improving these systems and those groups continue to have strategy sessions to provide a solution to those issues.</v>
      </c>
    </row>
  </sheetData>
  <sheetProtection password="CDE2" sheet="1" objects="1" scenarios="1" formatRows="0"/>
  <mergeCells count="12">
    <mergeCell ref="A1:B1"/>
    <mergeCell ref="A2:B2"/>
    <mergeCell ref="A3:B3"/>
    <mergeCell ref="A4:B4"/>
    <mergeCell ref="A5:B5"/>
    <mergeCell ref="A12:C12"/>
    <mergeCell ref="A7:B7"/>
    <mergeCell ref="A6:B6"/>
    <mergeCell ref="B10:C10"/>
    <mergeCell ref="A8:C8"/>
    <mergeCell ref="A11:C11"/>
    <mergeCell ref="A9:C9"/>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topLeftCell="A6" zoomScaleNormal="10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4" t="s">
        <v>495</v>
      </c>
      <c r="B1" s="205"/>
      <c r="C1" s="82"/>
      <c r="Q1" s="81"/>
      <c r="R1" s="81"/>
      <c r="AA1" s="39" t="str">
        <f>C2</f>
        <v xml:space="preserve">Strategic </v>
      </c>
    </row>
    <row r="2" spans="1:27" ht="30.75" customHeight="1" thickBot="1" x14ac:dyDescent="0.3">
      <c r="A2" s="203" t="s">
        <v>255</v>
      </c>
      <c r="B2" s="194"/>
      <c r="C2" s="90" t="s">
        <v>20</v>
      </c>
      <c r="R2" s="42" t="str">
        <f t="shared" ref="R2:R7" si="0">A2</f>
        <v>Risk Type  - The Risk Type from the SHUSA ERM Risk Taxonomy</v>
      </c>
    </row>
    <row r="3" spans="1:27" ht="24" customHeight="1" thickBot="1" x14ac:dyDescent="0.3">
      <c r="A3" s="195" t="s">
        <v>251</v>
      </c>
      <c r="B3" s="145"/>
      <c r="C3" s="70" t="s">
        <v>213</v>
      </c>
      <c r="R3" s="42" t="str">
        <f t="shared" si="0"/>
        <v>Risk Sub Type  - The Risk Sub-Category from the SHUSA ERM Risk Taxonomy</v>
      </c>
    </row>
    <row r="4" spans="1:27" ht="31.5" customHeight="1" thickBot="1" x14ac:dyDescent="0.3">
      <c r="A4" s="195" t="s">
        <v>252</v>
      </c>
      <c r="B4" s="145"/>
      <c r="C4" s="73" t="s">
        <v>550</v>
      </c>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35" customHeight="1" thickBot="1" x14ac:dyDescent="0.3">
      <c r="A9" s="200" t="s">
        <v>592</v>
      </c>
      <c r="B9" s="201"/>
      <c r="C9" s="202"/>
      <c r="Q9" s="38" t="str">
        <f>A9</f>
        <v>DCM Group is not responsible for monitoring systems, etc.  However, DCM Origination is impacted by the firm's systems and as such we raise what we believe to be deficiencies to management.  Subsequent meetings are held to find potential solutions.
To mitigate the risks, there are manual controls in place:
Emails to interested parties (e.g., accounting, legal, compliance) inform of new business items, insiders on a given transaction, expected capital consumption, etc.
DCM Origination enters transactions into the GEM system.</v>
      </c>
    </row>
    <row r="10" spans="1:27" ht="112.5" customHeight="1" thickBot="1" x14ac:dyDescent="0.3">
      <c r="A10" s="41" t="s">
        <v>497</v>
      </c>
      <c r="B10" s="190" t="s">
        <v>575</v>
      </c>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107.25" customHeight="1" thickBot="1" x14ac:dyDescent="0.3">
      <c r="A12" s="190" t="s">
        <v>579</v>
      </c>
      <c r="B12" s="191"/>
      <c r="C12" s="192"/>
      <c r="Q12" s="38" t="str">
        <f>A12</f>
        <v xml:space="preserve">The lack of Systems to enable efficient processes for billing and delivering causes reputational harm to SIS.  While our core geography has historically been LATAM and SIS has been able to work around the inability to bill &amp; deliver, it is known throughout the market.  LATAM issuers, however, are less sensitive to the inability.  As we expand into the U.S., however, the inability to bill &amp; deliver could, in addition to the reputational harm, have a material impact on our ability to win active bookrunner mandates.  At this point in the plan, we would not expect to lose many such transactions, therefore, the risk of loss is less than $1mm per year, however, in a ten year horizon, with the loss of 1-2 transactions a year, the potential missed P&amp;L could be $1-3mm.  Additionally, the manual nature combined with lack of capitalization at SIS, in our view, poses a significant risk.  Should timing be missed or inadequately reported, or accounting miss a potential deal on a given day, and SIS not have sufficient capital, the result would be either SIS not participate or participate at a lower economic level.
Additionally
In addition, the manual nature of our processes lead to increased risk.  For example, combining the manual nature with the fact that SIS is not capitalized can cause significant issues on the day of a transaction.  Should a deal be upsized or timing be incorrect, failure to timely notify accounting such that required capital is obtained by the pricing date could lead to SIS either not participating in a transaction or participating at a lower economic level.  
Additionally, the lack of systems creates manual processes.  Manual processes increase the chances of error.  Combined with the lack of capitalization at SIS, one of the major risks is not having the required capital to participate in a transaction.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topLeftCell="A4" zoomScaleNormal="10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t="str">
        <f>C2</f>
        <v>Credit</v>
      </c>
    </row>
    <row r="2" spans="1:27" ht="30.75" customHeight="1" thickBot="1" x14ac:dyDescent="0.3">
      <c r="A2" s="203" t="s">
        <v>255</v>
      </c>
      <c r="B2" s="194"/>
      <c r="C2" s="90" t="s">
        <v>17</v>
      </c>
      <c r="R2" s="42" t="str">
        <f t="shared" ref="R2:R7" si="0">A2</f>
        <v>Risk Type  - The Risk Type from the SHUSA ERM Risk Taxonomy</v>
      </c>
    </row>
    <row r="3" spans="1:27" ht="24" customHeight="1" thickBot="1" x14ac:dyDescent="0.3">
      <c r="A3" s="195" t="s">
        <v>251</v>
      </c>
      <c r="B3" s="145"/>
      <c r="C3" s="70" t="s">
        <v>52</v>
      </c>
      <c r="R3" s="42" t="str">
        <f t="shared" si="0"/>
        <v>Risk Sub Type  - The Risk Sub-Category from the SHUSA ERM Risk Taxonomy</v>
      </c>
    </row>
    <row r="4" spans="1:27" ht="31.5" customHeight="1" thickBot="1" x14ac:dyDescent="0.3">
      <c r="A4" s="195" t="s">
        <v>252</v>
      </c>
      <c r="B4" s="145"/>
      <c r="C4" s="73" t="s">
        <v>551</v>
      </c>
      <c r="R4" s="42" t="str">
        <f t="shared" si="0"/>
        <v>Risk Name - The name of the risk which helps define it and differentiate it from other risks in other Business Lines with a similar Risk Category</v>
      </c>
    </row>
    <row r="5" spans="1:27" ht="27"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t="s">
        <v>593</v>
      </c>
      <c r="B9" s="201"/>
      <c r="C9" s="202"/>
      <c r="Q9" s="38" t="str">
        <f>A9</f>
        <v>SIS does not accept B&amp;D roles for sizeable transactions.
DCM Group has raised B&amp;D to management.  There are ongoing discussions between Business Development and Operations and IT.</v>
      </c>
    </row>
    <row r="10" spans="1:27" ht="81.75" customHeight="1" thickBot="1" x14ac:dyDescent="0.3">
      <c r="A10" s="41" t="s">
        <v>497</v>
      </c>
      <c r="B10" s="190" t="s">
        <v>576</v>
      </c>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146.25" customHeight="1" thickBot="1" x14ac:dyDescent="0.3">
      <c r="A12" s="190" t="s">
        <v>608</v>
      </c>
      <c r="B12" s="191"/>
      <c r="C12" s="192"/>
      <c r="Q12" s="38" t="str">
        <f>A12</f>
        <v>DCM Group's view is that this risk is theoretical.  In essence the risk here is the lack of liquidity (SIS draws on sub loans from Madrid to meet capital and sometimes liquidity needs), could potentially cause a failed settlement.  In practice, funds are drawn and received at SIS a day prior to settlement.  A fed wire is sent to the issuer as early as possible on the morning of the settlement.  When receipt is confirmed, the transaction is settled with DTC at which time SIS is credited for the bonds and they can then settle with investors.  While it is possible that funds are delayed (not in the control of SIS) and thereby failed settlements, this risk is unlikely.  In the limited cases where delays have been seen, all were in Peru and all were delayed because of intermediary banks in Peru, we have been able to track down funds and settle.   Practically, it would be a reputational matter for the issuer as well not to settle on time.  The risk here is low.</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topLeftCell="A4" zoomScaleNormal="10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t="str">
        <f>C2</f>
        <v>Market</v>
      </c>
    </row>
    <row r="2" spans="1:27" ht="30.75" customHeight="1" thickBot="1" x14ac:dyDescent="0.3">
      <c r="A2" s="203" t="s">
        <v>255</v>
      </c>
      <c r="B2" s="194"/>
      <c r="C2" s="90" t="s">
        <v>13</v>
      </c>
      <c r="R2" s="42" t="str">
        <f t="shared" ref="R2:R7" si="0">A2</f>
        <v>Risk Type  - The Risk Type from the SHUSA ERM Risk Taxonomy</v>
      </c>
    </row>
    <row r="3" spans="1:27" ht="24" customHeight="1" thickBot="1" x14ac:dyDescent="0.3">
      <c r="A3" s="195" t="s">
        <v>251</v>
      </c>
      <c r="B3" s="145"/>
      <c r="C3" s="70" t="s">
        <v>45</v>
      </c>
      <c r="R3" s="42" t="str">
        <f t="shared" si="0"/>
        <v>Risk Sub Type  - The Risk Sub-Category from the SHUSA ERM Risk Taxonomy</v>
      </c>
    </row>
    <row r="4" spans="1:27" ht="31.5" customHeight="1" thickBot="1" x14ac:dyDescent="0.3">
      <c r="A4" s="195" t="s">
        <v>252</v>
      </c>
      <c r="B4" s="145"/>
      <c r="C4" s="73" t="s">
        <v>552</v>
      </c>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t="s">
        <v>553</v>
      </c>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t="s">
        <v>561</v>
      </c>
      <c r="B9" s="201"/>
      <c r="C9" s="202"/>
      <c r="Q9" s="38" t="str">
        <f>A9</f>
        <v xml:space="preserve">SIS limits stabilization positions to 10% of SIS's total underwriting.  A Market Risk Approval is needed to take the position and in a specific transaciton the ability to take the positition is monitored on Bloomberg.  </v>
      </c>
    </row>
    <row r="10" spans="1:27" ht="81.75" customHeight="1" thickBot="1" x14ac:dyDescent="0.3">
      <c r="A10" s="41" t="s">
        <v>497</v>
      </c>
      <c r="B10" s="190" t="s">
        <v>580</v>
      </c>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128.25" customHeight="1" thickBot="1" x14ac:dyDescent="0.3">
      <c r="A12" s="190" t="s">
        <v>595</v>
      </c>
      <c r="B12" s="191"/>
      <c r="C12" s="192"/>
      <c r="Q12" s="38" t="str">
        <f>A12</f>
        <v>In general, based on 10% of our underwriting we do not see losses over $1mm in a given year.  
Market conditions are the main driver here, including interest rates, volatility, economic/political events (like the current Greece situation), etc.  That said, the timeline of transactions minimizes this risk.  In reality, such major situations should not materialize in an instant.  Since the risks are generally anticipated, an issue would not be launched into the market.  The scenario would have to be that a risk developed intraday and generally after pricing when a short position has already been taken, or before pricing leading to a potential long position if the deal went ahead.   There is a related risk in that we are in the market with a transaction and we do not price the transaction related to market volatility.  Once a transaction is pulled, there is reputational risk and a decision would have to be made as to when, if at all, to revive the transaction.  Our worst case scenario assumes 2-3 transactions pulled and not revived.</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topLeftCell="A7" zoomScaleNormal="10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t="str">
        <f>C2</f>
        <v>Operational</v>
      </c>
    </row>
    <row r="2" spans="1:27" ht="30.75" customHeight="1" thickBot="1" x14ac:dyDescent="0.3">
      <c r="A2" s="203" t="s">
        <v>255</v>
      </c>
      <c r="B2" s="194"/>
      <c r="C2" s="90" t="s">
        <v>31</v>
      </c>
      <c r="R2" s="42" t="str">
        <f t="shared" ref="R2:R7" si="0">A2</f>
        <v>Risk Type  - The Risk Type from the SHUSA ERM Risk Taxonomy</v>
      </c>
    </row>
    <row r="3" spans="1:27" ht="24" customHeight="1" thickBot="1" x14ac:dyDescent="0.3">
      <c r="A3" s="195" t="s">
        <v>251</v>
      </c>
      <c r="B3" s="145"/>
      <c r="C3" s="70" t="s">
        <v>30</v>
      </c>
      <c r="R3" s="42" t="str">
        <f t="shared" si="0"/>
        <v>Risk Sub Type  - The Risk Sub-Category from the SHUSA ERM Risk Taxonomy</v>
      </c>
    </row>
    <row r="4" spans="1:27" ht="31.5" customHeight="1" thickBot="1" x14ac:dyDescent="0.3">
      <c r="A4" s="195" t="s">
        <v>252</v>
      </c>
      <c r="B4" s="145"/>
      <c r="C4" s="73" t="s">
        <v>596</v>
      </c>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76.5" customHeight="1" thickBot="1" x14ac:dyDescent="0.3">
      <c r="A9" s="200" t="s">
        <v>581</v>
      </c>
      <c r="B9" s="201"/>
      <c r="C9" s="202"/>
      <c r="Q9" s="38" t="str">
        <f>A9</f>
        <v xml:space="preserve">The DCM group has an unwritten policy that Accounting be copied on any invoice sent.
DCM Origination has requested on several occasions that either Accounts Receivable or Accounting compile, prepare and send invoices, however those they have refused and insisted this is DCM Origination responsibility.
</v>
      </c>
    </row>
    <row r="10" spans="1:27" ht="81.75" customHeight="1" thickBot="1" x14ac:dyDescent="0.3">
      <c r="A10" s="41" t="s">
        <v>497</v>
      </c>
      <c r="B10" s="190" t="s">
        <v>574</v>
      </c>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127.5" customHeight="1" thickBot="1" x14ac:dyDescent="0.3">
      <c r="A12" s="190" t="s">
        <v>609</v>
      </c>
      <c r="B12" s="191"/>
      <c r="C12" s="192"/>
      <c r="Q12" s="38" t="str">
        <f>A12</f>
        <v>There is an inherent conflict of interest in Front Office preparing invoices for fees and/or expenses.  This conflict could lead to various types of fraud, including collusion between front office and clients to receive more or less fees or the possibility of front office personnel providing incorrect wire instructions.  DCM Origination has previously sought to correct this conflict by discussing with accounting the possibility of tracking transactions by unique IDs and also having either Accounting or AP/AR prepare and send such invoices.  However, Accounting has refused to do so and also indicated unique transaction IDs would increase the potential for loss/errors.  In addition to the potential for fraud, there is the potential for missed reimbursable expenses.  Accounting/AP does not retain records in a manner we believe efficient.  In requesting expenses, we are often provided with a spreadsheet with many related and unrelated entries, for which we need to parse through.  Based on this, we are of the view that it is also likely some expenses that should be picked up are not provided to us in the AP search.</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topLeftCell="A4" zoomScale="90" zoomScaleNormal="100" zoomScalePageLayoutView="90"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t="str">
        <f>C2</f>
        <v>Operational</v>
      </c>
    </row>
    <row r="2" spans="1:27" ht="30.75" customHeight="1" thickBot="1" x14ac:dyDescent="0.3">
      <c r="A2" s="203" t="s">
        <v>255</v>
      </c>
      <c r="B2" s="194"/>
      <c r="C2" s="90" t="s">
        <v>31</v>
      </c>
      <c r="R2" s="42" t="str">
        <f t="shared" ref="R2:R7" si="0">A2</f>
        <v>Risk Type  - The Risk Type from the SHUSA ERM Risk Taxonomy</v>
      </c>
    </row>
    <row r="3" spans="1:27" ht="24" customHeight="1" thickBot="1" x14ac:dyDescent="0.3">
      <c r="A3" s="195" t="s">
        <v>251</v>
      </c>
      <c r="B3" s="145"/>
      <c r="C3" s="70" t="s">
        <v>32</v>
      </c>
      <c r="R3" s="42" t="str">
        <f t="shared" si="0"/>
        <v>Risk Sub Type  - The Risk Sub-Category from the SHUSA ERM Risk Taxonomy</v>
      </c>
    </row>
    <row r="4" spans="1:27" ht="31.5" customHeight="1" thickBot="1" x14ac:dyDescent="0.3">
      <c r="A4" s="195" t="s">
        <v>252</v>
      </c>
      <c r="B4" s="145"/>
      <c r="C4" s="73" t="s">
        <v>554</v>
      </c>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t="s">
        <v>585</v>
      </c>
      <c r="B9" s="201"/>
      <c r="C9" s="202"/>
      <c r="Q9" s="38" t="str">
        <f>A9</f>
        <v>1. Due dligence is performed on all issuers to detect potential fraud.  
2. Legal has brought in external law firms to present on the securities laws and due diligence.  
3. SIS liaises with local teams, which is where the brunt of due diligence is performed (relationships are at the local level, for example, the relationship with Petrobras is in Brazil, PEMEX in Mexico, American Tower in the US at SBNA, etc.  Though this is a mitigant, the underlying fact that the majority of the informatioin on a given client is at the local level is in and of itself a risk.  Not only with disclosure, but also in the area of completing KYCs.
SIS also has and Underwriting Committee where all HY transactions are discussed as well as other select transactions depending on the circumstances.</v>
      </c>
    </row>
    <row r="10" spans="1:27" ht="81.75" customHeight="1" thickBot="1" x14ac:dyDescent="0.3">
      <c r="A10" s="41" t="s">
        <v>497</v>
      </c>
      <c r="B10" s="190" t="s">
        <v>582</v>
      </c>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156.75" customHeight="1" thickBot="1" x14ac:dyDescent="0.3">
      <c r="A12" s="190" t="s">
        <v>586</v>
      </c>
      <c r="B12" s="191"/>
      <c r="C12" s="192"/>
      <c r="Q12" s="38" t="str">
        <f>A12</f>
        <v>The risk here is that fraud at the client level could lead to potential liability of SIS under the securities laws.  In response to this the underwriters have a due diligence defense.  Where the undewriters have performed reasonable diligence and the fraud was not detected as a result thereof, the underwriters would not have liablity.  Based on this, and reviewing transaction history, we do not see a year to year loss here, however, in an extraordinary circumstance losses could be significant, especially where the issuer has gone bankrupt.  SIS was involved in one of the Petrobras bonds that are currently subject to litigation.  It is important to note that SIS, to a material extent, relies on relationships between employees of affiliates in due diligence matters, including with respect to general knowledge of the issuer, current events related to the issuer, risk factors affecting the issuer, as well as KYC matters.</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topLeftCell="A8" zoomScale="90" zoomScaleNormal="100" zoomScalePageLayoutView="9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t="str">
        <f>C2</f>
        <v>Operational</v>
      </c>
    </row>
    <row r="2" spans="1:27" ht="30.75" customHeight="1" thickBot="1" x14ac:dyDescent="0.3">
      <c r="A2" s="203" t="s">
        <v>255</v>
      </c>
      <c r="B2" s="194"/>
      <c r="C2" s="90" t="s">
        <v>31</v>
      </c>
      <c r="R2" s="42" t="str">
        <f t="shared" ref="R2:R7" si="0">A2</f>
        <v>Risk Type  - The Risk Type from the SHUSA ERM Risk Taxonomy</v>
      </c>
    </row>
    <row r="3" spans="1:27" ht="24" customHeight="1" thickBot="1" x14ac:dyDescent="0.3">
      <c r="A3" s="195" t="s">
        <v>251</v>
      </c>
      <c r="B3" s="145"/>
      <c r="C3" s="70" t="s">
        <v>39</v>
      </c>
      <c r="R3" s="42" t="str">
        <f t="shared" si="0"/>
        <v>Risk Sub Type  - The Risk Sub-Category from the SHUSA ERM Risk Taxonomy</v>
      </c>
    </row>
    <row r="4" spans="1:27" ht="31.5" customHeight="1" thickBot="1" x14ac:dyDescent="0.3">
      <c r="A4" s="195" t="s">
        <v>252</v>
      </c>
      <c r="B4" s="145"/>
      <c r="C4" s="73" t="s">
        <v>555</v>
      </c>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90.75" customHeight="1" thickBot="1" x14ac:dyDescent="0.3">
      <c r="A9" s="200" t="s">
        <v>584</v>
      </c>
      <c r="B9" s="201"/>
      <c r="C9" s="202"/>
      <c r="Q9" s="38" t="str">
        <f>A9</f>
        <v>Issues raised to COO / IT Security.
Mitigating/Controlling this risk is dependent on the specific circumstance, so it is difficult to note specific controls.  DCM operates in such a manner as to manually handle a given process where there is and ability to do so.  DCM reaches out to IT/Operations on an ad hoc basis to rectify issues (e.g., to provide access to blocked websites, etc.).  As there is no accountability from IT/Operations to the front line, it is extremely difficult to ensure the issues are remedied.</v>
      </c>
    </row>
    <row r="10" spans="1:27" ht="99.75" customHeight="1" thickBot="1" x14ac:dyDescent="0.3">
      <c r="A10" s="41" t="s">
        <v>497</v>
      </c>
      <c r="B10" s="190" t="s">
        <v>583</v>
      </c>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309" customHeight="1" thickBot="1" x14ac:dyDescent="0.3">
      <c r="A12" s="190" t="s">
        <v>610</v>
      </c>
      <c r="B12" s="191"/>
      <c r="C12" s="192"/>
      <c r="Q12" s="38" t="str">
        <f>A12</f>
        <v xml:space="preserve">DCM Group is a fast paced business environment that operates 24/7 in order to execute transactions.  IT systems are seriously lacking to support such a business and lags far behind our competition
Issues include: IT unavailable after 5pm or on weekends.  IT has no process/program to scan zip files and allow DCM Origination to receive such files, which are a predominent file type sent by law firms and banks working with SIS on transactions.  IT blocks websites that should not be blocked, impression given is that they have no ability to monitor and therefore default to blocking sites.  Sites that have been blocked have included the World Bank, NYS Bar Association, Renewable Energy sites, Client sites hosting their financial information, Linked IN, anything sports, financial and other blogs or forums, etc.  Not having access to these resources impairs our ability to conduct due diligence, review potential recruits, understand market and industry developments and generally interact with clients.
DCM does not have stable and consistent access to a printer.  While this may seem unimportant to IT or the areas that manage the service contracts with our printer, it is a significant risk as our business is document intensive and our liability is tied to those documents.  For example, not being able to timely mark up a document and return it to legal counsel, could cause certain comments to not be made to the disclosure documents.  While we of course review the revised documents, there is always a chance something is missed.
Although unlikely, there is the potential that mismanaging transaction timing could lead to SIS being removed from a transaction by an issuer.
</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tabSelected="1" view="pageLayout" topLeftCell="A12" zoomScaleNormal="100"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0" t="s">
        <v>494</v>
      </c>
      <c r="B1" s="145"/>
      <c r="C1" s="73"/>
      <c r="Q1" s="81"/>
      <c r="R1" s="81"/>
      <c r="AA1" s="39" t="str">
        <f>C2</f>
        <v>Compliance</v>
      </c>
    </row>
    <row r="2" spans="1:27" ht="30.75" customHeight="1" thickBot="1" x14ac:dyDescent="0.3">
      <c r="A2" s="203" t="s">
        <v>255</v>
      </c>
      <c r="B2" s="194"/>
      <c r="C2" s="91" t="s">
        <v>11</v>
      </c>
      <c r="R2" s="42" t="str">
        <f t="shared" ref="R2:R7" si="0">A2</f>
        <v>Risk Type  - The Risk Type from the SHUSA ERM Risk Taxonomy</v>
      </c>
    </row>
    <row r="3" spans="1:27" ht="24" customHeight="1" thickBot="1" x14ac:dyDescent="0.3">
      <c r="A3" s="195" t="s">
        <v>251</v>
      </c>
      <c r="B3" s="145"/>
      <c r="C3" s="84" t="s">
        <v>59</v>
      </c>
      <c r="R3" s="42" t="str">
        <f t="shared" si="0"/>
        <v>Risk Sub Type  - The Risk Sub-Category from the SHUSA ERM Risk Taxonomy</v>
      </c>
    </row>
    <row r="4" spans="1:27" ht="31.5" customHeight="1" thickBot="1" x14ac:dyDescent="0.3">
      <c r="A4" s="195" t="s">
        <v>252</v>
      </c>
      <c r="B4" s="145"/>
      <c r="C4" s="83" t="s">
        <v>556</v>
      </c>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85"/>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84"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84"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20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51.5" customHeight="1" thickBot="1" x14ac:dyDescent="0.3">
      <c r="A9" s="200" t="s">
        <v>597</v>
      </c>
      <c r="B9" s="201"/>
      <c r="C9" s="207"/>
      <c r="Q9" s="38" t="str">
        <f>A9</f>
        <v>Given the lack of compliance programs/systems, DCM Group resorts to manually handling compliance issues, such as insider lists, and control room input.  The controls regarding FINRA questionnaire responses, insider trading monitoring, etc. should be assessed by Compliance.
At the DCM level, we have New Deal Procedures, which include:
Entering a potential transaction into the GEM system
Providing an Insider List
Sending a Business As Usual memo to inform interested parties (including accounting for capital assessment)
Sending an Underwriting Committee Notification to inform the underwriting committee of the transaction.
Syndicate informs Compliance as to the public announcment of transactions (triggering Control Room status change).</v>
      </c>
    </row>
    <row r="10" spans="1:27" ht="81.75" customHeight="1" thickBot="1" x14ac:dyDescent="0.3">
      <c r="A10" s="41" t="s">
        <v>497</v>
      </c>
      <c r="B10" s="190" t="s">
        <v>602</v>
      </c>
      <c r="C10" s="208"/>
    </row>
    <row r="11" spans="1:27" ht="31.5" customHeight="1" thickBot="1" x14ac:dyDescent="0.3">
      <c r="A11" s="197" t="s">
        <v>254</v>
      </c>
      <c r="B11" s="198"/>
      <c r="C11" s="206"/>
      <c r="Q11" s="38" t="str">
        <f>A11</f>
        <v>Risk Narrative - The risk narrative should be an executive level write up touching on the nature of the risk, the expected impact, the worst one in ten year impact, the risk drivers and the adequacy of the control suite.</v>
      </c>
    </row>
    <row r="12" spans="1:27" ht="132.75" customHeight="1" thickBot="1" x14ac:dyDescent="0.3">
      <c r="A12" s="190" t="s">
        <v>611</v>
      </c>
      <c r="B12" s="191"/>
      <c r="C12" s="209"/>
      <c r="Q12" s="38" t="str">
        <f>A12</f>
        <v>The risk as DCM Group sees it is that we have increased risk in not meeting requirements due to the manual nature of inputs.  Compliance does not have a proper control room, which leads to uncertainty when responding to FINRA questionnaires in connection with transactions and increased time consumption inputting information into the control room, including wall-crossing requests, which need to be coupled with emails.  In some cases we are asked to wall cross non-SIS employees, and Compliance has put the responsiblity of getting the needed approvals from the non-SIS employee's side.  For example, if we need to wall cross an SBNA employee, we need to track down that employee's manager (there are no organization charts or reporting line information) as well as that person's compliance for approval (Compliance functions should be global and SIS compliance should be able to reach out to compliance at the other entity).  In short, these systems and processes should be automated from a front office perspective.  [BILL, PLEASE REVIEW AND PROVIDE YOUR COMMENTS] Compliance agrees with the assessment by DCM. In the current environment of manual processing of deal information the potential impact for fines and restitution will increase as the business expands. Because the Firm has no past history of violations in this area the figures stated appear within reasonable expectations. With the SIS infrastructure project for an automated global control room slated for implementation in 2016 Compliance believes the potential to rise to a fine of $1-$5 M to be minimal and that this issue does not pose a material risk on its own at this point in time.</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topLeftCell="A7" zoomScaleNormal="100" workbookViewId="0">
      <selection activeCell="C6" sqref="C6"/>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t="str">
        <f>C2</f>
        <v>Operational</v>
      </c>
    </row>
    <row r="2" spans="1:27" ht="30.75" customHeight="1" thickBot="1" x14ac:dyDescent="0.3">
      <c r="A2" s="203" t="s">
        <v>255</v>
      </c>
      <c r="B2" s="194"/>
      <c r="C2" s="90" t="s">
        <v>31</v>
      </c>
      <c r="R2" s="42" t="str">
        <f t="shared" ref="R2:R7" si="0">A2</f>
        <v>Risk Type  - The Risk Type from the SHUSA ERM Risk Taxonomy</v>
      </c>
    </row>
    <row r="3" spans="1:27" ht="24" customHeight="1" thickBot="1" x14ac:dyDescent="0.3">
      <c r="A3" s="195" t="s">
        <v>251</v>
      </c>
      <c r="B3" s="145"/>
      <c r="C3" s="70" t="s">
        <v>38</v>
      </c>
      <c r="R3" s="42" t="str">
        <f t="shared" si="0"/>
        <v>Risk Sub Type  - The Risk Sub-Category from the SHUSA ERM Risk Taxonomy</v>
      </c>
    </row>
    <row r="4" spans="1:27" ht="31.5" customHeight="1" thickBot="1" x14ac:dyDescent="0.3">
      <c r="A4" s="195" t="s">
        <v>252</v>
      </c>
      <c r="B4" s="145"/>
      <c r="C4" s="73" t="s">
        <v>598</v>
      </c>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02" customHeight="1" thickBot="1" x14ac:dyDescent="0.3">
      <c r="A9" s="211" t="s">
        <v>599</v>
      </c>
      <c r="B9" s="212"/>
      <c r="C9" s="213"/>
      <c r="Q9" s="38" t="str">
        <f>A9</f>
        <v>1. Transactions cannot move forward without SIS involvement
2. The relevant product group in NY (DCM / ABS / LM) is in contact with the teams at the local affiliates during transactions
3. Local teams are apprised of procedures to be followed at SIS
4. Local teams participate in selected trainings (e.g., Due Diligence Presentations, etc.)
5. Underwriting Committee
6. Due Diligence Logs</v>
      </c>
    </row>
    <row r="10" spans="1:27" ht="132" customHeight="1" thickBot="1" x14ac:dyDescent="0.3">
      <c r="A10" s="41" t="s">
        <v>497</v>
      </c>
      <c r="B10" s="190" t="s">
        <v>600</v>
      </c>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105.75" customHeight="1" thickBot="1" x14ac:dyDescent="0.3">
      <c r="A12" s="190" t="s">
        <v>601</v>
      </c>
      <c r="B12" s="191"/>
      <c r="C12" s="192"/>
      <c r="Q12" s="38" t="str">
        <f>A12</f>
        <v>The Santander group is comprised of various standalone entities, many of which use SIS's products, including DCM.  Given the nature of the DCM business and the liabilities attached to the business, the reliance on other Santander entities for items such as due diligence, KYC processes, etc., leads to increased risk.  Additionally, as entities may not be familiar with rules and regulations in the U.S., the risk of potential breaches (e.g., chinese walls, control of material non-public information, etc.) is also increased.  With respect to due diligence, SIS can guide the local entities on requirements, however, it is difficult to "check" as SIS does not have in depth familiarity with the clients.  This same risk is inherent in the KYC process where SIS personnel are relying on the local affiliates to be truthful and accurate in the information provided.    
We believe that the feedback system and log requirements are sufficient mitigators to ensure that the local teams are engaged in the due diligence process.  As a result, we believe the risk of loss to be minimal in a given year, however, based on a worst case scenario, material dislosure omissions or undetected fraud could result in material liabilities.  An area where we see room for improvement would be for the Santander Group to have more accountability between entities for cross-border activities.  
With respect to impacts from regulatory issues, we do not have sufficient information to determine the potential impact.</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topLeftCell="A4"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Cells="0" formatColumns="0"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7:B7"/>
    <mergeCell ref="A2:B2"/>
    <mergeCell ref="A3:B3"/>
    <mergeCell ref="A4:B4"/>
    <mergeCell ref="A5:B5"/>
    <mergeCell ref="A6:B6"/>
    <mergeCell ref="A8:C8"/>
    <mergeCell ref="A9:C9"/>
    <mergeCell ref="B10:C10"/>
    <mergeCell ref="A11:C11"/>
    <mergeCell ref="A12:C12"/>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491</v>
      </c>
      <c r="B1" s="145"/>
      <c r="C1" s="73"/>
      <c r="Q1" s="81"/>
      <c r="R1" s="81"/>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497</v>
      </c>
      <c r="B10" s="190"/>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38">
        <f>A12</f>
        <v>0</v>
      </c>
    </row>
  </sheetData>
  <sheetProtection password="CDE2" sheet="1" objects="1" scenarios="1" formatRows="0"/>
  <mergeCells count="12">
    <mergeCell ref="A1:B1"/>
    <mergeCell ref="A8:C8"/>
    <mergeCell ref="A9:C9"/>
    <mergeCell ref="B10:C10"/>
    <mergeCell ref="A11:C11"/>
    <mergeCell ref="A12:C12"/>
    <mergeCell ref="A7:B7"/>
    <mergeCell ref="A2:B2"/>
    <mergeCell ref="A3:B3"/>
    <mergeCell ref="A4:B4"/>
    <mergeCell ref="A5:B5"/>
    <mergeCell ref="A6:B6"/>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491</v>
      </c>
      <c r="B1" s="145"/>
      <c r="C1" s="73"/>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496</v>
      </c>
      <c r="B10" s="190"/>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491</v>
      </c>
      <c r="B1" s="145"/>
      <c r="C1" s="73"/>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496</v>
      </c>
      <c r="B10" s="190"/>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491</v>
      </c>
      <c r="B1" s="145"/>
      <c r="C1" s="73"/>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496</v>
      </c>
      <c r="B10" s="190"/>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491</v>
      </c>
      <c r="B1" s="145"/>
      <c r="C1" s="73"/>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496</v>
      </c>
      <c r="B10" s="190"/>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491</v>
      </c>
      <c r="B1" s="145"/>
      <c r="C1" s="73"/>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496</v>
      </c>
      <c r="B10" s="190"/>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491</v>
      </c>
      <c r="B1" s="145"/>
      <c r="C1" s="73"/>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496</v>
      </c>
      <c r="B10" s="190"/>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491</v>
      </c>
      <c r="B1" s="145"/>
      <c r="C1" s="73"/>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496</v>
      </c>
      <c r="B10" s="190"/>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491</v>
      </c>
      <c r="B1" s="145"/>
      <c r="C1" s="73"/>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496</v>
      </c>
      <c r="B10" s="190"/>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491</v>
      </c>
      <c r="B1" s="145"/>
      <c r="C1" s="73"/>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496</v>
      </c>
      <c r="B10" s="190"/>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197" t="s">
        <v>491</v>
      </c>
      <c r="B1" s="145"/>
      <c r="C1" s="73"/>
      <c r="AA1" s="39">
        <f>C2</f>
        <v>0</v>
      </c>
    </row>
    <row r="2" spans="1:27" ht="30.75" customHeight="1" thickBot="1" x14ac:dyDescent="0.3">
      <c r="A2" s="203" t="s">
        <v>255</v>
      </c>
      <c r="B2" s="194"/>
      <c r="C2" s="90"/>
      <c r="R2" s="42" t="str">
        <f t="shared" ref="R2:R7" si="0">A2</f>
        <v>Risk Type  - The Risk Type from the SHUSA ERM Risk Taxonomy</v>
      </c>
    </row>
    <row r="3" spans="1:27" ht="24" customHeight="1" thickBot="1" x14ac:dyDescent="0.3">
      <c r="A3" s="195" t="s">
        <v>251</v>
      </c>
      <c r="B3" s="145"/>
      <c r="C3" s="70"/>
      <c r="R3" s="42" t="str">
        <f t="shared" si="0"/>
        <v>Risk Sub Type  - The Risk Sub-Category from the SHUSA ERM Risk Taxonomy</v>
      </c>
    </row>
    <row r="4" spans="1:27" ht="31.5" customHeight="1" thickBot="1" x14ac:dyDescent="0.3">
      <c r="A4" s="195" t="s">
        <v>252</v>
      </c>
      <c r="B4" s="145"/>
      <c r="C4" s="73"/>
      <c r="R4" s="42" t="str">
        <f t="shared" si="0"/>
        <v>Risk Name - The name of the risk which helps define it and differentiate it from other risks in other Business Lines with a similar Risk Category</v>
      </c>
    </row>
    <row r="5" spans="1:27" ht="39" customHeight="1" thickBot="1" x14ac:dyDescent="0.3">
      <c r="A5" s="195" t="s">
        <v>534</v>
      </c>
      <c r="B5" s="145"/>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95" t="s">
        <v>537</v>
      </c>
      <c r="B6" s="145"/>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3" t="s">
        <v>536</v>
      </c>
      <c r="B7" s="194"/>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496</v>
      </c>
      <c r="B10" s="190"/>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0"/>
      <c r="B12" s="191"/>
      <c r="C12" s="192"/>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A14" sqref="A14:D40"/>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22" t="s">
        <v>341</v>
      </c>
      <c r="B1" s="223"/>
      <c r="C1" s="223"/>
    </row>
    <row r="2" spans="1:3" ht="15.75" thickBot="1" x14ac:dyDescent="0.3">
      <c r="A2" s="74" t="s">
        <v>226</v>
      </c>
      <c r="B2" s="75" t="s">
        <v>318</v>
      </c>
      <c r="C2" s="75" t="s">
        <v>319</v>
      </c>
    </row>
    <row r="3" spans="1:3" ht="15.75" thickBot="1" x14ac:dyDescent="0.3">
      <c r="A3" s="214" t="s">
        <v>146</v>
      </c>
      <c r="B3" s="214" t="s">
        <v>320</v>
      </c>
      <c r="C3" s="54" t="s">
        <v>321</v>
      </c>
    </row>
    <row r="4" spans="1:3" ht="15.75" thickBot="1" x14ac:dyDescent="0.3">
      <c r="A4" s="215"/>
      <c r="B4" s="215"/>
      <c r="C4" s="54" t="s">
        <v>322</v>
      </c>
    </row>
    <row r="5" spans="1:3" ht="15.75" thickBot="1" x14ac:dyDescent="0.3">
      <c r="A5" s="215"/>
      <c r="B5" s="215"/>
      <c r="C5" s="54" t="s">
        <v>323</v>
      </c>
    </row>
    <row r="6" spans="1:3" ht="15.75" thickBot="1" x14ac:dyDescent="0.3">
      <c r="A6" s="215"/>
      <c r="B6" s="215"/>
      <c r="C6" s="54" t="s">
        <v>324</v>
      </c>
    </row>
    <row r="7" spans="1:3" ht="15.75" thickBot="1" x14ac:dyDescent="0.3">
      <c r="A7" s="215"/>
      <c r="B7" s="215"/>
      <c r="C7" s="54" t="s">
        <v>325</v>
      </c>
    </row>
    <row r="8" spans="1:3" ht="15.75" thickBot="1" x14ac:dyDescent="0.3">
      <c r="A8" s="216"/>
      <c r="B8" s="216"/>
      <c r="C8" s="54" t="s">
        <v>326</v>
      </c>
    </row>
    <row r="9" spans="1:3" ht="15.75" thickBot="1" x14ac:dyDescent="0.3">
      <c r="A9" s="214" t="s">
        <v>23</v>
      </c>
      <c r="B9" s="214" t="s">
        <v>327</v>
      </c>
      <c r="C9" s="54" t="s">
        <v>328</v>
      </c>
    </row>
    <row r="10" spans="1:3" ht="15.75" thickBot="1" x14ac:dyDescent="0.3">
      <c r="A10" s="215"/>
      <c r="B10" s="215"/>
      <c r="C10" s="54" t="s">
        <v>329</v>
      </c>
    </row>
    <row r="11" spans="1:3" ht="15.75" thickBot="1" x14ac:dyDescent="0.3">
      <c r="A11" s="215"/>
      <c r="B11" s="215"/>
      <c r="C11" s="54" t="s">
        <v>330</v>
      </c>
    </row>
    <row r="12" spans="1:3" ht="15.75" thickBot="1" x14ac:dyDescent="0.3">
      <c r="A12" s="216"/>
      <c r="B12" s="216"/>
      <c r="C12" s="54" t="s">
        <v>331</v>
      </c>
    </row>
    <row r="13" spans="1:3" ht="30.75" thickBot="1" x14ac:dyDescent="0.3">
      <c r="A13" s="46" t="s">
        <v>213</v>
      </c>
      <c r="B13" s="54" t="s">
        <v>213</v>
      </c>
      <c r="C13" s="54" t="s">
        <v>213</v>
      </c>
    </row>
    <row r="14" spans="1:3" ht="15.75" thickBot="1" x14ac:dyDescent="0.3">
      <c r="A14" s="214" t="s">
        <v>10</v>
      </c>
      <c r="B14" s="214" t="s">
        <v>342</v>
      </c>
      <c r="C14" s="54" t="s">
        <v>332</v>
      </c>
    </row>
    <row r="15" spans="1:3" ht="15.75" thickBot="1" x14ac:dyDescent="0.3">
      <c r="A15" s="215"/>
      <c r="B15" s="215"/>
      <c r="C15" s="54" t="s">
        <v>333</v>
      </c>
    </row>
    <row r="16" spans="1:3" ht="15.75" thickBot="1" x14ac:dyDescent="0.3">
      <c r="A16" s="215"/>
      <c r="B16" s="215"/>
      <c r="C16" s="54" t="s">
        <v>334</v>
      </c>
    </row>
    <row r="17" spans="1:3" ht="15.75" thickBot="1" x14ac:dyDescent="0.3">
      <c r="A17" s="216"/>
      <c r="B17" s="216"/>
      <c r="C17" s="54" t="s">
        <v>335</v>
      </c>
    </row>
    <row r="18" spans="1:3" ht="15.75" thickBot="1" x14ac:dyDescent="0.3">
      <c r="A18" s="214" t="s">
        <v>22</v>
      </c>
      <c r="B18" s="214" t="s">
        <v>336</v>
      </c>
      <c r="C18" s="54" t="s">
        <v>337</v>
      </c>
    </row>
    <row r="19" spans="1:3" ht="15.75" thickBot="1" x14ac:dyDescent="0.3">
      <c r="A19" s="215"/>
      <c r="B19" s="215"/>
      <c r="C19" s="54" t="s">
        <v>338</v>
      </c>
    </row>
    <row r="20" spans="1:3" ht="15.75" thickBot="1" x14ac:dyDescent="0.3">
      <c r="A20" s="215"/>
      <c r="B20" s="215"/>
      <c r="C20" s="54" t="s">
        <v>339</v>
      </c>
    </row>
    <row r="21" spans="1:3" ht="15.75" thickBot="1" x14ac:dyDescent="0.3">
      <c r="A21" s="216"/>
      <c r="B21" s="216"/>
      <c r="C21" s="54" t="s">
        <v>343</v>
      </c>
    </row>
    <row r="22" spans="1:3" ht="15.75" thickBot="1" x14ac:dyDescent="0.3">
      <c r="A22" s="46" t="s">
        <v>222</v>
      </c>
      <c r="B22" s="54" t="s">
        <v>340</v>
      </c>
      <c r="C22" s="54" t="s">
        <v>222</v>
      </c>
    </row>
    <row r="23" spans="1:3" x14ac:dyDescent="0.25">
      <c r="A23" s="80"/>
      <c r="B23" s="80"/>
      <c r="C23" s="80"/>
    </row>
    <row r="24" spans="1:3" ht="45.75" customHeight="1" x14ac:dyDescent="0.25">
      <c r="A24" s="220" t="s">
        <v>344</v>
      </c>
      <c r="B24" s="221"/>
      <c r="C24" s="221"/>
    </row>
    <row r="25" spans="1:3" ht="16.5" thickBot="1" x14ac:dyDescent="0.3">
      <c r="A25" s="77"/>
      <c r="B25"/>
      <c r="C25"/>
    </row>
    <row r="26" spans="1:3" ht="15.75" thickBot="1" x14ac:dyDescent="0.3">
      <c r="A26" s="74" t="s">
        <v>226</v>
      </c>
      <c r="B26" s="75" t="s">
        <v>318</v>
      </c>
      <c r="C26" s="75" t="s">
        <v>319</v>
      </c>
    </row>
    <row r="27" spans="1:3" ht="15.75" thickBot="1" x14ac:dyDescent="0.3">
      <c r="A27" s="214" t="s">
        <v>145</v>
      </c>
      <c r="B27" s="214" t="s">
        <v>345</v>
      </c>
      <c r="C27" s="54" t="s">
        <v>346</v>
      </c>
    </row>
    <row r="28" spans="1:3" ht="15.75" thickBot="1" x14ac:dyDescent="0.3">
      <c r="A28" s="215"/>
      <c r="B28" s="215"/>
      <c r="C28" s="54" t="s">
        <v>347</v>
      </c>
    </row>
    <row r="29" spans="1:3" ht="15.75" thickBot="1" x14ac:dyDescent="0.3">
      <c r="A29" s="215"/>
      <c r="B29" s="215"/>
      <c r="C29" s="54" t="s">
        <v>348</v>
      </c>
    </row>
    <row r="30" spans="1:3" ht="15.75" thickBot="1" x14ac:dyDescent="0.3">
      <c r="A30" s="215"/>
      <c r="B30" s="215"/>
      <c r="C30" s="54" t="s">
        <v>28</v>
      </c>
    </row>
    <row r="31" spans="1:3" ht="15.75" thickBot="1" x14ac:dyDescent="0.3">
      <c r="A31" s="215"/>
      <c r="B31" s="215"/>
      <c r="C31" s="54" t="s">
        <v>26</v>
      </c>
    </row>
    <row r="32" spans="1:3" ht="15.75" thickBot="1" x14ac:dyDescent="0.3">
      <c r="A32" s="216"/>
      <c r="B32" s="216"/>
      <c r="C32" s="54" t="s">
        <v>349</v>
      </c>
    </row>
    <row r="33" spans="1:3" ht="15.75" x14ac:dyDescent="0.25">
      <c r="A33" s="77"/>
      <c r="B33"/>
      <c r="C33"/>
    </row>
    <row r="34" spans="1:3" ht="42" customHeight="1" x14ac:dyDescent="0.25">
      <c r="A34" s="220" t="s">
        <v>350</v>
      </c>
      <c r="B34" s="221"/>
      <c r="C34" s="221"/>
    </row>
    <row r="35" spans="1:3" ht="15.75" thickBot="1" x14ac:dyDescent="0.3">
      <c r="A35" s="44"/>
      <c r="B35"/>
      <c r="C35"/>
    </row>
    <row r="36" spans="1:3" ht="15.75" thickBot="1" x14ac:dyDescent="0.3">
      <c r="A36" s="74" t="s">
        <v>226</v>
      </c>
      <c r="B36" s="75" t="s">
        <v>318</v>
      </c>
      <c r="C36" s="75" t="s">
        <v>319</v>
      </c>
    </row>
    <row r="37" spans="1:3" ht="30.75" thickBot="1" x14ac:dyDescent="0.3">
      <c r="A37" s="46" t="s">
        <v>53</v>
      </c>
      <c r="B37" s="54" t="s">
        <v>351</v>
      </c>
      <c r="C37" s="54" t="s">
        <v>53</v>
      </c>
    </row>
    <row r="38" spans="1:3" ht="75" x14ac:dyDescent="0.25">
      <c r="A38" s="214" t="s">
        <v>64</v>
      </c>
      <c r="B38" s="76" t="s">
        <v>352</v>
      </c>
      <c r="C38" s="214" t="s">
        <v>64</v>
      </c>
    </row>
    <row r="39" spans="1:3" ht="30" x14ac:dyDescent="0.25">
      <c r="A39" s="215"/>
      <c r="B39" s="76" t="s">
        <v>353</v>
      </c>
      <c r="C39" s="215"/>
    </row>
    <row r="40" spans="1:3" ht="30" x14ac:dyDescent="0.25">
      <c r="A40" s="215"/>
      <c r="B40" s="76" t="s">
        <v>354</v>
      </c>
      <c r="C40" s="215"/>
    </row>
    <row r="41" spans="1:3" x14ac:dyDescent="0.25">
      <c r="A41" s="215"/>
      <c r="B41" s="76" t="s">
        <v>355</v>
      </c>
      <c r="C41" s="215"/>
    </row>
    <row r="42" spans="1:3" ht="15.75" thickBot="1" x14ac:dyDescent="0.3">
      <c r="A42" s="216"/>
      <c r="B42" s="54" t="s">
        <v>356</v>
      </c>
      <c r="C42" s="216"/>
    </row>
    <row r="43" spans="1:3" ht="135.75" thickBot="1" x14ac:dyDescent="0.3">
      <c r="A43" s="46" t="s">
        <v>56</v>
      </c>
      <c r="B43" s="54" t="s">
        <v>357</v>
      </c>
      <c r="C43" s="54" t="s">
        <v>56</v>
      </c>
    </row>
    <row r="44" spans="1:3" ht="75.75" thickBot="1" x14ac:dyDescent="0.3">
      <c r="A44" s="46" t="s">
        <v>138</v>
      </c>
      <c r="B44" s="54" t="s">
        <v>358</v>
      </c>
      <c r="C44" s="54" t="s">
        <v>138</v>
      </c>
    </row>
    <row r="45" spans="1:3" ht="15.75" thickBot="1" x14ac:dyDescent="0.3">
      <c r="A45" s="214" t="s">
        <v>57</v>
      </c>
      <c r="B45" s="214" t="s">
        <v>359</v>
      </c>
      <c r="C45" s="54" t="s">
        <v>360</v>
      </c>
    </row>
    <row r="46" spans="1:3" ht="15.75" thickBot="1" x14ac:dyDescent="0.3">
      <c r="A46" s="215"/>
      <c r="B46" s="215"/>
      <c r="C46" s="54" t="s">
        <v>333</v>
      </c>
    </row>
    <row r="47" spans="1:3" ht="15.75" thickBot="1" x14ac:dyDescent="0.3">
      <c r="A47" s="215"/>
      <c r="B47" s="215"/>
      <c r="C47" s="54" t="s">
        <v>328</v>
      </c>
    </row>
    <row r="48" spans="1:3" ht="15.75" thickBot="1" x14ac:dyDescent="0.3">
      <c r="A48" s="215"/>
      <c r="B48" s="215"/>
      <c r="C48" s="54" t="s">
        <v>361</v>
      </c>
    </row>
    <row r="49" spans="1:3" ht="15.75" thickBot="1" x14ac:dyDescent="0.3">
      <c r="A49" s="216"/>
      <c r="B49" s="216"/>
      <c r="C49" s="54" t="s">
        <v>362</v>
      </c>
    </row>
    <row r="50" spans="1:3" ht="60.75" thickBot="1" x14ac:dyDescent="0.3">
      <c r="A50" s="46" t="s">
        <v>55</v>
      </c>
      <c r="B50" s="54" t="s">
        <v>363</v>
      </c>
      <c r="C50" s="54" t="s">
        <v>55</v>
      </c>
    </row>
    <row r="51" spans="1:3" ht="30" x14ac:dyDescent="0.25">
      <c r="A51" s="214" t="s">
        <v>52</v>
      </c>
      <c r="B51" s="76" t="s">
        <v>364</v>
      </c>
      <c r="C51" s="214" t="s">
        <v>52</v>
      </c>
    </row>
    <row r="52" spans="1:3" ht="45.75" thickBot="1" x14ac:dyDescent="0.3">
      <c r="A52" s="216"/>
      <c r="B52" s="54" t="s">
        <v>365</v>
      </c>
      <c r="C52" s="216"/>
    </row>
    <row r="53" spans="1:3" ht="45.75" thickBot="1" x14ac:dyDescent="0.3">
      <c r="A53" s="46" t="s">
        <v>18</v>
      </c>
      <c r="B53" s="54" t="s">
        <v>366</v>
      </c>
      <c r="C53" s="54" t="s">
        <v>18</v>
      </c>
    </row>
    <row r="54" spans="1:3" ht="30.75" thickBot="1" x14ac:dyDescent="0.3">
      <c r="A54" s="46" t="s">
        <v>144</v>
      </c>
      <c r="B54" s="54" t="s">
        <v>367</v>
      </c>
      <c r="C54" s="54" t="s">
        <v>368</v>
      </c>
    </row>
    <row r="55" spans="1:3" ht="15.75" x14ac:dyDescent="0.25">
      <c r="A55" s="77"/>
      <c r="B55"/>
      <c r="C55"/>
    </row>
    <row r="56" spans="1:3" ht="39" customHeight="1" x14ac:dyDescent="0.25">
      <c r="A56" s="220" t="s">
        <v>369</v>
      </c>
      <c r="B56" s="221"/>
      <c r="C56" s="221"/>
    </row>
    <row r="57" spans="1:3" ht="16.5" thickBot="1" x14ac:dyDescent="0.3">
      <c r="A57" s="77"/>
      <c r="B57"/>
      <c r="C57"/>
    </row>
    <row r="58" spans="1:3" ht="15.75" thickBot="1" x14ac:dyDescent="0.3">
      <c r="A58" s="74" t="s">
        <v>226</v>
      </c>
      <c r="B58" s="75" t="s">
        <v>318</v>
      </c>
      <c r="C58" s="75" t="s">
        <v>319</v>
      </c>
    </row>
    <row r="59" spans="1:3" ht="15.75" thickBot="1" x14ac:dyDescent="0.3">
      <c r="A59" s="46" t="s">
        <v>158</v>
      </c>
      <c r="B59" s="54" t="s">
        <v>370</v>
      </c>
      <c r="C59" s="54" t="s">
        <v>371</v>
      </c>
    </row>
    <row r="60" spans="1:3" ht="30" x14ac:dyDescent="0.25">
      <c r="A60" s="214" t="s">
        <v>45</v>
      </c>
      <c r="B60" s="76" t="s">
        <v>372</v>
      </c>
      <c r="C60" s="214" t="s">
        <v>379</v>
      </c>
    </row>
    <row r="61" spans="1:3" x14ac:dyDescent="0.25">
      <c r="A61" s="215"/>
      <c r="B61" s="76" t="s">
        <v>373</v>
      </c>
      <c r="C61" s="215"/>
    </row>
    <row r="62" spans="1:3" x14ac:dyDescent="0.25">
      <c r="A62" s="215"/>
      <c r="B62" s="76" t="s">
        <v>374</v>
      </c>
      <c r="C62" s="215"/>
    </row>
    <row r="63" spans="1:3" ht="15.75" thickBot="1" x14ac:dyDescent="0.3">
      <c r="A63" s="215"/>
      <c r="B63" s="76" t="s">
        <v>375</v>
      </c>
      <c r="C63" s="216"/>
    </row>
    <row r="64" spans="1:3" ht="15.75" thickBot="1" x14ac:dyDescent="0.3">
      <c r="A64" s="215"/>
      <c r="B64" s="76" t="s">
        <v>376</v>
      </c>
      <c r="C64" s="54" t="s">
        <v>380</v>
      </c>
    </row>
    <row r="65" spans="1:3" ht="30.75" thickBot="1" x14ac:dyDescent="0.3">
      <c r="A65" s="215"/>
      <c r="B65" s="76" t="s">
        <v>377</v>
      </c>
      <c r="C65" s="54" t="s">
        <v>381</v>
      </c>
    </row>
    <row r="66" spans="1:3" ht="75.75" thickBot="1" x14ac:dyDescent="0.3">
      <c r="A66" s="216"/>
      <c r="B66" s="54" t="s">
        <v>378</v>
      </c>
      <c r="C66" s="54" t="s">
        <v>382</v>
      </c>
    </row>
    <row r="67" spans="1:3" ht="90.75" thickBot="1" x14ac:dyDescent="0.3">
      <c r="A67" s="46" t="s">
        <v>48</v>
      </c>
      <c r="B67" s="54" t="s">
        <v>383</v>
      </c>
      <c r="C67" s="54" t="s">
        <v>48</v>
      </c>
    </row>
    <row r="68" spans="1:3" ht="30.75" thickBot="1" x14ac:dyDescent="0.3">
      <c r="A68" s="46" t="s">
        <v>163</v>
      </c>
      <c r="B68" s="54" t="s">
        <v>384</v>
      </c>
      <c r="C68" s="54" t="s">
        <v>163</v>
      </c>
    </row>
    <row r="69" spans="1:3" ht="15.75" thickBot="1" x14ac:dyDescent="0.3">
      <c r="A69" s="214" t="s">
        <v>46</v>
      </c>
      <c r="B69" s="76" t="s">
        <v>385</v>
      </c>
      <c r="C69" s="54" t="s">
        <v>387</v>
      </c>
    </row>
    <row r="70" spans="1:3" ht="90.75" thickBot="1" x14ac:dyDescent="0.3">
      <c r="A70" s="216"/>
      <c r="B70" s="54" t="s">
        <v>386</v>
      </c>
      <c r="C70" s="54" t="s">
        <v>388</v>
      </c>
    </row>
    <row r="71" spans="1:3" ht="15.75" x14ac:dyDescent="0.25">
      <c r="A71" s="77"/>
      <c r="B71"/>
      <c r="C71"/>
    </row>
    <row r="72" spans="1:3" ht="53.25" customHeight="1" x14ac:dyDescent="0.25">
      <c r="A72" s="220" t="s">
        <v>389</v>
      </c>
      <c r="B72" s="221"/>
      <c r="C72" s="221"/>
    </row>
    <row r="73" spans="1:3" ht="16.5" thickBot="1" x14ac:dyDescent="0.3">
      <c r="A73" s="77"/>
      <c r="B73"/>
      <c r="C73"/>
    </row>
    <row r="74" spans="1:3" ht="15.75" thickBot="1" x14ac:dyDescent="0.3">
      <c r="A74" s="74" t="s">
        <v>226</v>
      </c>
      <c r="B74" s="78" t="s">
        <v>318</v>
      </c>
      <c r="C74" s="75" t="s">
        <v>319</v>
      </c>
    </row>
    <row r="75" spans="1:3" ht="15.75" thickBot="1" x14ac:dyDescent="0.3">
      <c r="A75" s="214" t="s">
        <v>49</v>
      </c>
      <c r="B75" s="217" t="s">
        <v>390</v>
      </c>
      <c r="C75" s="54" t="s">
        <v>391</v>
      </c>
    </row>
    <row r="76" spans="1:3" ht="15.75" thickBot="1" x14ac:dyDescent="0.3">
      <c r="A76" s="215"/>
      <c r="B76" s="218"/>
      <c r="C76" s="54" t="s">
        <v>392</v>
      </c>
    </row>
    <row r="77" spans="1:3" ht="15.75" thickBot="1" x14ac:dyDescent="0.3">
      <c r="A77" s="215"/>
      <c r="B77" s="218"/>
      <c r="C77" s="54" t="s">
        <v>10</v>
      </c>
    </row>
    <row r="78" spans="1:3" ht="15.75" thickBot="1" x14ac:dyDescent="0.3">
      <c r="A78" s="216"/>
      <c r="B78" s="219"/>
      <c r="C78" s="54" t="s">
        <v>393</v>
      </c>
    </row>
    <row r="79" spans="1:3" ht="15.75" thickBot="1" x14ac:dyDescent="0.3">
      <c r="A79" s="214" t="s">
        <v>50</v>
      </c>
      <c r="B79" s="217" t="s">
        <v>394</v>
      </c>
      <c r="C79" s="54" t="s">
        <v>395</v>
      </c>
    </row>
    <row r="80" spans="1:3" ht="15.75" thickBot="1" x14ac:dyDescent="0.3">
      <c r="A80" s="215"/>
      <c r="B80" s="218"/>
      <c r="C80" s="54" t="s">
        <v>396</v>
      </c>
    </row>
    <row r="81" spans="1:3" ht="15.75" thickBot="1" x14ac:dyDescent="0.3">
      <c r="A81" s="216"/>
      <c r="B81" s="219"/>
      <c r="C81" s="54" t="s">
        <v>324</v>
      </c>
    </row>
    <row r="82" spans="1:3" ht="15.75" thickBot="1" x14ac:dyDescent="0.3">
      <c r="A82" s="214" t="s">
        <v>16</v>
      </c>
      <c r="B82" s="217" t="s">
        <v>397</v>
      </c>
      <c r="C82" s="54" t="s">
        <v>398</v>
      </c>
    </row>
    <row r="83" spans="1:3" ht="15.75" thickBot="1" x14ac:dyDescent="0.3">
      <c r="A83" s="215"/>
      <c r="B83" s="218"/>
      <c r="C83" s="54" t="s">
        <v>399</v>
      </c>
    </row>
    <row r="84" spans="1:3" ht="15.75" thickBot="1" x14ac:dyDescent="0.3">
      <c r="A84" s="215"/>
      <c r="B84" s="218"/>
      <c r="C84" s="54" t="s">
        <v>400</v>
      </c>
    </row>
    <row r="85" spans="1:3" ht="15.75" thickBot="1" x14ac:dyDescent="0.3">
      <c r="A85" s="216"/>
      <c r="B85" s="219"/>
      <c r="C85" s="54" t="s">
        <v>401</v>
      </c>
    </row>
    <row r="86" spans="1:3" ht="15.75" x14ac:dyDescent="0.25">
      <c r="A86" s="77"/>
      <c r="B86"/>
      <c r="C86"/>
    </row>
    <row r="87" spans="1:3" ht="22.5" customHeight="1" x14ac:dyDescent="0.25">
      <c r="A87" s="220" t="s">
        <v>402</v>
      </c>
      <c r="B87" s="221"/>
      <c r="C87" s="221"/>
    </row>
    <row r="88" spans="1:3" ht="16.5" thickBot="1" x14ac:dyDescent="0.3">
      <c r="A88" s="77"/>
      <c r="B88"/>
      <c r="C88"/>
    </row>
    <row r="89" spans="1:3" ht="15.75" thickBot="1" x14ac:dyDescent="0.3">
      <c r="A89" s="74" t="s">
        <v>226</v>
      </c>
      <c r="B89" s="75" t="s">
        <v>318</v>
      </c>
      <c r="C89" s="75" t="s">
        <v>319</v>
      </c>
    </row>
    <row r="90" spans="1:3" ht="30.75" thickBot="1" x14ac:dyDescent="0.3">
      <c r="A90" s="214" t="s">
        <v>30</v>
      </c>
      <c r="B90" s="214" t="s">
        <v>403</v>
      </c>
      <c r="C90" s="54" t="s">
        <v>404</v>
      </c>
    </row>
    <row r="91" spans="1:3" ht="15.75" thickBot="1" x14ac:dyDescent="0.3">
      <c r="A91" s="215"/>
      <c r="B91" s="215"/>
      <c r="C91" s="54" t="s">
        <v>405</v>
      </c>
    </row>
    <row r="92" spans="1:3" ht="15.75" thickBot="1" x14ac:dyDescent="0.3">
      <c r="A92" s="215"/>
      <c r="B92" s="215"/>
      <c r="C92" s="54" t="s">
        <v>406</v>
      </c>
    </row>
    <row r="93" spans="1:3" ht="15.75" thickBot="1" x14ac:dyDescent="0.3">
      <c r="A93" s="215"/>
      <c r="B93" s="215"/>
      <c r="C93" s="54" t="s">
        <v>407</v>
      </c>
    </row>
    <row r="94" spans="1:3" ht="15.75" thickBot="1" x14ac:dyDescent="0.3">
      <c r="A94" s="216"/>
      <c r="B94" s="216"/>
      <c r="C94" s="54" t="s">
        <v>408</v>
      </c>
    </row>
    <row r="95" spans="1:3" ht="15.75" thickBot="1" x14ac:dyDescent="0.3">
      <c r="A95" s="214" t="s">
        <v>32</v>
      </c>
      <c r="B95" s="214" t="s">
        <v>409</v>
      </c>
      <c r="C95" s="54" t="s">
        <v>410</v>
      </c>
    </row>
    <row r="96" spans="1:3" ht="15.75" thickBot="1" x14ac:dyDescent="0.3">
      <c r="A96" s="215"/>
      <c r="B96" s="215"/>
      <c r="C96" s="54" t="s">
        <v>411</v>
      </c>
    </row>
    <row r="97" spans="1:3" ht="15.75" thickBot="1" x14ac:dyDescent="0.3">
      <c r="A97" s="215"/>
      <c r="B97" s="215"/>
      <c r="C97" s="79" t="s">
        <v>412</v>
      </c>
    </row>
    <row r="98" spans="1:3" ht="15.75" thickBot="1" x14ac:dyDescent="0.3">
      <c r="A98" s="216"/>
      <c r="B98" s="216"/>
      <c r="C98" s="54" t="s">
        <v>413</v>
      </c>
    </row>
    <row r="99" spans="1:3" ht="15.75" thickBot="1" x14ac:dyDescent="0.3">
      <c r="A99" s="214" t="s">
        <v>34</v>
      </c>
      <c r="B99" s="214" t="s">
        <v>414</v>
      </c>
      <c r="C99" s="54" t="s">
        <v>415</v>
      </c>
    </row>
    <row r="100" spans="1:3" ht="27" customHeight="1" thickBot="1" x14ac:dyDescent="0.3">
      <c r="A100" s="215"/>
      <c r="B100" s="215"/>
      <c r="C100" s="54" t="s">
        <v>416</v>
      </c>
    </row>
    <row r="101" spans="1:3" ht="40.5" customHeight="1" thickBot="1" x14ac:dyDescent="0.3">
      <c r="A101" s="216"/>
      <c r="B101" s="216"/>
      <c r="C101" s="54" t="s">
        <v>417</v>
      </c>
    </row>
    <row r="102" spans="1:3" ht="45.75" thickBot="1" x14ac:dyDescent="0.3">
      <c r="A102" s="214" t="s">
        <v>38</v>
      </c>
      <c r="B102" s="214" t="s">
        <v>418</v>
      </c>
      <c r="C102" s="54" t="s">
        <v>419</v>
      </c>
    </row>
    <row r="103" spans="1:3" ht="15.75" thickBot="1" x14ac:dyDescent="0.3">
      <c r="A103" s="215"/>
      <c r="B103" s="215"/>
      <c r="C103" s="54" t="s">
        <v>420</v>
      </c>
    </row>
    <row r="104" spans="1:3" ht="30.75" thickBot="1" x14ac:dyDescent="0.3">
      <c r="A104" s="215"/>
      <c r="B104" s="215"/>
      <c r="C104" s="54" t="s">
        <v>421</v>
      </c>
    </row>
    <row r="105" spans="1:3" ht="15.75" thickBot="1" x14ac:dyDescent="0.3">
      <c r="A105" s="215"/>
      <c r="B105" s="215"/>
      <c r="C105" s="54" t="s">
        <v>422</v>
      </c>
    </row>
    <row r="106" spans="1:3" ht="15.75" thickBot="1" x14ac:dyDescent="0.3">
      <c r="A106" s="215"/>
      <c r="B106" s="215"/>
      <c r="C106" s="54" t="s">
        <v>423</v>
      </c>
    </row>
    <row r="107" spans="1:3" ht="15.75" thickBot="1" x14ac:dyDescent="0.3">
      <c r="A107" s="215"/>
      <c r="B107" s="215"/>
      <c r="C107" s="54" t="s">
        <v>424</v>
      </c>
    </row>
    <row r="108" spans="1:3" ht="15.75" thickBot="1" x14ac:dyDescent="0.3">
      <c r="A108" s="215"/>
      <c r="B108" s="215"/>
      <c r="C108" s="54" t="s">
        <v>425</v>
      </c>
    </row>
    <row r="109" spans="1:3" ht="30.75" thickBot="1" x14ac:dyDescent="0.3">
      <c r="A109" s="216"/>
      <c r="B109" s="216"/>
      <c r="C109" s="54" t="s">
        <v>426</v>
      </c>
    </row>
    <row r="110" spans="1:3" ht="15.75" thickBot="1" x14ac:dyDescent="0.3">
      <c r="A110" s="214" t="s">
        <v>37</v>
      </c>
      <c r="B110" s="214" t="s">
        <v>427</v>
      </c>
      <c r="C110" s="54" t="s">
        <v>428</v>
      </c>
    </row>
    <row r="111" spans="1:3" ht="15.75" thickBot="1" x14ac:dyDescent="0.3">
      <c r="A111" s="215"/>
      <c r="B111" s="215"/>
      <c r="C111" s="54" t="s">
        <v>429</v>
      </c>
    </row>
    <row r="112" spans="1:3" ht="15.75" thickBot="1" x14ac:dyDescent="0.3">
      <c r="A112" s="216"/>
      <c r="B112" s="216"/>
      <c r="C112" s="54" t="s">
        <v>430</v>
      </c>
    </row>
    <row r="113" spans="1:3" ht="15.75" thickBot="1" x14ac:dyDescent="0.3">
      <c r="A113" s="214" t="s">
        <v>39</v>
      </c>
      <c r="B113" s="214" t="s">
        <v>431</v>
      </c>
      <c r="C113" s="54" t="s">
        <v>432</v>
      </c>
    </row>
    <row r="114" spans="1:3" ht="15.75" thickBot="1" x14ac:dyDescent="0.3">
      <c r="A114" s="215"/>
      <c r="B114" s="215"/>
      <c r="C114" s="54" t="s">
        <v>433</v>
      </c>
    </row>
    <row r="115" spans="1:3" ht="15.75" thickBot="1" x14ac:dyDescent="0.3">
      <c r="A115" s="215"/>
      <c r="B115" s="215"/>
      <c r="C115" s="54" t="s">
        <v>434</v>
      </c>
    </row>
    <row r="116" spans="1:3" ht="15.75" thickBot="1" x14ac:dyDescent="0.3">
      <c r="A116" s="216"/>
      <c r="B116" s="216"/>
      <c r="C116" s="54" t="s">
        <v>435</v>
      </c>
    </row>
    <row r="117" spans="1:3" ht="15.75" thickBot="1" x14ac:dyDescent="0.3">
      <c r="A117" s="214" t="s">
        <v>33</v>
      </c>
      <c r="B117" s="214" t="s">
        <v>436</v>
      </c>
      <c r="C117" s="54" t="s">
        <v>437</v>
      </c>
    </row>
    <row r="118" spans="1:3" ht="15.75" thickBot="1" x14ac:dyDescent="0.3">
      <c r="A118" s="215"/>
      <c r="B118" s="215"/>
      <c r="C118" s="54" t="s">
        <v>438</v>
      </c>
    </row>
    <row r="119" spans="1:3" ht="15.75" thickBot="1" x14ac:dyDescent="0.3">
      <c r="A119" s="215"/>
      <c r="B119" s="215"/>
      <c r="C119" s="54" t="s">
        <v>439</v>
      </c>
    </row>
    <row r="120" spans="1:3" ht="15.75" thickBot="1" x14ac:dyDescent="0.3">
      <c r="A120" s="215"/>
      <c r="B120" s="215"/>
      <c r="C120" s="54" t="s">
        <v>440</v>
      </c>
    </row>
    <row r="121" spans="1:3" ht="15.75" thickBot="1" x14ac:dyDescent="0.3">
      <c r="A121" s="215"/>
      <c r="B121" s="215"/>
      <c r="C121" s="54" t="s">
        <v>441</v>
      </c>
    </row>
    <row r="122" spans="1:3" x14ac:dyDescent="0.25">
      <c r="A122" s="215"/>
      <c r="B122" s="215"/>
      <c r="C122" s="76" t="s">
        <v>442</v>
      </c>
    </row>
    <row r="123" spans="1:3" ht="15.75" thickBot="1" x14ac:dyDescent="0.3">
      <c r="A123" s="215"/>
      <c r="B123" s="215"/>
      <c r="C123" s="54" t="s">
        <v>443</v>
      </c>
    </row>
    <row r="124" spans="1:3" ht="15.75" thickBot="1" x14ac:dyDescent="0.3">
      <c r="A124" s="216"/>
      <c r="B124" s="216"/>
      <c r="C124" s="54" t="s">
        <v>444</v>
      </c>
    </row>
    <row r="125" spans="1:3" x14ac:dyDescent="0.25">
      <c r="A125" s="80"/>
      <c r="B125" s="80"/>
      <c r="C125" s="80"/>
    </row>
    <row r="126" spans="1:3" ht="50.25" customHeight="1" x14ac:dyDescent="0.25">
      <c r="A126" s="220" t="s">
        <v>445</v>
      </c>
      <c r="B126" s="221"/>
      <c r="C126" s="221"/>
    </row>
    <row r="127" spans="1:3" ht="16.5" thickBot="1" x14ac:dyDescent="0.3">
      <c r="A127" s="77"/>
      <c r="B127"/>
      <c r="C127"/>
    </row>
    <row r="128" spans="1:3" ht="15.75" thickBot="1" x14ac:dyDescent="0.3">
      <c r="A128" s="74" t="s">
        <v>226</v>
      </c>
      <c r="B128" s="75" t="s">
        <v>318</v>
      </c>
      <c r="C128" s="75" t="s">
        <v>319</v>
      </c>
    </row>
    <row r="129" spans="1:3" ht="15.75" thickBot="1" x14ac:dyDescent="0.3">
      <c r="A129" s="214" t="s">
        <v>60</v>
      </c>
      <c r="B129" s="214" t="s">
        <v>446</v>
      </c>
      <c r="C129" s="54" t="s">
        <v>447</v>
      </c>
    </row>
    <row r="130" spans="1:3" ht="15.75" thickBot="1" x14ac:dyDescent="0.3">
      <c r="A130" s="215"/>
      <c r="B130" s="215"/>
      <c r="C130" s="54" t="s">
        <v>448</v>
      </c>
    </row>
    <row r="131" spans="1:3" ht="15.75" thickBot="1" x14ac:dyDescent="0.3">
      <c r="A131" s="215"/>
      <c r="B131" s="215"/>
      <c r="C131" s="54" t="s">
        <v>449</v>
      </c>
    </row>
    <row r="132" spans="1:3" ht="15.75" thickBot="1" x14ac:dyDescent="0.3">
      <c r="A132" s="215"/>
      <c r="B132" s="215"/>
      <c r="C132" s="54" t="s">
        <v>450</v>
      </c>
    </row>
    <row r="133" spans="1:3" ht="30.75" thickBot="1" x14ac:dyDescent="0.3">
      <c r="A133" s="216"/>
      <c r="B133" s="216"/>
      <c r="C133" s="54" t="s">
        <v>451</v>
      </c>
    </row>
    <row r="134" spans="1:3" ht="15.75" thickBot="1" x14ac:dyDescent="0.3">
      <c r="A134" s="214" t="s">
        <v>62</v>
      </c>
      <c r="B134" s="214" t="s">
        <v>452</v>
      </c>
      <c r="C134" s="54" t="s">
        <v>453</v>
      </c>
    </row>
    <row r="135" spans="1:3" ht="15.75" thickBot="1" x14ac:dyDescent="0.3">
      <c r="A135" s="215"/>
      <c r="B135" s="215"/>
      <c r="C135" s="54" t="s">
        <v>454</v>
      </c>
    </row>
    <row r="136" spans="1:3" ht="15.75" thickBot="1" x14ac:dyDescent="0.3">
      <c r="A136" s="215"/>
      <c r="B136" s="215"/>
      <c r="C136" s="54" t="s">
        <v>455</v>
      </c>
    </row>
    <row r="137" spans="1:3" ht="15.75" thickBot="1" x14ac:dyDescent="0.3">
      <c r="A137" s="215"/>
      <c r="B137" s="215"/>
      <c r="C137" s="54" t="s">
        <v>456</v>
      </c>
    </row>
    <row r="138" spans="1:3" ht="15.75" thickBot="1" x14ac:dyDescent="0.3">
      <c r="A138" s="215"/>
      <c r="B138" s="215"/>
      <c r="C138" s="54" t="s">
        <v>457</v>
      </c>
    </row>
    <row r="139" spans="1:3" ht="15.75" thickBot="1" x14ac:dyDescent="0.3">
      <c r="A139" s="215"/>
      <c r="B139" s="215"/>
      <c r="C139" s="54" t="s">
        <v>458</v>
      </c>
    </row>
    <row r="140" spans="1:3" ht="15.75" thickBot="1" x14ac:dyDescent="0.3">
      <c r="A140" s="215"/>
      <c r="B140" s="215"/>
      <c r="C140" s="54" t="s">
        <v>459</v>
      </c>
    </row>
    <row r="141" spans="1:3" ht="15.75" thickBot="1" x14ac:dyDescent="0.3">
      <c r="A141" s="215"/>
      <c r="B141" s="215"/>
      <c r="C141" s="54" t="s">
        <v>460</v>
      </c>
    </row>
    <row r="142" spans="1:3" ht="15.75" thickBot="1" x14ac:dyDescent="0.3">
      <c r="A142" s="216"/>
      <c r="B142" s="216"/>
      <c r="C142" s="54" t="s">
        <v>461</v>
      </c>
    </row>
    <row r="143" spans="1:3" ht="15.75" thickBot="1" x14ac:dyDescent="0.3">
      <c r="A143" s="214" t="s">
        <v>63</v>
      </c>
      <c r="B143" s="214" t="s">
        <v>462</v>
      </c>
      <c r="C143" s="54" t="s">
        <v>463</v>
      </c>
    </row>
    <row r="144" spans="1:3" ht="15.75" thickBot="1" x14ac:dyDescent="0.3">
      <c r="A144" s="215"/>
      <c r="B144" s="215"/>
      <c r="C144" s="54" t="s">
        <v>464</v>
      </c>
    </row>
    <row r="145" spans="1:3" ht="15.75" thickBot="1" x14ac:dyDescent="0.3">
      <c r="A145" s="215"/>
      <c r="B145" s="215"/>
      <c r="C145" s="54" t="s">
        <v>465</v>
      </c>
    </row>
    <row r="146" spans="1:3" ht="15.75" thickBot="1" x14ac:dyDescent="0.3">
      <c r="A146" s="215"/>
      <c r="B146" s="215"/>
      <c r="C146" s="54" t="s">
        <v>466</v>
      </c>
    </row>
    <row r="147" spans="1:3" ht="15.75" thickBot="1" x14ac:dyDescent="0.3">
      <c r="A147" s="215"/>
      <c r="B147" s="215"/>
      <c r="C147" s="54" t="s">
        <v>467</v>
      </c>
    </row>
    <row r="148" spans="1:3" ht="15.75" thickBot="1" x14ac:dyDescent="0.3">
      <c r="A148" s="215"/>
      <c r="B148" s="215"/>
      <c r="C148" s="54" t="s">
        <v>468</v>
      </c>
    </row>
    <row r="149" spans="1:3" ht="15.75" thickBot="1" x14ac:dyDescent="0.3">
      <c r="A149" s="215"/>
      <c r="B149" s="215"/>
      <c r="C149" s="54" t="s">
        <v>469</v>
      </c>
    </row>
    <row r="150" spans="1:3" ht="15.75" thickBot="1" x14ac:dyDescent="0.3">
      <c r="A150" s="215"/>
      <c r="B150" s="215"/>
      <c r="C150" s="54" t="s">
        <v>470</v>
      </c>
    </row>
    <row r="151" spans="1:3" ht="15.75" thickBot="1" x14ac:dyDescent="0.3">
      <c r="A151" s="216"/>
      <c r="B151" s="216"/>
      <c r="C151" s="54" t="s">
        <v>40</v>
      </c>
    </row>
    <row r="152" spans="1:3" ht="15.75" thickBot="1" x14ac:dyDescent="0.3">
      <c r="A152" s="214" t="s">
        <v>59</v>
      </c>
      <c r="B152" s="214" t="s">
        <v>471</v>
      </c>
      <c r="C152" s="54" t="s">
        <v>472</v>
      </c>
    </row>
    <row r="153" spans="1:3" ht="15.75" thickBot="1" x14ac:dyDescent="0.3">
      <c r="A153" s="215"/>
      <c r="B153" s="215"/>
      <c r="C153" s="54" t="s">
        <v>473</v>
      </c>
    </row>
    <row r="154" spans="1:3" ht="15.75" thickBot="1" x14ac:dyDescent="0.3">
      <c r="A154" s="216"/>
      <c r="B154" s="216"/>
      <c r="C154" s="54" t="s">
        <v>474</v>
      </c>
    </row>
    <row r="155" spans="1:3" ht="15.75" thickBot="1" x14ac:dyDescent="0.3">
      <c r="A155" s="214" t="s">
        <v>61</v>
      </c>
      <c r="B155" s="214" t="s">
        <v>475</v>
      </c>
      <c r="C155" s="54" t="s">
        <v>476</v>
      </c>
    </row>
    <row r="156" spans="1:3" ht="15.75" thickBot="1" x14ac:dyDescent="0.3">
      <c r="A156" s="216"/>
      <c r="B156" s="216"/>
      <c r="C156" s="54" t="s">
        <v>477</v>
      </c>
    </row>
    <row r="157" spans="1:3" ht="30.75" thickBot="1" x14ac:dyDescent="0.3">
      <c r="A157" s="46" t="s">
        <v>58</v>
      </c>
      <c r="B157" s="54" t="s">
        <v>478</v>
      </c>
      <c r="C157" s="54" t="s">
        <v>58</v>
      </c>
    </row>
    <row r="158" spans="1:3" ht="15.75" thickBot="1" x14ac:dyDescent="0.3">
      <c r="A158" s="46" t="s">
        <v>12</v>
      </c>
      <c r="B158" s="54" t="s">
        <v>479</v>
      </c>
      <c r="C158" s="54" t="s">
        <v>12</v>
      </c>
    </row>
    <row r="159" spans="1:3" ht="15.75" x14ac:dyDescent="0.25">
      <c r="A159" s="77"/>
      <c r="B159"/>
      <c r="C159"/>
    </row>
    <row r="160" spans="1:3" ht="36.75" customHeight="1" x14ac:dyDescent="0.25">
      <c r="A160" s="220" t="s">
        <v>480</v>
      </c>
      <c r="B160" s="221"/>
      <c r="C160" s="221"/>
    </row>
    <row r="161" spans="1:3" ht="16.5" thickBot="1" x14ac:dyDescent="0.3">
      <c r="A161" s="77"/>
      <c r="B161"/>
      <c r="C161"/>
    </row>
    <row r="162" spans="1:3" ht="15.75" thickBot="1" x14ac:dyDescent="0.3">
      <c r="A162" s="74" t="s">
        <v>226</v>
      </c>
      <c r="B162" s="75" t="s">
        <v>318</v>
      </c>
      <c r="C162" s="75" t="s">
        <v>319</v>
      </c>
    </row>
    <row r="163" spans="1:3" ht="30.75" thickBot="1" x14ac:dyDescent="0.3">
      <c r="A163" s="46" t="s">
        <v>44</v>
      </c>
      <c r="B163" s="54" t="s">
        <v>481</v>
      </c>
      <c r="C163" s="54" t="s">
        <v>44</v>
      </c>
    </row>
    <row r="164" spans="1:3" ht="30.75" thickBot="1" x14ac:dyDescent="0.3">
      <c r="A164" s="46" t="s">
        <v>42</v>
      </c>
      <c r="B164" s="54" t="s">
        <v>482</v>
      </c>
      <c r="C164" s="54" t="s">
        <v>42</v>
      </c>
    </row>
    <row r="165" spans="1:3" ht="15.75" thickBot="1" x14ac:dyDescent="0.3">
      <c r="A165" s="46" t="s">
        <v>41</v>
      </c>
      <c r="B165" s="54" t="s">
        <v>483</v>
      </c>
      <c r="C165" s="54" t="s">
        <v>41</v>
      </c>
    </row>
    <row r="166" spans="1:3" ht="15.75" thickBot="1" x14ac:dyDescent="0.3">
      <c r="A166" s="46" t="s">
        <v>43</v>
      </c>
      <c r="B166" s="54" t="s">
        <v>484</v>
      </c>
      <c r="C166" s="54" t="s">
        <v>43</v>
      </c>
    </row>
    <row r="167" spans="1:3" ht="30.75" thickBot="1" x14ac:dyDescent="0.3">
      <c r="A167" s="46" t="s">
        <v>40</v>
      </c>
      <c r="B167" s="54" t="s">
        <v>485</v>
      </c>
      <c r="C167" s="54" t="s">
        <v>40</v>
      </c>
    </row>
  </sheetData>
  <sheetProtection password="CDE2" sheet="1" objects="1" scenarios="1" formatColumns="0" formatRows="0"/>
  <mergeCells count="57">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 ref="B129:B133"/>
    <mergeCell ref="A134:A142"/>
    <mergeCell ref="B134:B142"/>
    <mergeCell ref="A126:C126"/>
    <mergeCell ref="A102:A109"/>
    <mergeCell ref="B102:B109"/>
    <mergeCell ref="A110:A112"/>
    <mergeCell ref="B110:B112"/>
    <mergeCell ref="A113:A116"/>
    <mergeCell ref="B113:B116"/>
    <mergeCell ref="A90:A94"/>
    <mergeCell ref="B90:B94"/>
    <mergeCell ref="A95:A98"/>
    <mergeCell ref="B95:B98"/>
    <mergeCell ref="A99:A101"/>
    <mergeCell ref="B99:B101"/>
    <mergeCell ref="A82:A85"/>
    <mergeCell ref="B82:B85"/>
    <mergeCell ref="A45:A49"/>
    <mergeCell ref="B45:B49"/>
    <mergeCell ref="A51:A52"/>
    <mergeCell ref="A69:A70"/>
    <mergeCell ref="A75:A78"/>
    <mergeCell ref="B75:B78"/>
    <mergeCell ref="A79:A81"/>
    <mergeCell ref="B79:B81"/>
    <mergeCell ref="C51:C52"/>
    <mergeCell ref="A60:A66"/>
    <mergeCell ref="C60:C63"/>
    <mergeCell ref="A18:A21"/>
    <mergeCell ref="B18:B21"/>
    <mergeCell ref="A27:A32"/>
    <mergeCell ref="B27:B32"/>
    <mergeCell ref="A38:A42"/>
    <mergeCell ref="C38:C42"/>
    <mergeCell ref="A3:A8"/>
    <mergeCell ref="B3:B8"/>
    <mergeCell ref="A9:A12"/>
    <mergeCell ref="B9:B12"/>
    <mergeCell ref="A14:A17"/>
    <mergeCell ref="B14:B17"/>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55</vt:i4>
      </vt:variant>
      <vt:variant>
        <vt:lpstr>Named Ranges</vt:lpstr>
      </vt:variant>
      <vt:variant>
        <vt:i4>58</vt:i4>
      </vt:variant>
    </vt:vector>
  </HeadingPairs>
  <TitlesOfParts>
    <vt:vector size="113"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'Off-Balance Sheet'!Print_Area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Murphy, Michelle</cp:lastModifiedBy>
  <cp:lastPrinted>2015-06-18T16:35:23Z</cp:lastPrinted>
  <dcterms:created xsi:type="dcterms:W3CDTF">2015-03-19T18:31:05Z</dcterms:created>
  <dcterms:modified xsi:type="dcterms:W3CDTF">2015-06-30T22:09:28Z</dcterms:modified>
</cp:coreProperties>
</file>