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19185" yWindow="270" windowWidth="20610" windowHeight="11640" tabRatio="928" firstSheet="1" activeTab="1"/>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5251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<sst xmlns="http://schemas.openxmlformats.org/spreadsheetml/2006/main" count="1442" uniqueCount="607">
  <si>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</si>
  <si>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</si>
  <si>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</si>
  <si>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</si>
  <si>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</si>
  <si>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</si>
  <si>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</si>
  <si>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</si>
  <si>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</si>
  <si>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</si>
  <si>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</si>
  <si>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</si>
  <si>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</si>
  <si>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</si>
  <si>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</si>
  <si>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</si>
  <si>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</si>
  <si>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</si>
  <si>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</si>
  <si>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</si>
  <si>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</si>
  <si>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</si>
  <si>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</si>
  <si>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</si>
  <si>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</si>
  <si>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</si>
  <si>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</si>
  <si>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</si>
  <si>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</si>
  <si>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</si>
  <si>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</si>
  <si>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</si>
  <si>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</si>
  <si>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</si>
  <si>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</si>
  <si>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</si>
  <si>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</si>
  <si>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</si>
  <si>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</si>
  <si>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</si>
  <si>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</si>
  <si>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</si>
  <si>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</si>
  <si>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</si>
  <si>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</si>
  <si>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</si>
  <si>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</si>
  <si>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</si>
  <si>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</si>
  <si>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</si>
  <si>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</si>
  <si>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</si>
  <si>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</si>
  <si>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</si>
  <si>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</si>
  <si>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</si>
  <si>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</si>
  <si>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</si>
  <si>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</si>
  <si>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</si>
  <si>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</si>
  <si>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</si>
  <si>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</si>
  <si>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</si>
  <si>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</si>
  <si>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</si>
  <si>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</si>
  <si>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</si>
  <si>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</si>
  <si>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</si>
  <si>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</si>
  <si>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</si>
  <si>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</si>
  <si>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</si>
  <si>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</si>
  <si>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</si>
  <si>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</si>
  <si>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</si>
  <si>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</si>
  <si>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</si>
  <si>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</si>
  <si>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</si>
  <si>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</si>
  <si>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</si>
  <si>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</si>
  <si>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</si>
  <si>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</si>
  <si>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</si>
  <si>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</si>
  <si>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</si>
  <si>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</si>
  <si>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</si>
  <si>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</si>
  <si>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</si>
  <si>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</si>
  <si>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</si>
  <si>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</si>
  <si>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</si>
  <si>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</si>
  <si>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</si>
  <si>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</si>
  <si>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</si>
  <si>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</si>
  <si>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</si>
  <si>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</si>
  <si>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</si>
  <si>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</si>
  <si>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</si>
  <si>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</si>
  <si>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</si>
  <si>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</si>
  <si>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</si>
  <si>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</si>
  <si>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</si>
  <si>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</si>
  <si>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</si>
  <si>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</si>
  <si>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</si>
  <si>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</si>
  <si>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</si>
  <si>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</si>
  <si>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</si>
  <si>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</si>
  <si>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</si>
  <si>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</si>
  <si>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</si>
  <si>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</si>
  <si>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</si>
  <si>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</si>
  <si>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</si>
  <si>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</si>
  <si>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</si>
  <si>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</si>
  <si>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</si>
  <si>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</si>
  <si>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</si>
  <si>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</si>
  <si>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</si>
  <si>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</si>
  <si>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</si>
  <si>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</si>
  <si>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</si>
  <si>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</si>
  <si>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</si>
  <si>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</si>
  <si>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</si>
  <si>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</si>
  <si>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</si>
  <si>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</si>
  <si>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</si>
  <si>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</si>
  <si>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</si>
  <si>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</si>
  <si>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</si>
  <si>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</si>
  <si>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</si>
  <si>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</si>
  <si>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</si>
  <si>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</si>
  <si>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</si>
  <si>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</si>
  <si>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</si>
  <si>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</si>
  <si>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</si>
  <si>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</si>
  <si>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</si>
  <si>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</si>
  <si>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</si>
  <si>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</si>
  <si>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</si>
  <si>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</si>
  <si>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</si>
  <si>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</si>
  <si>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</si>
  <si>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</si>
  <si>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</si>
  <si>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</si>
  <si>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</si>
  <si>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</si>
  <si>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</si>
  <si>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</si>
  <si>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</si>
  <si>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</si>
  <si>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</si>
  <si>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</si>
  <si>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</si>
  <si>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</si>
  <si>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</si>
  <si>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</si>
  <si>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</si>
  <si>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</si>
  <si>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</si>
  <si>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</si>
  <si>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</si>
  <si>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</si>
  <si>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</si>
  <si>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</si>
  <si>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</si>
  <si>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</si>
  <si>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</si>
  <si>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</si>
  <si>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</si>
  <si>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</si>
  <si>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</si>
  <si>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</si>
  <si>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</si>
  <si>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</si>
  <si>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</si>
  <si>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</si>
  <si>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</si>
  <si>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</si>
  <si>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</si>
  <si>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</si>
  <si>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</si>
  <si>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</si>
  <si>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</si>
  <si>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</si>
  <si>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</si>
  <si>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</si>
  <si>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</si>
  <si>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</si>
  <si>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</si>
  <si>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</si>
  <si>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</si>
  <si>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</si>
  <si>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</si>
  <si>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</si>
  <si>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</si>
  <si>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</si>
  <si>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</si>
  <si>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</si>
  <si>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</si>
  <si>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</si>
  <si>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</si>
  <si>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</si>
  <si>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</si>
  <si>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</si>
  <si>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</si>
  <si>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</si>
  <si>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</si>
  <si>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</si>
  <si>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</si>
  <si>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</si>
  <si>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</si>
  <si>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</si>
  <si>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</si>
  <si>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</si>
  <si>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</si>
  <si>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</si>
  <si>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</si>
  <si>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</si>
  <si>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</si>
  <si>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</si>
  <si>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</si>
  <si>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</si>
  <si>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</si>
  <si>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</si>
  <si>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</si>
  <si>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</si>
  <si>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</si>
  <si>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</si>
  <si>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</si>
  <si>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</si>
  <si>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</si>
  <si>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</si>
  <si>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</si>
  <si>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</si>
  <si>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</si>
  <si>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</si>
  <si>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</si>
  <si>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</si>
  <si>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</si>
  <si>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</si>
  <si>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</si>
  <si>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</si>
  <si>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</si>
  <si>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</si>
  <si>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</si>
  <si>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</si>
  <si>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</si>
  <si>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</si>
  <si>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</si>
  <si>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</si>
  <si>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</si>
  <si>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</si>
  <si>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</si>
  <si>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</si>
  <si>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</si>
  <si>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</si>
  <si>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</si>
  <si>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</si>
  <si>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</si>
  <si>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</si>
  <si>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</si>
  <si>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</si>
  <si>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</si>
  <si>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</si>
  <si>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</si>
  <si>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</si>
  <si>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</si>
  <si>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</si>
  <si>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</si>
  <si>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</si>
  <si>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</si>
  <si>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</si>
  <si>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</si>
  <si>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</si>
  <si>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</si>
  <si>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</si>
  <si>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</si>
  <si>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</si>
  <si>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</si>
  <si>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</si>
  <si>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</si>
  <si>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</si>
  <si>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</si>
  <si>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</si>
  <si>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</si>
  <si>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</si>
  <si>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</si>
  <si>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</si>
  <si>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</si>
  <si>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</si>
  <si>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</si>
  <si>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</si>
  <si>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</si>
  <si>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</si>
  <si>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</si>
  <si>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</si>
  <si>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</si>
  <si>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</si>
  <si>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</si>
  <si>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</si>
  <si>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</si>
  <si>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</si>
  <si>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</si>
  <si>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</si>
  <si>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</si>
  <si>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</si>
  <si>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</si>
  <si>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</si>
  <si>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</si>
  <si>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</si>
  <si>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</si>
  <si>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</si>
  <si>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</si>
  <si>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</si>
  <si>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</si>
  <si>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</si>
  <si>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</si>
  <si>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</si>
  <si>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</si>
  <si>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</si>
  <si>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</si>
  <si>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</si>
  <si>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</si>
  <si>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</si>
  <si>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</si>
  <si>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</si>
  <si>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</si>
  <si>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</si>
  <si>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</si>
  <si>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</si>
  <si>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</si>
  <si>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</si>
  <si>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</si>
  <si>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</si>
  <si>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</si>
  <si>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</si>
  <si>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</si>
  <si>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</si>
  <si>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</si>
  <si>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</si>
  <si>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</si>
  <si>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</si>
  <si>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</si>
  <si>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</si>
  <si>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</si>
  <si>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</si>
  <si>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</si>
  <si>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</si>
  <si>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</si>
  <si>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</si>
  <si>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</si>
  <si>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</si>
  <si>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</si>
  <si>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</si>
  <si>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</si>
  <si>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</si>
  <si>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</si>
  <si>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</si>
  <si>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</si>
  <si>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</si>
  <si>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</si>
  <si>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</si>
  <si>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</si>
  <si>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</si>
  <si>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</si>
  <si>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</si>
  <si>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</si>
  <si>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</si>
  <si>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</si>
  <si>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</si>
  <si>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</si>
  <si>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</si>
  <si>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</si>
  <si>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</si>
  <si>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</si>
  <si>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</si>
  <si>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</si>
  <si>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</si>
  <si>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</si>
  <si>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</si>
  <si>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</si>
  <si>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</si>
  <si>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</si>
  <si>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</si>
  <si>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</si>
  <si>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</si>
  <si>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</si>
  <si>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</si>
  <si>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</si>
  <si>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</si>
  <si>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</si>
  <si>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</si>
  <si>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</si>
  <si>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</si>
  <si>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</si>
  <si>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</si>
  <si>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</si>
  <si>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</si>
  <si>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</si>
  <si>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</si>
  <si>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</si>
  <si>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</si>
  <si>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</si>
  <si>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</si>
  <si>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</si>
  <si>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</si>
  <si>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</si>
  <si>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</si>
  <si>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</si>
  <si>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</si>
  <si>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</si>
  <si>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</si>
  <si>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</si>
  <si>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</si>
  <si>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</si>
  <si>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</si>
  <si>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</si>
  <si>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</si>
  <si>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</si>
  <si>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</si>
  <si>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</si>
  <si>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</si>
  <si>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</si>
  <si>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</si>
  <si>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</si>
  <si>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</si>
  <si>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</si>
  <si>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</si>
  <si>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</si>
  <si>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</si>
  <si>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</si>
  <si>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</si>
  <si>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</si>
  <si>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</si>
  <si>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</si>
  <si>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</si>
  <si>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</si>
  <si>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</si>
  <si>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</si>
  <si>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</si>
  <si>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</si>
  <si>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</si>
  <si>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</si>
  <si>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</si>
  <si>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</si>
  <si>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</si>
  <si>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</si>
  <si>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</si>
  <si>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</si>
  <si>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</si>
  <si>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</si>
  <si>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</si>
  <si>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</si>
  <si>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</si>
  <si>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</si>
  <si>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</si>
  <si>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</si>
  <si>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</si>
  <si>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</si>
  <si>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</si>
  <si>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</si>
  <si>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</si>
  <si>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</si>
  <si>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</si>
  <si>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</si>
  <si>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</si>
  <si>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</si>
  <si>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</si>
  <si>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</si>
  <si>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</si>
  <si>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</si>
  <si>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</si>
  <si>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</si>
  <si>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</si>
  <si>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</si>
  <si>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</si>
  <si>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</si>
  <si>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</si>
  <si>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</si>
  <si>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</si>
  <si>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</si>
  <si>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</si>
  <si>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</si>
  <si>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</si>
  <si>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</si>
  <si>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</si>
  <si>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</si>
  <si>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</si>
  <si>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</si>
  <si>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</si>
  <si>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</si>
  <si>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</si>
  <si>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</si>
  <si>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</si>
  <si>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</si>
  <si>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</si>
  <si>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</si>
  <si>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</si>
  <si>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</si>
  <si>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</si>
  <si>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</si>
  <si>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</si>
  <si>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Juan Minuesa</t>
  </si>
  <si>
    <t>Fixed Income Sales and Trading</t>
  </si>
  <si>
    <t>Claudia Gotanegra / Anna Wong</t>
  </si>
  <si>
    <t>Sales and Traders</t>
  </si>
  <si>
    <t>Asset Backed Securities</t>
  </si>
  <si>
    <t>Approved</t>
  </si>
  <si>
    <t>none</t>
  </si>
  <si>
    <t>Jun 3, 2015: Introduction to Material Risk Program
June 10, 2015: Material Workshop</t>
  </si>
  <si>
    <t>High Grade Bonds</t>
  </si>
  <si>
    <t>New Product Committee (Q4 2014)</t>
  </si>
  <si>
    <t>N/A</t>
  </si>
  <si>
    <t>Compliance records of any customer complaints, violations</t>
  </si>
  <si>
    <t>None.</t>
  </si>
  <si>
    <t>Review in progress -Internal Audit</t>
  </si>
  <si>
    <t>Open. Results anticipated June 30, 2015</t>
  </si>
  <si>
    <t>In Progress (expected report date June 30, 2015.</t>
  </si>
  <si>
    <t>Recommendations which were found have been implemented, tested and closed</t>
  </si>
  <si>
    <t>Closed</t>
  </si>
  <si>
    <t>2014 Annual Audit</t>
  </si>
  <si>
    <t>N/A: RCSA Assessment has not occurred.</t>
  </si>
  <si>
    <t xml:space="preserve">SIS has not had a RCSA buisness assessment.  </t>
  </si>
  <si>
    <t xml:space="preserve">None.
</t>
  </si>
  <si>
    <t>Initiated recently</t>
  </si>
  <si>
    <t>TBD - In Progress</t>
  </si>
  <si>
    <t>EMLA: Pablo Di Pietra
HG: Michael Di Santos
Sales: Ken Hoffman</t>
  </si>
  <si>
    <t>There have not been any significant events or emerging events over the last 12 months and/or any which are in unpaid status.</t>
  </si>
  <si>
    <t xml:space="preserve">None.
</t>
  </si>
  <si>
    <t>NY Markets P&amp;L (Daily) by MO NY</t>
  </si>
  <si>
    <t>Fixed Income P&amp;L (Daily) by MO NY</t>
  </si>
  <si>
    <t>CREDIT IG USA (Daily) by RM Espana</t>
  </si>
  <si>
    <t>Credit NY (Daily) by RM Espana</t>
  </si>
  <si>
    <t>OpRisk Summany (Monthly) by Operational Risk</t>
  </si>
  <si>
    <t>Operational gaps in  SIS Fixed Income Trading IT infrastructure</t>
  </si>
  <si>
    <r>
      <t xml:space="preserve">SIS engaged in a workshop approach for identification of Material Risks for each of the business segments including Cash Equities, Debt Underwriting, Equity Underwriting, </t>
    </r>
    <r>
      <rPr>
        <b/>
        <sz val="11"/>
        <color theme="1"/>
        <rFont val="Calibri"/>
        <family val="2"/>
        <scheme val="minor"/>
      </rPr>
      <t>Fixed Income/Bond Trading</t>
    </r>
    <r>
      <rPr>
        <sz val="11"/>
        <color theme="1"/>
        <rFont val="Calibri"/>
        <family val="2"/>
        <scheme val="minor"/>
      </rPr>
      <t>, Futures Brokerage Activity, Fixed Income and Equity Research, Treasury and Technology and Operations.  The worshops took place between June 9, 2015 and June 16th 2015.  The worshops were lead by the first line of defense point of contact for each business segment along with subject matter experts in the business line and representation from the risk areas including credit, market, operational, liquidity, along with compliance, legal, finance, HR and technology and operations.  Enrichment and aggregation of the Material Risks occured following the worskhops with guidance from the Compliance Team.  The busines segment material risk inventory will be delivered to SHUSA on June 30, 2015.  SIS will produce an aggregate list of Material Risks which will go through review and challenge in both July and August with the final deliverable to SHUSA on August 31, 2015.</t>
    </r>
  </si>
  <si>
    <t>FOCUS Report</t>
  </si>
  <si>
    <t>n/a</t>
  </si>
  <si>
    <t>HG: 10
Latam Corp: 4,555
Latam Sov: 9,495</t>
  </si>
  <si>
    <t>HG: -22
Latam Corp: 2,931
Latam Sov: 4,606</t>
  </si>
  <si>
    <t>SIS: Fixed Income Sales and Trading</t>
  </si>
  <si>
    <t>Requested 5/19/2015</t>
  </si>
  <si>
    <t>SGBM NY Control Dashboard (Daily);  Fixed Income Amendments Reports(Daily); Risk Tolerance Statements; Fails Reports (BO Daily); Trade Price Control Report</t>
  </si>
  <si>
    <t>Ineffective or lack of risk coordination between SIS NY and Banco Santander SA Madrid</t>
  </si>
  <si>
    <t>Santander Investment Securities, Inc</t>
  </si>
  <si>
    <t xml:space="preserve">The total budget for the business is $20.25M. The business has decided an annual expected loss of $1-5M because this will already be a large portion of the total budget. The stressed financial impact will be $1-5M impact even with the substantial exposure due to the highly volatile Latam bonds because there are back up measures with IT fixing the issues at real time. </t>
  </si>
  <si>
    <t>Account Opening Issues</t>
  </si>
  <si>
    <t xml:space="preserve">There is a initiative to develop DVP limits setting and monitoring between IT and Credit Risk. </t>
  </si>
  <si>
    <t>Two main material risks are identified: 
1 - Operational gaps in  SIS Fixed Income Trading IT infrastructure
2 - Ineffective or lack of risk coordination between SIS NY and Banco Santander SA Madrid
3 - Account Opening Issues</t>
  </si>
  <si>
    <t xml:space="preserve">We are currently conducting an audit of various business lines compliance with critical rules established by FINRA and CFTC.  Relevant issues raised will be reported to management in due course (mid-to-late July).
</t>
  </si>
  <si>
    <t xml:space="preserve">Currently, the Chief Operational Risk Officer is the executive primarily responsible for administering and maintaining the Vendor Management Policy. The Chief Operational Risk Officer, will review the accuracy and inclusion of a central repository database, maintained by Isban Branch US , of all technology vendors and their relationship with the Bank. At least two times per year a formal reconciliation of the invoices to the vendor list is completed by Isban US and provided to the Chief Operational Risk Officer to ensure that the vendor lists are current.  At the discretion of the Chief Operational Risk Officer, a project committee may be appointed, as needed, to implement and monitor requirements and goals of the policy. Determining compliance with the policy should be considered during audits of both information systems and business areas responsible for using vendors. Each vendor must have a designated bank officer who is accountable for the relationship (“Accountable Officer”) and compliance of that vendor with the policy with the assistance of Isban Branch US .  Other bank officers, employees and departments are assigned specific responsibilities within the policy.  Based on the risk rating and the judgment of both the accountable officer and the Chief Operational Risk Officer, the service level for certain vendors may be reported on a monthly basis to the Chief Operating Risk Officer. The Factories provide monthly service level information (consolidated from accountable officers) for the following vendors whose perceived risk rating has been judgmentally increased to “Higher” from Average: 1) Broadridge, 2) Produban, and 3) Iron Mountain. This information is included in the ISBAN Branch US – Monthly IT Report provided to the Chief Operational Risk Officer and Operational Risk Management group.
</t>
  </si>
  <si>
    <t>10.4 IT Risk Assessments</t>
  </si>
  <si>
    <t>Know Your Customers (KYC) Log for new clients; New Product Forms 2014-2015</t>
  </si>
  <si>
    <t>Metrics Report</t>
  </si>
  <si>
    <t xml:space="preserve">The total budget for the business is $20.25M. {PLEASE verify if this is for one desk or both.}  that The business has decided an annual expected loss of $1-5M because this will already be a large portion of the total budget. The stressed financial impact will be $1-5M impact even with the substantial exposure due to the highly volatile Latam bonds because there are back up measures with IT fixing the issues at real time. </t>
  </si>
  <si>
    <r>
      <rPr>
        <sz val="11"/>
        <rFont val="Calibri"/>
        <family val="2"/>
        <scheme val="minor"/>
      </rPr>
      <t xml:space="preserve"> The trading activity of both desks is back-to-back with Banco Santander, S.A. Madrid.   Madrid holds the market making inventory for each of these books and the books are considered global books.  All assets and libailities for these books related to SIS are recorded on SIS's balance sheet.  There are no off-balance sheet liabilities. </t>
    </r>
    <r>
      <rPr>
        <sz val="11"/>
        <color rgb="FFFFFF00"/>
        <rFont val="Calibri"/>
        <family val="2"/>
        <scheme val="minor"/>
      </rPr>
      <t xml:space="preserve">
</t>
    </r>
    <r>
      <rPr>
        <sz val="11"/>
        <color theme="1"/>
        <rFont val="Calibri"/>
        <family val="2"/>
        <scheme val="minor"/>
      </rPr>
      <t xml:space="preserve">
</t>
    </r>
  </si>
  <si>
    <t xml:space="preserve">No significant failures or significant events over the last 12 months.  The most current Business Continuity test was on December 11, 2014.  The objectives were satisfactorily completed with one exception Straight Through Processing did not flow from front to back office.  This was due to the complexities of interfaces between front/middle/back systems and the time needed to configure the whole process required a timeframe more than one day and therefore was out of scope for the test.  Suggested solution to be considered for next test would be that after the trades are input into the the front office system, they are printed and input into the back office systems manually until all processes are configures and operational.
</t>
  </si>
  <si>
    <r>
      <t xml:space="preserve">An IT Risk Assessment is completed on a biannual basis. The assessment includes a review of the Information Securities policies and procedures. In addition, best practices for IT Risk are reviewed as compared with </t>
    </r>
    <r>
      <rPr>
        <sz val="11"/>
        <rFont val="Calibri"/>
        <family val="2"/>
        <scheme val="minor"/>
      </rPr>
      <t>similar sized broker-dealers</t>
    </r>
    <r>
      <rPr>
        <sz val="11"/>
        <color theme="1"/>
        <rFont val="Calibri"/>
        <family val="2"/>
        <scheme val="minor"/>
      </rPr>
      <t>.   Suggested updates to the procedures are documented and reviewed with the owners.  Procedures are updated as required. The IT Risk Assessment is currently in progress with a target completion of July 2015.</t>
    </r>
  </si>
  <si>
    <t>RM Espana's CREDIT IG USA (Daily); RM Espana's Credit NY (Daily); RM Espana's Informe CREDIT USA de sensibilidades, VaR, SVaR y consumo de límites (Daily); RM Espana's Informe MARKET MAKING NY OFFSHORE de sensibilidades, VaR, SVaR y consumo de límites (Daily); Casin Loya Sergio's Consumos y Excesos Crédito - NY OFFSHORE (Daily); Casin Loya Sergio's Provisión Control Holding Period - NYOffshore (Monthly)</t>
  </si>
  <si>
    <t>Other metrics reports include: RM Espana's CREDIT IG USA (Daily); RM Espana's Credit NY (Daily); RM Espana's Informe CREDIT USA de sensibilidades, VaR, SVaR y consumo de límites (Daily); RM Espana's Informe MARKET MAKING NY OFFSHORE de sensibilidades, VaR, SVaR y consumo de límites (Daily); Casin Loya Sergio's Consumos y Excesos Crédito - NY OFFSHORE (Daily); Casin Loya Sergio's Provisión Control Holding Period - NYOffshore (Monthly)</t>
  </si>
  <si>
    <r>
      <rPr>
        <sz val="11"/>
        <rFont val="Calibri"/>
        <family val="2"/>
        <scheme val="minor"/>
      </rPr>
      <t xml:space="preserve">The compliance assessment was done on April 8, 2015. The Emerging Markets and Investment Grade Fixed Income Trading Desk had an aggregate inherent risk of 2.9 (moderate), an aggregate control effectiveness of 3.41 (needs improvement), and a residual risk of 3.18 (moderate). Numerically, the residual risk is elevated from the inherent risk because most of the controls in place are detective rather than preventative; however, the increase was not drastic enough to raise the risk from moderate. Below are the applicable regulations to the Firm’s Fixed Income business that present a residual risk requiring attention.  
The Volcker Rule compliance program is on schedule for implementation by the corporate deadline. The TRACE report and other trade reporting and processing controls requiring automation or manual process implementation do not rise to the level of a material risk.    </t>
    </r>
    <r>
      <rPr>
        <sz val="11"/>
        <color rgb="FFFFFF00"/>
        <rFont val="Calibri"/>
        <family val="2"/>
        <scheme val="minor"/>
      </rPr>
      <t xml:space="preserve">                                                                                                                                                                                                                                                                 </t>
    </r>
    <r>
      <rPr>
        <sz val="11"/>
        <color theme="1"/>
        <rFont val="Calibri"/>
        <family val="2"/>
        <scheme val="minor"/>
      </rPr>
      <t xml:space="preserve">                                           </t>
    </r>
  </si>
  <si>
    <r>
      <t xml:space="preserve">The </t>
    </r>
    <r>
      <rPr>
        <b/>
        <sz val="11"/>
        <color theme="1"/>
        <rFont val="Calibri"/>
        <family val="2"/>
        <scheme val="minor"/>
      </rPr>
      <t>EMLA Bonds</t>
    </r>
    <r>
      <rPr>
        <sz val="11"/>
        <color theme="1"/>
        <rFont val="Calibri"/>
        <family val="2"/>
        <scheme val="minor"/>
      </rPr>
      <t xml:space="preserve"> desk is expecting a 16% increase in business for 2016 and additional 44% increase in business for 2017 if 1) new (Carribbean) issuers are approved with increased limits; 2) improve consistency and competitiveness in USD Mexican and Brazil corporate bonds; 3) improve consistency and competitiveness in USD Sovereign and Quasis (Mex Col) bonds; and </t>
    </r>
    <r>
      <rPr>
        <sz val="11"/>
        <rFont val="Calibri"/>
        <family val="2"/>
        <scheme val="minor"/>
      </rPr>
      <t xml:space="preserve">4) Colombian Treasury </t>
    </r>
    <r>
      <rPr>
        <sz val="11"/>
        <color theme="1"/>
        <rFont val="Calibri"/>
        <family val="2"/>
        <scheme val="minor"/>
      </rPr>
      <t xml:space="preserve">and real money approach. 
The </t>
    </r>
    <r>
      <rPr>
        <b/>
        <sz val="11"/>
        <color theme="1"/>
        <rFont val="Calibri"/>
        <family val="2"/>
        <scheme val="minor"/>
      </rPr>
      <t>High Grade</t>
    </r>
    <r>
      <rPr>
        <sz val="11"/>
        <color theme="1"/>
        <rFont val="Calibri"/>
        <family val="2"/>
        <scheme val="minor"/>
      </rPr>
      <t xml:space="preserve"> bonds desk started in 2014. The desk is expecting a 220% increase in business for 2016 and additional 72% increase in business for 2017 if 1) hiring resources necessary to execute plan and 2) allow maturity period to generate revenues. If taking costs and expenses into consideration, the desk expects to breakeven in 2016 and 2017. 
Please see attached powerpoint on GrowthE2017.ppt for more information. </t>
    </r>
  </si>
  <si>
    <r>
      <t xml:space="preserve">SIS's Fixed Income Sales and Trading covers two desks: EMLA Bonds and High Grade Bonds. 
The main objective of the </t>
    </r>
    <r>
      <rPr>
        <b/>
        <sz val="11"/>
        <color theme="1"/>
        <rFont val="Calibri"/>
        <family val="2"/>
        <scheme val="minor"/>
      </rPr>
      <t>EMLA Bonds</t>
    </r>
    <r>
      <rPr>
        <sz val="11"/>
        <color theme="1"/>
        <rFont val="Calibri"/>
        <family val="2"/>
        <scheme val="minor"/>
      </rPr>
      <t xml:space="preserve"> desk is to provide clients with the best trade execution services for Latin American Corporate and Sovereign Bonds, with a significant focus on the markets where Santander maintains a competitive advantage due to its geographic locations throughout Latin America. The desk provides liquidity pricing, valuation and trading services to Private Banks, Hedge Funds, Insurance companies, etc. These clients are mainly US clients, but the desk provides quotes and trades with European, Asian and Latin American institutional clients. 
</t>
    </r>
    <r>
      <rPr>
        <sz val="11"/>
        <rFont val="Calibri"/>
        <family val="2"/>
        <scheme val="minor"/>
      </rPr>
      <t xml:space="preserve">
The </t>
    </r>
    <r>
      <rPr>
        <b/>
        <sz val="11"/>
        <rFont val="Calibri"/>
        <family val="2"/>
        <scheme val="minor"/>
      </rPr>
      <t xml:space="preserve">EMLA Bond </t>
    </r>
    <r>
      <rPr>
        <sz val="11"/>
        <rFont val="Calibri"/>
        <family val="2"/>
        <scheme val="minor"/>
      </rPr>
      <t>desk</t>
    </r>
    <r>
      <rPr>
        <sz val="11"/>
        <color theme="1"/>
        <rFont val="Calibri"/>
        <family val="2"/>
        <scheme val="minor"/>
      </rPr>
      <t xml:space="preserve"> is not a major user of the </t>
    </r>
    <r>
      <rPr>
        <sz val="11"/>
        <rFont val="Calibri"/>
        <family val="2"/>
        <scheme val="minor"/>
      </rPr>
      <t xml:space="preserve">Firm's balance sheet because trades are back-to-back with Banco Santander, S.A. (Madrid) and, as such, unless there is a operational error, generally all positions are held by Banco Santander (Madrid) in its global trading book.  Most trades are of bonds having a short duration .  The overall strategy of the desk is to maintain a portfolio having low exposure to interest rate risk by keeping the duration short term. The </t>
    </r>
    <r>
      <rPr>
        <sz val="11"/>
        <color theme="1"/>
        <rFont val="Calibri"/>
        <family val="2"/>
        <scheme val="minor"/>
      </rPr>
      <t xml:space="preserve">desk maintains long and short positions. Short positions are covered via Repos done by the Short term Desk in Madrid. 
The main objective of the </t>
    </r>
    <r>
      <rPr>
        <b/>
        <sz val="11"/>
        <color theme="1"/>
        <rFont val="Calibri"/>
        <family val="2"/>
        <scheme val="minor"/>
      </rPr>
      <t xml:space="preserve">High Grade Bonds </t>
    </r>
    <r>
      <rPr>
        <sz val="11"/>
        <color theme="1"/>
        <rFont val="Calibri"/>
        <family val="2"/>
        <scheme val="minor"/>
      </rPr>
      <t>desk is to provide our clients with market making services in sectors and credit that the Desk is approved to trade in the U.S. High Grade Bond trading area, providing pricing, valuation and liquidity to Institutional clients, mostly Mutual Funds, Pension funds, Sovereign Wealth Funds, Insurance Companies, Hedge Funds, Private Banks, and Broker Dealers. These clients are mainly US clients, but the desk may make markets for European, Asian and Latin American institutional clients. 
Both Desks effect transactions on behalf of Banco Santander S.A. Madrid book's positions to hedge interest rate risk. The transactions are classified as pure flow market making activity, where the customer faces SIS and then the risk is booked to Santander S.A. Madrid.  The inventory for both d</t>
    </r>
    <r>
      <rPr>
        <sz val="11"/>
        <rFont val="Calibri"/>
        <family val="2"/>
        <scheme val="minor"/>
      </rPr>
      <t>esks is</t>
    </r>
    <r>
      <rPr>
        <sz val="11"/>
        <color theme="1"/>
        <rFont val="Calibri"/>
        <family val="2"/>
        <scheme val="minor"/>
      </rPr>
      <t xml:space="preserve"> maintained by Santander SA Madrid and risk is managed by th</t>
    </r>
    <r>
      <rPr>
        <sz val="11"/>
        <rFont val="Calibri"/>
        <family val="2"/>
        <scheme val="minor"/>
      </rPr>
      <t>e applicable SIS trading desk. Each day, the trading desk closes with zero positions in SIS book.   The Desks commit capital through position taking by Banco Santander Madrid to provide clients with both standard and customized transactions to help them achieve a variety of investment objectives, such as ability to take positions, manage risk across portfolios, and implement strategies to hedge risk.</t>
    </r>
    <r>
      <rPr>
        <sz val="11"/>
        <color theme="1"/>
        <rFont val="Calibri"/>
        <family val="2"/>
        <scheme val="minor"/>
      </rPr>
      <t xml:space="preserve">
</t>
    </r>
  </si>
  <si>
    <t>Product was approved on November 25, 2014</t>
  </si>
  <si>
    <t>Product was launched immediately upon approval</t>
  </si>
  <si>
    <r>
      <t xml:space="preserve">Any new product or service that Santander NY Branch and SIS intends to market or transact must be sent to Legal and Compliance, who after revision and circulation through all departments, will call the ‘Local New Products Committee” in New York. After the product is approved locally it will be sent to the Global New Products Committee in Madrid. Refer to 'Santander New Products' Policy and Procedure'  for more details. 
Local New Products Committee (LNPC ) is the body responsible for communicating with the Corporate Marketing Committee (CMC), based in Madrid. The LNPC is created  to evaluate products and services marketed by Front Office. The LNPC is responsible for carrying out these procedures to obtain the approval of new products and services, coordinating the entire process and verifying that each area involved has given its opinion and granted the respective authorizations. The LNPC will be chaired by the General Manager of BSNY and its composition will be similar to that of the CMC. A representative of the department promoting the new product or service will form part of the LNPC for the purpose of presenting and processing the product for approval.
A unanimous vote of the Committee is required for approval. The LNPC consists of the following individuals (or his designee):
</t>
    </r>
    <r>
      <rPr>
        <sz val="11"/>
        <color theme="1"/>
        <rFont val="Calibri"/>
        <family val="2"/>
      </rPr>
      <t>· BSNY General Manager or SIS CEO (depending on the entity that will provide the product)</t>
    </r>
    <r>
      <rPr>
        <sz val="11"/>
        <color theme="1"/>
        <rFont val="Calibri"/>
        <family val="2"/>
        <scheme val="minor"/>
      </rPr>
      <t xml:space="preserve">
· The Head of Global Banking and Markets – NY HUB
· Chief Legal Officer and Chief Risk Officer (also represents Tax)
</t>
    </r>
    <r>
      <rPr>
        <b/>
        <sz val="11"/>
        <color theme="1"/>
        <rFont val="Calibri"/>
        <family val="2"/>
        <scheme val="minor"/>
      </rPr>
      <t xml:space="preserve">· </t>
    </r>
    <r>
      <rPr>
        <sz val="11"/>
        <color theme="1"/>
        <rFont val="Calibri"/>
        <family val="2"/>
        <scheme val="minor"/>
      </rPr>
      <t xml:space="preserve">The Head of Information Technology &amp; Operations – NY Hub
</t>
    </r>
    <r>
      <rPr>
        <b/>
        <sz val="11"/>
        <color theme="1"/>
        <rFont val="Calibri"/>
        <family val="2"/>
        <scheme val="minor"/>
      </rPr>
      <t xml:space="preserve">· </t>
    </r>
    <r>
      <rPr>
        <sz val="11"/>
        <color theme="1"/>
        <rFont val="Calibri"/>
        <family val="2"/>
        <scheme val="minor"/>
      </rPr>
      <t xml:space="preserve">Head of Financial Accounting and Control
· Head of Global Banking and Markets US Credit Risk
· Chief Market Risk Officer
</t>
    </r>
    <r>
      <rPr>
        <b/>
        <sz val="11"/>
        <color theme="1"/>
        <rFont val="Calibri"/>
        <family val="2"/>
        <scheme val="minor"/>
      </rPr>
      <t xml:space="preserve">· </t>
    </r>
    <r>
      <rPr>
        <sz val="11"/>
        <color theme="1"/>
        <rFont val="Calibri"/>
        <family val="2"/>
        <scheme val="minor"/>
      </rPr>
      <t xml:space="preserve">Head of Internal Audit
· Head of Compliance
· Treasury Officer
· A representative from the business area sponsoring the new product/service.
· Other experts on related matters of interest.
Once a new product or service has been processed as established herein, and before marketing/trading commences, the LNPC will seek the approval of the CMC. Each LNPC will designate a representative to present the specific proposal to the CMC for final authorization. The LNPC is responsible for the follow-up of any new products or services approved by the CMC and should immediately advise the latter of any problems arising in the marketing/trading of the newly approved product. The business area will be responsible for the completion of the post-implementation review. The Secretary will coordinate the process.
</t>
    </r>
  </si>
  <si>
    <t xml:space="preserve">Middle Office Client Onboarding team performs  the first line of due diligence in document collection and verification on behalf of the account holder during account opening process, and Compliance does the second line of defense due diligence on document verification and other compliance checks such as OFAC check, PEPS check and media searches. 
1) Potential customers refuse to verify assets under management as required by the compliance department based on FINRA rules.  
2) Potential customers refuse to provide their complete ownership/control structure in line with the Santander group policy requirements.  
3) Three potential customers that are investment advisers refuse to provide AML related representations to SIS in line with the SEC no-action letter stating that it will not seek enforcement against a broker-dealer that has relied on a registered investment adviser to perform the AML due diligence requirements of the broker-dealer as long as the investment adviser has made certain representations to the broker-dealer concerning the AML due diligence process it performs.  
4) FO would like SIS to register as a broker-dealer in all 50 states.  Currently SIS is registered in nine states. 
5) One potential investment adviser refuses to sign an investment adviser attestation in which it states that it has authority to act on behalf of the investment adviser clients and provides an indemnification to SIS if the investment adviser acts outside of the scope of its authority.  
6) Use of multiple systems/methods (including paper-based processes) and databases leads to erroneous information or delayed information.   
It is recommended that SIS can use an industry standard-based client system to avoid many issues.
</t>
  </si>
  <si>
    <t xml:space="preserve">Expansion risk has been identified during the account opening process, as a result of the following reasons: 
1) Based on SIS' membership agreement with FINRA, SIS is permitted to conduct securities activities with institutional accounts.  FINRA rule 4512(c) defines institutional accounts.  As the FO/MO has not provided documentary evidence that certain potential clients meet the institutional account definition, compliance has not approved the accounts to be opened. 
2)  Santander group policy requires FO/MO to obtain the complete ownership/control structure of the potential client.  Many clients refuse to provide the complete ownership/control structure.  Compliance has not approved the accounts to be opened for potential clients that do not provide the information and where the information is not publicly available.  
3) The SEC has a issued a no-action letter stating that it will not seek enforcement against a broker-dealer that has relied on a registered investment adviser to perform the AML due diligence requirements of the broker-dealer as long as the investment adviser has made certain representations to the broker-dealer concerning the AML due diligence process it performs.  As three investment advisers have refused to provide the representations to SIS, compliance has not approved the accounts to be opened.   
4) FO would like SIS to register in 50 states.  The Compliance department is responsible for registration of the firm, including, if applicable, state broker-dealer registration.  A fifty state analysis of state registration requirements conducted in 2015 by the Compliance department has determined, with the exception of the state of Ohio, that the firm does not require broker-dealer registration in each state in consideration of specified definitions and exemptions.  Notwithstanding, in the event of regulatory scrutiny, the burden of proof that broker-dealer registration is not required in a particular jurisdiction typically will rest with a firm. Notwithstanding the above, some U.S.-originated pension funds, due to strict internal requirements, require potential broker/dealers to register in the state in which the fund operates.  Accordingly, the firm maintains broker-dealer registration in several state but not all states.  
5) Rather than require each investment adviser to provide evidence of its authority to trade on behalf of its clients, SIS requires investment advisers to provide an attestation concerning its authority to act on behalf of the investment adviser clients and an indemnification to SIS is the investment adviser acts outside of the scope of its authority.  One client has refused to provide the attestation letter.  Compliance has not approved the account to be opened. 
6)  To track approved customers, compliance downloads the customer information file from the GEM database of customers opened on the books of SIS.  To open customers, SIS uses an excel sheet to track pending documents for potential customers, paper-based forms to be completed and signed manually, the Goldtier tool for tax form verification, email to send out approval notices to the static team and FO/MO/BO and the Synergy system for document retention.  FO/MO uses the GEM database or the EST tool to communicate with Murex Europa to open the account.  The use of various systems and various points of data entry causes input errors (i.e. different customer name in each system) and leads to multiple input of the same data.  FO/MO has access to all of the databases and therefore reviews multiple systems to determine if an account is ready to transact business.    With the increased anti-money laundering and onboarding requirements, SIS should implement one system to onboard and access customer information.  
</t>
  </si>
  <si>
    <t xml:space="preserve">The total budget for the business is $20.25M. The business has decided an annual expected loss of $1-5M because this will already be a large portion of the total budget. The stressed financial impact will be $5-50M impact even with the substantial exposure. </t>
  </si>
  <si>
    <t xml:space="preserve">Controls related to SIS NY for the majority of the time is deferred to Madrid support teams.  
1) Operational Risk - Middle Office continues to monitor operational issues and raises them to local and Madrid's IT and Operational Risks for solutions. 
2) Market Risk - Middle Office runs reconciliation report between BBG and Murex to track price differences and works with Market Risk in Madrid to resolve significant differences. It is recommended to either Market Risk NY or Madrid also tracks and analyzes differences in PnL between the two entities. 
3) Credit Risk - Currently there is no control, but there is a initiative to develop DVP limits setting and monitoring between IT and Credit Risk. 
4) Compliance - Since incident, the control for wash trade has been developed and is primarily detective and is manual. Compliance assessment is done annually. 
5) New Products - The traders base their trading limits on a APS documents. A new product -- ABS -- was recently approved in Market Risk Madrid (without a public notification to other support areas or an updated APS), but was not notified to NY. The NY traders traded the product without a review having been done by the Firm. It is recommended that Market Risk NY should also be included in any communication regarding approval of new products in Madrid related to EMLA and HG bond desks, so they can help issue a public notification to SIS NY support areas. 
In these scenarios, it is recommended that enhanced controls locally for SIS NY across the support areas will provide more preventive measures.
</t>
  </si>
  <si>
    <t xml:space="preserve">There is an operational risk on the process management due to the ineffective or lack of risk coordination and control between SIS NY and Banco Santander SA Madrid. 
SIS is a not registered market maker.  SIS trades against the Bank’s books in Madrid and, therefore, client-trades generate two tickets: one from our Madrid books to SIS, and another from SIS to the client. Given the nature of the activity and that there are no positions maintained on SIS’ books, SIS has not established Market Risk limits specific to this activity; all Market Risk and position limits are monitored by Banco Santander, S.A., which holds the positions.
However, SIS traders are responsible for the risks held in Banco Santander SA Madrid.  As a result of this arrangement, many risks are being monitored by local teams in Madrid, leaving SIS NY with minimal to no monitoring. For example, 
1) Operational Risk - SIS was left with an open position in SIS NY because of a mistake between client, Pershing, and Citi. Many incidents reported on the dashboard for SIS NY is requested to be removed if support team responsible is in Madrid, resulting in open positions and a lack of operational risk monitoring in SIS NY. 
2) Market Risk - There are price differences between BBG (marked by NY trader in NY hours) and Murex (marked by Madrid in Madrid hours). Also, there is also no active Front Office to Accounting reconciliation of positions and PnL of SIS NY books; a reconciliation may help to identify discrepancies between the areas. 
3) Credit Risk - Counterparty faces SIS NY but there is currently no monitoring of the DVP settlement risks. There is a initiative to develop DVP limits setting and monitoring between IT and Credit Risk. 
4) Compliance - Trader was recently dismissed for conducting wash trades after being informed by FINRA. 
5) New Products - Asset Backed Securities (ABS) was recently approved by Market Risk Madrid. However, traders did not receive clarification from SIS NY Compliance and Market Risk on whether this is also approved in SIS NY. The traders have traded this product and this remains unclear if it has been officially approved for SIS NY. 
As a result of the absence of these controls, there have been reoccurring PnL and risk gaps and discrepancies that are still unsolved today. There should be enhanced control for SIS NY entity locally to prevent the possibility that one or more of the aforementioned issues occurred whereby SIS would be exposed to greater material losses.   
</t>
  </si>
  <si>
    <t xml:space="preserve">Middle Office manually controls and reconciles all the differences in BTS-TOMS-MUREX on a daily basis. The excel-based control currently is not sufficient and preventative, as volume is growing and does not cover all fields for reconciliation. 
1) STP bond static data issues are reported daily to SBGM Administracion Securites &lt;sbgm_securities@gruposantander.com&gt; by Middle Office, but sometimes it takes the team overnight to fix the static issues causing incorrect risks and P&amp;L. 
2) STP client static data issues are reported daily to SBGM Administracion entidades &lt;sbgm.entidades@gruposantander.com&gt; by Middle Office, but sometimes it takes the team overnight to set up causing trades to not be booked and allocated leading to incorrect risks and P&amp;L. 
3) Reconciliation are reported daily to Buzon Soporte Sala Monitores &lt;bzsupsalamonitores@isban.es&gt;, but sometimes it takes the team overnight to find out what is the cause of the issue is and always related to set up.  
4) &amp; 5) STP issues with new users and new books set up are reported locally to InfoSec New York &lt;infosec@santander.us&gt; by Middle Office, but for some reasons, they are never set up correctly causing delay in user access and manual intervention. 
Enhanced monitoring of the manual process is being reviewed with IT, but there are still many operational gaps in the communication between NY operational teams and with Madrid operational teams. Local IT and Operational teams rely on Middle Office to coordinate and resolve any gaps. This has been escalated to local IT who has been working on a reconciliation for the past two years.  Other enhancements such as moving the reconciliation responsibility to IT has been suggested but denied. It is recommended that IT works to resolves these STP issues and clearly documents support areas responsible for the process management for each step. </t>
  </si>
  <si>
    <t xml:space="preserve">There is an operational risk in the current process management of SIS's Front Office IT infrastructure. The  Front Office trade capture workflow for SIS Fixed Income Trading  starts with multiple electronic trading platforms (MarkitAxess, TradeWeb, etc) to BBG NY (BTS) to BBG Madrid (TOMS) to Murex Europa (risk recording system), then it flows to other downstream systems outside the Front office's role.  This IT infrastructure involves multiple units in NY and Madrid. When this was implemented in 2012, the proper support for this infrastructure was not set up. This has created multiple operational risk issues in the past years: 
1) Straight through processing issues, where bonds do not correctly flow through all systems due to static differences on each platforms. This creates many different types of workaround and manual intervention for traders and Middle office. For example, UDI (Inflation Linked Mexican Currency) factors, bond settlement workarounds, etc. 
2) Straight through processing issues, where clients, subaccounts, and allocations are not correctly set up on each platforms. This takes a long time for Madrid Reference Data team to create, causing trade capture delay. 
3) Lack of enhanced reconciliation process between systems. As IT did not take on this role, Middle Office NY created a manual reconciliation. However, as volume is growing, this manual excel based reconciliation will not be sustainable. It has been raised to IT since the 2012 migration, and the development is still on going the last 2 years.  The current development is missing splits and resolution to other issues. 
4) New user issues. To set up a new user takes the bank 1-2 months, and it is always set up incorrectly the first time. 
5) New book issues. New books are always set up incorrectly the first time and takes a week to resolve, resulting in manual intervention by Middle Office to resolve STP issues including booking trades multiple of times. 
When STP fails, this affects Market Risk, Credit Risk, Settlements, and other support areas because these teams will lack control without the proper information flowing to their systems. 
</t>
  </si>
  <si>
    <t>All significant risk events are reviewed at the monthly Risk Committee.  The meeting is chaired by the CRO. Areas reviewed monthly include  market risk metrics related to the ETD business, including a price sensitivity analysis of the positions held at CME; a review of the margin requirements and the amount of excess margin maintained by the customer; counterpart credit risk; liquidity risk and the liquidity buffer; operational risk and a review of operational errors and failure in processes;  a report from Information Technology and Operations (ITOPs) reviewing significant items and tolerance metrics; compliance matters including any  examination reviews and findings; and, legal matters including threatened and pending litigation.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</si>
</sst>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theme="1"/>
      <name val="Calibri"/>
      <family val="2"/>
    </font>
    <font>
      <sz val="11"/>
      <color rgb="FFFFFF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40">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63" fillId="0" borderId="2" xfId="0" applyFont="1" applyBorder="1" applyAlignment="1" applyProtection="1">
      <alignment vertical="center" wrapText="1"/>
      <protection locked="0"/>
    </xf>
    <xf numFmtId="0" fontId="63" fillId="0" borderId="2" xfId="0" applyFont="1" applyBorder="1" applyAlignment="1" applyProtection="1">
      <alignment vertical="center" wrapText="1"/>
      <protection locked="0"/>
    </xf>
    <xf numFmtId="0" fontId="63" fillId="0" borderId="26" xfId="0" applyFont="1" applyBorder="1" applyAlignment="1" applyProtection="1">
      <alignment horizontal="left" vertical="center" wrapText="1"/>
      <protection locked="0"/>
    </xf>
    <xf numFmtId="0" fontId="63" fillId="0" borderId="21" xfId="0" applyFont="1" applyBorder="1" applyAlignment="1" applyProtection="1">
      <alignment horizontal="left" vertical="center" wrapText="1"/>
      <protection locked="0"/>
    </xf>
    <xf numFmtId="0" fontId="63" fillId="0" borderId="26" xfId="0" applyFont="1" applyFill="1" applyBorder="1" applyAlignment="1" applyProtection="1">
      <alignment horizontal="left" vertical="center" wrapText="1"/>
      <protection locked="0"/>
    </xf>
    <xf numFmtId="14" fontId="63" fillId="0" borderId="21" xfId="0" applyNumberFormat="1" applyFont="1" applyFill="1" applyBorder="1" applyAlignment="1" applyProtection="1">
      <alignment horizontal="left" vertical="center" wrapText="1"/>
      <protection locked="0"/>
    </xf>
    <xf numFmtId="0" fontId="63" fillId="0" borderId="21" xfId="0" applyFont="1" applyFill="1" applyBorder="1" applyAlignment="1" applyProtection="1">
      <alignment horizontal="left" vertical="center" wrapText="1"/>
      <protection locked="0"/>
    </xf>
    <xf numFmtId="0" fontId="19" fillId="4" borderId="3" xfId="0" applyFont="1" applyFill="1" applyBorder="1" applyAlignment="1">
      <alignment vertical="center" wrapText="1"/>
    </xf>
    <xf numFmtId="0" fontId="0" fillId="31" borderId="0" xfId="0" applyFill="1" applyProtection="1"/>
    <xf numFmtId="0" fontId="6" fillId="31" borderId="0" xfId="0" applyFont="1" applyFill="1" applyProtection="1"/>
    <xf numFmtId="0" fontId="45" fillId="0" borderId="34" xfId="0" applyFont="1" applyFill="1" applyBorder="1" applyAlignment="1">
      <alignment horizontal="left"/>
    </xf>
    <xf numFmtId="0" fontId="6" fillId="30" borderId="0" xfId="0" applyFont="1" applyFill="1"/>
    <xf numFmtId="0" fontId="45" fillId="30" borderId="34" xfId="0" applyFont="1" applyFill="1" applyBorder="1" applyAlignment="1">
      <alignment horizontal="left" vertical="center"/>
    </xf>
    <xf numFmtId="0" fontId="0" fillId="30" borderId="34" xfId="0" applyFill="1" applyBorder="1"/>
    <xf numFmtId="0" fontId="6" fillId="30" borderId="0" xfId="0" applyFont="1" applyFill="1" applyProtection="1">
      <protection locked="0"/>
    </xf>
    <xf numFmtId="0" fontId="6" fillId="31" borderId="0" xfId="0" applyFont="1" applyFill="1" applyProtection="1">
      <protection locked="0"/>
    </xf>
    <xf numFmtId="0" fontId="19" fillId="30" borderId="2" xfId="0" applyFont="1" applyFill="1" applyBorder="1" applyAlignment="1">
      <alignment vertical="center" wrapText="1"/>
    </xf>
    <xf numFmtId="0" fontId="45" fillId="30" borderId="34" xfId="0" applyFont="1" applyFill="1" applyBorder="1" applyAlignment="1">
      <alignment horizontal="left"/>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30" borderId="2" xfId="0" applyFont="1" applyFill="1" applyBorder="1" applyAlignment="1" applyProtection="1">
      <alignment vertical="center" wrapText="1"/>
      <protection locked="0"/>
    </xf>
    <xf numFmtId="0" fontId="64" fillId="30" borderId="2" xfId="0" applyFont="1" applyFill="1" applyBorder="1" applyAlignment="1" applyProtection="1">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4" borderId="30" xfId="0" applyFont="1" applyFill="1" applyBorder="1" applyAlignment="1" applyProtection="1">
      <alignment vertical="center" wrapText="1"/>
      <protection locked="0"/>
    </xf>
    <xf numFmtId="0" fontId="64" fillId="4" borderId="31" xfId="0" applyFont="1" applyFill="1" applyBorder="1" applyAlignment="1" applyProtection="1">
      <protection locked="0"/>
    </xf>
    <xf numFmtId="0" fontId="64" fillId="4" borderId="32" xfId="0" applyFont="1" applyFill="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0" fillId="34" borderId="36" xfId="0" applyFill="1" applyBorder="1" applyAlignment="1" applyProtection="1">
      <alignment vertical="top" wrapText="1"/>
      <protection locked="0"/>
    </xf>
    <xf numFmtId="0" fontId="0" fillId="34" borderId="1" xfId="0" applyFill="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64" fillId="34" borderId="35" xfId="0" applyFont="1" applyFill="1" applyBorder="1" applyAlignment="1" applyProtection="1">
      <alignment vertical="top" wrapText="1"/>
      <protection locked="0"/>
    </xf>
    <xf numFmtId="0" fontId="64" fillId="34" borderId="36" xfId="0" applyFont="1" applyFill="1" applyBorder="1" applyAlignment="1" applyProtection="1">
      <alignment vertical="top"/>
      <protection locked="0"/>
    </xf>
    <xf numFmtId="0" fontId="64" fillId="34" borderId="1" xfId="0" applyFont="1" applyFill="1" applyBorder="1" applyAlignment="1" applyProtection="1">
      <alignment vertical="top"/>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heetViews>
  <sheetFormatPr defaultColWidth="0" defaultRowHeight="0" customHeight="1" zeroHeight="1" x14ac:dyDescent="0.25"/>
  <cols>
    <col min="1" max="1" width="28.85546875" style="102" customWidth="1"/>
    <col min="2" max="2" width="9.140625" style="102" customWidth="1"/>
    <col min="3" max="3" width="13" style="102" customWidth="1"/>
    <col min="4" max="4" width="13.140625" style="102" customWidth="1"/>
    <col min="5" max="5" width="47.7109375" style="102"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7" t="s">
        <v>519</v>
      </c>
      <c r="B1" s="43"/>
      <c r="C1" s="43"/>
      <c r="D1" s="43"/>
      <c r="E1" s="43"/>
      <c r="AA1" s="43">
        <v>0</v>
      </c>
    </row>
    <row r="2" spans="1:27" ht="15" x14ac:dyDescent="0.25">
      <c r="A2" s="43"/>
      <c r="B2" s="43"/>
      <c r="C2" s="43"/>
      <c r="D2" s="43"/>
      <c r="E2" s="116" t="s">
        <v>531</v>
      </c>
    </row>
    <row r="3" spans="1:27" ht="15" x14ac:dyDescent="0.25">
      <c r="A3" s="39"/>
      <c r="B3" s="39"/>
      <c r="C3" s="39"/>
      <c r="D3" s="39"/>
      <c r="E3" s="137" t="s">
        <v>513</v>
      </c>
      <c r="F3" s="138"/>
    </row>
    <row r="4" spans="1:27" ht="15" x14ac:dyDescent="0.25">
      <c r="A4" s="39"/>
      <c r="B4" s="39"/>
      <c r="C4" s="39"/>
      <c r="D4" s="39"/>
      <c r="E4" s="139"/>
      <c r="F4" s="140"/>
    </row>
    <row r="5" spans="1:27" ht="4.5" customHeight="1" x14ac:dyDescent="0.25">
      <c r="A5" s="39"/>
      <c r="B5" s="39"/>
      <c r="C5" s="39"/>
      <c r="D5" s="39"/>
      <c r="E5" s="139"/>
      <c r="F5" s="140"/>
    </row>
    <row r="6" spans="1:27" ht="4.5" customHeight="1" x14ac:dyDescent="0.25">
      <c r="A6" s="39"/>
      <c r="B6" s="39"/>
      <c r="C6" s="39"/>
      <c r="D6" s="39"/>
      <c r="E6" s="139"/>
      <c r="F6" s="140"/>
    </row>
    <row r="7" spans="1:27" ht="15" x14ac:dyDescent="0.25">
      <c r="A7" s="39"/>
      <c r="B7" s="39"/>
      <c r="C7" s="39"/>
      <c r="D7" s="39"/>
      <c r="E7" s="139"/>
      <c r="F7" s="140"/>
    </row>
    <row r="8" spans="1:27" ht="15" x14ac:dyDescent="0.25">
      <c r="A8" s="39"/>
      <c r="B8" s="39"/>
      <c r="C8" s="39"/>
      <c r="D8" s="39"/>
      <c r="E8" s="139"/>
      <c r="F8" s="140"/>
    </row>
    <row r="9" spans="1:27" ht="15" x14ac:dyDescent="0.25">
      <c r="A9" s="39"/>
      <c r="B9" s="39"/>
      <c r="C9" s="39"/>
      <c r="D9" s="39"/>
      <c r="E9" s="139"/>
      <c r="F9" s="140"/>
    </row>
    <row r="10" spans="1:27" ht="15" hidden="1" customHeight="1" x14ac:dyDescent="0.25">
      <c r="A10" s="39"/>
      <c r="B10" s="39"/>
      <c r="C10" s="39"/>
      <c r="D10" s="39"/>
      <c r="E10" s="139"/>
      <c r="F10" s="140"/>
    </row>
    <row r="11" spans="1:27" ht="15" hidden="1" customHeight="1" x14ac:dyDescent="0.25">
      <c r="A11" s="39"/>
      <c r="B11" s="39"/>
      <c r="C11" s="39"/>
      <c r="D11" s="39"/>
      <c r="E11" s="139"/>
      <c r="F11" s="140"/>
    </row>
    <row r="12" spans="1:27" ht="15" hidden="1" customHeight="1" x14ac:dyDescent="0.25">
      <c r="A12" s="107"/>
      <c r="B12" s="39"/>
      <c r="C12" s="39"/>
      <c r="D12" s="39"/>
      <c r="E12" s="139"/>
      <c r="F12" s="140"/>
    </row>
    <row r="13" spans="1:27" ht="15" x14ac:dyDescent="0.25">
      <c r="A13" s="39"/>
      <c r="B13" s="39"/>
      <c r="C13" s="39"/>
      <c r="D13" s="39"/>
      <c r="E13" s="139"/>
      <c r="F13" s="140"/>
    </row>
    <row r="14" spans="1:27" ht="15" customHeight="1" x14ac:dyDescent="0.25">
      <c r="A14" s="143" t="s">
        <v>523</v>
      </c>
      <c r="B14" s="144"/>
      <c r="C14" s="145"/>
      <c r="D14" s="145"/>
      <c r="E14" s="139"/>
      <c r="F14" s="140"/>
    </row>
    <row r="15" spans="1:27" ht="15" customHeight="1" x14ac:dyDescent="0.25">
      <c r="A15" s="146"/>
      <c r="B15" s="147"/>
      <c r="C15" s="148"/>
      <c r="D15" s="148"/>
      <c r="E15" s="139"/>
      <c r="F15" s="140"/>
    </row>
    <row r="16" spans="1:27" ht="15" customHeight="1" x14ac:dyDescent="0.25">
      <c r="A16" s="146"/>
      <c r="B16" s="147"/>
      <c r="C16" s="148"/>
      <c r="D16" s="148"/>
      <c r="E16" s="139"/>
      <c r="F16" s="140"/>
    </row>
    <row r="17" spans="1:6" ht="53.25" customHeight="1" x14ac:dyDescent="0.25">
      <c r="A17" s="146"/>
      <c r="B17" s="147"/>
      <c r="C17" s="148"/>
      <c r="D17" s="148"/>
      <c r="E17" s="139"/>
      <c r="F17" s="140"/>
    </row>
    <row r="18" spans="1:6" ht="15" x14ac:dyDescent="0.25">
      <c r="A18" s="146"/>
      <c r="B18" s="147"/>
      <c r="C18" s="148"/>
      <c r="D18" s="148"/>
      <c r="E18" s="139"/>
      <c r="F18" s="140"/>
    </row>
    <row r="19" spans="1:6" ht="15" x14ac:dyDescent="0.25">
      <c r="A19" s="146"/>
      <c r="B19" s="147"/>
      <c r="C19" s="148"/>
      <c r="D19" s="148"/>
      <c r="E19" s="139"/>
      <c r="F19" s="140"/>
    </row>
    <row r="20" spans="1:6" ht="15" x14ac:dyDescent="0.25">
      <c r="A20" s="146"/>
      <c r="B20" s="147"/>
      <c r="C20" s="148"/>
      <c r="D20" s="148"/>
      <c r="E20" s="139"/>
      <c r="F20" s="140"/>
    </row>
    <row r="21" spans="1:6" ht="15" x14ac:dyDescent="0.25">
      <c r="A21" s="146"/>
      <c r="B21" s="147"/>
      <c r="C21" s="148"/>
      <c r="D21" s="148"/>
      <c r="E21" s="139"/>
      <c r="F21" s="140"/>
    </row>
    <row r="22" spans="1:6" ht="15" x14ac:dyDescent="0.25">
      <c r="A22" s="146"/>
      <c r="B22" s="147"/>
      <c r="C22" s="148"/>
      <c r="D22" s="148"/>
      <c r="E22" s="139"/>
      <c r="F22" s="140"/>
    </row>
    <row r="23" spans="1:6" ht="15" x14ac:dyDescent="0.25">
      <c r="A23" s="146"/>
      <c r="B23" s="147"/>
      <c r="C23" s="148"/>
      <c r="D23" s="148"/>
      <c r="E23" s="139"/>
      <c r="F23" s="140"/>
    </row>
    <row r="24" spans="1:6" ht="15" customHeight="1" x14ac:dyDescent="0.25">
      <c r="A24" s="146"/>
      <c r="B24" s="147"/>
      <c r="C24" s="148"/>
      <c r="D24" s="148"/>
      <c r="E24" s="139"/>
      <c r="F24" s="140"/>
    </row>
    <row r="25" spans="1:6" ht="15" customHeight="1" x14ac:dyDescent="0.25">
      <c r="A25" s="146"/>
      <c r="B25" s="147"/>
      <c r="C25" s="148"/>
      <c r="D25" s="148"/>
      <c r="E25" s="139"/>
      <c r="F25" s="140"/>
    </row>
    <row r="26" spans="1:6" ht="15" customHeight="1" x14ac:dyDescent="0.25">
      <c r="A26" s="146"/>
      <c r="B26" s="147"/>
      <c r="C26" s="148"/>
      <c r="D26" s="148"/>
      <c r="E26" s="139"/>
      <c r="F26" s="140"/>
    </row>
    <row r="27" spans="1:6" ht="36" customHeight="1" x14ac:dyDescent="0.25">
      <c r="A27" s="146"/>
      <c r="B27" s="147"/>
      <c r="C27" s="148"/>
      <c r="D27" s="148"/>
      <c r="E27" s="139"/>
      <c r="F27" s="140"/>
    </row>
    <row r="28" spans="1:6" ht="36" customHeight="1" x14ac:dyDescent="0.25">
      <c r="A28" s="146"/>
      <c r="B28" s="147"/>
      <c r="C28" s="148"/>
      <c r="D28" s="148"/>
      <c r="E28" s="139"/>
      <c r="F28" s="140"/>
    </row>
    <row r="29" spans="1:6" ht="36" customHeight="1" x14ac:dyDescent="0.25">
      <c r="A29" s="146"/>
      <c r="B29" s="147"/>
      <c r="C29" s="148"/>
      <c r="D29" s="148"/>
      <c r="E29" s="139"/>
      <c r="F29" s="140"/>
    </row>
    <row r="30" spans="1:6" ht="36" customHeight="1" x14ac:dyDescent="0.25">
      <c r="A30" s="146"/>
      <c r="B30" s="147"/>
      <c r="C30" s="148"/>
      <c r="D30" s="148"/>
      <c r="E30" s="139"/>
      <c r="F30" s="140"/>
    </row>
    <row r="31" spans="1:6" ht="36" customHeight="1" x14ac:dyDescent="0.25">
      <c r="A31" s="146"/>
      <c r="B31" s="147"/>
      <c r="C31" s="148"/>
      <c r="D31" s="148"/>
      <c r="E31" s="139"/>
      <c r="F31" s="140"/>
    </row>
    <row r="32" spans="1:6" ht="15" x14ac:dyDescent="0.25">
      <c r="A32" s="146"/>
      <c r="B32" s="147"/>
      <c r="C32" s="148"/>
      <c r="D32" s="148"/>
      <c r="E32" s="139"/>
      <c r="F32" s="140"/>
    </row>
    <row r="33" spans="1:6" ht="15" customHeight="1" x14ac:dyDescent="0.25">
      <c r="A33" s="146"/>
      <c r="B33" s="147"/>
      <c r="C33" s="148"/>
      <c r="D33" s="148"/>
      <c r="E33" s="139"/>
      <c r="F33" s="140"/>
    </row>
    <row r="34" spans="1:6" ht="15" customHeight="1" x14ac:dyDescent="0.25">
      <c r="A34" s="146"/>
      <c r="B34" s="147"/>
      <c r="C34" s="148"/>
      <c r="D34" s="148"/>
      <c r="E34" s="139"/>
      <c r="F34" s="140"/>
    </row>
    <row r="35" spans="1:6" ht="15" x14ac:dyDescent="0.25">
      <c r="A35" s="146"/>
      <c r="B35" s="147"/>
      <c r="C35" s="148"/>
      <c r="D35" s="148"/>
      <c r="E35" s="139"/>
      <c r="F35" s="140"/>
    </row>
    <row r="36" spans="1:6" ht="31.5" customHeight="1" x14ac:dyDescent="0.25">
      <c r="A36" s="146"/>
      <c r="B36" s="147"/>
      <c r="C36" s="148"/>
      <c r="D36" s="148"/>
      <c r="E36" s="139"/>
      <c r="F36" s="140"/>
    </row>
    <row r="37" spans="1:6" ht="31.5" customHeight="1" x14ac:dyDescent="0.25">
      <c r="A37" s="146"/>
      <c r="B37" s="147"/>
      <c r="C37" s="148"/>
      <c r="D37" s="148"/>
      <c r="E37" s="139"/>
      <c r="F37" s="140"/>
    </row>
    <row r="38" spans="1:6" ht="31.5" customHeight="1" x14ac:dyDescent="0.25">
      <c r="A38" s="146"/>
      <c r="B38" s="147"/>
      <c r="C38" s="148"/>
      <c r="D38" s="148"/>
      <c r="E38" s="139"/>
      <c r="F38" s="140"/>
    </row>
    <row r="39" spans="1:6" ht="31.5" customHeight="1" x14ac:dyDescent="0.25">
      <c r="A39" s="146"/>
      <c r="B39" s="147"/>
      <c r="C39" s="148"/>
      <c r="D39" s="148"/>
      <c r="E39" s="139"/>
      <c r="F39" s="140"/>
    </row>
    <row r="40" spans="1:6" ht="15" x14ac:dyDescent="0.25">
      <c r="A40" s="149"/>
      <c r="B40" s="150"/>
      <c r="C40" s="151"/>
      <c r="D40" s="151"/>
      <c r="E40" s="141"/>
      <c r="F40" s="142"/>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tabSelected="1" view="pageLayout" topLeftCell="A22" zoomScaleNormal="100" zoomScaleSheetLayoutView="100" workbookViewId="0">
      <selection activeCell="A24" sqref="A24:J28"/>
    </sheetView>
  </sheetViews>
  <sheetFormatPr defaultColWidth="0" defaultRowHeight="15" zeroHeight="1" x14ac:dyDescent="0.25"/>
  <cols>
    <col min="1" max="8" width="9.140625" style="43" customWidth="1"/>
    <col min="9" max="10" width="7.7109375" style="43" customWidth="1"/>
    <col min="11" max="11" width="7.7109375" style="117" hidden="1" customWidth="1"/>
    <col min="12" max="15" width="3.85546875" style="117" hidden="1" customWidth="1"/>
    <col min="16" max="16384" width="0.85546875" style="43" hidden="1"/>
  </cols>
  <sheetData>
    <row r="1" spans="1:15 16383:16383" ht="21" x14ac:dyDescent="0.35">
      <c r="B1" s="87"/>
      <c r="L1" s="39"/>
      <c r="M1" s="39"/>
      <c r="N1" s="39"/>
      <c r="O1" s="39"/>
      <c r="XFC1" s="43" t="s">
        <v>494</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7"/>
      <c r="L12" s="36"/>
      <c r="M12" s="36"/>
      <c r="N12" s="36"/>
      <c r="O12" s="36"/>
    </row>
    <row r="13" spans="1:15 16383:16383" x14ac:dyDescent="0.25">
      <c r="K13" s="36"/>
      <c r="L13" s="36"/>
      <c r="M13" s="36"/>
      <c r="N13" s="36"/>
      <c r="O13" s="36"/>
    </row>
    <row r="14" spans="1:15 16383:16383" x14ac:dyDescent="0.25">
      <c r="A14" s="152" t="s">
        <v>310</v>
      </c>
      <c r="B14" s="153"/>
      <c r="C14" s="153"/>
      <c r="D14" s="153"/>
      <c r="E14" s="153"/>
      <c r="F14" s="153"/>
      <c r="G14" s="153"/>
      <c r="H14" s="153"/>
      <c r="I14" s="153"/>
      <c r="J14" s="153"/>
      <c r="K14" s="118"/>
    </row>
    <row r="15" spans="1:15 16383:16383" x14ac:dyDescent="0.25">
      <c r="A15" s="153"/>
      <c r="B15" s="153"/>
      <c r="C15" s="153"/>
      <c r="D15" s="153"/>
      <c r="E15" s="153"/>
      <c r="F15" s="153"/>
      <c r="G15" s="153"/>
      <c r="H15" s="153"/>
      <c r="I15" s="153"/>
      <c r="J15" s="153"/>
    </row>
    <row r="16" spans="1:15 16383:16383" x14ac:dyDescent="0.25">
      <c r="A16" s="153"/>
      <c r="B16" s="153"/>
      <c r="C16" s="153"/>
      <c r="D16" s="153"/>
      <c r="E16" s="153"/>
      <c r="F16" s="153"/>
      <c r="G16" s="153"/>
      <c r="H16" s="153"/>
      <c r="I16" s="153"/>
      <c r="J16" s="153"/>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54" t="s">
        <v>483</v>
      </c>
      <c r="B24" s="155"/>
      <c r="C24" s="155"/>
      <c r="D24" s="155"/>
      <c r="E24" s="155"/>
      <c r="F24" s="155"/>
      <c r="G24" s="155"/>
      <c r="H24" s="155"/>
      <c r="I24" s="155"/>
      <c r="J24" s="155"/>
    </row>
    <row r="25" spans="1:10" x14ac:dyDescent="0.25">
      <c r="A25" s="155"/>
      <c r="B25" s="155"/>
      <c r="C25" s="155"/>
      <c r="D25" s="155"/>
      <c r="E25" s="155"/>
      <c r="F25" s="155"/>
      <c r="G25" s="155"/>
      <c r="H25" s="155"/>
      <c r="I25" s="155"/>
      <c r="J25" s="155"/>
    </row>
    <row r="26" spans="1:10" x14ac:dyDescent="0.25">
      <c r="A26" s="155"/>
      <c r="B26" s="155"/>
      <c r="C26" s="155"/>
      <c r="D26" s="155"/>
      <c r="E26" s="155"/>
      <c r="F26" s="155"/>
      <c r="G26" s="155"/>
      <c r="H26" s="155"/>
      <c r="I26" s="155"/>
      <c r="J26" s="155"/>
    </row>
    <row r="27" spans="1:10" x14ac:dyDescent="0.25">
      <c r="A27" s="156"/>
      <c r="B27" s="156"/>
      <c r="C27" s="156"/>
      <c r="D27" s="156"/>
      <c r="E27" s="156"/>
      <c r="F27" s="156"/>
      <c r="G27" s="156"/>
      <c r="H27" s="156"/>
      <c r="I27" s="156"/>
      <c r="J27" s="156"/>
    </row>
    <row r="28" spans="1:10" x14ac:dyDescent="0.25">
      <c r="A28" s="156"/>
      <c r="B28" s="156"/>
      <c r="C28" s="156"/>
      <c r="D28" s="156"/>
      <c r="E28" s="156"/>
      <c r="F28" s="156"/>
      <c r="G28" s="156"/>
      <c r="H28" s="156"/>
      <c r="I28" s="156"/>
      <c r="J28" s="156"/>
    </row>
    <row r="29" spans="1:10" x14ac:dyDescent="0.25"/>
    <row r="30" spans="1:10" x14ac:dyDescent="0.25"/>
    <row r="31" spans="1:10" x14ac:dyDescent="0.25"/>
    <row r="32" spans="1:10" x14ac:dyDescent="0.25"/>
    <row r="33" spans="1:10" x14ac:dyDescent="0.25">
      <c r="A33" s="157" t="s">
        <v>573</v>
      </c>
      <c r="B33" s="158"/>
      <c r="C33" s="158"/>
      <c r="D33" s="158"/>
      <c r="E33" s="158"/>
      <c r="F33" s="158"/>
      <c r="G33" s="158"/>
      <c r="H33" s="158"/>
      <c r="I33" s="158"/>
      <c r="J33" s="158"/>
    </row>
    <row r="34" spans="1:10" x14ac:dyDescent="0.25">
      <c r="A34" s="158"/>
      <c r="B34" s="158"/>
      <c r="C34" s="158"/>
      <c r="D34" s="158"/>
      <c r="E34" s="158"/>
      <c r="F34" s="158"/>
      <c r="G34" s="158"/>
      <c r="H34" s="158"/>
      <c r="I34" s="158"/>
      <c r="J34" s="158"/>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C5" sqref="C5"/>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494</v>
      </c>
    </row>
    <row r="2" spans="1:27" ht="15.75" thickBot="1" x14ac:dyDescent="0.3"/>
    <row r="3" spans="1:27" ht="29.25" customHeight="1" thickBot="1" x14ac:dyDescent="0.3">
      <c r="A3" s="159" t="s">
        <v>257</v>
      </c>
      <c r="B3" s="160"/>
      <c r="C3" s="105"/>
    </row>
    <row r="4" spans="1:27" ht="33.75" customHeight="1" thickBot="1" x14ac:dyDescent="0.3">
      <c r="A4" s="159" t="s">
        <v>311</v>
      </c>
      <c r="B4" s="160"/>
      <c r="C4" s="106" t="s">
        <v>577</v>
      </c>
    </row>
    <row r="5" spans="1:27" ht="33.75" customHeight="1" thickBot="1" x14ac:dyDescent="0.3">
      <c r="A5" s="159" t="s">
        <v>312</v>
      </c>
      <c r="B5" s="160"/>
      <c r="C5" s="106" t="s">
        <v>535</v>
      </c>
    </row>
    <row r="6" spans="1:27" ht="33.75" customHeight="1" thickBot="1" x14ac:dyDescent="0.3">
      <c r="A6" s="159" t="s">
        <v>1</v>
      </c>
      <c r="B6" s="160"/>
      <c r="C6" s="106" t="s">
        <v>536</v>
      </c>
    </row>
    <row r="7" spans="1:27" ht="45" customHeight="1" thickBot="1" x14ac:dyDescent="0.3">
      <c r="A7" s="159" t="s">
        <v>258</v>
      </c>
      <c r="B7" s="160"/>
      <c r="C7" s="106" t="s">
        <v>559</v>
      </c>
    </row>
    <row r="8" spans="1:27" ht="33.75" customHeight="1" thickBot="1" x14ac:dyDescent="0.3">
      <c r="A8" s="159" t="s">
        <v>514</v>
      </c>
      <c r="B8" s="160"/>
      <c r="C8" s="106"/>
    </row>
    <row r="9" spans="1:27" ht="33.75" customHeight="1" thickBot="1" x14ac:dyDescent="0.3">
      <c r="A9" s="159" t="s">
        <v>515</v>
      </c>
      <c r="B9" s="160"/>
      <c r="C9" s="106"/>
    </row>
    <row r="10" spans="1:27" ht="33.75" customHeight="1" thickBot="1" x14ac:dyDescent="0.3">
      <c r="A10" s="159" t="s">
        <v>259</v>
      </c>
      <c r="B10" s="160"/>
      <c r="C10" s="106" t="s">
        <v>542</v>
      </c>
    </row>
    <row r="11" spans="1:27" ht="33.75" customHeight="1" thickBot="1" x14ac:dyDescent="0.3">
      <c r="A11" s="159" t="s">
        <v>260</v>
      </c>
      <c r="B11" s="160"/>
      <c r="C11" s="106" t="s">
        <v>538</v>
      </c>
    </row>
    <row r="12" spans="1:27" ht="33.75" customHeight="1" thickBot="1" x14ac:dyDescent="0.3">
      <c r="A12" s="159" t="s">
        <v>516</v>
      </c>
      <c r="B12" s="160"/>
      <c r="C12" s="106" t="s">
        <v>537</v>
      </c>
    </row>
    <row r="13" spans="1:27" ht="33.75" customHeight="1" thickBot="1" x14ac:dyDescent="0.3">
      <c r="A13" s="159" t="s">
        <v>261</v>
      </c>
      <c r="B13" s="160"/>
      <c r="C13" s="106" t="s">
        <v>535</v>
      </c>
    </row>
    <row r="14" spans="1:27" x14ac:dyDescent="0.25"/>
    <row r="15" spans="1:27" ht="15.75" thickBot="1" x14ac:dyDescent="0.3">
      <c r="A15" s="67" t="s">
        <v>493</v>
      </c>
      <c r="B15" s="161"/>
      <c r="C15" s="162"/>
    </row>
    <row r="16" spans="1:27" x14ac:dyDescent="0.25"/>
    <row r="17" spans="1:3" x14ac:dyDescent="0.25">
      <c r="A17" s="88" t="s">
        <v>517</v>
      </c>
      <c r="B17" s="47"/>
    </row>
    <row r="18" spans="1:3" x14ac:dyDescent="0.25"/>
    <row r="19" spans="1:3" x14ac:dyDescent="0.25">
      <c r="A19" s="48" t="s">
        <v>262</v>
      </c>
      <c r="B19" s="49"/>
      <c r="C19" s="50"/>
    </row>
    <row r="20" spans="1:3" ht="198.75" customHeight="1" x14ac:dyDescent="0.25">
      <c r="A20" s="163" t="s">
        <v>511</v>
      </c>
      <c r="B20" s="151"/>
      <c r="C20" s="164"/>
    </row>
  </sheetData>
  <sheetProtection password="CDE2" sheet="1" objects="1" scenarios="1"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&amp;CFixed Income Sales and Trading</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12" zoomScale="85" zoomScaleNormal="100" zoomScaleSheetLayoutView="100" zoomScalePageLayoutView="85" workbookViewId="0"/>
  </sheetViews>
  <sheetFormatPr defaultColWidth="0" defaultRowHeight="15" zeroHeight="1" x14ac:dyDescent="0.25"/>
  <cols>
    <col min="1" max="1" width="130.42578125" style="51" customWidth="1"/>
    <col min="2" max="16384" width="2.140625" style="43" hidden="1"/>
  </cols>
  <sheetData>
    <row r="1" spans="1:27" ht="15.75" thickBot="1" x14ac:dyDescent="0.3">
      <c r="A1" s="136" t="s">
        <v>266</v>
      </c>
      <c r="AA1" s="43" t="s">
        <v>495</v>
      </c>
    </row>
    <row r="2" spans="1:27" ht="30" x14ac:dyDescent="0.25">
      <c r="A2" s="42" t="s">
        <v>524</v>
      </c>
    </row>
    <row r="3" spans="1:27" ht="72.75" customHeight="1" x14ac:dyDescent="0.25">
      <c r="A3" s="97" t="s">
        <v>581</v>
      </c>
    </row>
    <row r="4" spans="1:27" ht="15.75" thickBot="1" x14ac:dyDescent="0.3">
      <c r="A4" s="71" t="s">
        <v>263</v>
      </c>
    </row>
    <row r="5" spans="1:27" ht="75" x14ac:dyDescent="0.25">
      <c r="A5" s="42" t="s">
        <v>525</v>
      </c>
    </row>
    <row r="6" spans="1:27" ht="390" x14ac:dyDescent="0.25">
      <c r="A6" s="97" t="s">
        <v>595</v>
      </c>
    </row>
    <row r="7" spans="1:27" ht="15.75" thickBot="1" x14ac:dyDescent="0.3">
      <c r="A7" s="71" t="s">
        <v>264</v>
      </c>
    </row>
    <row r="8" spans="1:27" ht="150" x14ac:dyDescent="0.25">
      <c r="A8" s="42" t="s">
        <v>481</v>
      </c>
    </row>
    <row r="9" spans="1:27" ht="120" x14ac:dyDescent="0.25">
      <c r="A9" s="97" t="s">
        <v>568</v>
      </c>
    </row>
    <row r="10" spans="1:27" ht="15.75" thickBot="1" x14ac:dyDescent="0.3">
      <c r="A10" s="129" t="s">
        <v>265</v>
      </c>
    </row>
    <row r="11" spans="1:27" ht="135" x14ac:dyDescent="0.25">
      <c r="A11" s="42" t="s">
        <v>482</v>
      </c>
    </row>
    <row r="12" spans="1:27" ht="166.5" customHeight="1" x14ac:dyDescent="0.25">
      <c r="A12" s="97" t="s">
        <v>594</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6"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495</v>
      </c>
    </row>
    <row r="2" spans="1:27" x14ac:dyDescent="0.25">
      <c r="A2" s="165" t="s">
        <v>273</v>
      </c>
      <c r="B2" s="166"/>
      <c r="C2" s="166"/>
      <c r="D2" s="166"/>
      <c r="E2" s="166"/>
      <c r="F2" s="166"/>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39" thickBot="1" x14ac:dyDescent="0.3">
      <c r="A5" s="121" t="s">
        <v>543</v>
      </c>
      <c r="B5" s="124" t="s">
        <v>596</v>
      </c>
      <c r="C5" s="124" t="s">
        <v>597</v>
      </c>
      <c r="D5" s="122" t="s">
        <v>540</v>
      </c>
      <c r="E5" s="114" t="s">
        <v>544</v>
      </c>
    </row>
    <row r="6" spans="1:27" ht="15.75" thickBot="1" x14ac:dyDescent="0.3">
      <c r="A6" s="123" t="s">
        <v>539</v>
      </c>
      <c r="B6" s="125" t="s">
        <v>558</v>
      </c>
      <c r="C6" s="125" t="s">
        <v>558</v>
      </c>
      <c r="D6" s="125" t="s">
        <v>557</v>
      </c>
      <c r="E6" s="125" t="s">
        <v>574</v>
      </c>
    </row>
    <row r="7" spans="1:27" ht="15.75" thickBot="1" x14ac:dyDescent="0.3">
      <c r="A7" s="123"/>
      <c r="B7" s="124"/>
      <c r="C7" s="125"/>
      <c r="D7" s="125"/>
      <c r="E7" s="125"/>
    </row>
    <row r="8" spans="1:27" ht="15.75" thickBot="1" x14ac:dyDescent="0.3">
      <c r="A8" s="115"/>
      <c r="B8" s="114"/>
      <c r="C8" s="114"/>
      <c r="D8" s="114"/>
      <c r="E8" s="114"/>
    </row>
    <row r="9" spans="1:27" ht="15.75" thickBot="1" x14ac:dyDescent="0.3">
      <c r="A9" s="115"/>
      <c r="B9" s="114"/>
      <c r="C9" s="114"/>
      <c r="D9" s="114"/>
      <c r="E9" s="114"/>
    </row>
    <row r="10" spans="1:27" x14ac:dyDescent="0.25">
      <c r="A10" s="44"/>
      <c r="B10"/>
      <c r="C10"/>
      <c r="D10"/>
      <c r="E10"/>
    </row>
    <row r="11" spans="1:27" ht="48.75" customHeight="1" x14ac:dyDescent="0.25">
      <c r="A11" s="165" t="s">
        <v>274</v>
      </c>
      <c r="B11" s="167"/>
      <c r="C11" s="167"/>
      <c r="D11" s="167"/>
      <c r="E11" s="167"/>
    </row>
    <row r="12" spans="1:27" ht="409.5" customHeight="1" x14ac:dyDescent="0.25">
      <c r="A12" s="168" t="s">
        <v>598</v>
      </c>
      <c r="B12" s="169"/>
      <c r="C12" s="169"/>
      <c r="D12" s="169"/>
      <c r="E12" s="170"/>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11" sqref="A11"/>
    </sheetView>
  </sheetViews>
  <sheetFormatPr defaultColWidth="0" defaultRowHeight="15" zeroHeight="1" x14ac:dyDescent="0.25"/>
  <cols>
    <col min="1" max="1" width="146.7109375" style="91" customWidth="1"/>
    <col min="2" max="16384" width="2" style="43" hidden="1"/>
  </cols>
  <sheetData>
    <row r="1" spans="1:27" ht="21.75" customHeight="1" thickBot="1" x14ac:dyDescent="0.3">
      <c r="A1" s="71" t="s">
        <v>506</v>
      </c>
      <c r="AA1" s="43" t="s">
        <v>495</v>
      </c>
    </row>
    <row r="2" spans="1:27" ht="57" customHeight="1" x14ac:dyDescent="0.25">
      <c r="A2" s="42" t="s">
        <v>507</v>
      </c>
    </row>
    <row r="3" spans="1:27" ht="48" customHeight="1" x14ac:dyDescent="0.25">
      <c r="A3" s="97" t="s">
        <v>588</v>
      </c>
    </row>
    <row r="4" spans="1:27" ht="24.75" customHeight="1" x14ac:dyDescent="0.25">
      <c r="A4" s="98"/>
    </row>
    <row r="5" spans="1:27" x14ac:dyDescent="0.25">
      <c r="A5" s="99"/>
    </row>
    <row r="6" spans="1:27" x14ac:dyDescent="0.25">
      <c r="A6" s="99"/>
    </row>
    <row r="7" spans="1:27" ht="27.75" customHeight="1" x14ac:dyDescent="0.25">
      <c r="A7" s="98"/>
    </row>
    <row r="8" spans="1:27" ht="21.75" customHeight="1" x14ac:dyDescent="0.25">
      <c r="A8" s="99"/>
    </row>
    <row r="9" spans="1:27" ht="20.25" customHeight="1" x14ac:dyDescent="0.25">
      <c r="A9" s="99"/>
    </row>
    <row r="10" spans="1:27" ht="24.75" customHeight="1" x14ac:dyDescent="0.25">
      <c r="A10" s="98"/>
    </row>
    <row r="11" spans="1:27" ht="22.5" customHeight="1" x14ac:dyDescent="0.25">
      <c r="A11" s="99"/>
    </row>
    <row r="12" spans="1:27" ht="20.25" customHeight="1" x14ac:dyDescent="0.25">
      <c r="A12" s="99"/>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3" zoomScaleNormal="100" workbookViewId="0">
      <selection activeCell="A14" sqref="A14"/>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496</v>
      </c>
      <c r="B1" s="56"/>
      <c r="C1" s="56"/>
      <c r="D1" s="56"/>
      <c r="AA1" s="43" t="s">
        <v>495</v>
      </c>
    </row>
    <row r="2" spans="1:27" x14ac:dyDescent="0.25">
      <c r="A2" s="183" t="s">
        <v>280</v>
      </c>
      <c r="B2" s="184"/>
      <c r="C2" s="184"/>
      <c r="D2" s="184"/>
    </row>
    <row r="3" spans="1:27" x14ac:dyDescent="0.25"/>
    <row r="4" spans="1:27" x14ac:dyDescent="0.25">
      <c r="A4" s="60" t="s">
        <v>275</v>
      </c>
      <c r="B4" s="60" t="s">
        <v>276</v>
      </c>
      <c r="C4" s="60" t="s">
        <v>277</v>
      </c>
      <c r="D4" s="60" t="s">
        <v>278</v>
      </c>
    </row>
    <row r="5" spans="1:27" ht="63.75" x14ac:dyDescent="0.25">
      <c r="A5" s="119" t="s">
        <v>560</v>
      </c>
      <c r="B5" s="119" t="s">
        <v>545</v>
      </c>
      <c r="C5" s="119" t="s">
        <v>545</v>
      </c>
      <c r="D5" s="120" t="s">
        <v>545</v>
      </c>
    </row>
    <row r="6" spans="1:27" x14ac:dyDescent="0.25">
      <c r="A6" s="111"/>
      <c r="B6" s="111"/>
      <c r="C6" s="111"/>
      <c r="D6" s="111"/>
    </row>
    <row r="7" spans="1:27" x14ac:dyDescent="0.25">
      <c r="A7" s="112"/>
      <c r="B7" s="112"/>
      <c r="C7" s="113"/>
      <c r="D7" s="111"/>
    </row>
    <row r="8" spans="1:27" x14ac:dyDescent="0.25">
      <c r="A8" s="111"/>
      <c r="B8" s="111"/>
      <c r="C8" s="111"/>
      <c r="D8" s="111"/>
    </row>
    <row r="9" spans="1:27" x14ac:dyDescent="0.25">
      <c r="A9" s="111"/>
      <c r="B9" s="111"/>
      <c r="C9" s="111"/>
      <c r="D9" s="111"/>
    </row>
    <row r="10" spans="1:27" x14ac:dyDescent="0.25"/>
    <row r="11" spans="1:27" x14ac:dyDescent="0.25">
      <c r="A11" s="43" t="s">
        <v>279</v>
      </c>
    </row>
    <row r="12" spans="1:27" ht="89.25" customHeight="1" x14ac:dyDescent="0.25">
      <c r="A12" s="168" t="s">
        <v>606</v>
      </c>
      <c r="B12" s="181"/>
      <c r="C12" s="181"/>
      <c r="D12" s="182"/>
    </row>
    <row r="13" spans="1:27" ht="20.25" customHeight="1" x14ac:dyDescent="0.25">
      <c r="A13" s="58"/>
      <c r="B13" s="33"/>
      <c r="C13" s="33"/>
      <c r="D13" s="33"/>
    </row>
    <row r="14" spans="1:27" ht="20.25" customHeight="1" thickBot="1" x14ac:dyDescent="0.3">
      <c r="A14" s="110" t="s">
        <v>497</v>
      </c>
      <c r="B14" s="61"/>
      <c r="C14" s="61"/>
      <c r="D14" s="61"/>
    </row>
    <row r="15" spans="1:27" x14ac:dyDescent="0.25">
      <c r="A15" s="62" t="s">
        <v>498</v>
      </c>
      <c r="B15" s="63"/>
      <c r="C15" s="63"/>
      <c r="D15" s="63"/>
    </row>
    <row r="16" spans="1:27" ht="49.5" customHeight="1" x14ac:dyDescent="0.25">
      <c r="A16" s="185" t="s">
        <v>281</v>
      </c>
      <c r="B16" s="148"/>
      <c r="C16" s="148"/>
      <c r="D16" s="148"/>
    </row>
    <row r="17" spans="1:4" x14ac:dyDescent="0.25">
      <c r="A17" s="60" t="s">
        <v>3</v>
      </c>
      <c r="B17" s="186" t="s">
        <v>282</v>
      </c>
      <c r="C17" s="187"/>
      <c r="D17" s="187"/>
    </row>
    <row r="18" spans="1:4" ht="27.75" hidden="1" customHeight="1" x14ac:dyDescent="0.25">
      <c r="A18" s="126" t="s">
        <v>31</v>
      </c>
      <c r="B18" s="178" t="s">
        <v>575</v>
      </c>
      <c r="C18" s="179"/>
      <c r="D18" s="180"/>
    </row>
    <row r="19" spans="1:4" ht="45.75" customHeight="1" x14ac:dyDescent="0.25">
      <c r="A19" s="135" t="s">
        <v>13</v>
      </c>
      <c r="B19" s="174" t="s">
        <v>591</v>
      </c>
      <c r="C19" s="175"/>
      <c r="D19" s="175"/>
    </row>
    <row r="20" spans="1:4" x14ac:dyDescent="0.25">
      <c r="A20" s="135" t="s">
        <v>15</v>
      </c>
      <c r="B20" s="174" t="s">
        <v>569</v>
      </c>
      <c r="C20" s="175"/>
      <c r="D20" s="175"/>
    </row>
    <row r="21" spans="1:4" x14ac:dyDescent="0.25">
      <c r="A21" s="135" t="s">
        <v>11</v>
      </c>
      <c r="B21" s="174" t="s">
        <v>546</v>
      </c>
      <c r="C21" s="175"/>
      <c r="D21" s="175"/>
    </row>
    <row r="22" spans="1:4" ht="15" customHeight="1" x14ac:dyDescent="0.25">
      <c r="A22" s="135" t="s">
        <v>283</v>
      </c>
      <c r="B22" s="174" t="s">
        <v>585</v>
      </c>
      <c r="C22" s="175"/>
      <c r="D22" s="175"/>
    </row>
    <row r="23" spans="1:4" x14ac:dyDescent="0.25">
      <c r="A23" s="135" t="s">
        <v>25</v>
      </c>
      <c r="B23" s="174" t="s">
        <v>541</v>
      </c>
      <c r="C23" s="175"/>
      <c r="D23" s="175"/>
    </row>
    <row r="24" spans="1:4" x14ac:dyDescent="0.25">
      <c r="A24" s="59" t="s">
        <v>17</v>
      </c>
      <c r="B24" s="176" t="s">
        <v>541</v>
      </c>
      <c r="C24" s="177"/>
      <c r="D24" s="177"/>
    </row>
    <row r="25" spans="1:4" x14ac:dyDescent="0.25">
      <c r="A25" s="59" t="s">
        <v>9</v>
      </c>
      <c r="B25" s="176" t="s">
        <v>541</v>
      </c>
      <c r="C25" s="177"/>
      <c r="D25" s="177"/>
    </row>
    <row r="26" spans="1:4" x14ac:dyDescent="0.25"/>
    <row r="27" spans="1:4" ht="15.75" x14ac:dyDescent="0.25">
      <c r="A27" s="108" t="s">
        <v>499</v>
      </c>
    </row>
    <row r="28" spans="1:4" x14ac:dyDescent="0.25">
      <c r="A28" s="109" t="s">
        <v>284</v>
      </c>
    </row>
    <row r="29" spans="1:4" ht="29.25" customHeight="1" x14ac:dyDescent="0.25">
      <c r="A29" s="171" t="s">
        <v>547</v>
      </c>
      <c r="B29" s="172"/>
      <c r="C29" s="172"/>
      <c r="D29" s="173"/>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E16" sqref="E16"/>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495</v>
      </c>
    </row>
    <row r="2" spans="1:27" ht="15.75" thickBot="1" x14ac:dyDescent="0.3">
      <c r="A2" s="131" t="s">
        <v>508</v>
      </c>
      <c r="B2" s="132"/>
      <c r="C2" s="132"/>
      <c r="D2" s="132"/>
      <c r="E2" s="132"/>
      <c r="F2" s="132"/>
    </row>
    <row r="3" spans="1:27" x14ac:dyDescent="0.25">
      <c r="A3" s="43" t="s">
        <v>528</v>
      </c>
    </row>
    <row r="4" spans="1:27" x14ac:dyDescent="0.25">
      <c r="A4" s="66" t="s">
        <v>285</v>
      </c>
      <c r="B4" s="66" t="s">
        <v>286</v>
      </c>
      <c r="C4" s="66" t="s">
        <v>287</v>
      </c>
      <c r="D4" s="66" t="s">
        <v>288</v>
      </c>
      <c r="E4" s="66" t="s">
        <v>289</v>
      </c>
      <c r="F4" s="66" t="s">
        <v>270</v>
      </c>
    </row>
    <row r="5" spans="1:27" ht="25.5" x14ac:dyDescent="0.25">
      <c r="A5" s="103" t="s">
        <v>548</v>
      </c>
      <c r="B5" s="103" t="s">
        <v>549</v>
      </c>
      <c r="C5" s="103" t="s">
        <v>545</v>
      </c>
      <c r="D5" s="104" t="s">
        <v>545</v>
      </c>
      <c r="E5" s="104" t="s">
        <v>545</v>
      </c>
      <c r="F5" s="103" t="s">
        <v>550</v>
      </c>
    </row>
    <row r="6" spans="1:27" ht="51" x14ac:dyDescent="0.25">
      <c r="A6" s="103" t="s">
        <v>553</v>
      </c>
      <c r="B6" s="103" t="s">
        <v>551</v>
      </c>
      <c r="C6" s="103" t="s">
        <v>545</v>
      </c>
      <c r="D6" s="104" t="s">
        <v>545</v>
      </c>
      <c r="E6" s="104" t="s">
        <v>545</v>
      </c>
      <c r="F6" s="103" t="s">
        <v>552</v>
      </c>
    </row>
    <row r="7" spans="1:27" x14ac:dyDescent="0.25">
      <c r="A7" s="103"/>
      <c r="B7" s="103"/>
      <c r="C7" s="103"/>
      <c r="D7" s="104"/>
      <c r="E7" s="104"/>
      <c r="F7" s="103"/>
    </row>
    <row r="8" spans="1:27" x14ac:dyDescent="0.25">
      <c r="A8" s="103"/>
      <c r="B8" s="103"/>
      <c r="C8" s="103"/>
      <c r="D8" s="104"/>
      <c r="E8" s="104"/>
      <c r="F8" s="103"/>
    </row>
    <row r="9" spans="1:27" x14ac:dyDescent="0.25">
      <c r="A9" s="103"/>
      <c r="B9" s="103"/>
      <c r="C9" s="103"/>
      <c r="D9" s="104"/>
      <c r="E9" s="104"/>
      <c r="F9" s="103"/>
    </row>
    <row r="10" spans="1:27" x14ac:dyDescent="0.25">
      <c r="A10" s="103"/>
      <c r="B10" s="103"/>
      <c r="C10" s="103"/>
      <c r="D10" s="104"/>
      <c r="E10" s="104"/>
      <c r="F10" s="103"/>
    </row>
    <row r="11" spans="1:27" x14ac:dyDescent="0.25">
      <c r="A11" s="92"/>
      <c r="B11" s="92"/>
      <c r="C11" s="92"/>
      <c r="D11" s="92"/>
      <c r="E11" s="92"/>
      <c r="F11" s="92"/>
    </row>
    <row r="12" spans="1:27" x14ac:dyDescent="0.25">
      <c r="A12" s="133" t="s">
        <v>520</v>
      </c>
      <c r="B12" s="134"/>
      <c r="C12" s="92"/>
      <c r="D12" s="92"/>
      <c r="E12" s="92"/>
      <c r="F12" s="92"/>
    </row>
    <row r="13" spans="1:27" x14ac:dyDescent="0.25">
      <c r="A13" s="188" t="s">
        <v>582</v>
      </c>
      <c r="B13" s="189"/>
      <c r="C13" s="189"/>
      <c r="D13" s="189"/>
      <c r="E13" s="190"/>
      <c r="F13" s="191"/>
    </row>
    <row r="14" spans="1:27" x14ac:dyDescent="0.25">
      <c r="A14" s="192"/>
      <c r="B14" s="193"/>
      <c r="C14" s="193"/>
      <c r="D14" s="193"/>
      <c r="E14" s="193"/>
      <c r="F14" s="194"/>
    </row>
    <row r="15" spans="1:27" x14ac:dyDescent="0.25">
      <c r="A15" s="92"/>
      <c r="B15" s="92"/>
      <c r="C15" s="92"/>
      <c r="D15" s="92"/>
      <c r="E15" s="92"/>
      <c r="F15" s="92"/>
    </row>
    <row r="16" spans="1:27" x14ac:dyDescent="0.25">
      <c r="A16" s="92"/>
      <c r="B16" s="92"/>
      <c r="C16" s="92"/>
      <c r="D16" s="92"/>
      <c r="E16" s="92"/>
      <c r="F16" s="92"/>
    </row>
    <row r="17" spans="1:6" x14ac:dyDescent="0.25">
      <c r="A17" s="92"/>
      <c r="B17" s="92"/>
      <c r="C17" s="92"/>
      <c r="D17" s="92"/>
      <c r="E17" s="92"/>
      <c r="F17" s="92"/>
    </row>
    <row r="18" spans="1:6" x14ac:dyDescent="0.25">
      <c r="A18" s="92"/>
      <c r="B18" s="92"/>
      <c r="C18" s="92"/>
      <c r="D18" s="92"/>
      <c r="E18" s="92"/>
      <c r="F18" s="92"/>
    </row>
    <row r="19" spans="1:6" x14ac:dyDescent="0.25">
      <c r="A19" s="92"/>
      <c r="B19" s="92"/>
      <c r="C19" s="92"/>
      <c r="D19" s="92"/>
      <c r="E19" s="92"/>
      <c r="F19" s="92"/>
    </row>
    <row r="20" spans="1:6" x14ac:dyDescent="0.25">
      <c r="A20" s="92"/>
      <c r="B20" s="92"/>
      <c r="C20" s="92"/>
      <c r="D20" s="92"/>
      <c r="E20" s="92"/>
      <c r="F20" s="92"/>
    </row>
    <row r="21" spans="1:6" x14ac:dyDescent="0.25">
      <c r="A21" s="92"/>
      <c r="B21" s="92"/>
      <c r="C21" s="92"/>
      <c r="D21" s="92"/>
      <c r="E21" s="92"/>
      <c r="F21" s="92"/>
    </row>
    <row r="22" spans="1:6" x14ac:dyDescent="0.25">
      <c r="A22" s="92"/>
      <c r="B22" s="92"/>
      <c r="C22" s="92"/>
      <c r="D22" s="92"/>
      <c r="E22" s="92"/>
      <c r="F22" s="92"/>
    </row>
    <row r="23" spans="1:6" x14ac:dyDescent="0.25">
      <c r="A23" s="92"/>
      <c r="B23" s="92"/>
      <c r="C23" s="92"/>
      <c r="D23" s="92"/>
      <c r="E23" s="92"/>
      <c r="F23" s="92"/>
    </row>
    <row r="24" spans="1:6" x14ac:dyDescent="0.25">
      <c r="A24" s="92"/>
      <c r="B24" s="92"/>
      <c r="C24" s="92"/>
      <c r="D24" s="92"/>
      <c r="E24" s="92"/>
      <c r="F24" s="92"/>
    </row>
    <row r="25" spans="1:6" x14ac:dyDescent="0.25">
      <c r="A25" s="92"/>
      <c r="B25" s="92"/>
      <c r="C25" s="92"/>
      <c r="D25" s="92"/>
      <c r="E25" s="92"/>
      <c r="F25" s="92"/>
    </row>
    <row r="26" spans="1:6" x14ac:dyDescent="0.25">
      <c r="A26" s="92"/>
      <c r="B26" s="92"/>
      <c r="C26" s="92"/>
      <c r="D26" s="92"/>
      <c r="E26" s="92"/>
      <c r="F26" s="92"/>
    </row>
    <row r="27" spans="1:6" x14ac:dyDescent="0.25">
      <c r="A27" s="92"/>
      <c r="B27" s="92"/>
      <c r="C27" s="92"/>
      <c r="D27" s="92"/>
      <c r="E27" s="92"/>
      <c r="F27" s="92"/>
    </row>
    <row r="28" spans="1:6" x14ac:dyDescent="0.25">
      <c r="A28" s="92"/>
      <c r="B28" s="92"/>
      <c r="C28" s="92"/>
      <c r="D28" s="92"/>
      <c r="E28" s="92"/>
      <c r="F28" s="92"/>
    </row>
    <row r="29" spans="1:6" x14ac:dyDescent="0.25">
      <c r="A29" s="92"/>
      <c r="B29" s="92"/>
      <c r="C29" s="92"/>
      <c r="D29" s="92"/>
      <c r="E29" s="92"/>
      <c r="F29" s="92"/>
    </row>
    <row r="30" spans="1:6" x14ac:dyDescent="0.25">
      <c r="A30" s="92"/>
      <c r="B30" s="92"/>
      <c r="C30" s="92"/>
      <c r="D30" s="92"/>
      <c r="E30" s="92"/>
      <c r="F30" s="92"/>
    </row>
    <row r="31" spans="1:6" x14ac:dyDescent="0.25">
      <c r="A31" s="92"/>
      <c r="B31" s="92"/>
      <c r="C31" s="92"/>
      <c r="D31" s="92"/>
      <c r="E31" s="92"/>
      <c r="F31" s="92"/>
    </row>
    <row r="32" spans="1:6" x14ac:dyDescent="0.25">
      <c r="A32" s="92"/>
      <c r="B32" s="92"/>
      <c r="C32" s="92"/>
      <c r="D32" s="92"/>
      <c r="E32" s="92"/>
      <c r="F32" s="92"/>
    </row>
    <row r="33" spans="1:6" x14ac:dyDescent="0.25">
      <c r="A33" s="92"/>
      <c r="B33" s="92"/>
      <c r="C33" s="92"/>
      <c r="D33" s="92"/>
      <c r="E33" s="92"/>
      <c r="F33" s="92"/>
    </row>
    <row r="34" spans="1:6" x14ac:dyDescent="0.25">
      <c r="A34" s="92"/>
      <c r="B34" s="92"/>
      <c r="C34" s="92"/>
      <c r="D34" s="92"/>
      <c r="E34" s="92"/>
      <c r="F34" s="92"/>
    </row>
    <row r="35" spans="1:6" x14ac:dyDescent="0.25">
      <c r="A35" s="92"/>
      <c r="B35" s="92"/>
      <c r="C35" s="92"/>
      <c r="D35" s="92"/>
      <c r="E35" s="92"/>
      <c r="F35" s="92"/>
    </row>
    <row r="36" spans="1:6" x14ac:dyDescent="0.25">
      <c r="A36" s="92"/>
      <c r="B36" s="92"/>
      <c r="C36" s="92"/>
      <c r="D36" s="92"/>
      <c r="E36" s="92"/>
      <c r="F36" s="92"/>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view="pageLayout" topLeftCell="A37" zoomScaleNormal="100" workbookViewId="0">
      <selection activeCell="B21" sqref="B21"/>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0" t="s">
        <v>509</v>
      </c>
      <c r="B1" s="56"/>
      <c r="C1" s="56"/>
      <c r="AA1" s="43" t="s">
        <v>495</v>
      </c>
    </row>
    <row r="2" spans="1:27" x14ac:dyDescent="0.25">
      <c r="A2" s="67" t="s">
        <v>500</v>
      </c>
    </row>
    <row r="3" spans="1:27" ht="51" customHeight="1" thickBot="1" x14ac:dyDescent="0.3">
      <c r="A3" s="197" t="s">
        <v>290</v>
      </c>
      <c r="B3" s="198"/>
      <c r="C3" s="198"/>
    </row>
    <row r="4" spans="1:27" ht="15.75" thickBot="1" x14ac:dyDescent="0.3">
      <c r="A4" s="64" t="s">
        <v>3</v>
      </c>
      <c r="B4" s="65" t="s">
        <v>291</v>
      </c>
      <c r="C4" s="65" t="s">
        <v>292</v>
      </c>
    </row>
    <row r="5" spans="1:27" ht="16.5" thickBot="1" x14ac:dyDescent="0.3">
      <c r="A5" s="68" t="s">
        <v>39</v>
      </c>
      <c r="B5" s="114" t="s">
        <v>554</v>
      </c>
      <c r="C5" s="114" t="s">
        <v>554</v>
      </c>
    </row>
    <row r="6" spans="1:27" ht="16.5" thickBot="1" x14ac:dyDescent="0.3">
      <c r="A6" s="68" t="s">
        <v>38</v>
      </c>
      <c r="B6" s="114" t="s">
        <v>554</v>
      </c>
      <c r="C6" s="114" t="s">
        <v>554</v>
      </c>
    </row>
    <row r="7" spans="1:27" ht="16.5" thickBot="1" x14ac:dyDescent="0.3">
      <c r="A7" s="68" t="s">
        <v>37</v>
      </c>
      <c r="B7" s="114" t="s">
        <v>554</v>
      </c>
      <c r="C7" s="114" t="s">
        <v>554</v>
      </c>
    </row>
    <row r="8" spans="1:27" ht="16.5" thickBot="1" x14ac:dyDescent="0.3">
      <c r="A8" s="68" t="s">
        <v>34</v>
      </c>
      <c r="B8" s="114" t="s">
        <v>554</v>
      </c>
      <c r="C8" s="114" t="s">
        <v>554</v>
      </c>
    </row>
    <row r="9" spans="1:27" ht="16.5" thickBot="1" x14ac:dyDescent="0.3">
      <c r="A9" s="68" t="s">
        <v>33</v>
      </c>
      <c r="B9" s="114" t="s">
        <v>554</v>
      </c>
      <c r="C9" s="114" t="s">
        <v>554</v>
      </c>
    </row>
    <row r="10" spans="1:27" ht="16.5" thickBot="1" x14ac:dyDescent="0.3">
      <c r="A10" s="68" t="s">
        <v>32</v>
      </c>
      <c r="B10" s="114" t="s">
        <v>554</v>
      </c>
      <c r="C10" s="114" t="s">
        <v>554</v>
      </c>
    </row>
    <row r="11" spans="1:27" ht="16.5" thickBot="1" x14ac:dyDescent="0.3">
      <c r="A11" s="68" t="s">
        <v>30</v>
      </c>
      <c r="B11" s="114" t="s">
        <v>554</v>
      </c>
      <c r="C11" s="114" t="s">
        <v>554</v>
      </c>
    </row>
    <row r="12" spans="1:27" x14ac:dyDescent="0.25"/>
    <row r="13" spans="1:27" x14ac:dyDescent="0.25">
      <c r="A13" s="43" t="s">
        <v>293</v>
      </c>
    </row>
    <row r="14" spans="1:27" ht="21" customHeight="1" x14ac:dyDescent="0.25">
      <c r="A14" s="168" t="s">
        <v>555</v>
      </c>
      <c r="B14" s="195"/>
      <c r="C14" s="196"/>
    </row>
    <row r="15" spans="1:27" x14ac:dyDescent="0.25"/>
    <row r="16" spans="1:27" x14ac:dyDescent="0.25">
      <c r="A16" s="67" t="s">
        <v>501</v>
      </c>
    </row>
    <row r="17" spans="1:3" x14ac:dyDescent="0.25">
      <c r="A17" s="43" t="s">
        <v>294</v>
      </c>
    </row>
    <row r="18" spans="1:3" ht="78.75" customHeight="1" x14ac:dyDescent="0.25">
      <c r="A18" s="168" t="s">
        <v>589</v>
      </c>
      <c r="B18" s="195"/>
      <c r="C18" s="196"/>
    </row>
    <row r="19" spans="1:3" x14ac:dyDescent="0.25"/>
    <row r="20" spans="1:3" x14ac:dyDescent="0.25">
      <c r="A20" s="130" t="s">
        <v>502</v>
      </c>
    </row>
    <row r="21" spans="1:3" x14ac:dyDescent="0.25">
      <c r="A21" s="43" t="s">
        <v>295</v>
      </c>
    </row>
    <row r="22" spans="1:3" ht="202.5" customHeight="1" x14ac:dyDescent="0.25">
      <c r="A22" s="168" t="s">
        <v>583</v>
      </c>
      <c r="B22" s="195"/>
      <c r="C22" s="196"/>
    </row>
    <row r="23" spans="1:3" x14ac:dyDescent="0.25"/>
    <row r="24" spans="1:3" x14ac:dyDescent="0.25">
      <c r="A24" s="130" t="s">
        <v>584</v>
      </c>
    </row>
    <row r="25" spans="1:3" x14ac:dyDescent="0.25">
      <c r="A25" s="43" t="s">
        <v>294</v>
      </c>
    </row>
    <row r="26" spans="1:3" ht="54.75" customHeight="1" x14ac:dyDescent="0.25">
      <c r="A26" s="168" t="s">
        <v>590</v>
      </c>
      <c r="B26" s="199"/>
      <c r="C26" s="200"/>
    </row>
    <row r="27" spans="1:3" x14ac:dyDescent="0.25"/>
    <row r="28" spans="1:3" x14ac:dyDescent="0.25">
      <c r="A28" s="67" t="s">
        <v>503</v>
      </c>
    </row>
    <row r="29" spans="1:3" x14ac:dyDescent="0.25">
      <c r="A29" s="43" t="s">
        <v>296</v>
      </c>
    </row>
    <row r="30" spans="1:3" ht="38.25" customHeight="1" x14ac:dyDescent="0.25">
      <c r="A30" s="168" t="s">
        <v>580</v>
      </c>
      <c r="B30" s="195"/>
      <c r="C30" s="196"/>
    </row>
    <row r="31" spans="1:3" x14ac:dyDescent="0.25"/>
    <row r="32" spans="1:3" x14ac:dyDescent="0.25">
      <c r="A32" s="67" t="s">
        <v>504</v>
      </c>
    </row>
    <row r="33" spans="1:3" x14ac:dyDescent="0.25">
      <c r="A33" s="43" t="s">
        <v>297</v>
      </c>
    </row>
    <row r="34" spans="1:3" ht="42.75" customHeight="1" x14ac:dyDescent="0.25">
      <c r="A34" s="168" t="s">
        <v>556</v>
      </c>
      <c r="B34" s="195"/>
      <c r="C34" s="196"/>
    </row>
    <row r="35" spans="1:3" x14ac:dyDescent="0.25"/>
    <row r="36" spans="1:3" x14ac:dyDescent="0.25">
      <c r="A36" s="128" t="s">
        <v>532</v>
      </c>
      <c r="B36" s="127"/>
      <c r="C36" s="127"/>
    </row>
    <row r="37" spans="1:3" x14ac:dyDescent="0.25">
      <c r="A37" s="43" t="s">
        <v>533</v>
      </c>
    </row>
    <row r="38" spans="1:3" ht="141.75" customHeight="1" x14ac:dyDescent="0.25">
      <c r="A38" s="168" t="s">
        <v>593</v>
      </c>
      <c r="B38" s="195"/>
      <c r="C38" s="196"/>
    </row>
    <row r="39" spans="1:3" x14ac:dyDescent="0.25"/>
    <row r="40" spans="1:3" x14ac:dyDescent="0.25">
      <c r="A40" s="67" t="s">
        <v>534</v>
      </c>
    </row>
    <row r="41" spans="1:3" x14ac:dyDescent="0.25">
      <c r="A41" s="43" t="s">
        <v>298</v>
      </c>
    </row>
    <row r="42" spans="1:3" ht="57.75" customHeight="1" x14ac:dyDescent="0.25">
      <c r="A42" s="168" t="s">
        <v>561</v>
      </c>
      <c r="B42" s="195"/>
      <c r="C42" s="196"/>
    </row>
    <row r="43" spans="1:3" x14ac:dyDescent="0.25">
      <c r="A43" s="92"/>
      <c r="B43" s="92"/>
      <c r="C43" s="92"/>
    </row>
    <row r="44" spans="1:3" x14ac:dyDescent="0.25">
      <c r="A44" s="92"/>
      <c r="B44" s="92"/>
      <c r="C44" s="92"/>
    </row>
    <row r="45" spans="1:3" x14ac:dyDescent="0.25">
      <c r="A45" s="92"/>
      <c r="B45" s="92"/>
      <c r="C45" s="92"/>
    </row>
    <row r="46" spans="1:3" x14ac:dyDescent="0.25">
      <c r="A46" s="92"/>
      <c r="B46" s="92"/>
      <c r="C46" s="92"/>
    </row>
  </sheetData>
  <sheetProtection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topLeftCell="A10" zoomScaleNormal="100" workbookViewId="0">
      <selection activeCell="C11" sqref="C11"/>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495</v>
      </c>
    </row>
    <row r="2" spans="1:27" x14ac:dyDescent="0.25">
      <c r="A2" s="101" t="s">
        <v>510</v>
      </c>
    </row>
    <row r="3" spans="1:27" ht="15.75" thickBot="1" x14ac:dyDescent="0.3">
      <c r="A3" s="43" t="s">
        <v>299</v>
      </c>
    </row>
    <row r="4" spans="1:27" ht="22.5" customHeight="1" thickBot="1" x14ac:dyDescent="0.3">
      <c r="A4" s="201" t="s">
        <v>300</v>
      </c>
      <c r="B4" s="203" t="s">
        <v>301</v>
      </c>
      <c r="C4" s="204"/>
      <c r="D4" s="204"/>
      <c r="E4" s="205"/>
      <c r="F4" s="203" t="s">
        <v>302</v>
      </c>
      <c r="G4" s="205"/>
    </row>
    <row r="5" spans="1:27" ht="15.75" thickBot="1" x14ac:dyDescent="0.3">
      <c r="A5" s="202"/>
      <c r="B5" s="96" t="s">
        <v>303</v>
      </c>
      <c r="C5" s="96" t="s">
        <v>304</v>
      </c>
      <c r="D5" s="96" t="s">
        <v>305</v>
      </c>
      <c r="E5" s="96" t="s">
        <v>306</v>
      </c>
      <c r="F5" s="96" t="s">
        <v>307</v>
      </c>
      <c r="G5" s="96" t="s">
        <v>308</v>
      </c>
    </row>
    <row r="6" spans="1:27" ht="39" thickBot="1" x14ac:dyDescent="0.3">
      <c r="A6" s="95" t="s">
        <v>562</v>
      </c>
      <c r="B6" s="93" t="s">
        <v>570</v>
      </c>
      <c r="C6" s="93" t="s">
        <v>570</v>
      </c>
      <c r="D6" s="93" t="s">
        <v>570</v>
      </c>
      <c r="E6" s="93" t="s">
        <v>571</v>
      </c>
      <c r="F6" s="93" t="s">
        <v>572</v>
      </c>
      <c r="G6" s="93" t="s">
        <v>570</v>
      </c>
    </row>
    <row r="7" spans="1:27" ht="39" thickBot="1" x14ac:dyDescent="0.3">
      <c r="A7" s="95" t="s">
        <v>563</v>
      </c>
      <c r="B7" s="93" t="s">
        <v>570</v>
      </c>
      <c r="C7" s="93" t="s">
        <v>570</v>
      </c>
      <c r="D7" s="93" t="s">
        <v>570</v>
      </c>
      <c r="E7" s="93" t="s">
        <v>571</v>
      </c>
      <c r="F7" s="93" t="s">
        <v>572</v>
      </c>
      <c r="G7" s="93" t="s">
        <v>570</v>
      </c>
    </row>
    <row r="8" spans="1:27" ht="39" thickBot="1" x14ac:dyDescent="0.3">
      <c r="A8" s="95" t="s">
        <v>564</v>
      </c>
      <c r="B8" s="93" t="s">
        <v>570</v>
      </c>
      <c r="C8" s="93" t="s">
        <v>570</v>
      </c>
      <c r="D8" s="93" t="s">
        <v>570</v>
      </c>
      <c r="E8" s="93" t="s">
        <v>571</v>
      </c>
      <c r="F8" s="93" t="s">
        <v>572</v>
      </c>
      <c r="G8" s="93" t="s">
        <v>570</v>
      </c>
    </row>
    <row r="9" spans="1:27" ht="26.25" thickBot="1" x14ac:dyDescent="0.3">
      <c r="A9" s="95" t="s">
        <v>565</v>
      </c>
      <c r="B9" s="93" t="s">
        <v>570</v>
      </c>
      <c r="C9" s="93" t="s">
        <v>570</v>
      </c>
      <c r="D9" s="93" t="s">
        <v>570</v>
      </c>
      <c r="E9" s="93" t="s">
        <v>586</v>
      </c>
      <c r="F9" s="93" t="s">
        <v>586</v>
      </c>
      <c r="G9" s="93" t="s">
        <v>570</v>
      </c>
    </row>
    <row r="10" spans="1:27" ht="26.25" thickBot="1" x14ac:dyDescent="0.3">
      <c r="A10" s="95" t="s">
        <v>566</v>
      </c>
      <c r="B10" s="93" t="s">
        <v>570</v>
      </c>
      <c r="C10" s="93" t="s">
        <v>570</v>
      </c>
      <c r="D10" s="93" t="s">
        <v>570</v>
      </c>
      <c r="E10" s="93" t="s">
        <v>586</v>
      </c>
      <c r="F10" s="93" t="s">
        <v>586</v>
      </c>
      <c r="G10" s="93" t="s">
        <v>570</v>
      </c>
    </row>
    <row r="11" spans="1:27" x14ac:dyDescent="0.25"/>
    <row r="12" spans="1:27" x14ac:dyDescent="0.25">
      <c r="A12" s="43" t="s">
        <v>309</v>
      </c>
    </row>
    <row r="13" spans="1:27" ht="57.75" customHeight="1" x14ac:dyDescent="0.25">
      <c r="A13" s="206" t="s">
        <v>592</v>
      </c>
      <c r="B13" s="207"/>
      <c r="C13" s="207"/>
      <c r="D13" s="207"/>
      <c r="E13" s="207"/>
      <c r="F13" s="207"/>
      <c r="G13" s="208"/>
    </row>
    <row r="14" spans="1:27" x14ac:dyDescent="0.25">
      <c r="A14" s="92"/>
      <c r="B14" s="92"/>
      <c r="C14" s="92"/>
      <c r="D14" s="92"/>
      <c r="E14" s="92"/>
      <c r="F14" s="92"/>
      <c r="G14" s="92"/>
    </row>
    <row r="15" spans="1:27" x14ac:dyDescent="0.25">
      <c r="A15" s="92"/>
      <c r="B15" s="92"/>
      <c r="C15" s="92"/>
      <c r="D15" s="92"/>
      <c r="E15" s="92"/>
      <c r="F15" s="92"/>
      <c r="G15" s="92"/>
    </row>
    <row r="16" spans="1:27" x14ac:dyDescent="0.25">
      <c r="A16" s="92"/>
      <c r="B16" s="92"/>
      <c r="C16" s="92"/>
      <c r="D16" s="92"/>
      <c r="E16" s="92"/>
      <c r="F16" s="92"/>
      <c r="G16" s="92"/>
    </row>
    <row r="17" spans="1:7" x14ac:dyDescent="0.25">
      <c r="A17" s="92"/>
      <c r="B17" s="92"/>
      <c r="C17" s="92"/>
      <c r="D17" s="92"/>
      <c r="E17" s="92"/>
      <c r="F17" s="92"/>
      <c r="G17" s="92"/>
    </row>
    <row r="18" spans="1:7" x14ac:dyDescent="0.25">
      <c r="A18" s="92"/>
      <c r="B18" s="92"/>
      <c r="C18" s="92"/>
      <c r="D18" s="94"/>
      <c r="E18" s="92"/>
      <c r="F18" s="92"/>
      <c r="G18" s="92"/>
    </row>
    <row r="19" spans="1:7" x14ac:dyDescent="0.25">
      <c r="A19" s="92"/>
      <c r="B19" s="92"/>
      <c r="C19" s="92"/>
      <c r="D19" s="92"/>
      <c r="E19" s="92"/>
      <c r="F19" s="92"/>
      <c r="G19" s="92"/>
    </row>
    <row r="20" spans="1:7" x14ac:dyDescent="0.25">
      <c r="A20" s="92"/>
      <c r="B20" s="92"/>
      <c r="C20" s="92"/>
      <c r="D20" s="92"/>
      <c r="E20" s="92"/>
      <c r="F20" s="92"/>
      <c r="G20" s="92"/>
    </row>
    <row r="21" spans="1:7" x14ac:dyDescent="0.25">
      <c r="A21" s="92"/>
      <c r="B21" s="92"/>
      <c r="C21" s="92"/>
      <c r="D21" s="92"/>
      <c r="E21" s="92"/>
      <c r="F21" s="92"/>
      <c r="G21" s="92"/>
    </row>
    <row r="22" spans="1:7" x14ac:dyDescent="0.25">
      <c r="A22" s="92"/>
      <c r="B22" s="92"/>
      <c r="C22" s="92"/>
      <c r="D22" s="92"/>
      <c r="E22" s="92"/>
      <c r="F22" s="92"/>
      <c r="G22" s="92"/>
    </row>
    <row r="23" spans="1:7" x14ac:dyDescent="0.25">
      <c r="A23" s="92"/>
      <c r="B23" s="92"/>
      <c r="C23" s="92"/>
      <c r="D23" s="92"/>
      <c r="E23" s="92"/>
      <c r="F23" s="92"/>
      <c r="G23" s="92"/>
    </row>
    <row r="24" spans="1:7" x14ac:dyDescent="0.25">
      <c r="A24" s="92"/>
      <c r="B24" s="92"/>
      <c r="C24" s="92"/>
      <c r="D24" s="92"/>
      <c r="E24" s="92"/>
      <c r="F24" s="92"/>
      <c r="G24" s="92"/>
    </row>
    <row r="25" spans="1:7" x14ac:dyDescent="0.25">
      <c r="A25" s="92"/>
      <c r="B25" s="92"/>
      <c r="C25" s="92"/>
      <c r="D25" s="92"/>
      <c r="E25" s="92"/>
      <c r="F25" s="92"/>
      <c r="G25" s="92"/>
    </row>
    <row r="26" spans="1:7" x14ac:dyDescent="0.25">
      <c r="A26" s="92"/>
      <c r="B26" s="92"/>
      <c r="C26" s="92"/>
      <c r="D26" s="92"/>
      <c r="E26" s="92"/>
      <c r="F26" s="92"/>
      <c r="G26" s="92"/>
    </row>
    <row r="27" spans="1:7" x14ac:dyDescent="0.25">
      <c r="A27" s="92"/>
      <c r="B27" s="92"/>
      <c r="C27" s="92"/>
      <c r="D27" s="92"/>
      <c r="E27" s="92"/>
      <c r="F27" s="92"/>
      <c r="G27" s="92"/>
    </row>
    <row r="28" spans="1:7" x14ac:dyDescent="0.25">
      <c r="A28" s="92"/>
      <c r="B28" s="92"/>
      <c r="C28" s="92"/>
      <c r="D28" s="92"/>
      <c r="E28" s="92"/>
      <c r="F28" s="92"/>
      <c r="G28" s="92"/>
    </row>
    <row r="29" spans="1:7" x14ac:dyDescent="0.25">
      <c r="A29" s="92"/>
      <c r="B29" s="92"/>
      <c r="C29" s="92"/>
      <c r="D29" s="92"/>
      <c r="E29" s="92"/>
      <c r="F29" s="92"/>
      <c r="G29" s="92"/>
    </row>
    <row r="30" spans="1:7" x14ac:dyDescent="0.25">
      <c r="A30" s="92"/>
      <c r="B30" s="92"/>
      <c r="C30" s="92"/>
      <c r="D30" s="92"/>
      <c r="E30" s="92"/>
      <c r="F30" s="92"/>
      <c r="G30" s="92"/>
    </row>
    <row r="31" spans="1:7" x14ac:dyDescent="0.25">
      <c r="A31" s="92"/>
      <c r="B31" s="92"/>
      <c r="C31" s="92"/>
      <c r="D31" s="92"/>
      <c r="E31" s="92"/>
      <c r="F31" s="92"/>
      <c r="G31" s="92"/>
    </row>
    <row r="32" spans="1:7" x14ac:dyDescent="0.25">
      <c r="A32" s="92"/>
      <c r="B32" s="92"/>
      <c r="C32" s="92"/>
      <c r="D32" s="92"/>
      <c r="E32" s="92"/>
      <c r="F32" s="92"/>
      <c r="G32" s="92"/>
    </row>
    <row r="33" spans="1:7" x14ac:dyDescent="0.25">
      <c r="A33" s="92"/>
      <c r="B33" s="92"/>
      <c r="C33" s="92"/>
      <c r="D33" s="92"/>
      <c r="E33" s="92"/>
      <c r="F33" s="92"/>
      <c r="G33" s="92"/>
    </row>
    <row r="34" spans="1:7" x14ac:dyDescent="0.25">
      <c r="A34" s="92"/>
      <c r="B34" s="92"/>
      <c r="C34" s="92"/>
      <c r="D34" s="92"/>
      <c r="E34" s="92"/>
      <c r="F34" s="92"/>
      <c r="G34" s="92"/>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521</v>
      </c>
    </row>
    <row r="88" spans="1:4" x14ac:dyDescent="0.25">
      <c r="A88" t="s">
        <v>31</v>
      </c>
      <c r="B88" s="13" t="s">
        <v>183</v>
      </c>
    </row>
    <row r="89" spans="1:4" x14ac:dyDescent="0.25">
      <c r="A89" t="s">
        <v>31</v>
      </c>
      <c r="B89" s="13" t="s">
        <v>522</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311</v>
      </c>
      <c r="C1" s="1" t="s">
        <v>1</v>
      </c>
      <c r="D1" s="2" t="s">
        <v>2</v>
      </c>
      <c r="E1" s="3" t="s">
        <v>3</v>
      </c>
      <c r="F1" s="2" t="s">
        <v>226</v>
      </c>
      <c r="G1" s="2" t="s">
        <v>76</v>
      </c>
      <c r="H1" s="4" t="s">
        <v>6</v>
      </c>
      <c r="I1" s="2" t="s">
        <v>65</v>
      </c>
      <c r="J1" s="1" t="s">
        <v>4</v>
      </c>
      <c r="K1" s="4" t="s">
        <v>224</v>
      </c>
      <c r="L1" s="4" t="s">
        <v>110</v>
      </c>
      <c r="M1" s="1" t="s">
        <v>5</v>
      </c>
      <c r="N1" s="4" t="s">
        <v>505</v>
      </c>
      <c r="O1" s="4" t="s">
        <v>484</v>
      </c>
    </row>
    <row r="2" spans="1:15" ht="105.75" customHeight="1" x14ac:dyDescent="0.25">
      <c r="A2" s="5" t="s">
        <v>0</v>
      </c>
      <c r="B2" s="5" t="s">
        <v>518</v>
      </c>
      <c r="C2" s="5" t="s">
        <v>66</v>
      </c>
      <c r="D2" s="5" t="s">
        <v>7</v>
      </c>
      <c r="E2" s="6" t="s">
        <v>229</v>
      </c>
      <c r="F2" s="5" t="s">
        <v>228</v>
      </c>
      <c r="G2" s="5" t="s">
        <v>230</v>
      </c>
      <c r="H2" s="25" t="s">
        <v>223</v>
      </c>
      <c r="I2" s="5" t="s">
        <v>111</v>
      </c>
      <c r="J2" s="25" t="s">
        <v>231</v>
      </c>
      <c r="K2" s="5" t="s">
        <v>225</v>
      </c>
      <c r="L2" s="5" t="s">
        <v>227</v>
      </c>
      <c r="M2" s="5" t="s">
        <v>250</v>
      </c>
      <c r="N2" s="37" t="s">
        <v>512</v>
      </c>
      <c r="O2" s="37" t="s">
        <v>485</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487</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488</v>
      </c>
      <c r="E2" s="5" t="s">
        <v>7</v>
      </c>
      <c r="F2" s="6" t="s">
        <v>229</v>
      </c>
      <c r="G2" s="5" t="s">
        <v>228</v>
      </c>
      <c r="H2" s="5" t="s">
        <v>230</v>
      </c>
      <c r="I2" s="25" t="s">
        <v>223</v>
      </c>
      <c r="J2" s="5" t="s">
        <v>111</v>
      </c>
      <c r="K2" s="25" t="s">
        <v>231</v>
      </c>
      <c r="L2" s="5" t="s">
        <v>225</v>
      </c>
      <c r="M2" s="5" t="s">
        <v>227</v>
      </c>
      <c r="N2" s="5" t="s">
        <v>250</v>
      </c>
      <c r="O2" s="37" t="s">
        <v>247</v>
      </c>
    </row>
    <row r="3" spans="1:15" ht="165" x14ac:dyDescent="0.25">
      <c r="B3" s="7" t="str">
        <f>'Approval and Documentation'!C$4</f>
        <v>Santander Investment Securities, Inc</v>
      </c>
      <c r="C3" s="7" t="str">
        <f>'Approval and Documentation'!C$6</f>
        <v>Fixed Income Sales and Trading</v>
      </c>
      <c r="D3" s="8">
        <f>'1'!$C$1</f>
        <v>0</v>
      </c>
      <c r="E3" s="7">
        <v>1</v>
      </c>
      <c r="F3" s="8" t="str">
        <f>'1'!$C$2</f>
        <v>Operational</v>
      </c>
      <c r="G3" s="8" t="str">
        <f>'1'!$C$3</f>
        <v>Execution, Delivery and Process Management</v>
      </c>
      <c r="H3" s="8" t="str">
        <f>'1'!$C$4</f>
        <v>Operational gaps in  SIS Fixed Income Trading IT infrastructure</v>
      </c>
      <c r="I3" s="8" t="str">
        <f>'1'!$A$12</f>
        <v xml:space="preserve">There is an operational risk in the current process management of SIS's Front Office IT infrastructure. The  Front Office trade capture workflow for SIS Fixed Income Trading  starts with multiple electronic trading platforms (MarkitAxess, TradeWeb, etc) to BBG NY (BTS) to BBG Madrid (TOMS) to Murex Europa (risk recording system), then it flows to other downstream systems outside the Front office's role.  This IT infrastructure involves multiple units in NY and Madrid. When this was implemented in 2012, the proper support for this infrastructure was not set up. This has created multiple operational risk issues in the past years: 
1) Straight through processing issues, where bonds do not correctly flow through all systems due to static differences on each platforms. This creates many different types of workaround and manual intervention for traders and Middle office. For example, UDI (Inflation Linked Mexican Currency) factors, bond settlement workarounds, etc. 
2) Straight through processing issues, where clients, subaccounts, and allocations are not correctly set up on each platforms. This takes a long time for Madrid Reference Data team to create, causing trade capture delay. 
3) Lack of enhanced reconciliation process between systems. As IT did not take on this role, Middle Office NY created a manual reconciliation. However, as volume is growing, this manual excel based reconciliation will not be sustainable. It has been raised to IT since the 2012 migration, and the development is still on going the last 2 years.  The current development is missing splits and resolution to other issues. 
4) New user issues. To set up a new user takes the bank 1-2 months, and it is always set up incorrectly the first time. 
5) New book issues. New books are always set up incorrectly the first time and takes a week to resolve, resulting in manual intervention by Middle Office to resolve STP issues including booking trades multiple of times. 
When STP fails, this affects Market Risk, Credit Risk, Settlements, and other support areas because these teams will lack control without the proper information flowing to their systems. 
</v>
      </c>
      <c r="J3" s="8">
        <f>'1'!$C$5</f>
        <v>0</v>
      </c>
      <c r="K3" s="8" t="str">
        <f>'1'!$A$9</f>
        <v xml:space="preserve">Middle Office manually controls and reconciles all the differences in BTS-TOMS-MUREX on a daily basis. The excel-based control currently is not sufficient and preventative, as volume is growing and does not cover all fields for reconciliation. 
1) STP bond static data issues are reported daily to SBGM Administracion Securites &lt;sbgm_securities@gruposantander.com&gt; by Middle Office, but sometimes it takes the team overnight to fix the static issues causing incorrect risks and P&amp;L. 
2) STP client static data issues are reported daily to SBGM Administracion entidades &lt;sbgm.entidades@gruposantander.com&gt; by Middle Office, but sometimes it takes the team overnight to set up causing trades to not be booked and allocated leading to incorrect risks and P&amp;L. 
3) Reconciliation are reported daily to Buzon Soporte Sala Monitores &lt;bzsupsalamonitores@isban.es&gt;, but sometimes it takes the team overnight to find out what is the cause of the issue is and always related to set up.  
4) &amp; 5) STP issues with new users and new books set up are reported locally to InfoSec New York &lt;infosec@santander.us&gt; by Middle Office, but for some reasons, they are never set up correctly causing delay in user access and manual intervention. 
Enhanced monitoring of the manual process is being reviewed with IT, but there are still many operational gaps in the communication between NY operational teams and with Madrid operational teams. Local IT and Operational teams rely on Middle Office to coordinate and resolve any gaps. This has been escalated to local IT who has been working on a reconciliation for the past two years.  Other enhancements such as moving the reconciliation responsibility to IT has been suggested but denied. It is recommended that IT works to resolves these STP issues and clearly documents support areas responsible for the process management for each step. </v>
      </c>
      <c r="L3" s="8" t="str">
        <f>'1'!$C$6</f>
        <v>$1 - $5 M</v>
      </c>
      <c r="M3" s="8" t="str">
        <f>'1'!$C$7</f>
        <v>$1 - $5 M</v>
      </c>
      <c r="N3" s="8" t="str">
        <f>'1'!$B$10</f>
        <v xml:space="preserve">The total budget for the business is $20.25M. The business has decided an annual expected loss of $1-5M because this will already be a large portion of the total budget. The stressed financial impact will be $1-5M impact even with the substantial exposure due to the highly volatile Latam bonds because there are back up measures with IT fixing the issues at real time. </v>
      </c>
      <c r="O3" s="10"/>
    </row>
    <row r="4" spans="1:15" ht="409.5" x14ac:dyDescent="0.25">
      <c r="A4" s="7"/>
      <c r="B4" s="7" t="str">
        <f>'Approval and Documentation'!C$4</f>
        <v>Santander Investment Securities, Inc</v>
      </c>
      <c r="C4" s="7" t="str">
        <f>'Approval and Documentation'!C$6</f>
        <v>Fixed Income Sales and Trading</v>
      </c>
      <c r="D4" s="8">
        <f>'2'!$C$1</f>
        <v>0</v>
      </c>
      <c r="E4" s="11">
        <v>2</v>
      </c>
      <c r="F4" s="8" t="str">
        <f>'2'!$C$2</f>
        <v>Operational</v>
      </c>
      <c r="G4" s="8" t="str">
        <f>'2'!$C$3</f>
        <v>Execution, Delivery and Process Management</v>
      </c>
      <c r="H4" s="8" t="str">
        <f>'2'!$C$4</f>
        <v>Ineffective or lack of risk coordination between SIS NY and Banco Santander SA Madrid</v>
      </c>
      <c r="I4" s="8" t="str">
        <f>'2'!$A$12</f>
        <v xml:space="preserve">There is an operational risk on the process management due to the ineffective or lack of risk coordination and control between SIS NY and Banco Santander SA Madrid. 
SIS is a not registered market maker.  SIS trades against the Bank’s books in Madrid and, therefore, client-trades generate two tickets: one from our Madrid books to SIS, and another from SIS to the client. Given the nature of the activity and that there are no positions maintained on SIS’ books, SIS has not established Market Risk limits specific to this activity; all Market Risk and position limits are monitored by Banco Santander, S.A., which holds the positions.
However, SIS traders are responsible for the risks held in Banco Santander SA Madrid.  As a result of this arrangement, many risks are being monitored by local teams in Madrid, leaving SIS NY with minimal to no monitoring. For example, 
1) Operational Risk - SIS was left with an open position in SIS NY because of a mistake between client, Pershing, and Citi. Many incidents reported on the dashboard for SIS NY is requested to be removed if support team responsible is in Madrid, resulting in open positions and a lack of operational risk monitoring in SIS NY. 
2) Market Risk - There are price differences between BBG (marked by NY trader in NY hours) and Murex (marked by Madrid in Madrid hours). Also, there is also no active Front Office to Accounting reconciliation of positions and PnL of SIS NY books; a reconciliation may help to identify discrepancies between the areas. 
3) Credit Risk - Counterparty faces SIS NY but there is currently no monitoring of the DVP settlement risks. There is a initiative to develop DVP limits setting and monitoring between IT and Credit Risk. 
4) Compliance - Trader was recently dismissed for conducting wash trades after being informed by FINRA. 
5) New Products - Asset Backed Securities (ABS) was recently approved by Market Risk Madrid. However, traders did not receive clarification from SIS NY Compliance and Market Risk on whether this is also approved in SIS NY. The traders have traded this product and this remains unclear if it has been officially approved for SIS NY. 
As a result of the absence of these controls, there have been reoccurring PnL and risk gaps and discrepancies that are still unsolved today. There should be enhanced control for SIS NY entity locally to prevent the possibility that one or more of the aforementioned issues occurred whereby SIS would be exposed to greater material losses.   
</v>
      </c>
      <c r="J4" s="8">
        <f>'2'!$C$5</f>
        <v>0</v>
      </c>
      <c r="K4" s="8" t="str">
        <f>'2'!$A$9</f>
        <v xml:space="preserve">Controls related to SIS NY for the majority of the time is deferred to Madrid support teams.  
1) Operational Risk - Middle Office continues to monitor operational issues and raises them to local and Madrid's IT and Operational Risks for solutions. 
2) Market Risk - Middle Office runs reconciliation report between BBG and Murex to track price differences and works with Market Risk in Madrid to resolve significant differences. It is recommended to either Market Risk NY or Madrid also tracks and analyzes differences in PnL between the two entities. 
3) Credit Risk - Currently there is no control, but there is a initiative to develop DVP limits setting and monitoring between IT and Credit Risk. 
4) Compliance - Since incident, the control for wash trade has been developed and is primarily detective and is manual. Compliance assessment is done annually. 
5) New Products - The traders base their trading limits on a APS documents. A new product -- ABS -- was recently approved in Market Risk Madrid (without a public notification to other support areas or an updated APS), but was not notified to NY. The NY traders traded the product without a review having been done by the Firm. It is recommended that Market Risk NY should also be included in any communication regarding approval of new products in Madrid related to EMLA and HG bond desks, so they can help issue a public notification to SIS NY support areas. 
In these scenarios, it is recommended that enhanced controls locally for SIS NY across the support areas will provide more preventive measures.
</v>
      </c>
      <c r="L4" s="8" t="str">
        <f>'2'!$C$6</f>
        <v>$1 - $5 M</v>
      </c>
      <c r="M4" s="8" t="str">
        <f>'2'!$C$7</f>
        <v>$1 - $5 M</v>
      </c>
      <c r="N4" s="8" t="str">
        <f>'2'!$B$10</f>
        <v xml:space="preserve">The total budget for the business is $20.25M. {PLEASE verify if this is for one desk or both.}  that The business has decided an annual expected loss of $1-5M because this will already be a large portion of the total budget. The stressed financial impact will be $1-5M impact even with the substantial exposure due to the highly volatile Latam bonds because there are back up measures with IT fixing the issues at real time. </v>
      </c>
      <c r="O4" s="10"/>
    </row>
    <row r="5" spans="1:15" ht="409.5" x14ac:dyDescent="0.25">
      <c r="A5" s="7"/>
      <c r="B5" s="7" t="str">
        <f>'Approval and Documentation'!C$4</f>
        <v>Santander Investment Securities, Inc</v>
      </c>
      <c r="C5" s="7" t="str">
        <f>'Approval and Documentation'!C$6</f>
        <v>Fixed Income Sales and Trading</v>
      </c>
      <c r="D5" s="8">
        <f>'3'!$C$1</f>
        <v>0</v>
      </c>
      <c r="E5" s="7">
        <v>3</v>
      </c>
      <c r="F5" s="8" t="str">
        <f>'3'!$C$2</f>
        <v xml:space="preserve">Strategic </v>
      </c>
      <c r="G5" s="8" t="str">
        <f>'3'!$C$3</f>
        <v>Expansion Risk</v>
      </c>
      <c r="H5" s="8" t="str">
        <f>'3'!$C$4</f>
        <v>Account Opening Issues</v>
      </c>
      <c r="I5" s="8" t="str">
        <f>'3'!$A$12</f>
        <v xml:space="preserve">Expansion risk has been identified during the account opening process, as a result of the following reasons: 
1) Based on SIS' membership agreement with FINRA, SIS is permitted to conduct securities activities with institutional accounts.  FINRA rule 4512(c) defines institutional accounts.  As the FO/MO has not provided documentary evidence that certain potential clients meet the institutional account definition, compliance has not approved the accounts to be opened. 
2)  Santander group policy requires FO/MO to obtain the complete ownership/control structure of the potential client.  Many clients refuse to provide the complete ownership/control structure.  Compliance has not approved the accounts to be opened for potential clients that do not provide the information and where the information is not publicly available.  
3) The SEC has a issued a no-action letter stating that it will not seek enforcement against a broker-dealer that has relied on a registered investment adviser to perform the AML due diligence requirements of the broker-dealer as long as the investment adviser has made certain representations to the broker-dealer concerning the AML due diligence process it performs.  As three investment advisers have refused to provide the representations to SIS, compliance has not approved the accounts to be opened.   
4) FO would like SIS to register in 50 states.  The Compliance department is responsible for registration of the firm, including, if applicable, state broker-dealer registration.  A fifty state analysis of state registration requirements conducted in 2015 by the Compliance department has determined, with the exception of the state of Ohio, that the firm does not require broker-dealer registration in each state in consideration of specified definitions and exemptions.  Notwithstanding, in the event of regulatory scrutiny, the burden of proof that broker-dealer registration is not required in a particular jurisdiction typically will rest with a firm. Notwithstanding the above, some U.S.-originated pension funds, due to strict internal requirements, require potential broker/dealers to register in the state in which the fund operates.  Accordingly, the firm maintains broker-dealer registration in several state but not all states.  
5) Rather than require each investment adviser to provide evidence of its authority to trade on behalf of its clients, SIS requires investment advisers to provide an attestation concerning its authority to act on behalf of the investment adviser clients and an indemnification to SIS is the investment adviser acts outside of the scope of its authority.  One client has refused to provide the attestation letter.  Compliance has not approved the account to be opened. 
6)  To track approved customers, compliance downloads the customer information file from the GEM database of customers opened on the books of SIS.  To open customers, SIS uses an excel sheet to track pending documents for potential customers, paper-based forms to be completed and signed manually, the Goldtier tool for tax form verification, email to send out approval notices to the static team and FO/MO/BO and the Synergy system for document retention.  FO/MO uses the GEM database or the EST tool to communicate with Murex Europa to open the account.  The use of various systems and various points of data entry causes input errors (i.e. different customer name in each system) and leads to multiple input of the same data.  FO/MO has access to all of the databases and therefore reviews multiple systems to determine if an account is ready to transact business.    With the increased anti-money laundering and onboarding requirements, SIS should implement one system to onboard and access customer information.  
</v>
      </c>
      <c r="J5" s="8">
        <f>'3'!$C$5</f>
        <v>0</v>
      </c>
      <c r="K5" s="8" t="str">
        <f>'3'!$A$9</f>
        <v xml:space="preserve">Middle Office Client Onboarding team performs  the first line of due diligence in document collection and verification on behalf of the account holder during account opening process, and Compliance does the second line of defense due diligence on document verification and other compliance checks such as OFAC check, PEPS check and media searches. 
1) Potential customers refuse to verify assets under management as required by the compliance department based on FINRA rules.  
2) Potential customers refuse to provide their complete ownership/control structure in line with the Santander group policy requirements.  
3) Three potential customers that are investment advisers refuse to provide AML related representations to SIS in line with the SEC no-action letter stating that it will not seek enforcement against a broker-dealer that has relied on a registered investment adviser to perform the AML due diligence requirements of the broker-dealer as long as the investment adviser has made certain representations to the broker-dealer concerning the AML due diligence process it performs.  
4) FO would like SIS to register as a broker-dealer in all 50 states.  Currently SIS is registered in nine states. 
5) One potential investment adviser refuses to sign an investment adviser attestation in which it states that it has authority to act on behalf of the investment adviser clients and provides an indemnification to SIS if the investment adviser acts outside of the scope of its authority.  
6) Use of multiple systems/methods (including paper-based processes) and databases leads to erroneous information or delayed information.   
It is recommended that SIS can use an industry standard-based client system to avoid many issues.
</v>
      </c>
      <c r="L5" s="8" t="str">
        <f>'3'!$C$6</f>
        <v>$1 - $5 M</v>
      </c>
      <c r="M5" s="8" t="str">
        <f>'3'!$C$7</f>
        <v>$5 M - $50 M</v>
      </c>
      <c r="N5" s="8" t="str">
        <f>'3'!$B$10</f>
        <v xml:space="preserve">The total budget for the business is $20.25M. The business has decided an annual expected loss of $1-5M because this will already be a large portion of the total budget. The stressed financial impact will be $5-50M impact even with the substantial exposure. </v>
      </c>
      <c r="O5" s="10"/>
    </row>
    <row r="6" spans="1:15" x14ac:dyDescent="0.25">
      <c r="A6" s="7"/>
      <c r="B6" s="7" t="str">
        <f>'Approval and Documentation'!C$4</f>
        <v>Santander Investment Securities, Inc</v>
      </c>
      <c r="C6" s="7" t="str">
        <f>'Approval and Documentation'!C$6</f>
        <v>Fixed Income Sales and Trading</v>
      </c>
      <c r="D6" s="8">
        <f>'4'!$C$1</f>
        <v>0</v>
      </c>
      <c r="E6" s="11">
        <v>4</v>
      </c>
      <c r="F6" s="8">
        <f>'4'!$C$2</f>
        <v>0</v>
      </c>
      <c r="G6" s="8">
        <f>'4'!$C$3</f>
        <v>0</v>
      </c>
      <c r="H6" s="8">
        <f>'4'!$C$4</f>
        <v>0</v>
      </c>
      <c r="I6" s="8">
        <f>'4'!$A$12</f>
        <v>0</v>
      </c>
      <c r="J6" s="8">
        <f>'4'!$C$5</f>
        <v>0</v>
      </c>
      <c r="K6" s="8">
        <f>'4'!$A$9</f>
        <v>0</v>
      </c>
      <c r="L6" s="8">
        <f>'4'!$C$6</f>
        <v>0</v>
      </c>
      <c r="M6" s="8">
        <f>'4'!$C$7</f>
        <v>0</v>
      </c>
      <c r="N6" s="8">
        <f>'4'!$B$10</f>
        <v>0</v>
      </c>
      <c r="O6" s="10"/>
    </row>
    <row r="7" spans="1:15" x14ac:dyDescent="0.25">
      <c r="A7" s="7"/>
      <c r="B7" s="7" t="str">
        <f>'Approval and Documentation'!C$4</f>
        <v>Santander Investment Securities, Inc</v>
      </c>
      <c r="C7" s="7" t="str">
        <f>'Approval and Documentation'!C$6</f>
        <v>Fixed Income Sales and Trading</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t="str">
        <f>'Approval and Documentation'!C$4</f>
        <v>Santander Investment Securities, Inc</v>
      </c>
      <c r="C8" s="7" t="str">
        <f>'Approval and Documentation'!C$6</f>
        <v>Fixed Income Sales and Trading</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t="str">
        <f>'Approval and Documentation'!C$4</f>
        <v>Santander Investment Securities, Inc</v>
      </c>
      <c r="C9" s="7" t="str">
        <f>'Approval and Documentation'!C$6</f>
        <v>Fixed Income Sales and Trading</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t="str">
        <f>'Approval and Documentation'!C$4</f>
        <v>Santander Investment Securities, Inc</v>
      </c>
      <c r="C10" s="7" t="str">
        <f>'Approval and Documentation'!C$6</f>
        <v>Fixed Income Sales and Trading</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t="str">
        <f>'Approval and Documentation'!C$4</f>
        <v>Santander Investment Securities, Inc</v>
      </c>
      <c r="C11" s="7" t="str">
        <f>'Approval and Documentation'!C$6</f>
        <v>Fixed Income Sales and Trading</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t="str">
        <f>'Approval and Documentation'!C$4</f>
        <v>Santander Investment Securities, Inc</v>
      </c>
      <c r="C12" s="7" t="str">
        <f>'Approval and Documentation'!C$6</f>
        <v>Fixed Income Sales and Trading</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str">
        <f>'Approval and Documentation'!C$4</f>
        <v>Santander Investment Securities, Inc</v>
      </c>
      <c r="C13" s="7" t="str">
        <f>'Approval and Documentation'!C$6</f>
        <v>Fixed Income Sales and Trading</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str">
        <f>'Approval and Documentation'!C$4</f>
        <v>Santander Investment Securities, Inc</v>
      </c>
      <c r="C14" s="7" t="str">
        <f>'Approval and Documentation'!C$6</f>
        <v>Fixed Income Sales and Trading</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str">
        <f>'Approval and Documentation'!C$4</f>
        <v>Santander Investment Securities, Inc</v>
      </c>
      <c r="C15" s="7" t="str">
        <f>'Approval and Documentation'!C$6</f>
        <v>Fixed Income Sales and Trading</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str">
        <f>'Approval and Documentation'!C$4</f>
        <v>Santander Investment Securities, Inc</v>
      </c>
      <c r="C16" s="7" t="str">
        <f>'Approval and Documentation'!C$6</f>
        <v>Fixed Income Sales and Trading</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str">
        <f>'Approval and Documentation'!C$4</f>
        <v>Santander Investment Securities, Inc</v>
      </c>
      <c r="C17" s="7" t="str">
        <f>'Approval and Documentation'!C$6</f>
        <v>Fixed Income Sales and Trading</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str">
        <f>'Approval and Documentation'!C$4</f>
        <v>Santander Investment Securities, Inc</v>
      </c>
      <c r="C18" s="7" t="str">
        <f>'Approval and Documentation'!C$6</f>
        <v>Fixed Income Sales and Trading</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Santander Investment Securities, Inc</v>
      </c>
      <c r="C19" s="7" t="str">
        <f>'Approval and Documentation'!C$6</f>
        <v>Fixed Income Sales and Trading</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Santander Investment Securities, Inc</v>
      </c>
      <c r="C20" s="7" t="str">
        <f>'Approval and Documentation'!C$6</f>
        <v>Fixed Income Sales and Trading</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Santander Investment Securities, Inc</v>
      </c>
      <c r="C21" s="7" t="str">
        <f>'Approval and Documentation'!C$6</f>
        <v>Fixed Income Sales and Trading</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Santander Investment Securities, Inc</v>
      </c>
      <c r="C22" s="7" t="str">
        <f>'Approval and Documentation'!C$6</f>
        <v>Fixed Income Sales and Trading</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Santander Investment Securities, Inc</v>
      </c>
      <c r="C23" s="7" t="str">
        <f>'Approval and Documentation'!C$6</f>
        <v>Fixed Income Sales and Trading</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Santander Investment Securities, Inc</v>
      </c>
      <c r="C24" s="7" t="str">
        <f>'Approval and Documentation'!C$6</f>
        <v>Fixed Income Sales and Trading</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Santander Investment Securities, Inc</v>
      </c>
      <c r="C25" s="7" t="str">
        <f>'Approval and Documentation'!C$6</f>
        <v>Fixed Income Sales and Trading</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Santander Investment Securities, Inc</v>
      </c>
      <c r="C26" s="7" t="str">
        <f>'Approval and Documentation'!C$6</f>
        <v>Fixed Income Sales and Trading</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Santander Investment Securities, Inc</v>
      </c>
      <c r="C27" s="7" t="str">
        <f>'Approval and Documentation'!C$6</f>
        <v>Fixed Income Sales and Trading</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Santander Investment Securities, Inc</v>
      </c>
      <c r="C28" s="7" t="str">
        <f>'Approval and Documentation'!C$6</f>
        <v>Fixed Income Sales and Trading</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Santander Investment Securities, Inc</v>
      </c>
      <c r="C29" s="7" t="str">
        <f>'Approval and Documentation'!C$6</f>
        <v>Fixed Income Sales and Trading</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Santander Investment Securities, Inc</v>
      </c>
      <c r="C30" s="7" t="str">
        <f>'Approval and Documentation'!C$6</f>
        <v>Fixed Income Sales and Trading</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Santander Investment Securities, Inc</v>
      </c>
      <c r="C31" s="7" t="str">
        <f>'Approval and Documentation'!C$6</f>
        <v>Fixed Income Sales and Trading</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Santander Investment Securities, Inc</v>
      </c>
      <c r="C32" s="7" t="str">
        <f>'Approval and Documentation'!C$6</f>
        <v>Fixed Income Sales and Trading</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Santander Investment Securities, Inc</v>
      </c>
      <c r="C33" s="7" t="str">
        <f>'Approval and Documentation'!C$6</f>
        <v>Fixed Income Sales and Trading</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Santander Investment Securities, Inc</v>
      </c>
      <c r="C34" s="7" t="str">
        <f>'Approval and Documentation'!C$6</f>
        <v>Fixed Income Sales and Trading</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Santander Investment Securities, Inc</v>
      </c>
      <c r="C35" s="7" t="str">
        <f>'Approval and Documentation'!C$6</f>
        <v>Fixed Income Sales and Trading</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Santander Investment Securities, Inc</v>
      </c>
      <c r="C36" s="7" t="str">
        <f>'Approval and Documentation'!C$6</f>
        <v>Fixed Income Sales and Trading</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Santander Investment Securities, Inc</v>
      </c>
      <c r="C37" s="7" t="str">
        <f>'Approval and Documentation'!C$6</f>
        <v>Fixed Income Sales and Trading</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Santander Investment Securities, Inc</v>
      </c>
      <c r="C38" s="7" t="str">
        <f>'Approval and Documentation'!C$6</f>
        <v>Fixed Income Sales and Trading</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Santander Investment Securities, Inc</v>
      </c>
      <c r="C39" s="7" t="str">
        <f>'Approval and Documentation'!C$6</f>
        <v>Fixed Income Sales and Trading</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Santander Investment Securities, Inc</v>
      </c>
      <c r="C40" s="7" t="str">
        <f>'Approval and Documentation'!C$6</f>
        <v>Fixed Income Sales and Trading</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Santander Investment Securities, Inc</v>
      </c>
      <c r="C41" s="7" t="str">
        <f>'Approval and Documentation'!C$6</f>
        <v>Fixed Income Sales and Trading</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Santander Investment Securities, Inc</v>
      </c>
      <c r="C42" s="7" t="str">
        <f>'Approval and Documentation'!C$6</f>
        <v>Fixed Income Sales and Trading</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showWhiteSpace="0" topLeftCell="A12" zoomScaleNormal="100" zoomScalePageLayoutView="7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9" t="s">
        <v>490</v>
      </c>
      <c r="B1" s="160"/>
      <c r="C1" s="72"/>
      <c r="Q1" s="80"/>
      <c r="R1" s="80"/>
      <c r="AA1" s="39" t="str">
        <f>C2</f>
        <v>Operational</v>
      </c>
    </row>
    <row r="2" spans="1:27" ht="30.75" customHeight="1" thickBot="1" x14ac:dyDescent="0.3">
      <c r="A2" s="210" t="s">
        <v>255</v>
      </c>
      <c r="B2" s="211"/>
      <c r="C2" s="89" t="s">
        <v>31</v>
      </c>
      <c r="R2" s="42" t="str">
        <f t="shared" ref="R2:R7" si="0">A2</f>
        <v>Risk Type  - The Risk Type from the SHUSA ERM Risk Taxonomy</v>
      </c>
    </row>
    <row r="3" spans="1:27" ht="24" customHeight="1" thickBot="1" x14ac:dyDescent="0.3">
      <c r="A3" s="209" t="s">
        <v>251</v>
      </c>
      <c r="B3" s="160"/>
      <c r="C3" s="69" t="s">
        <v>33</v>
      </c>
      <c r="R3" s="42" t="str">
        <f t="shared" si="0"/>
        <v>Risk Sub Type  - The Risk Sub-Category from the SHUSA ERM Risk Taxonomy</v>
      </c>
    </row>
    <row r="4" spans="1:27" ht="60.75" customHeight="1" thickBot="1" x14ac:dyDescent="0.3">
      <c r="A4" s="209" t="s">
        <v>252</v>
      </c>
      <c r="B4" s="160"/>
      <c r="C4" s="72" t="s">
        <v>567</v>
      </c>
      <c r="R4" s="42" t="str">
        <f t="shared" si="0"/>
        <v>Risk Name - The name of the risk which helps define it and differentiate it from other risks in other Business Lines with a similar Risk Category</v>
      </c>
    </row>
    <row r="5" spans="1:27" ht="39" customHeight="1" thickBot="1" x14ac:dyDescent="0.3">
      <c r="A5" s="209" t="s">
        <v>526</v>
      </c>
      <c r="B5" s="160"/>
      <c r="C5" s="70"/>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209" t="s">
        <v>530</v>
      </c>
      <c r="B6" s="160"/>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215" t="s">
        <v>529</v>
      </c>
      <c r="B7" s="211"/>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52" customHeight="1" thickBot="1" x14ac:dyDescent="0.3">
      <c r="A9" s="220" t="s">
        <v>604</v>
      </c>
      <c r="B9" s="221"/>
      <c r="C9" s="222"/>
      <c r="Q9" s="38" t="str">
        <f>A9</f>
        <v xml:space="preserve">Middle Office manually controls and reconciles all the differences in BTS-TOMS-MUREX on a daily basis. The excel-based control currently is not sufficient and preventative, as volume is growing and does not cover all fields for reconciliation. 
1) STP bond static data issues are reported daily to SBGM Administracion Securites &lt;sbgm_securities@gruposantander.com&gt; by Middle Office, but sometimes it takes the team overnight to fix the static issues causing incorrect risks and P&amp;L. 
2) STP client static data issues are reported daily to SBGM Administracion entidades &lt;sbgm.entidades@gruposantander.com&gt; by Middle Office, but sometimes it takes the team overnight to set up causing trades to not be booked and allocated leading to incorrect risks and P&amp;L. 
3) Reconciliation are reported daily to Buzon Soporte Sala Monitores &lt;bzsupsalamonitores@isban.es&gt;, but sometimes it takes the team overnight to find out what is the cause of the issue is and always related to set up.  
4) &amp; 5) STP issues with new users and new books set up are reported locally to InfoSec New York &lt;infosec@santander.us&gt; by Middle Office, but for some reasons, they are never set up correctly causing delay in user access and manual intervention. 
Enhanced monitoring of the manual process is being reviewed with IT, but there are still many operational gaps in the communication between NY operational teams and with Madrid operational teams. Local IT and Operational teams rely on Middle Office to coordinate and resolve any gaps. This has been escalated to local IT who has been working on a reconciliation for the past two years.  Other enhancements such as moving the reconciliation responsibility to IT has been suggested but denied. It is recommended that IT works to resolves these STP issues and clearly documents support areas responsible for the process management for each step. </v>
      </c>
    </row>
    <row r="10" spans="1:27" ht="107.25" customHeight="1" thickBot="1" x14ac:dyDescent="0.3">
      <c r="A10" s="41" t="s">
        <v>491</v>
      </c>
      <c r="B10" s="212" t="s">
        <v>578</v>
      </c>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306.75" customHeight="1" thickBot="1" x14ac:dyDescent="0.3">
      <c r="A12" s="212" t="s">
        <v>605</v>
      </c>
      <c r="B12" s="213"/>
      <c r="C12" s="214"/>
      <c r="Q12" s="38" t="str">
        <f>A12</f>
        <v xml:space="preserve">There is an operational risk in the current process management of SIS's Front Office IT infrastructure. The  Front Office trade capture workflow for SIS Fixed Income Trading  starts with multiple electronic trading platforms (MarkitAxess, TradeWeb, etc) to BBG NY (BTS) to BBG Madrid (TOMS) to Murex Europa (risk recording system), then it flows to other downstream systems outside the Front office's role.  This IT infrastructure involves multiple units in NY and Madrid. When this was implemented in 2012, the proper support for this infrastructure was not set up. This has created multiple operational risk issues in the past years: 
1) Straight through processing issues, where bonds do not correctly flow through all systems due to static differences on each platforms. This creates many different types of workaround and manual intervention for traders and Middle office. For example, UDI (Inflation Linked Mexican Currency) factors, bond settlement workarounds, etc. 
2) Straight through processing issues, where clients, subaccounts, and allocations are not correctly set up on each platforms. This takes a long time for Madrid Reference Data team to create, causing trade capture delay. 
3) Lack of enhanced reconciliation process between systems. As IT did not take on this role, Middle Office NY created a manual reconciliation. However, as volume is growing, this manual excel based reconciliation will not be sustainable. It has been raised to IT since the 2012 migration, and the development is still on going the last 2 years.  The current development is missing splits and resolution to other issues. 
4) New user issues. To set up a new user takes the bank 1-2 months, and it is always set up incorrectly the first time. 
5) New book issues. New books are always set up incorrectly the first time and takes a week to resolve, resulting in manual intervention by Middle Office to resolve STP issues including booking trades multiple of times. 
When STP fails, this affects Market Risk, Credit Risk, Settlements, and other support areas because these teams will lack control without the proper information flowing to their systems. 
</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topLeftCell="A12"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3" t="s">
        <v>490</v>
      </c>
      <c r="B1" s="224"/>
      <c r="C1" s="81"/>
      <c r="Q1" s="80"/>
      <c r="R1" s="80"/>
      <c r="AA1" s="39" t="str">
        <f>C2</f>
        <v>Operational</v>
      </c>
    </row>
    <row r="2" spans="1:27" ht="30.75" customHeight="1" thickBot="1" x14ac:dyDescent="0.3">
      <c r="A2" s="210" t="s">
        <v>255</v>
      </c>
      <c r="B2" s="211"/>
      <c r="C2" s="89" t="s">
        <v>31</v>
      </c>
      <c r="R2" s="42" t="str">
        <f t="shared" ref="R2:R7" si="0">A2</f>
        <v>Risk Type  - The Risk Type from the SHUSA ERM Risk Taxonomy</v>
      </c>
    </row>
    <row r="3" spans="1:27" ht="24" customHeight="1" thickBot="1" x14ac:dyDescent="0.3">
      <c r="A3" s="209" t="s">
        <v>251</v>
      </c>
      <c r="B3" s="160"/>
      <c r="C3" s="69" t="s">
        <v>33</v>
      </c>
      <c r="R3" s="42" t="str">
        <f t="shared" si="0"/>
        <v>Risk Sub Type  - The Risk Sub-Category from the SHUSA ERM Risk Taxonomy</v>
      </c>
    </row>
    <row r="4" spans="1:27" ht="50.25" customHeight="1" thickBot="1" x14ac:dyDescent="0.3">
      <c r="A4" s="209" t="s">
        <v>252</v>
      </c>
      <c r="B4" s="160"/>
      <c r="C4" s="72" t="s">
        <v>576</v>
      </c>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64" customHeight="1" thickBot="1" x14ac:dyDescent="0.3">
      <c r="A9" s="220" t="s">
        <v>602</v>
      </c>
      <c r="B9" s="221"/>
      <c r="C9" s="222"/>
      <c r="Q9" s="38" t="str">
        <f>A9</f>
        <v xml:space="preserve">Controls related to SIS NY for the majority of the time is deferred to Madrid support teams.  
1) Operational Risk - Middle Office continues to monitor operational issues and raises them to local and Madrid's IT and Operational Risks for solutions. 
2) Market Risk - Middle Office runs reconciliation report between BBG and Murex to track price differences and works with Market Risk in Madrid to resolve significant differences. It is recommended to either Market Risk NY or Madrid also tracks and analyzes differences in PnL between the two entities. 
3) Credit Risk - Currently there is no control, but there is a initiative to develop DVP limits setting and monitoring between IT and Credit Risk. 
4) Compliance - Since incident, the control for wash trade has been developed and is primarily detective and is manual. Compliance assessment is done annually. 
5) New Products - The traders base their trading limits on a APS documents. A new product -- ABS -- was recently approved in Market Risk Madrid (without a public notification to other support areas or an updated APS), but was not notified to NY. The NY traders traded the product without a review having been done by the Firm. It is recommended that Market Risk NY should also be included in any communication regarding approval of new products in Madrid related to EMLA and HG bond desks, so they can help issue a public notification to SIS NY support areas. 
In these scenarios, it is recommended that enhanced controls locally for SIS NY across the support areas will provide more preventive measures.
</v>
      </c>
    </row>
    <row r="10" spans="1:27" ht="109.5" customHeight="1" thickBot="1" x14ac:dyDescent="0.3">
      <c r="A10" s="41" t="s">
        <v>492</v>
      </c>
      <c r="B10" s="212" t="s">
        <v>587</v>
      </c>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384.75" customHeight="1" thickBot="1" x14ac:dyDescent="0.3">
      <c r="A12" s="212" t="s">
        <v>603</v>
      </c>
      <c r="B12" s="213"/>
      <c r="C12" s="214"/>
      <c r="Q12" s="38" t="str">
        <f>A12</f>
        <v xml:space="preserve">There is an operational risk on the process management due to the ineffective or lack of risk coordination and control between SIS NY and Banco Santander SA Madrid. 
SIS is a not registered market maker.  SIS trades against the Bank’s books in Madrid and, therefore, client-trades generate two tickets: one from our Madrid books to SIS, and another from SIS to the client. Given the nature of the activity and that there are no positions maintained on SIS’ books, SIS has not established Market Risk limits specific to this activity; all Market Risk and position limits are monitored by Banco Santander, S.A., which holds the positions.
However, SIS traders are responsible for the risks held in Banco Santander SA Madrid.  As a result of this arrangement, many risks are being monitored by local teams in Madrid, leaving SIS NY with minimal to no monitoring. For example, 
1) Operational Risk - SIS was left with an open position in SIS NY because of a mistake between client, Pershing, and Citi. Many incidents reported on the dashboard for SIS NY is requested to be removed if support team responsible is in Madrid, resulting in open positions and a lack of operational risk monitoring in SIS NY. 
2) Market Risk - There are price differences between BBG (marked by NY trader in NY hours) and Murex (marked by Madrid in Madrid hours). Also, there is also no active Front Office to Accounting reconciliation of positions and PnL of SIS NY books; a reconciliation may help to identify discrepancies between the areas. 
3) Credit Risk - Counterparty faces SIS NY but there is currently no monitoring of the DVP settlement risks. There is a initiative to develop DVP limits setting and monitoring between IT and Credit Risk. 
4) Compliance - Trader was recently dismissed for conducting wash trades after being informed by FINRA. 
5) New Products - Asset Backed Securities (ABS) was recently approved by Market Risk Madrid. However, traders did not receive clarification from SIS NY Compliance and Market Risk on whether this is also approved in SIS NY. The traders have traded this product and this remains unclear if it has been officially approved for SIS NY. 
As a result of the absence of these controls, there have been reoccurring PnL and risk gaps and discrepancies that are still unsolved today. There should be enhanced control for SIS NY entity locally to prevent the possibility that one or more of the aforementioned issues occurred whereby SIS would be exposed to greater material losses.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topLeftCell="A9" zoomScale="85" zoomScaleNormal="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t="str">
        <f>C2</f>
        <v xml:space="preserve">Strategic </v>
      </c>
    </row>
    <row r="2" spans="1:27" ht="30.75" customHeight="1" thickBot="1" x14ac:dyDescent="0.3">
      <c r="A2" s="210" t="s">
        <v>255</v>
      </c>
      <c r="B2" s="211"/>
      <c r="C2" s="89" t="s">
        <v>20</v>
      </c>
      <c r="R2" s="42" t="str">
        <f t="shared" ref="R2:R7" si="0">A2</f>
        <v>Risk Type  - The Risk Type from the SHUSA ERM Risk Taxonomy</v>
      </c>
    </row>
    <row r="3" spans="1:27" ht="24" customHeight="1" thickBot="1" x14ac:dyDescent="0.3">
      <c r="A3" s="209" t="s">
        <v>251</v>
      </c>
      <c r="B3" s="160"/>
      <c r="C3" s="69" t="s">
        <v>23</v>
      </c>
      <c r="R3" s="42" t="str">
        <f t="shared" si="0"/>
        <v>Risk Sub Type  - The Risk Sub-Category from the SHUSA ERM Risk Taxonomy</v>
      </c>
    </row>
    <row r="4" spans="1:27" ht="31.5" customHeight="1" thickBot="1" x14ac:dyDescent="0.3">
      <c r="A4" s="209" t="s">
        <v>252</v>
      </c>
      <c r="B4" s="160"/>
      <c r="C4" s="72" t="s">
        <v>579</v>
      </c>
      <c r="R4" s="42" t="str">
        <f t="shared" si="0"/>
        <v>Risk Name - The name of the risk which helps define it and differentiate it from other risks in other Business Lines with a similar Risk Category</v>
      </c>
    </row>
    <row r="5" spans="1:27" ht="27"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282" customHeight="1" thickBot="1" x14ac:dyDescent="0.3">
      <c r="A9" s="220" t="s">
        <v>599</v>
      </c>
      <c r="B9" s="221"/>
      <c r="C9" s="222"/>
      <c r="Q9" s="38" t="str">
        <f>A9</f>
        <v xml:space="preserve">Middle Office Client Onboarding team performs  the first line of due diligence in document collection and verification on behalf of the account holder during account opening process, and Compliance does the second line of defense due diligence on document verification and other compliance checks such as OFAC check, PEPS check and media searches. 
1) Potential customers refuse to verify assets under management as required by the compliance department based on FINRA rules.  
2) Potential customers refuse to provide their complete ownership/control structure in line with the Santander group policy requirements.  
3) Three potential customers that are investment advisers refuse to provide AML related representations to SIS in line with the SEC no-action letter stating that it will not seek enforcement against a broker-dealer that has relied on a registered investment adviser to perform the AML due diligence requirements of the broker-dealer as long as the investment adviser has made certain representations to the broker-dealer concerning the AML due diligence process it performs.  
4) FO would like SIS to register as a broker-dealer in all 50 states.  Currently SIS is registered in nine states. 
5) One potential investment adviser refuses to sign an investment adviser attestation in which it states that it has authority to act on behalf of the investment adviser clients and provides an indemnification to SIS if the investment adviser acts outside of the scope of its authority.  
6) Use of multiple systems/methods (including paper-based processes) and databases leads to erroneous information or delayed information.   
It is recommended that SIS can use an industry standard-based client system to avoid many issues.
</v>
      </c>
    </row>
    <row r="10" spans="1:27" ht="81.75" customHeight="1" thickBot="1" x14ac:dyDescent="0.3">
      <c r="A10" s="41" t="s">
        <v>492</v>
      </c>
      <c r="B10" s="212" t="s">
        <v>601</v>
      </c>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409.5" customHeight="1" thickBot="1" x14ac:dyDescent="0.3">
      <c r="A12" s="212" t="s">
        <v>600</v>
      </c>
      <c r="B12" s="213"/>
      <c r="C12" s="214"/>
      <c r="Q12" s="38" t="str">
        <f>A12</f>
        <v xml:space="preserve">Expansion risk has been identified during the account opening process, as a result of the following reasons: 
1) Based on SIS' membership agreement with FINRA, SIS is permitted to conduct securities activities with institutional accounts.  FINRA rule 4512(c) defines institutional accounts.  As the FO/MO has not provided documentary evidence that certain potential clients meet the institutional account definition, compliance has not approved the accounts to be opened. 
2)  Santander group policy requires FO/MO to obtain the complete ownership/control structure of the potential client.  Many clients refuse to provide the complete ownership/control structure.  Compliance has not approved the accounts to be opened for potential clients that do not provide the information and where the information is not publicly available.  
3) The SEC has a issued a no-action letter stating that it will not seek enforcement against a broker-dealer that has relied on a registered investment adviser to perform the AML due diligence requirements of the broker-dealer as long as the investment adviser has made certain representations to the broker-dealer concerning the AML due diligence process it performs.  As three investment advisers have refused to provide the representations to SIS, compliance has not approved the accounts to be opened.   
4) FO would like SIS to register in 50 states.  The Compliance department is responsible for registration of the firm, including, if applicable, state broker-dealer registration.  A fifty state analysis of state registration requirements conducted in 2015 by the Compliance department has determined, with the exception of the state of Ohio, that the firm does not require broker-dealer registration in each state in consideration of specified definitions and exemptions.  Notwithstanding, in the event of regulatory scrutiny, the burden of proof that broker-dealer registration is not required in a particular jurisdiction typically will rest with a firm. Notwithstanding the above, some U.S.-originated pension funds, due to strict internal requirements, require potential broker/dealers to register in the state in which the fund operates.  Accordingly, the firm maintains broker-dealer registration in several state but not all states.  
5) Rather than require each investment adviser to provide evidence of its authority to trade on behalf of its clients, SIS requires investment advisers to provide an attestation concerning its authority to act on behalf of the investment adviser clients and an indemnification to SIS is the investment adviser acts outside of the scope of its authority.  One client has refused to provide the attestation letter.  Compliance has not approved the account to be opened. 
6)  To track approved customers, compliance downloads the customer information file from the GEM database of customers opened on the books of SIS.  To open customers, SIS uses an excel sheet to track pending documents for potential customers, paper-based forms to be completed and signed manually, the Goldtier tool for tax form verification, email to send out approval notices to the static team and FO/MO/BO and the Synergy system for document retention.  FO/MO uses the GEM database or the EST tool to communicate with Murex Europa to open the account.  The use of various systems and various points of data entry causes input errors (i.e. different customer name in each system) and leads to multiple input of the same data.  FO/MO has access to all of the databases and therefore reviews multiple systems to determine if an account is ready to transact business.    With the increased anti-money laundering and onboarding requirements, SIS should implement one system to onboard and access customer information.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topLeftCell="A4"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5" t="s">
        <v>489</v>
      </c>
      <c r="B1" s="160"/>
      <c r="C1" s="72"/>
      <c r="Q1" s="80"/>
      <c r="R1" s="80"/>
      <c r="AA1" s="39">
        <f>C2</f>
        <v>0</v>
      </c>
    </row>
    <row r="2" spans="1:27" ht="30.75" customHeight="1" thickBot="1" x14ac:dyDescent="0.3">
      <c r="A2" s="210" t="s">
        <v>255</v>
      </c>
      <c r="B2" s="211"/>
      <c r="C2" s="90"/>
      <c r="R2" s="42" t="str">
        <f t="shared" ref="R2:R7" si="0">A2</f>
        <v>Risk Type  - The Risk Type from the SHUSA ERM Risk Taxonomy</v>
      </c>
    </row>
    <row r="3" spans="1:27" ht="24" customHeight="1" thickBot="1" x14ac:dyDescent="0.3">
      <c r="A3" s="209" t="s">
        <v>251</v>
      </c>
      <c r="B3" s="160"/>
      <c r="C3" s="83"/>
      <c r="R3" s="42" t="str">
        <f t="shared" si="0"/>
        <v>Risk Sub Type  - The Risk Sub-Category from the SHUSA ERM Risk Taxonomy</v>
      </c>
    </row>
    <row r="4" spans="1:27" ht="31.5" customHeight="1" thickBot="1" x14ac:dyDescent="0.3">
      <c r="A4" s="209" t="s">
        <v>252</v>
      </c>
      <c r="B4" s="160"/>
      <c r="C4" s="8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84"/>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83"/>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83"/>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2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7"/>
      <c r="Q9" s="38">
        <f>A9</f>
        <v>0</v>
      </c>
    </row>
    <row r="10" spans="1:27" ht="81.75" customHeight="1" thickBot="1" x14ac:dyDescent="0.3">
      <c r="A10" s="41" t="s">
        <v>492</v>
      </c>
      <c r="B10" s="212"/>
      <c r="C10" s="228"/>
    </row>
    <row r="11" spans="1:27" ht="31.5" customHeight="1" thickBot="1" x14ac:dyDescent="0.3">
      <c r="A11" s="217" t="s">
        <v>254</v>
      </c>
      <c r="B11" s="218"/>
      <c r="C11" s="22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2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7" t="s">
        <v>486</v>
      </c>
      <c r="B1" s="160"/>
      <c r="C1" s="72"/>
      <c r="Q1" s="80"/>
      <c r="R1" s="80"/>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38">
        <f>A9</f>
        <v>0</v>
      </c>
    </row>
    <row r="10" spans="1:27" ht="81.75" customHeight="1" thickBot="1" x14ac:dyDescent="0.3">
      <c r="A10" s="41" t="s">
        <v>492</v>
      </c>
      <c r="B10" s="212"/>
      <c r="C10" s="216"/>
    </row>
    <row r="11" spans="1:27" ht="31.5" customHeight="1" thickBot="1" x14ac:dyDescent="0.3">
      <c r="A11" s="217" t="s">
        <v>254</v>
      </c>
      <c r="B11" s="218"/>
      <c r="C11" s="21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6" customWidth="1"/>
    <col min="2" max="2" width="22.7109375" style="86" customWidth="1"/>
    <col min="3" max="3" width="35.7109375" style="39" customWidth="1"/>
    <col min="4" max="16" width="4.42578125" style="39" hidden="1" customWidth="1"/>
    <col min="17" max="18" width="4.42578125" style="85"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17" t="s">
        <v>486</v>
      </c>
      <c r="B1" s="160"/>
      <c r="C1" s="72"/>
      <c r="AA1" s="39">
        <f>C2</f>
        <v>0</v>
      </c>
    </row>
    <row r="2" spans="1:27" ht="30.75" customHeight="1" thickBot="1" x14ac:dyDescent="0.3">
      <c r="A2" s="210" t="s">
        <v>255</v>
      </c>
      <c r="B2" s="211"/>
      <c r="C2" s="89"/>
      <c r="R2" s="42" t="str">
        <f t="shared" ref="R2:R7" si="0">A2</f>
        <v>Risk Type  - The Risk Type from the SHUSA ERM Risk Taxonomy</v>
      </c>
    </row>
    <row r="3" spans="1:27" ht="24" customHeight="1" thickBot="1" x14ac:dyDescent="0.3">
      <c r="A3" s="209" t="s">
        <v>251</v>
      </c>
      <c r="B3" s="160"/>
      <c r="C3" s="69"/>
      <c r="R3" s="42" t="str">
        <f t="shared" si="0"/>
        <v>Risk Sub Type  - The Risk Sub-Category from the SHUSA ERM Risk Taxonomy</v>
      </c>
    </row>
    <row r="4" spans="1:27" ht="31.5" customHeight="1" thickBot="1" x14ac:dyDescent="0.3">
      <c r="A4" s="209" t="s">
        <v>252</v>
      </c>
      <c r="B4" s="160"/>
      <c r="C4" s="72"/>
      <c r="R4" s="42" t="str">
        <f t="shared" si="0"/>
        <v>Risk Name - The name of the risk which helps define it and differentiate it from other risks in other Business Lines with a similar Risk Category</v>
      </c>
    </row>
    <row r="5" spans="1:27" ht="39" customHeight="1" thickBot="1" x14ac:dyDescent="0.3">
      <c r="A5" s="209" t="s">
        <v>527</v>
      </c>
      <c r="B5" s="160"/>
      <c r="C5" s="70"/>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209" t="s">
        <v>530</v>
      </c>
      <c r="B6" s="160"/>
      <c r="C6" s="69"/>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215" t="s">
        <v>529</v>
      </c>
      <c r="B7" s="211"/>
      <c r="C7" s="69"/>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217" t="s">
        <v>253</v>
      </c>
      <c r="B8" s="218"/>
      <c r="C8" s="219"/>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0"/>
      <c r="B9" s="221"/>
      <c r="C9" s="222"/>
      <c r="Q9" s="85">
        <f>A9</f>
        <v>0</v>
      </c>
    </row>
    <row r="10" spans="1:27" ht="81.75" customHeight="1" thickBot="1" x14ac:dyDescent="0.3">
      <c r="A10" s="41" t="s">
        <v>491</v>
      </c>
      <c r="B10" s="212"/>
      <c r="C10" s="216"/>
    </row>
    <row r="11" spans="1:27" ht="31.5" customHeight="1" thickBot="1" x14ac:dyDescent="0.3">
      <c r="A11" s="217" t="s">
        <v>254</v>
      </c>
      <c r="B11" s="218"/>
      <c r="C11" s="219"/>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2"/>
      <c r="B12" s="213"/>
      <c r="C12" s="214"/>
      <c r="Q12" s="85">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C15" sqref="C15"/>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32" t="s">
        <v>336</v>
      </c>
      <c r="B1" s="233"/>
      <c r="C1" s="233"/>
    </row>
    <row r="2" spans="1:3" ht="15.75" thickBot="1" x14ac:dyDescent="0.3">
      <c r="A2" s="73" t="s">
        <v>226</v>
      </c>
      <c r="B2" s="74" t="s">
        <v>313</v>
      </c>
      <c r="C2" s="74" t="s">
        <v>314</v>
      </c>
    </row>
    <row r="3" spans="1:3" ht="15.75" thickBot="1" x14ac:dyDescent="0.3">
      <c r="A3" s="234" t="s">
        <v>146</v>
      </c>
      <c r="B3" s="234" t="s">
        <v>315</v>
      </c>
      <c r="C3" s="54" t="s">
        <v>316</v>
      </c>
    </row>
    <row r="4" spans="1:3" ht="15.75" thickBot="1" x14ac:dyDescent="0.3">
      <c r="A4" s="235"/>
      <c r="B4" s="235"/>
      <c r="C4" s="54" t="s">
        <v>317</v>
      </c>
    </row>
    <row r="5" spans="1:3" ht="15.75" thickBot="1" x14ac:dyDescent="0.3">
      <c r="A5" s="235"/>
      <c r="B5" s="235"/>
      <c r="C5" s="54" t="s">
        <v>318</v>
      </c>
    </row>
    <row r="6" spans="1:3" ht="15.75" thickBot="1" x14ac:dyDescent="0.3">
      <c r="A6" s="235"/>
      <c r="B6" s="235"/>
      <c r="C6" s="54" t="s">
        <v>319</v>
      </c>
    </row>
    <row r="7" spans="1:3" ht="15.75" thickBot="1" x14ac:dyDescent="0.3">
      <c r="A7" s="235"/>
      <c r="B7" s="235"/>
      <c r="C7" s="54" t="s">
        <v>320</v>
      </c>
    </row>
    <row r="8" spans="1:3" ht="15.75" thickBot="1" x14ac:dyDescent="0.3">
      <c r="A8" s="236"/>
      <c r="B8" s="236"/>
      <c r="C8" s="54" t="s">
        <v>321</v>
      </c>
    </row>
    <row r="9" spans="1:3" ht="15.75" thickBot="1" x14ac:dyDescent="0.3">
      <c r="A9" s="234" t="s">
        <v>23</v>
      </c>
      <c r="B9" s="234" t="s">
        <v>322</v>
      </c>
      <c r="C9" s="54" t="s">
        <v>323</v>
      </c>
    </row>
    <row r="10" spans="1:3" ht="15.75" thickBot="1" x14ac:dyDescent="0.3">
      <c r="A10" s="235"/>
      <c r="B10" s="235"/>
      <c r="C10" s="54" t="s">
        <v>324</v>
      </c>
    </row>
    <row r="11" spans="1:3" ht="15.75" thickBot="1" x14ac:dyDescent="0.3">
      <c r="A11" s="235"/>
      <c r="B11" s="235"/>
      <c r="C11" s="54" t="s">
        <v>325</v>
      </c>
    </row>
    <row r="12" spans="1:3" ht="15.75" thickBot="1" x14ac:dyDescent="0.3">
      <c r="A12" s="236"/>
      <c r="B12" s="236"/>
      <c r="C12" s="54" t="s">
        <v>326</v>
      </c>
    </row>
    <row r="13" spans="1:3" ht="30.75" thickBot="1" x14ac:dyDescent="0.3">
      <c r="A13" s="46" t="s">
        <v>213</v>
      </c>
      <c r="B13" s="54" t="s">
        <v>213</v>
      </c>
      <c r="C13" s="54" t="s">
        <v>213</v>
      </c>
    </row>
    <row r="14" spans="1:3" ht="15.75" thickBot="1" x14ac:dyDescent="0.3">
      <c r="A14" s="234" t="s">
        <v>10</v>
      </c>
      <c r="B14" s="234" t="s">
        <v>337</v>
      </c>
      <c r="C14" s="54" t="s">
        <v>327</v>
      </c>
    </row>
    <row r="15" spans="1:3" ht="15.75" thickBot="1" x14ac:dyDescent="0.3">
      <c r="A15" s="235"/>
      <c r="B15" s="235"/>
      <c r="C15" s="54" t="s">
        <v>328</v>
      </c>
    </row>
    <row r="16" spans="1:3" ht="15.75" thickBot="1" x14ac:dyDescent="0.3">
      <c r="A16" s="235"/>
      <c r="B16" s="235"/>
      <c r="C16" s="54" t="s">
        <v>329</v>
      </c>
    </row>
    <row r="17" spans="1:3" ht="15.75" thickBot="1" x14ac:dyDescent="0.3">
      <c r="A17" s="236"/>
      <c r="B17" s="236"/>
      <c r="C17" s="54" t="s">
        <v>330</v>
      </c>
    </row>
    <row r="18" spans="1:3" ht="15.75" thickBot="1" x14ac:dyDescent="0.3">
      <c r="A18" s="234" t="s">
        <v>22</v>
      </c>
      <c r="B18" s="234" t="s">
        <v>331</v>
      </c>
      <c r="C18" s="54" t="s">
        <v>332</v>
      </c>
    </row>
    <row r="19" spans="1:3" ht="15.75" thickBot="1" x14ac:dyDescent="0.3">
      <c r="A19" s="235"/>
      <c r="B19" s="235"/>
      <c r="C19" s="54" t="s">
        <v>333</v>
      </c>
    </row>
    <row r="20" spans="1:3" ht="15.75" thickBot="1" x14ac:dyDescent="0.3">
      <c r="A20" s="235"/>
      <c r="B20" s="235"/>
      <c r="C20" s="54" t="s">
        <v>334</v>
      </c>
    </row>
    <row r="21" spans="1:3" ht="15.75" thickBot="1" x14ac:dyDescent="0.3">
      <c r="A21" s="236"/>
      <c r="B21" s="236"/>
      <c r="C21" s="54" t="s">
        <v>338</v>
      </c>
    </row>
    <row r="22" spans="1:3" ht="15.75" thickBot="1" x14ac:dyDescent="0.3">
      <c r="A22" s="46" t="s">
        <v>222</v>
      </c>
      <c r="B22" s="54" t="s">
        <v>335</v>
      </c>
      <c r="C22" s="54" t="s">
        <v>222</v>
      </c>
    </row>
    <row r="23" spans="1:3" x14ac:dyDescent="0.25">
      <c r="A23" s="79"/>
      <c r="B23" s="79"/>
      <c r="C23" s="79"/>
    </row>
    <row r="24" spans="1:3" ht="45.75" customHeight="1" x14ac:dyDescent="0.25">
      <c r="A24" s="230" t="s">
        <v>339</v>
      </c>
      <c r="B24" s="231"/>
      <c r="C24" s="231"/>
    </row>
    <row r="25" spans="1:3" ht="16.5" thickBot="1" x14ac:dyDescent="0.3">
      <c r="A25" s="76"/>
      <c r="B25"/>
      <c r="C25"/>
    </row>
    <row r="26" spans="1:3" ht="15.75" thickBot="1" x14ac:dyDescent="0.3">
      <c r="A26" s="73" t="s">
        <v>226</v>
      </c>
      <c r="B26" s="74" t="s">
        <v>313</v>
      </c>
      <c r="C26" s="74" t="s">
        <v>314</v>
      </c>
    </row>
    <row r="27" spans="1:3" ht="15.75" thickBot="1" x14ac:dyDescent="0.3">
      <c r="A27" s="234" t="s">
        <v>145</v>
      </c>
      <c r="B27" s="234" t="s">
        <v>340</v>
      </c>
      <c r="C27" s="54" t="s">
        <v>341</v>
      </c>
    </row>
    <row r="28" spans="1:3" ht="15.75" thickBot="1" x14ac:dyDescent="0.3">
      <c r="A28" s="235"/>
      <c r="B28" s="235"/>
      <c r="C28" s="54" t="s">
        <v>342</v>
      </c>
    </row>
    <row r="29" spans="1:3" ht="15.75" thickBot="1" x14ac:dyDescent="0.3">
      <c r="A29" s="235"/>
      <c r="B29" s="235"/>
      <c r="C29" s="54" t="s">
        <v>343</v>
      </c>
    </row>
    <row r="30" spans="1:3" ht="15.75" thickBot="1" x14ac:dyDescent="0.3">
      <c r="A30" s="235"/>
      <c r="B30" s="235"/>
      <c r="C30" s="54" t="s">
        <v>28</v>
      </c>
    </row>
    <row r="31" spans="1:3" ht="15.75" thickBot="1" x14ac:dyDescent="0.3">
      <c r="A31" s="235"/>
      <c r="B31" s="235"/>
      <c r="C31" s="54" t="s">
        <v>26</v>
      </c>
    </row>
    <row r="32" spans="1:3" ht="15.75" thickBot="1" x14ac:dyDescent="0.3">
      <c r="A32" s="236"/>
      <c r="B32" s="236"/>
      <c r="C32" s="54" t="s">
        <v>344</v>
      </c>
    </row>
    <row r="33" spans="1:3" ht="15.75" x14ac:dyDescent="0.25">
      <c r="A33" s="76"/>
      <c r="B33"/>
      <c r="C33"/>
    </row>
    <row r="34" spans="1:3" ht="42" customHeight="1" x14ac:dyDescent="0.25">
      <c r="A34" s="230" t="s">
        <v>345</v>
      </c>
      <c r="B34" s="231"/>
      <c r="C34" s="231"/>
    </row>
    <row r="35" spans="1:3" ht="15.75" thickBot="1" x14ac:dyDescent="0.3">
      <c r="A35" s="44"/>
      <c r="B35"/>
      <c r="C35"/>
    </row>
    <row r="36" spans="1:3" ht="15.75" thickBot="1" x14ac:dyDescent="0.3">
      <c r="A36" s="73" t="s">
        <v>226</v>
      </c>
      <c r="B36" s="74" t="s">
        <v>313</v>
      </c>
      <c r="C36" s="74" t="s">
        <v>314</v>
      </c>
    </row>
    <row r="37" spans="1:3" ht="30.75" thickBot="1" x14ac:dyDescent="0.3">
      <c r="A37" s="46" t="s">
        <v>53</v>
      </c>
      <c r="B37" s="54" t="s">
        <v>346</v>
      </c>
      <c r="C37" s="54" t="s">
        <v>53</v>
      </c>
    </row>
    <row r="38" spans="1:3" ht="75" x14ac:dyDescent="0.25">
      <c r="A38" s="234" t="s">
        <v>64</v>
      </c>
      <c r="B38" s="75" t="s">
        <v>347</v>
      </c>
      <c r="C38" s="234" t="s">
        <v>64</v>
      </c>
    </row>
    <row r="39" spans="1:3" ht="30" x14ac:dyDescent="0.25">
      <c r="A39" s="235"/>
      <c r="B39" s="75" t="s">
        <v>348</v>
      </c>
      <c r="C39" s="235"/>
    </row>
    <row r="40" spans="1:3" ht="30" x14ac:dyDescent="0.25">
      <c r="A40" s="235"/>
      <c r="B40" s="75" t="s">
        <v>349</v>
      </c>
      <c r="C40" s="235"/>
    </row>
    <row r="41" spans="1:3" x14ac:dyDescent="0.25">
      <c r="A41" s="235"/>
      <c r="B41" s="75" t="s">
        <v>350</v>
      </c>
      <c r="C41" s="235"/>
    </row>
    <row r="42" spans="1:3" ht="15.75" thickBot="1" x14ac:dyDescent="0.3">
      <c r="A42" s="236"/>
      <c r="B42" s="54" t="s">
        <v>351</v>
      </c>
      <c r="C42" s="236"/>
    </row>
    <row r="43" spans="1:3" ht="135.75" thickBot="1" x14ac:dyDescent="0.3">
      <c r="A43" s="46" t="s">
        <v>56</v>
      </c>
      <c r="B43" s="54" t="s">
        <v>352</v>
      </c>
      <c r="C43" s="54" t="s">
        <v>56</v>
      </c>
    </row>
    <row r="44" spans="1:3" ht="75.75" thickBot="1" x14ac:dyDescent="0.3">
      <c r="A44" s="46" t="s">
        <v>138</v>
      </c>
      <c r="B44" s="54" t="s">
        <v>353</v>
      </c>
      <c r="C44" s="54" t="s">
        <v>138</v>
      </c>
    </row>
    <row r="45" spans="1:3" ht="15.75" thickBot="1" x14ac:dyDescent="0.3">
      <c r="A45" s="234" t="s">
        <v>57</v>
      </c>
      <c r="B45" s="234" t="s">
        <v>354</v>
      </c>
      <c r="C45" s="54" t="s">
        <v>355</v>
      </c>
    </row>
    <row r="46" spans="1:3" ht="15.75" thickBot="1" x14ac:dyDescent="0.3">
      <c r="A46" s="235"/>
      <c r="B46" s="235"/>
      <c r="C46" s="54" t="s">
        <v>328</v>
      </c>
    </row>
    <row r="47" spans="1:3" ht="15.75" thickBot="1" x14ac:dyDescent="0.3">
      <c r="A47" s="235"/>
      <c r="B47" s="235"/>
      <c r="C47" s="54" t="s">
        <v>323</v>
      </c>
    </row>
    <row r="48" spans="1:3" ht="15.75" thickBot="1" x14ac:dyDescent="0.3">
      <c r="A48" s="235"/>
      <c r="B48" s="235"/>
      <c r="C48" s="54" t="s">
        <v>356</v>
      </c>
    </row>
    <row r="49" spans="1:3" ht="15.75" thickBot="1" x14ac:dyDescent="0.3">
      <c r="A49" s="236"/>
      <c r="B49" s="236"/>
      <c r="C49" s="54" t="s">
        <v>357</v>
      </c>
    </row>
    <row r="50" spans="1:3" ht="60.75" thickBot="1" x14ac:dyDescent="0.3">
      <c r="A50" s="46" t="s">
        <v>55</v>
      </c>
      <c r="B50" s="54" t="s">
        <v>358</v>
      </c>
      <c r="C50" s="54" t="s">
        <v>55</v>
      </c>
    </row>
    <row r="51" spans="1:3" ht="30" x14ac:dyDescent="0.25">
      <c r="A51" s="234" t="s">
        <v>52</v>
      </c>
      <c r="B51" s="75" t="s">
        <v>359</v>
      </c>
      <c r="C51" s="234" t="s">
        <v>52</v>
      </c>
    </row>
    <row r="52" spans="1:3" ht="45.75" thickBot="1" x14ac:dyDescent="0.3">
      <c r="A52" s="236"/>
      <c r="B52" s="54" t="s">
        <v>360</v>
      </c>
      <c r="C52" s="236"/>
    </row>
    <row r="53" spans="1:3" ht="45.75" thickBot="1" x14ac:dyDescent="0.3">
      <c r="A53" s="46" t="s">
        <v>18</v>
      </c>
      <c r="B53" s="54" t="s">
        <v>361</v>
      </c>
      <c r="C53" s="54" t="s">
        <v>18</v>
      </c>
    </row>
    <row r="54" spans="1:3" ht="30.75" thickBot="1" x14ac:dyDescent="0.3">
      <c r="A54" s="46" t="s">
        <v>144</v>
      </c>
      <c r="B54" s="54" t="s">
        <v>362</v>
      </c>
      <c r="C54" s="54" t="s">
        <v>363</v>
      </c>
    </row>
    <row r="55" spans="1:3" ht="15.75" x14ac:dyDescent="0.25">
      <c r="A55" s="76"/>
      <c r="B55"/>
      <c r="C55"/>
    </row>
    <row r="56" spans="1:3" ht="39" customHeight="1" x14ac:dyDescent="0.25">
      <c r="A56" s="230" t="s">
        <v>364</v>
      </c>
      <c r="B56" s="231"/>
      <c r="C56" s="231"/>
    </row>
    <row r="57" spans="1:3" ht="16.5" thickBot="1" x14ac:dyDescent="0.3">
      <c r="A57" s="76"/>
      <c r="B57"/>
      <c r="C57"/>
    </row>
    <row r="58" spans="1:3" ht="15.75" thickBot="1" x14ac:dyDescent="0.3">
      <c r="A58" s="73" t="s">
        <v>226</v>
      </c>
      <c r="B58" s="74" t="s">
        <v>313</v>
      </c>
      <c r="C58" s="74" t="s">
        <v>314</v>
      </c>
    </row>
    <row r="59" spans="1:3" ht="15.75" thickBot="1" x14ac:dyDescent="0.3">
      <c r="A59" s="46" t="s">
        <v>158</v>
      </c>
      <c r="B59" s="54" t="s">
        <v>365</v>
      </c>
      <c r="C59" s="54" t="s">
        <v>366</v>
      </c>
    </row>
    <row r="60" spans="1:3" ht="30" x14ac:dyDescent="0.25">
      <c r="A60" s="234" t="s">
        <v>45</v>
      </c>
      <c r="B60" s="75" t="s">
        <v>367</v>
      </c>
      <c r="C60" s="234" t="s">
        <v>374</v>
      </c>
    </row>
    <row r="61" spans="1:3" x14ac:dyDescent="0.25">
      <c r="A61" s="235"/>
      <c r="B61" s="75" t="s">
        <v>368</v>
      </c>
      <c r="C61" s="235"/>
    </row>
    <row r="62" spans="1:3" x14ac:dyDescent="0.25">
      <c r="A62" s="235"/>
      <c r="B62" s="75" t="s">
        <v>369</v>
      </c>
      <c r="C62" s="235"/>
    </row>
    <row r="63" spans="1:3" ht="15.75" thickBot="1" x14ac:dyDescent="0.3">
      <c r="A63" s="235"/>
      <c r="B63" s="75" t="s">
        <v>370</v>
      </c>
      <c r="C63" s="236"/>
    </row>
    <row r="64" spans="1:3" ht="15.75" thickBot="1" x14ac:dyDescent="0.3">
      <c r="A64" s="235"/>
      <c r="B64" s="75" t="s">
        <v>371</v>
      </c>
      <c r="C64" s="54" t="s">
        <v>375</v>
      </c>
    </row>
    <row r="65" spans="1:3" ht="30.75" thickBot="1" x14ac:dyDescent="0.3">
      <c r="A65" s="235"/>
      <c r="B65" s="75" t="s">
        <v>372</v>
      </c>
      <c r="C65" s="54" t="s">
        <v>376</v>
      </c>
    </row>
    <row r="66" spans="1:3" ht="75.75" thickBot="1" x14ac:dyDescent="0.3">
      <c r="A66" s="236"/>
      <c r="B66" s="54" t="s">
        <v>373</v>
      </c>
      <c r="C66" s="54" t="s">
        <v>377</v>
      </c>
    </row>
    <row r="67" spans="1:3" ht="90.75" thickBot="1" x14ac:dyDescent="0.3">
      <c r="A67" s="46" t="s">
        <v>48</v>
      </c>
      <c r="B67" s="54" t="s">
        <v>378</v>
      </c>
      <c r="C67" s="54" t="s">
        <v>48</v>
      </c>
    </row>
    <row r="68" spans="1:3" ht="30.75" thickBot="1" x14ac:dyDescent="0.3">
      <c r="A68" s="46" t="s">
        <v>163</v>
      </c>
      <c r="B68" s="54" t="s">
        <v>379</v>
      </c>
      <c r="C68" s="54" t="s">
        <v>163</v>
      </c>
    </row>
    <row r="69" spans="1:3" ht="15.75" thickBot="1" x14ac:dyDescent="0.3">
      <c r="A69" s="234" t="s">
        <v>46</v>
      </c>
      <c r="B69" s="75" t="s">
        <v>380</v>
      </c>
      <c r="C69" s="54" t="s">
        <v>382</v>
      </c>
    </row>
    <row r="70" spans="1:3" ht="90.75" thickBot="1" x14ac:dyDescent="0.3">
      <c r="A70" s="236"/>
      <c r="B70" s="54" t="s">
        <v>381</v>
      </c>
      <c r="C70" s="54" t="s">
        <v>383</v>
      </c>
    </row>
    <row r="71" spans="1:3" ht="15.75" x14ac:dyDescent="0.25">
      <c r="A71" s="76"/>
      <c r="B71"/>
      <c r="C71"/>
    </row>
    <row r="72" spans="1:3" ht="53.25" customHeight="1" x14ac:dyDescent="0.25">
      <c r="A72" s="230" t="s">
        <v>384</v>
      </c>
      <c r="B72" s="231"/>
      <c r="C72" s="231"/>
    </row>
    <row r="73" spans="1:3" ht="16.5" thickBot="1" x14ac:dyDescent="0.3">
      <c r="A73" s="76"/>
      <c r="B73"/>
      <c r="C73"/>
    </row>
    <row r="74" spans="1:3" ht="15.75" thickBot="1" x14ac:dyDescent="0.3">
      <c r="A74" s="73" t="s">
        <v>226</v>
      </c>
      <c r="B74" s="77" t="s">
        <v>313</v>
      </c>
      <c r="C74" s="74" t="s">
        <v>314</v>
      </c>
    </row>
    <row r="75" spans="1:3" ht="15.75" thickBot="1" x14ac:dyDescent="0.3">
      <c r="A75" s="234" t="s">
        <v>49</v>
      </c>
      <c r="B75" s="237" t="s">
        <v>385</v>
      </c>
      <c r="C75" s="54" t="s">
        <v>386</v>
      </c>
    </row>
    <row r="76" spans="1:3" ht="15.75" thickBot="1" x14ac:dyDescent="0.3">
      <c r="A76" s="235"/>
      <c r="B76" s="238"/>
      <c r="C76" s="54" t="s">
        <v>387</v>
      </c>
    </row>
    <row r="77" spans="1:3" ht="15.75" thickBot="1" x14ac:dyDescent="0.3">
      <c r="A77" s="235"/>
      <c r="B77" s="238"/>
      <c r="C77" s="54" t="s">
        <v>10</v>
      </c>
    </row>
    <row r="78" spans="1:3" ht="15.75" thickBot="1" x14ac:dyDescent="0.3">
      <c r="A78" s="236"/>
      <c r="B78" s="239"/>
      <c r="C78" s="54" t="s">
        <v>388</v>
      </c>
    </row>
    <row r="79" spans="1:3" ht="15.75" thickBot="1" x14ac:dyDescent="0.3">
      <c r="A79" s="234" t="s">
        <v>50</v>
      </c>
      <c r="B79" s="237" t="s">
        <v>389</v>
      </c>
      <c r="C79" s="54" t="s">
        <v>390</v>
      </c>
    </row>
    <row r="80" spans="1:3" ht="15.75" thickBot="1" x14ac:dyDescent="0.3">
      <c r="A80" s="235"/>
      <c r="B80" s="238"/>
      <c r="C80" s="54" t="s">
        <v>391</v>
      </c>
    </row>
    <row r="81" spans="1:3" ht="15.75" thickBot="1" x14ac:dyDescent="0.3">
      <c r="A81" s="236"/>
      <c r="B81" s="239"/>
      <c r="C81" s="54" t="s">
        <v>319</v>
      </c>
    </row>
    <row r="82" spans="1:3" ht="15.75" thickBot="1" x14ac:dyDescent="0.3">
      <c r="A82" s="234" t="s">
        <v>16</v>
      </c>
      <c r="B82" s="237" t="s">
        <v>392</v>
      </c>
      <c r="C82" s="54" t="s">
        <v>393</v>
      </c>
    </row>
    <row r="83" spans="1:3" ht="15.75" thickBot="1" x14ac:dyDescent="0.3">
      <c r="A83" s="235"/>
      <c r="B83" s="238"/>
      <c r="C83" s="54" t="s">
        <v>394</v>
      </c>
    </row>
    <row r="84" spans="1:3" ht="15.75" thickBot="1" x14ac:dyDescent="0.3">
      <c r="A84" s="235"/>
      <c r="B84" s="238"/>
      <c r="C84" s="54" t="s">
        <v>395</v>
      </c>
    </row>
    <row r="85" spans="1:3" ht="15.75" thickBot="1" x14ac:dyDescent="0.3">
      <c r="A85" s="236"/>
      <c r="B85" s="239"/>
      <c r="C85" s="54" t="s">
        <v>396</v>
      </c>
    </row>
    <row r="86" spans="1:3" ht="15.75" x14ac:dyDescent="0.25">
      <c r="A86" s="76"/>
      <c r="B86"/>
      <c r="C86"/>
    </row>
    <row r="87" spans="1:3" ht="22.5" customHeight="1" x14ac:dyDescent="0.25">
      <c r="A87" s="230" t="s">
        <v>397</v>
      </c>
      <c r="B87" s="231"/>
      <c r="C87" s="231"/>
    </row>
    <row r="88" spans="1:3" ht="16.5" thickBot="1" x14ac:dyDescent="0.3">
      <c r="A88" s="76"/>
      <c r="B88"/>
      <c r="C88"/>
    </row>
    <row r="89" spans="1:3" ht="15.75" thickBot="1" x14ac:dyDescent="0.3">
      <c r="A89" s="73" t="s">
        <v>226</v>
      </c>
      <c r="B89" s="74" t="s">
        <v>313</v>
      </c>
      <c r="C89" s="74" t="s">
        <v>314</v>
      </c>
    </row>
    <row r="90" spans="1:3" ht="30.75" thickBot="1" x14ac:dyDescent="0.3">
      <c r="A90" s="234" t="s">
        <v>30</v>
      </c>
      <c r="B90" s="234" t="s">
        <v>398</v>
      </c>
      <c r="C90" s="54" t="s">
        <v>399</v>
      </c>
    </row>
    <row r="91" spans="1:3" ht="15.75" thickBot="1" x14ac:dyDescent="0.3">
      <c r="A91" s="235"/>
      <c r="B91" s="235"/>
      <c r="C91" s="54" t="s">
        <v>400</v>
      </c>
    </row>
    <row r="92" spans="1:3" ht="15.75" thickBot="1" x14ac:dyDescent="0.3">
      <c r="A92" s="235"/>
      <c r="B92" s="235"/>
      <c r="C92" s="54" t="s">
        <v>401</v>
      </c>
    </row>
    <row r="93" spans="1:3" ht="15.75" thickBot="1" x14ac:dyDescent="0.3">
      <c r="A93" s="235"/>
      <c r="B93" s="235"/>
      <c r="C93" s="54" t="s">
        <v>402</v>
      </c>
    </row>
    <row r="94" spans="1:3" ht="15.75" thickBot="1" x14ac:dyDescent="0.3">
      <c r="A94" s="236"/>
      <c r="B94" s="236"/>
      <c r="C94" s="54" t="s">
        <v>403</v>
      </c>
    </row>
    <row r="95" spans="1:3" ht="15.75" thickBot="1" x14ac:dyDescent="0.3">
      <c r="A95" s="234" t="s">
        <v>32</v>
      </c>
      <c r="B95" s="234" t="s">
        <v>404</v>
      </c>
      <c r="C95" s="54" t="s">
        <v>405</v>
      </c>
    </row>
    <row r="96" spans="1:3" ht="15.75" thickBot="1" x14ac:dyDescent="0.3">
      <c r="A96" s="235"/>
      <c r="B96" s="235"/>
      <c r="C96" s="54" t="s">
        <v>406</v>
      </c>
    </row>
    <row r="97" spans="1:3" ht="15.75" thickBot="1" x14ac:dyDescent="0.3">
      <c r="A97" s="235"/>
      <c r="B97" s="235"/>
      <c r="C97" s="78" t="s">
        <v>407</v>
      </c>
    </row>
    <row r="98" spans="1:3" ht="15.75" thickBot="1" x14ac:dyDescent="0.3">
      <c r="A98" s="236"/>
      <c r="B98" s="236"/>
      <c r="C98" s="54" t="s">
        <v>408</v>
      </c>
    </row>
    <row r="99" spans="1:3" ht="15.75" thickBot="1" x14ac:dyDescent="0.3">
      <c r="A99" s="234" t="s">
        <v>34</v>
      </c>
      <c r="B99" s="234" t="s">
        <v>409</v>
      </c>
      <c r="C99" s="54" t="s">
        <v>410</v>
      </c>
    </row>
    <row r="100" spans="1:3" ht="27" customHeight="1" thickBot="1" x14ac:dyDescent="0.3">
      <c r="A100" s="235"/>
      <c r="B100" s="235"/>
      <c r="C100" s="54" t="s">
        <v>411</v>
      </c>
    </row>
    <row r="101" spans="1:3" ht="40.5" customHeight="1" thickBot="1" x14ac:dyDescent="0.3">
      <c r="A101" s="236"/>
      <c r="B101" s="236"/>
      <c r="C101" s="54" t="s">
        <v>412</v>
      </c>
    </row>
    <row r="102" spans="1:3" ht="45.75" thickBot="1" x14ac:dyDescent="0.3">
      <c r="A102" s="234" t="s">
        <v>38</v>
      </c>
      <c r="B102" s="234" t="s">
        <v>413</v>
      </c>
      <c r="C102" s="54" t="s">
        <v>414</v>
      </c>
    </row>
    <row r="103" spans="1:3" ht="15.75" thickBot="1" x14ac:dyDescent="0.3">
      <c r="A103" s="235"/>
      <c r="B103" s="235"/>
      <c r="C103" s="54" t="s">
        <v>415</v>
      </c>
    </row>
    <row r="104" spans="1:3" ht="30.75" thickBot="1" x14ac:dyDescent="0.3">
      <c r="A104" s="235"/>
      <c r="B104" s="235"/>
      <c r="C104" s="54" t="s">
        <v>416</v>
      </c>
    </row>
    <row r="105" spans="1:3" ht="15.75" thickBot="1" x14ac:dyDescent="0.3">
      <c r="A105" s="235"/>
      <c r="B105" s="235"/>
      <c r="C105" s="54" t="s">
        <v>417</v>
      </c>
    </row>
    <row r="106" spans="1:3" ht="15.75" thickBot="1" x14ac:dyDescent="0.3">
      <c r="A106" s="235"/>
      <c r="B106" s="235"/>
      <c r="C106" s="54" t="s">
        <v>418</v>
      </c>
    </row>
    <row r="107" spans="1:3" ht="15.75" thickBot="1" x14ac:dyDescent="0.3">
      <c r="A107" s="235"/>
      <c r="B107" s="235"/>
      <c r="C107" s="54" t="s">
        <v>419</v>
      </c>
    </row>
    <row r="108" spans="1:3" ht="15.75" thickBot="1" x14ac:dyDescent="0.3">
      <c r="A108" s="235"/>
      <c r="B108" s="235"/>
      <c r="C108" s="54" t="s">
        <v>420</v>
      </c>
    </row>
    <row r="109" spans="1:3" ht="30.75" thickBot="1" x14ac:dyDescent="0.3">
      <c r="A109" s="236"/>
      <c r="B109" s="236"/>
      <c r="C109" s="54" t="s">
        <v>421</v>
      </c>
    </row>
    <row r="110" spans="1:3" ht="15.75" thickBot="1" x14ac:dyDescent="0.3">
      <c r="A110" s="234" t="s">
        <v>37</v>
      </c>
      <c r="B110" s="234" t="s">
        <v>422</v>
      </c>
      <c r="C110" s="54" t="s">
        <v>423</v>
      </c>
    </row>
    <row r="111" spans="1:3" ht="15.75" thickBot="1" x14ac:dyDescent="0.3">
      <c r="A111" s="235"/>
      <c r="B111" s="235"/>
      <c r="C111" s="54" t="s">
        <v>424</v>
      </c>
    </row>
    <row r="112" spans="1:3" ht="15.75" thickBot="1" x14ac:dyDescent="0.3">
      <c r="A112" s="236"/>
      <c r="B112" s="236"/>
      <c r="C112" s="54" t="s">
        <v>425</v>
      </c>
    </row>
    <row r="113" spans="1:3" ht="15.75" thickBot="1" x14ac:dyDescent="0.3">
      <c r="A113" s="234" t="s">
        <v>39</v>
      </c>
      <c r="B113" s="234" t="s">
        <v>426</v>
      </c>
      <c r="C113" s="54" t="s">
        <v>427</v>
      </c>
    </row>
    <row r="114" spans="1:3" ht="15.75" thickBot="1" x14ac:dyDescent="0.3">
      <c r="A114" s="235"/>
      <c r="B114" s="235"/>
      <c r="C114" s="54" t="s">
        <v>428</v>
      </c>
    </row>
    <row r="115" spans="1:3" ht="15.75" thickBot="1" x14ac:dyDescent="0.3">
      <c r="A115" s="235"/>
      <c r="B115" s="235"/>
      <c r="C115" s="54" t="s">
        <v>429</v>
      </c>
    </row>
    <row r="116" spans="1:3" ht="15.75" thickBot="1" x14ac:dyDescent="0.3">
      <c r="A116" s="236"/>
      <c r="B116" s="236"/>
      <c r="C116" s="54" t="s">
        <v>430</v>
      </c>
    </row>
    <row r="117" spans="1:3" ht="15.75" thickBot="1" x14ac:dyDescent="0.3">
      <c r="A117" s="234" t="s">
        <v>33</v>
      </c>
      <c r="B117" s="234" t="s">
        <v>431</v>
      </c>
      <c r="C117" s="54" t="s">
        <v>432</v>
      </c>
    </row>
    <row r="118" spans="1:3" ht="15.75" thickBot="1" x14ac:dyDescent="0.3">
      <c r="A118" s="235"/>
      <c r="B118" s="235"/>
      <c r="C118" s="54" t="s">
        <v>433</v>
      </c>
    </row>
    <row r="119" spans="1:3" ht="15.75" thickBot="1" x14ac:dyDescent="0.3">
      <c r="A119" s="235"/>
      <c r="B119" s="235"/>
      <c r="C119" s="54" t="s">
        <v>434</v>
      </c>
    </row>
    <row r="120" spans="1:3" ht="15.75" thickBot="1" x14ac:dyDescent="0.3">
      <c r="A120" s="235"/>
      <c r="B120" s="235"/>
      <c r="C120" s="54" t="s">
        <v>435</v>
      </c>
    </row>
    <row r="121" spans="1:3" ht="15.75" thickBot="1" x14ac:dyDescent="0.3">
      <c r="A121" s="235"/>
      <c r="B121" s="235"/>
      <c r="C121" s="54" t="s">
        <v>436</v>
      </c>
    </row>
    <row r="122" spans="1:3" x14ac:dyDescent="0.25">
      <c r="A122" s="235"/>
      <c r="B122" s="235"/>
      <c r="C122" s="75" t="s">
        <v>437</v>
      </c>
    </row>
    <row r="123" spans="1:3" ht="15.75" thickBot="1" x14ac:dyDescent="0.3">
      <c r="A123" s="235"/>
      <c r="B123" s="235"/>
      <c r="C123" s="54" t="s">
        <v>438</v>
      </c>
    </row>
    <row r="124" spans="1:3" ht="15.75" thickBot="1" x14ac:dyDescent="0.3">
      <c r="A124" s="236"/>
      <c r="B124" s="236"/>
      <c r="C124" s="54" t="s">
        <v>439</v>
      </c>
    </row>
    <row r="125" spans="1:3" x14ac:dyDescent="0.25">
      <c r="A125" s="79"/>
      <c r="B125" s="79"/>
      <c r="C125" s="79"/>
    </row>
    <row r="126" spans="1:3" ht="50.25" customHeight="1" x14ac:dyDescent="0.25">
      <c r="A126" s="230" t="s">
        <v>440</v>
      </c>
      <c r="B126" s="231"/>
      <c r="C126" s="231"/>
    </row>
    <row r="127" spans="1:3" ht="16.5" thickBot="1" x14ac:dyDescent="0.3">
      <c r="A127" s="76"/>
      <c r="B127"/>
      <c r="C127"/>
    </row>
    <row r="128" spans="1:3" ht="15.75" thickBot="1" x14ac:dyDescent="0.3">
      <c r="A128" s="73" t="s">
        <v>226</v>
      </c>
      <c r="B128" s="74" t="s">
        <v>313</v>
      </c>
      <c r="C128" s="74" t="s">
        <v>314</v>
      </c>
    </row>
    <row r="129" spans="1:3" ht="15.75" thickBot="1" x14ac:dyDescent="0.3">
      <c r="A129" s="234" t="s">
        <v>60</v>
      </c>
      <c r="B129" s="234" t="s">
        <v>441</v>
      </c>
      <c r="C129" s="54" t="s">
        <v>442</v>
      </c>
    </row>
    <row r="130" spans="1:3" ht="15.75" thickBot="1" x14ac:dyDescent="0.3">
      <c r="A130" s="235"/>
      <c r="B130" s="235"/>
      <c r="C130" s="54" t="s">
        <v>443</v>
      </c>
    </row>
    <row r="131" spans="1:3" ht="15.75" thickBot="1" x14ac:dyDescent="0.3">
      <c r="A131" s="235"/>
      <c r="B131" s="235"/>
      <c r="C131" s="54" t="s">
        <v>444</v>
      </c>
    </row>
    <row r="132" spans="1:3" ht="15.75" thickBot="1" x14ac:dyDescent="0.3">
      <c r="A132" s="235"/>
      <c r="B132" s="235"/>
      <c r="C132" s="54" t="s">
        <v>445</v>
      </c>
    </row>
    <row r="133" spans="1:3" ht="30.75" thickBot="1" x14ac:dyDescent="0.3">
      <c r="A133" s="236"/>
      <c r="B133" s="236"/>
      <c r="C133" s="54" t="s">
        <v>446</v>
      </c>
    </row>
    <row r="134" spans="1:3" ht="15.75" thickBot="1" x14ac:dyDescent="0.3">
      <c r="A134" s="234" t="s">
        <v>62</v>
      </c>
      <c r="B134" s="234" t="s">
        <v>447</v>
      </c>
      <c r="C134" s="54" t="s">
        <v>448</v>
      </c>
    </row>
    <row r="135" spans="1:3" ht="15.75" thickBot="1" x14ac:dyDescent="0.3">
      <c r="A135" s="235"/>
      <c r="B135" s="235"/>
      <c r="C135" s="54" t="s">
        <v>449</v>
      </c>
    </row>
    <row r="136" spans="1:3" ht="15.75" thickBot="1" x14ac:dyDescent="0.3">
      <c r="A136" s="235"/>
      <c r="B136" s="235"/>
      <c r="C136" s="54" t="s">
        <v>450</v>
      </c>
    </row>
    <row r="137" spans="1:3" ht="15.75" thickBot="1" x14ac:dyDescent="0.3">
      <c r="A137" s="235"/>
      <c r="B137" s="235"/>
      <c r="C137" s="54" t="s">
        <v>451</v>
      </c>
    </row>
    <row r="138" spans="1:3" ht="15.75" thickBot="1" x14ac:dyDescent="0.3">
      <c r="A138" s="235"/>
      <c r="B138" s="235"/>
      <c r="C138" s="54" t="s">
        <v>452</v>
      </c>
    </row>
    <row r="139" spans="1:3" ht="15.75" thickBot="1" x14ac:dyDescent="0.3">
      <c r="A139" s="235"/>
      <c r="B139" s="235"/>
      <c r="C139" s="54" t="s">
        <v>453</v>
      </c>
    </row>
    <row r="140" spans="1:3" ht="15.75" thickBot="1" x14ac:dyDescent="0.3">
      <c r="A140" s="235"/>
      <c r="B140" s="235"/>
      <c r="C140" s="54" t="s">
        <v>454</v>
      </c>
    </row>
    <row r="141" spans="1:3" ht="15.75" thickBot="1" x14ac:dyDescent="0.3">
      <c r="A141" s="235"/>
      <c r="B141" s="235"/>
      <c r="C141" s="54" t="s">
        <v>455</v>
      </c>
    </row>
    <row r="142" spans="1:3" ht="15.75" thickBot="1" x14ac:dyDescent="0.3">
      <c r="A142" s="236"/>
      <c r="B142" s="236"/>
      <c r="C142" s="54" t="s">
        <v>456</v>
      </c>
    </row>
    <row r="143" spans="1:3" ht="15.75" thickBot="1" x14ac:dyDescent="0.3">
      <c r="A143" s="234" t="s">
        <v>63</v>
      </c>
      <c r="B143" s="234" t="s">
        <v>457</v>
      </c>
      <c r="C143" s="54" t="s">
        <v>458</v>
      </c>
    </row>
    <row r="144" spans="1:3" ht="15.75" thickBot="1" x14ac:dyDescent="0.3">
      <c r="A144" s="235"/>
      <c r="B144" s="235"/>
      <c r="C144" s="54" t="s">
        <v>459</v>
      </c>
    </row>
    <row r="145" spans="1:3" ht="15.75" thickBot="1" x14ac:dyDescent="0.3">
      <c r="A145" s="235"/>
      <c r="B145" s="235"/>
      <c r="C145" s="54" t="s">
        <v>460</v>
      </c>
    </row>
    <row r="146" spans="1:3" ht="15.75" thickBot="1" x14ac:dyDescent="0.3">
      <c r="A146" s="235"/>
      <c r="B146" s="235"/>
      <c r="C146" s="54" t="s">
        <v>461</v>
      </c>
    </row>
    <row r="147" spans="1:3" ht="15.75" thickBot="1" x14ac:dyDescent="0.3">
      <c r="A147" s="235"/>
      <c r="B147" s="235"/>
      <c r="C147" s="54" t="s">
        <v>462</v>
      </c>
    </row>
    <row r="148" spans="1:3" ht="15.75" thickBot="1" x14ac:dyDescent="0.3">
      <c r="A148" s="235"/>
      <c r="B148" s="235"/>
      <c r="C148" s="54" t="s">
        <v>463</v>
      </c>
    </row>
    <row r="149" spans="1:3" ht="15.75" thickBot="1" x14ac:dyDescent="0.3">
      <c r="A149" s="235"/>
      <c r="B149" s="235"/>
      <c r="C149" s="54" t="s">
        <v>464</v>
      </c>
    </row>
    <row r="150" spans="1:3" ht="15.75" thickBot="1" x14ac:dyDescent="0.3">
      <c r="A150" s="235"/>
      <c r="B150" s="235"/>
      <c r="C150" s="54" t="s">
        <v>465</v>
      </c>
    </row>
    <row r="151" spans="1:3" ht="15.75" thickBot="1" x14ac:dyDescent="0.3">
      <c r="A151" s="236"/>
      <c r="B151" s="236"/>
      <c r="C151" s="54" t="s">
        <v>40</v>
      </c>
    </row>
    <row r="152" spans="1:3" ht="15.75" thickBot="1" x14ac:dyDescent="0.3">
      <c r="A152" s="234" t="s">
        <v>59</v>
      </c>
      <c r="B152" s="234" t="s">
        <v>466</v>
      </c>
      <c r="C152" s="54" t="s">
        <v>467</v>
      </c>
    </row>
    <row r="153" spans="1:3" ht="15.75" thickBot="1" x14ac:dyDescent="0.3">
      <c r="A153" s="235"/>
      <c r="B153" s="235"/>
      <c r="C153" s="54" t="s">
        <v>468</v>
      </c>
    </row>
    <row r="154" spans="1:3" ht="15.75" thickBot="1" x14ac:dyDescent="0.3">
      <c r="A154" s="236"/>
      <c r="B154" s="236"/>
      <c r="C154" s="54" t="s">
        <v>469</v>
      </c>
    </row>
    <row r="155" spans="1:3" ht="15.75" thickBot="1" x14ac:dyDescent="0.3">
      <c r="A155" s="234" t="s">
        <v>61</v>
      </c>
      <c r="B155" s="234" t="s">
        <v>470</v>
      </c>
      <c r="C155" s="54" t="s">
        <v>471</v>
      </c>
    </row>
    <row r="156" spans="1:3" ht="15.75" thickBot="1" x14ac:dyDescent="0.3">
      <c r="A156" s="236"/>
      <c r="B156" s="236"/>
      <c r="C156" s="54" t="s">
        <v>472</v>
      </c>
    </row>
    <row r="157" spans="1:3" ht="30.75" thickBot="1" x14ac:dyDescent="0.3">
      <c r="A157" s="46" t="s">
        <v>58</v>
      </c>
      <c r="B157" s="54" t="s">
        <v>473</v>
      </c>
      <c r="C157" s="54" t="s">
        <v>58</v>
      </c>
    </row>
    <row r="158" spans="1:3" ht="15.75" thickBot="1" x14ac:dyDescent="0.3">
      <c r="A158" s="46" t="s">
        <v>12</v>
      </c>
      <c r="B158" s="54" t="s">
        <v>474</v>
      </c>
      <c r="C158" s="54" t="s">
        <v>12</v>
      </c>
    </row>
    <row r="159" spans="1:3" ht="15.75" x14ac:dyDescent="0.25">
      <c r="A159" s="76"/>
      <c r="B159"/>
      <c r="C159"/>
    </row>
    <row r="160" spans="1:3" ht="36.75" customHeight="1" x14ac:dyDescent="0.25">
      <c r="A160" s="230" t="s">
        <v>475</v>
      </c>
      <c r="B160" s="231"/>
      <c r="C160" s="231"/>
    </row>
    <row r="161" spans="1:3" ht="16.5" thickBot="1" x14ac:dyDescent="0.3">
      <c r="A161" s="76"/>
      <c r="B161"/>
      <c r="C161"/>
    </row>
    <row r="162" spans="1:3" ht="15.75" thickBot="1" x14ac:dyDescent="0.3">
      <c r="A162" s="73" t="s">
        <v>226</v>
      </c>
      <c r="B162" s="74" t="s">
        <v>313</v>
      </c>
      <c r="C162" s="74" t="s">
        <v>314</v>
      </c>
    </row>
    <row r="163" spans="1:3" ht="30.75" thickBot="1" x14ac:dyDescent="0.3">
      <c r="A163" s="46" t="s">
        <v>44</v>
      </c>
      <c r="B163" s="54" t="s">
        <v>476</v>
      </c>
      <c r="C163" s="54" t="s">
        <v>44</v>
      </c>
    </row>
    <row r="164" spans="1:3" ht="30.75" thickBot="1" x14ac:dyDescent="0.3">
      <c r="A164" s="46" t="s">
        <v>42</v>
      </c>
      <c r="B164" s="54" t="s">
        <v>477</v>
      </c>
      <c r="C164" s="54" t="s">
        <v>42</v>
      </c>
    </row>
    <row r="165" spans="1:3" ht="15.75" thickBot="1" x14ac:dyDescent="0.3">
      <c r="A165" s="46" t="s">
        <v>41</v>
      </c>
      <c r="B165" s="54" t="s">
        <v>478</v>
      </c>
      <c r="C165" s="54" t="s">
        <v>41</v>
      </c>
    </row>
    <row r="166" spans="1:3" ht="15.75" thickBot="1" x14ac:dyDescent="0.3">
      <c r="A166" s="46" t="s">
        <v>43</v>
      </c>
      <c r="B166" s="54" t="s">
        <v>479</v>
      </c>
      <c r="C166" s="54" t="s">
        <v>43</v>
      </c>
    </row>
    <row r="167" spans="1:3" ht="30.75" thickBot="1" x14ac:dyDescent="0.3">
      <c r="A167" s="46" t="s">
        <v>40</v>
      </c>
      <c r="B167" s="54" t="s">
        <v>480</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2015-06-18T17:50:41Z</cp:lastPrinted>
  <dcterms:created xsi:type="dcterms:W3CDTF">2015-03-19T18:31:05Z</dcterms:created>
  <dcterms:modified xsi:type="dcterms:W3CDTF">2015-07-01T19:39:12Z</dcterms:modified>
</cp:coreProperties>
</file>