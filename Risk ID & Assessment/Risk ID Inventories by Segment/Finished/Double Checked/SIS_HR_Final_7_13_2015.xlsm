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8325" tabRatio="928" activeTab="1"/>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'13'!$A$1:$C$12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Assessments!$A$1:$C$44</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5">'Off-Balance Sheet'!$A$1:$A$12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<sst xmlns="http://schemas.openxmlformats.org/spreadsheetml/2006/main" count="1347" uniqueCount="564">
  <si>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</si>
  <si>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</si>
  <si>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</si>
  <si>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</si>
  <si>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</si>
  <si>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</si>
  <si>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</si>
  <si>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</si>
  <si>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</si>
  <si>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</si>
  <si>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</si>
  <si>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</si>
  <si>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</si>
  <si>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</si>
  <si>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</si>
  <si>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</si>
  <si>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</si>
  <si>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</si>
  <si>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</si>
  <si>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</si>
  <si>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</si>
  <si>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</si>
  <si>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</si>
  <si>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</si>
  <si>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</si>
  <si>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</si>
  <si>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</si>
  <si>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</si>
  <si>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</si>
  <si>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</si>
  <si>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</si>
  <si>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</si>
  <si>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</si>
  <si>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</si>
  <si>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</si>
  <si>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</si>
  <si>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</si>
  <si>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</si>
  <si>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</si>
  <si>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</si>
  <si>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</si>
  <si>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</si>
  <si>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</si>
  <si>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</si>
  <si>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</si>
  <si>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</si>
  <si>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</si>
  <si>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</si>
  <si>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</si>
  <si>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</si>
  <si>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</si>
  <si>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</si>
  <si>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</si>
  <si>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</si>
  <si>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</si>
  <si>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</si>
  <si>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</si>
  <si>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</si>
  <si>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</si>
  <si>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</si>
  <si>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</si>
  <si>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</si>
  <si>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</si>
  <si>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</si>
  <si>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</si>
  <si>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</si>
  <si>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</si>
  <si>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</si>
  <si>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</si>
  <si>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</si>
  <si>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</si>
  <si>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</si>
  <si>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</si>
  <si>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</si>
  <si>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</si>
  <si>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</si>
  <si>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</si>
  <si>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</si>
  <si>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</si>
  <si>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</si>
  <si>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</si>
  <si>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</si>
  <si>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</si>
  <si>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</si>
  <si>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</si>
  <si>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</si>
  <si>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</si>
  <si>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</si>
  <si>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</si>
  <si>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</si>
  <si>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</si>
  <si>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</si>
  <si>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</si>
  <si>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</si>
  <si>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</si>
  <si>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</si>
  <si>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</si>
  <si>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</si>
  <si>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</si>
  <si>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</si>
  <si>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</si>
  <si>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</si>
  <si>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</si>
  <si>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</si>
  <si>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</si>
  <si>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</si>
  <si>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</si>
  <si>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</si>
  <si>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</si>
  <si>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</si>
  <si>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</si>
  <si>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</si>
  <si>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</si>
  <si>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</si>
  <si>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</si>
  <si>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</si>
  <si>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</si>
  <si>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</si>
  <si>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</si>
  <si>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</si>
  <si>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</si>
  <si>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</si>
  <si>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</si>
  <si>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</si>
  <si>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</si>
  <si>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</si>
  <si>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</si>
  <si>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</si>
  <si>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</si>
  <si>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</si>
  <si>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</si>
  <si>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</si>
  <si>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</si>
  <si>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</si>
  <si>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</si>
  <si>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</si>
  <si>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</si>
  <si>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</si>
  <si>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</si>
  <si>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</si>
  <si>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</si>
  <si>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</si>
  <si>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</si>
  <si>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</si>
  <si>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</si>
  <si>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</si>
  <si>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</si>
  <si>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</si>
  <si>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</si>
  <si>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</si>
  <si>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</si>
  <si>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</si>
  <si>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</si>
  <si>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</si>
  <si>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</si>
  <si>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</si>
  <si>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</si>
  <si>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</si>
  <si>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</si>
  <si>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</si>
  <si>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</si>
  <si>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</si>
  <si>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</si>
  <si>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</si>
  <si>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</si>
  <si>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</si>
  <si>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</si>
  <si>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</si>
  <si>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</si>
  <si>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</si>
  <si>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</si>
  <si>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</si>
  <si>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</si>
  <si>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</si>
  <si>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</si>
  <si>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</si>
  <si>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</si>
  <si>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</si>
  <si>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</si>
  <si>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</si>
  <si>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</si>
  <si>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</si>
  <si>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</si>
  <si>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</si>
  <si>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</si>
  <si>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</si>
  <si>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</si>
  <si>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</si>
  <si>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</si>
  <si>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</si>
  <si>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</si>
  <si>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</si>
  <si>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</si>
  <si>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</si>
  <si>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</si>
  <si>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</si>
  <si>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</si>
  <si>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</si>
  <si>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</si>
  <si>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</si>
  <si>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</si>
  <si>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</si>
  <si>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</si>
  <si>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</si>
  <si>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</si>
  <si>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</si>
  <si>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</si>
  <si>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</si>
  <si>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</si>
  <si>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</si>
  <si>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</si>
  <si>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</si>
  <si>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</si>
  <si>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</si>
  <si>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</si>
  <si>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</si>
  <si>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</si>
  <si>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</si>
  <si>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</si>
  <si>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</si>
  <si>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</si>
  <si>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</si>
  <si>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</si>
  <si>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</si>
  <si>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</si>
  <si>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</si>
  <si>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</si>
  <si>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</si>
  <si>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</si>
  <si>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</si>
  <si>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</si>
  <si>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</si>
  <si>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</si>
  <si>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</si>
  <si>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</si>
  <si>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</si>
  <si>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</si>
  <si>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</si>
  <si>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</si>
  <si>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</si>
  <si>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</si>
  <si>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</si>
  <si>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</si>
  <si>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</si>
  <si>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</si>
  <si>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</si>
  <si>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</si>
  <si>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</si>
  <si>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</si>
  <si>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</si>
  <si>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</si>
  <si>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</si>
  <si>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</si>
  <si>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</si>
  <si>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</si>
  <si>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</si>
  <si>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</si>
  <si>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</si>
  <si>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</si>
  <si>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</si>
  <si>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</si>
  <si>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</si>
  <si>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</si>
  <si>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2. Business Overview</t>
  </si>
  <si>
    <t>3. Process Followed</t>
  </si>
  <si>
    <t>4. Strategic Plan</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</si>
  <si>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</si>
  <si>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</si>
  <si>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</si>
  <si>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</si>
  <si>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</si>
  <si>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</si>
  <si>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</si>
  <si>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</si>
  <si>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</si>
  <si>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</si>
  <si>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</si>
  <si>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</si>
  <si>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</si>
  <si>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</si>
  <si>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</si>
  <si>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</si>
  <si>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</si>
  <si>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</si>
  <si>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</si>
  <si>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</si>
  <si>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</si>
  <si>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</si>
  <si>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</si>
  <si>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</si>
  <si>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</si>
  <si>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</si>
  <si>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</si>
  <si>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</si>
  <si>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</si>
  <si>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</si>
  <si>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</si>
  <si>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</si>
  <si>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</si>
  <si>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</si>
  <si>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</si>
  <si>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</si>
  <si>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</si>
  <si>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</si>
  <si>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</si>
  <si>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</si>
  <si>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</si>
  <si>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</si>
  <si>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</si>
  <si>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</si>
  <si>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</si>
  <si>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</si>
  <si>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</si>
  <si>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</si>
  <si>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</si>
  <si>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</si>
  <si>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</si>
  <si>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</si>
  <si>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</si>
  <si>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</si>
  <si>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</si>
  <si>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</si>
  <si>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</si>
  <si>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</si>
  <si>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</si>
  <si>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</si>
  <si>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</si>
  <si>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</si>
  <si>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</si>
  <si>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</si>
  <si>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</si>
  <si>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</si>
  <si>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</si>
  <si>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</si>
  <si>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</si>
  <si>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</si>
  <si>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</si>
  <si>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</si>
  <si>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</si>
  <si>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</si>
  <si>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</si>
  <si>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</si>
  <si>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</si>
  <si>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</si>
  <si>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</si>
  <si>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</si>
  <si>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</si>
  <si>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</si>
  <si>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</si>
  <si>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</si>
  <si>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</si>
  <si>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</si>
  <si>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</si>
  <si>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</si>
  <si>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</si>
  <si>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</si>
  <si>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</si>
  <si>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</si>
  <si>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</si>
  <si>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</si>
  <si>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</si>
  <si>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</si>
  <si>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</si>
  <si>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</si>
  <si>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</si>
  <si>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</si>
  <si>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</si>
  <si>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</si>
  <si>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</si>
  <si>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</si>
  <si>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</si>
  <si>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</si>
  <si>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</si>
  <si>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</si>
  <si>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</si>
  <si>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</si>
  <si>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</si>
  <si>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</si>
  <si>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</si>
  <si>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</si>
  <si>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</si>
  <si>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</si>
  <si>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</si>
  <si>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</si>
  <si>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</si>
  <si>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</si>
  <si>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</si>
  <si>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</si>
  <si>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</si>
  <si>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</si>
  <si>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</si>
  <si>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</si>
  <si>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</si>
  <si>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</si>
  <si>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</si>
  <si>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</si>
  <si>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</si>
  <si>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</si>
  <si>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</si>
  <si>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</si>
  <si>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</si>
  <si>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</si>
  <si>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</si>
  <si>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</si>
  <si>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</si>
  <si>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</si>
  <si>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</si>
  <si>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</si>
  <si>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</si>
  <si>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</si>
  <si>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</si>
  <si>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</si>
  <si>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</si>
  <si>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</si>
  <si>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</si>
  <si>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</si>
  <si>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</si>
  <si>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</si>
  <si>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</si>
  <si>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</si>
  <si>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</si>
  <si>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</si>
  <si>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</si>
  <si>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</si>
  <si>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</si>
  <si>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</si>
  <si>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</si>
  <si>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</si>
  <si>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</si>
  <si>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</si>
  <si>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</si>
  <si>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</si>
  <si>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</si>
  <si>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</si>
  <si>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</si>
  <si>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</si>
  <si>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</si>
  <si>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</si>
  <si>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</si>
  <si>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</si>
  <si>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</si>
  <si>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</si>
  <si>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</si>
  <si>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</si>
  <si>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</si>
  <si>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</si>
  <si>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</si>
  <si>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</si>
  <si>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</si>
  <si>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</si>
  <si>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</si>
  <si>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</si>
  <si>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</si>
  <si>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</si>
  <si>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</si>
  <si>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</si>
  <si>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</si>
  <si>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</si>
  <si>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</si>
  <si>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</si>
  <si>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</si>
  <si>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</si>
  <si>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</si>
  <si>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</si>
  <si>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</si>
  <si>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</si>
  <si>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</si>
  <si>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</si>
  <si>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</si>
  <si>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</si>
  <si>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</si>
  <si>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</si>
  <si>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</si>
  <si>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</si>
  <si>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</si>
  <si>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</si>
  <si>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</si>
  <si>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</si>
  <si>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</si>
  <si>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</si>
  <si>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</si>
  <si>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</si>
  <si>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</si>
  <si>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</si>
  <si>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</si>
  <si>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</si>
  <si>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</si>
  <si>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</si>
  <si>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</si>
  <si>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</si>
  <si>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</si>
  <si>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</si>
  <si>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</si>
  <si>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</si>
  <si>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</si>
  <si>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</si>
  <si>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</si>
  <si>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</si>
  <si>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</si>
  <si>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</si>
  <si>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</si>
  <si>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[Enter Business Overview here, to create a Carriage Return hold down the [ALT]+[RETURN] ]
</t>
  </si>
  <si>
    <t>[Enter Overview of process followed and key inputs utilized here, to create a Carriage Return hold down the [ALT]+[RETURN] ]</t>
  </si>
  <si>
    <t xml:space="preserve"> [Enter highlights of strategic plan along with changes to risk profile here, to create a Carriage Return hold down the [ALT]+[RETURN] ]
</t>
  </si>
  <si>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</si>
  <si>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</si>
  <si>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</si>
  <si>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</si>
  <si>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</si>
  <si>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</si>
  <si>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</si>
  <si>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</si>
  <si>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</si>
  <si>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</si>
  <si>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</si>
  <si>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</si>
  <si>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</si>
  <si>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</si>
  <si>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</si>
  <si>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</si>
  <si>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</si>
  <si>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</si>
  <si>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</si>
  <si>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</si>
  <si>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</si>
  <si>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</si>
  <si>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</si>
  <si>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</si>
  <si>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</si>
  <si>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</si>
  <si>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</si>
  <si>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</si>
  <si>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</si>
  <si>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</si>
  <si>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</si>
  <si>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</si>
  <si>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</si>
  <si>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 [Enter Executive Summary here, to create a Carriage Return hold down the [ALT]+[RETURN] ]
</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</si>
  <si>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</si>
  <si>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</si>
  <si>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</si>
  <si>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</si>
  <si>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 xml:space="preserve">
This section should be a high level overview of Material Risks identified:</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</si>
  <si>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the business:
</t>
  </si>
  <si>
    <r>
      <t xml:space="preserve">Risk Driver </t>
    </r>
    <r>
      <rPr>
        <sz val="10"/>
        <color theme="1"/>
        <rFont val="Calibri"/>
        <family val="2"/>
        <scheme val="minor"/>
      </rPr>
      <t>- The economic, business or regulatory force(s) leading to the potential increase(s) in the Risk profile as capture under the 'Stressed Financial Impact'. Drivers(s) must be supported in the 'Financial Impact Rationale'.</t>
    </r>
  </si>
  <si>
    <r>
      <t xml:space="preserve">Risk Driver </t>
    </r>
    <r>
      <rPr>
        <sz val="10"/>
        <color theme="1"/>
        <rFont val="Calibri"/>
        <family val="2"/>
        <scheme val="minor"/>
      </rPr>
      <t>- The economic, business or regulatory force(s) leading to the potential increase(s) in the Risk profile as capture under the 'Stressed Financial Impact'. Driver(s) must be supported in the 'Financial Impact Rationale'.</t>
    </r>
  </si>
  <si>
    <t>Enter significant Audit/Regulatory finds and/or resolutions since the last annual assessment cycle (and those still open).</t>
  </si>
  <si>
    <t>Unemployment (Up), Deflation</t>
  </si>
  <si>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xml:space="preserve">- An annual expected loss that considers a severe combination of circumstances that could reasonably be expected to occur in one annual period out of ten.  </t>
    </r>
  </si>
  <si>
    <r>
      <t>Annual Expected Loss (Base)</t>
    </r>
    <r>
      <rPr>
        <sz val="10"/>
        <color theme="1"/>
        <rFont val="Calibri"/>
        <family val="2"/>
        <scheme val="minor"/>
      </rPr>
      <t xml:space="preserve"> - A reasonable expectation of a negative impact to revenues/expenses within the next 12 month period in baseline conditions. This considers the amount at risk along with the current control environment both the design and effectiveness.
</t>
    </r>
  </si>
  <si>
    <t>Material Risk Tool version 1.3 updated May 27, 2015</t>
  </si>
  <si>
    <t>10.7  Compliance Assessment</t>
  </si>
  <si>
    <t>Summary results of most recent Compliance Assessment:</t>
  </si>
  <si>
    <t xml:space="preserve"> [Enter any  key inputs and how they were used]
</t>
  </si>
  <si>
    <t>10.8  Other</t>
  </si>
  <si>
    <t>Retain and attract talent</t>
  </si>
  <si>
    <t>Employer Brand</t>
  </si>
  <si>
    <t>Adverse regulator opinion might have an impact on the talent acquisition. CCAR already coming up in the interviewing process</t>
  </si>
  <si>
    <t>Risk control during interviewing process clarifying status of CCAR. Pitch actions being taken to pass the test.</t>
  </si>
  <si>
    <t>Adverse regulator opinion might have an impact on attracting talent. From an HR perspective the risk ties to our capabilities not only attracting the right employee, but to retain the current ones should the situation worse to extreme limits.</t>
  </si>
  <si>
    <t>Continuous monitoring of competitors trying to implement same initiative as well as Compensation ranges. Compensation model for the team strucured with claw backs to February 2016. US DCM Latam (juniors) supporting as well IG. Retention plan beyond February 2016 is being discussed as a proactive control.</t>
  </si>
  <si>
    <t>At the end of 2014 Investment Grade was launched, with a budget of aprox $24 Mn in DCM and Syndicate.  The department is on track to exceed the $24M in revenue with targeted revenue of $34Mn ($20M attested to BAU and $12M for new business - as of now aprox $5.5 Mio as book runners).  The team (4 persons)  is a newly hired team for the initiative came at the same time from a competitor, BNP Paribas. The material risk is attributed to the key senior team members (in origination and syndication). If they  were to leave together in the short term, we would face a situation where in house knowledge is not built yet and would have a potential loss of more than $5.5 Mio in active book runners roles due to employee attrition.</t>
  </si>
  <si>
    <t>Annual budget for 2015 of $24Mn for DCM and Syndicate. Team is on track this year to exceed this revenue with $32Mn.  If key personnel (2) in origination and syndication were to leave together, approximately $12M would be the potential loss from not gaining active book runner deals and some fees in co-manager roles.</t>
  </si>
  <si>
    <t xml:space="preserve">[Human Resources]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</si>
</sst>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view="pageLayout" topLeftCell="A13" zoomScaleNormal="90" workbookViewId="0"/>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533</v>
      </c>
      <c r="B1" s="43"/>
      <c r="C1" s="43"/>
      <c r="D1" s="43"/>
      <c r="E1" s="43"/>
      <c r="AA1" s="43">
        <v>0</v>
      </c>
    </row>
    <row r="2" spans="1:27" ht="15" x14ac:dyDescent="0.25">
      <c r="A2" s="43"/>
      <c r="B2" s="43"/>
      <c r="C2" s="43"/>
      <c r="D2" s="43"/>
      <c r="E2" s="118" t="s">
        <v>550</v>
      </c>
    </row>
    <row r="3" spans="1:27" ht="15" x14ac:dyDescent="0.25">
      <c r="A3" s="39"/>
      <c r="B3" s="39"/>
      <c r="C3" s="39"/>
      <c r="D3" s="39"/>
      <c r="E3" s="121" t="s">
        <v>527</v>
      </c>
      <c r="F3" s="122"/>
    </row>
    <row r="4" spans="1:27" ht="15" x14ac:dyDescent="0.25">
      <c r="A4" s="39"/>
      <c r="B4" s="39"/>
      <c r="C4" s="39"/>
      <c r="D4" s="39"/>
      <c r="E4" s="123"/>
      <c r="F4" s="124"/>
    </row>
    <row r="5" spans="1:27" ht="4.5" customHeight="1" x14ac:dyDescent="0.25">
      <c r="A5" s="39"/>
      <c r="B5" s="39"/>
      <c r="C5" s="39"/>
      <c r="D5" s="39"/>
      <c r="E5" s="123"/>
      <c r="F5" s="124"/>
    </row>
    <row r="6" spans="1:27" ht="4.5" customHeight="1" x14ac:dyDescent="0.25">
      <c r="A6" s="39"/>
      <c r="B6" s="39"/>
      <c r="C6" s="39"/>
      <c r="D6" s="39"/>
      <c r="E6" s="123"/>
      <c r="F6" s="124"/>
    </row>
    <row r="7" spans="1:27" ht="15" x14ac:dyDescent="0.25">
      <c r="A7" s="39"/>
      <c r="B7" s="39"/>
      <c r="C7" s="39"/>
      <c r="D7" s="39"/>
      <c r="E7" s="123"/>
      <c r="F7" s="124"/>
    </row>
    <row r="8" spans="1:27" ht="15" x14ac:dyDescent="0.25">
      <c r="A8" s="39"/>
      <c r="B8" s="39"/>
      <c r="C8" s="39"/>
      <c r="D8" s="39"/>
      <c r="E8" s="123"/>
      <c r="F8" s="124"/>
    </row>
    <row r="9" spans="1:27" ht="15" x14ac:dyDescent="0.25">
      <c r="A9" s="39"/>
      <c r="B9" s="39"/>
      <c r="C9" s="39"/>
      <c r="D9" s="39"/>
      <c r="E9" s="123"/>
      <c r="F9" s="124"/>
    </row>
    <row r="10" spans="1:27" ht="15" hidden="1" customHeight="1" x14ac:dyDescent="0.25">
      <c r="A10" s="39"/>
      <c r="B10" s="39"/>
      <c r="C10" s="39"/>
      <c r="D10" s="39"/>
      <c r="E10" s="123"/>
      <c r="F10" s="124"/>
    </row>
    <row r="11" spans="1:27" ht="15" hidden="1" customHeight="1" x14ac:dyDescent="0.25">
      <c r="A11" s="39"/>
      <c r="B11" s="39"/>
      <c r="C11" s="39"/>
      <c r="D11" s="39"/>
      <c r="E11" s="123"/>
      <c r="F11" s="124"/>
    </row>
    <row r="12" spans="1:27" ht="15" hidden="1" customHeight="1" x14ac:dyDescent="0.25">
      <c r="A12" s="108"/>
      <c r="B12" s="39"/>
      <c r="C12" s="39"/>
      <c r="D12" s="39"/>
      <c r="E12" s="123"/>
      <c r="F12" s="124"/>
    </row>
    <row r="13" spans="1:27" ht="15" x14ac:dyDescent="0.25">
      <c r="A13" s="39"/>
      <c r="B13" s="39"/>
      <c r="C13" s="39"/>
      <c r="D13" s="39"/>
      <c r="E13" s="123"/>
      <c r="F13" s="124"/>
    </row>
    <row r="14" spans="1:27" ht="15" customHeight="1" x14ac:dyDescent="0.25">
      <c r="A14" s="127" t="s">
        <v>540</v>
      </c>
      <c r="B14" s="128"/>
      <c r="C14" s="129"/>
      <c r="D14" s="129"/>
      <c r="E14" s="123"/>
      <c r="F14" s="124"/>
    </row>
    <row r="15" spans="1:27" ht="15" customHeight="1" x14ac:dyDescent="0.25">
      <c r="A15" s="130"/>
      <c r="B15" s="131"/>
      <c r="C15" s="132"/>
      <c r="D15" s="132"/>
      <c r="E15" s="123"/>
      <c r="F15" s="124"/>
    </row>
    <row r="16" spans="1:27" ht="15" customHeight="1" x14ac:dyDescent="0.25">
      <c r="A16" s="130"/>
      <c r="B16" s="131"/>
      <c r="C16" s="132"/>
      <c r="D16" s="132"/>
      <c r="E16" s="123"/>
      <c r="F16" s="124"/>
    </row>
    <row r="17" spans="1:6" ht="53.25" customHeight="1" x14ac:dyDescent="0.25">
      <c r="A17" s="130"/>
      <c r="B17" s="131"/>
      <c r="C17" s="132"/>
      <c r="D17" s="132"/>
      <c r="E17" s="123"/>
      <c r="F17" s="124"/>
    </row>
    <row r="18" spans="1:6" ht="15" x14ac:dyDescent="0.25">
      <c r="A18" s="130"/>
      <c r="B18" s="131"/>
      <c r="C18" s="132"/>
      <c r="D18" s="132"/>
      <c r="E18" s="123"/>
      <c r="F18" s="124"/>
    </row>
    <row r="19" spans="1:6" ht="15" x14ac:dyDescent="0.25">
      <c r="A19" s="130"/>
      <c r="B19" s="131"/>
      <c r="C19" s="132"/>
      <c r="D19" s="132"/>
      <c r="E19" s="123"/>
      <c r="F19" s="124"/>
    </row>
    <row r="20" spans="1:6" ht="15" x14ac:dyDescent="0.25">
      <c r="A20" s="130"/>
      <c r="B20" s="131"/>
      <c r="C20" s="132"/>
      <c r="D20" s="132"/>
      <c r="E20" s="123"/>
      <c r="F20" s="124"/>
    </row>
    <row r="21" spans="1:6" ht="15" x14ac:dyDescent="0.25">
      <c r="A21" s="130"/>
      <c r="B21" s="131"/>
      <c r="C21" s="132"/>
      <c r="D21" s="132"/>
      <c r="E21" s="123"/>
      <c r="F21" s="124"/>
    </row>
    <row r="22" spans="1:6" ht="15" x14ac:dyDescent="0.25">
      <c r="A22" s="130"/>
      <c r="B22" s="131"/>
      <c r="C22" s="132"/>
      <c r="D22" s="132"/>
      <c r="E22" s="123"/>
      <c r="F22" s="124"/>
    </row>
    <row r="23" spans="1:6" ht="15" x14ac:dyDescent="0.25">
      <c r="A23" s="130"/>
      <c r="B23" s="131"/>
      <c r="C23" s="132"/>
      <c r="D23" s="132"/>
      <c r="E23" s="123"/>
      <c r="F23" s="124"/>
    </row>
    <row r="24" spans="1:6" ht="15" customHeight="1" x14ac:dyDescent="0.25">
      <c r="A24" s="130"/>
      <c r="B24" s="131"/>
      <c r="C24" s="132"/>
      <c r="D24" s="132"/>
      <c r="E24" s="123"/>
      <c r="F24" s="124"/>
    </row>
    <row r="25" spans="1:6" ht="15" customHeight="1" x14ac:dyDescent="0.25">
      <c r="A25" s="130"/>
      <c r="B25" s="131"/>
      <c r="C25" s="132"/>
      <c r="D25" s="132"/>
      <c r="E25" s="123"/>
      <c r="F25" s="124"/>
    </row>
    <row r="26" spans="1:6" ht="15" customHeight="1" x14ac:dyDescent="0.25">
      <c r="A26" s="130"/>
      <c r="B26" s="131"/>
      <c r="C26" s="132"/>
      <c r="D26" s="132"/>
      <c r="E26" s="123"/>
      <c r="F26" s="124"/>
    </row>
    <row r="27" spans="1:6" ht="36" customHeight="1" x14ac:dyDescent="0.25">
      <c r="A27" s="130"/>
      <c r="B27" s="131"/>
      <c r="C27" s="132"/>
      <c r="D27" s="132"/>
      <c r="E27" s="123"/>
      <c r="F27" s="124"/>
    </row>
    <row r="28" spans="1:6" ht="36" customHeight="1" x14ac:dyDescent="0.25">
      <c r="A28" s="130"/>
      <c r="B28" s="131"/>
      <c r="C28" s="132"/>
      <c r="D28" s="132"/>
      <c r="E28" s="123"/>
      <c r="F28" s="124"/>
    </row>
    <row r="29" spans="1:6" ht="36" customHeight="1" x14ac:dyDescent="0.25">
      <c r="A29" s="130"/>
      <c r="B29" s="131"/>
      <c r="C29" s="132"/>
      <c r="D29" s="132"/>
      <c r="E29" s="123"/>
      <c r="F29" s="124"/>
    </row>
    <row r="30" spans="1:6" ht="36" customHeight="1" x14ac:dyDescent="0.25">
      <c r="A30" s="130"/>
      <c r="B30" s="131"/>
      <c r="C30" s="132"/>
      <c r="D30" s="132"/>
      <c r="E30" s="123"/>
      <c r="F30" s="124"/>
    </row>
    <row r="31" spans="1:6" ht="36" customHeight="1" x14ac:dyDescent="0.25">
      <c r="A31" s="130"/>
      <c r="B31" s="131"/>
      <c r="C31" s="132"/>
      <c r="D31" s="132"/>
      <c r="E31" s="123"/>
      <c r="F31" s="124"/>
    </row>
    <row r="32" spans="1:6" ht="15" x14ac:dyDescent="0.25">
      <c r="A32" s="130"/>
      <c r="B32" s="131"/>
      <c r="C32" s="132"/>
      <c r="D32" s="132"/>
      <c r="E32" s="123"/>
      <c r="F32" s="124"/>
    </row>
    <row r="33" spans="1:6" ht="15" customHeight="1" x14ac:dyDescent="0.25">
      <c r="A33" s="130"/>
      <c r="B33" s="131"/>
      <c r="C33" s="132"/>
      <c r="D33" s="132"/>
      <c r="E33" s="123"/>
      <c r="F33" s="124"/>
    </row>
    <row r="34" spans="1:6" ht="15" customHeight="1" x14ac:dyDescent="0.25">
      <c r="A34" s="130"/>
      <c r="B34" s="131"/>
      <c r="C34" s="132"/>
      <c r="D34" s="132"/>
      <c r="E34" s="123"/>
      <c r="F34" s="124"/>
    </row>
    <row r="35" spans="1:6" ht="15" x14ac:dyDescent="0.25">
      <c r="A35" s="130"/>
      <c r="B35" s="131"/>
      <c r="C35" s="132"/>
      <c r="D35" s="132"/>
      <c r="E35" s="123"/>
      <c r="F35" s="124"/>
    </row>
    <row r="36" spans="1:6" ht="31.5" customHeight="1" x14ac:dyDescent="0.25">
      <c r="A36" s="130"/>
      <c r="B36" s="131"/>
      <c r="C36" s="132"/>
      <c r="D36" s="132"/>
      <c r="E36" s="123"/>
      <c r="F36" s="124"/>
    </row>
    <row r="37" spans="1:6" ht="31.5" customHeight="1" x14ac:dyDescent="0.25">
      <c r="A37" s="130"/>
      <c r="B37" s="131"/>
      <c r="C37" s="132"/>
      <c r="D37" s="132"/>
      <c r="E37" s="123"/>
      <c r="F37" s="124"/>
    </row>
    <row r="38" spans="1:6" ht="31.5" customHeight="1" x14ac:dyDescent="0.25">
      <c r="A38" s="130"/>
      <c r="B38" s="131"/>
      <c r="C38" s="132"/>
      <c r="D38" s="132"/>
      <c r="E38" s="123"/>
      <c r="F38" s="124"/>
    </row>
    <row r="39" spans="1:6" ht="31.5" customHeight="1" x14ac:dyDescent="0.25">
      <c r="A39" s="130"/>
      <c r="B39" s="131"/>
      <c r="C39" s="132"/>
      <c r="D39" s="132"/>
      <c r="E39" s="123"/>
      <c r="F39" s="124"/>
    </row>
    <row r="40" spans="1:6" ht="15" x14ac:dyDescent="0.25">
      <c r="A40" s="133"/>
      <c r="B40" s="134"/>
      <c r="C40" s="135"/>
      <c r="D40" s="135"/>
      <c r="E40" s="125"/>
      <c r="F40" s="126"/>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tabSelected="1" view="pageLayout" topLeftCell="A17" zoomScaleNormal="100" zoomScaleSheetLayoutView="100"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506</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6" t="s">
        <v>317</v>
      </c>
      <c r="B14" s="137"/>
      <c r="C14" s="137"/>
      <c r="D14" s="137"/>
      <c r="E14" s="137"/>
      <c r="F14" s="137"/>
      <c r="G14" s="137"/>
      <c r="H14" s="137"/>
      <c r="I14" s="137"/>
      <c r="J14" s="137"/>
      <c r="K14" s="120"/>
    </row>
    <row r="15" spans="1:15 16383:16383" x14ac:dyDescent="0.25">
      <c r="A15" s="137"/>
      <c r="B15" s="137"/>
      <c r="C15" s="137"/>
      <c r="D15" s="137"/>
      <c r="E15" s="137"/>
      <c r="F15" s="137"/>
      <c r="G15" s="137"/>
      <c r="H15" s="137"/>
      <c r="I15" s="137"/>
      <c r="J15" s="137"/>
    </row>
    <row r="16" spans="1:15 16383:16383" x14ac:dyDescent="0.25">
      <c r="A16" s="137"/>
      <c r="B16" s="137"/>
      <c r="C16" s="137"/>
      <c r="D16" s="137"/>
      <c r="E16" s="137"/>
      <c r="F16" s="137"/>
      <c r="G16" s="137"/>
      <c r="H16" s="137"/>
      <c r="I16" s="137"/>
      <c r="J16" s="137"/>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8" t="s">
        <v>490</v>
      </c>
      <c r="B24" s="139"/>
      <c r="C24" s="139"/>
      <c r="D24" s="139"/>
      <c r="E24" s="139"/>
      <c r="F24" s="139"/>
      <c r="G24" s="139"/>
      <c r="H24" s="139"/>
      <c r="I24" s="139"/>
      <c r="J24" s="139"/>
    </row>
    <row r="25" spans="1:10" x14ac:dyDescent="0.25">
      <c r="A25" s="139"/>
      <c r="B25" s="139"/>
      <c r="C25" s="139"/>
      <c r="D25" s="139"/>
      <c r="E25" s="139"/>
      <c r="F25" s="139"/>
      <c r="G25" s="139"/>
      <c r="H25" s="139"/>
      <c r="I25" s="139"/>
      <c r="J25" s="139"/>
    </row>
    <row r="26" spans="1:10" x14ac:dyDescent="0.25">
      <c r="A26" s="139"/>
      <c r="B26" s="139"/>
      <c r="C26" s="139"/>
      <c r="D26" s="139"/>
      <c r="E26" s="139"/>
      <c r="F26" s="139"/>
      <c r="G26" s="139"/>
      <c r="H26" s="139"/>
      <c r="I26" s="139"/>
      <c r="J26" s="139"/>
    </row>
    <row r="27" spans="1:10" x14ac:dyDescent="0.25">
      <c r="A27" s="140"/>
      <c r="B27" s="140"/>
      <c r="C27" s="140"/>
      <c r="D27" s="140"/>
      <c r="E27" s="140"/>
      <c r="F27" s="140"/>
      <c r="G27" s="140"/>
      <c r="H27" s="140"/>
      <c r="I27" s="140"/>
      <c r="J27" s="140"/>
    </row>
    <row r="28" spans="1:10" x14ac:dyDescent="0.25">
      <c r="A28" s="140"/>
      <c r="B28" s="140"/>
      <c r="C28" s="140"/>
      <c r="D28" s="140"/>
      <c r="E28" s="140"/>
      <c r="F28" s="140"/>
      <c r="G28" s="140"/>
      <c r="H28" s="140"/>
      <c r="I28" s="140"/>
      <c r="J28" s="140"/>
    </row>
    <row r="29" spans="1:10" x14ac:dyDescent="0.25"/>
    <row r="30" spans="1:10" x14ac:dyDescent="0.25"/>
    <row r="31" spans="1:10" x14ac:dyDescent="0.25"/>
    <row r="32" spans="1:10" x14ac:dyDescent="0.25"/>
    <row r="33" spans="1:10" x14ac:dyDescent="0.25">
      <c r="A33" s="141" t="s">
        <v>563</v>
      </c>
      <c r="B33" s="142"/>
      <c r="C33" s="142"/>
      <c r="D33" s="142"/>
      <c r="E33" s="142"/>
      <c r="F33" s="142"/>
      <c r="G33" s="142"/>
      <c r="H33" s="142"/>
      <c r="I33" s="142"/>
      <c r="J33" s="142"/>
    </row>
    <row r="34" spans="1:10" x14ac:dyDescent="0.25">
      <c r="A34" s="142"/>
      <c r="B34" s="142"/>
      <c r="C34" s="142"/>
      <c r="D34" s="142"/>
      <c r="E34" s="142"/>
      <c r="F34" s="142"/>
      <c r="G34" s="142"/>
      <c r="H34" s="142"/>
      <c r="I34" s="142"/>
      <c r="J34" s="142"/>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topLeftCell="A10" zoomScaleNormal="100" workbookViewId="0">
      <selection activeCell="K14" sqref="K14:O1048576"/>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256</v>
      </c>
      <c r="B1" s="45"/>
      <c r="AA1" s="43" t="s">
        <v>506</v>
      </c>
    </row>
    <row r="2" spans="1:27" ht="15.75" thickBot="1" x14ac:dyDescent="0.3"/>
    <row r="3" spans="1:27" ht="29.25" customHeight="1" thickBot="1" x14ac:dyDescent="0.3">
      <c r="A3" s="143" t="s">
        <v>257</v>
      </c>
      <c r="B3" s="144"/>
      <c r="C3" s="106"/>
    </row>
    <row r="4" spans="1:27" ht="33.75" customHeight="1" thickBot="1" x14ac:dyDescent="0.3">
      <c r="A4" s="143" t="s">
        <v>318</v>
      </c>
      <c r="B4" s="144"/>
      <c r="C4" s="107"/>
    </row>
    <row r="5" spans="1:27" ht="33.75" customHeight="1" thickBot="1" x14ac:dyDescent="0.3">
      <c r="A5" s="143" t="s">
        <v>319</v>
      </c>
      <c r="B5" s="144"/>
      <c r="C5" s="107"/>
    </row>
    <row r="6" spans="1:27" ht="33.75" customHeight="1" thickBot="1" x14ac:dyDescent="0.3">
      <c r="A6" s="143" t="s">
        <v>1</v>
      </c>
      <c r="B6" s="144"/>
      <c r="C6" s="107"/>
    </row>
    <row r="7" spans="1:27" ht="33.75" customHeight="1" thickBot="1" x14ac:dyDescent="0.3">
      <c r="A7" s="143" t="s">
        <v>258</v>
      </c>
      <c r="B7" s="144"/>
      <c r="C7" s="107"/>
    </row>
    <row r="8" spans="1:27" ht="33.75" customHeight="1" thickBot="1" x14ac:dyDescent="0.3">
      <c r="A8" s="143" t="s">
        <v>528</v>
      </c>
      <c r="B8" s="144"/>
      <c r="C8" s="107"/>
    </row>
    <row r="9" spans="1:27" ht="33.75" customHeight="1" thickBot="1" x14ac:dyDescent="0.3">
      <c r="A9" s="143" t="s">
        <v>529</v>
      </c>
      <c r="B9" s="144"/>
      <c r="C9" s="107"/>
    </row>
    <row r="10" spans="1:27" ht="33.75" customHeight="1" thickBot="1" x14ac:dyDescent="0.3">
      <c r="A10" s="143" t="s">
        <v>259</v>
      </c>
      <c r="B10" s="144"/>
      <c r="C10" s="107"/>
    </row>
    <row r="11" spans="1:27" ht="33.75" customHeight="1" thickBot="1" x14ac:dyDescent="0.3">
      <c r="A11" s="143" t="s">
        <v>260</v>
      </c>
      <c r="B11" s="144"/>
      <c r="C11" s="107"/>
    </row>
    <row r="12" spans="1:27" ht="33.75" customHeight="1" thickBot="1" x14ac:dyDescent="0.3">
      <c r="A12" s="143" t="s">
        <v>530</v>
      </c>
      <c r="B12" s="144"/>
      <c r="C12" s="107"/>
    </row>
    <row r="13" spans="1:27" ht="33.75" customHeight="1" thickBot="1" x14ac:dyDescent="0.3">
      <c r="A13" s="143" t="s">
        <v>261</v>
      </c>
      <c r="B13" s="144"/>
      <c r="C13" s="107"/>
    </row>
    <row r="14" spans="1:27" x14ac:dyDescent="0.25"/>
    <row r="15" spans="1:27" ht="15.75" thickBot="1" x14ac:dyDescent="0.3">
      <c r="A15" s="68" t="s">
        <v>500</v>
      </c>
      <c r="B15" s="145"/>
      <c r="C15" s="146"/>
    </row>
    <row r="16" spans="1:27" x14ac:dyDescent="0.25"/>
    <row r="17" spans="1:3" x14ac:dyDescent="0.25">
      <c r="A17" s="89" t="s">
        <v>531</v>
      </c>
      <c r="B17" s="47"/>
    </row>
    <row r="18" spans="1:3" x14ac:dyDescent="0.25"/>
    <row r="19" spans="1:3" x14ac:dyDescent="0.25">
      <c r="A19" s="48" t="s">
        <v>262</v>
      </c>
      <c r="B19" s="49"/>
      <c r="C19" s="50"/>
    </row>
    <row r="20" spans="1:3" ht="198.75" customHeight="1" x14ac:dyDescent="0.25">
      <c r="A20" s="147" t="s">
        <v>525</v>
      </c>
      <c r="B20" s="135"/>
      <c r="C20" s="148"/>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topLeftCell="A10" zoomScaleNormal="100" zoomScaleSheetLayoutView="100" workbookViewId="0">
      <selection activeCell="K14" sqref="K14:O1048576"/>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266</v>
      </c>
      <c r="AA1" s="43" t="s">
        <v>507</v>
      </c>
    </row>
    <row r="2" spans="1:27" ht="30" x14ac:dyDescent="0.25">
      <c r="A2" s="42" t="s">
        <v>542</v>
      </c>
    </row>
    <row r="3" spans="1:27" ht="57" customHeight="1" x14ac:dyDescent="0.25">
      <c r="A3" s="98" t="s">
        <v>537</v>
      </c>
    </row>
    <row r="4" spans="1:27" ht="15.75" thickBot="1" x14ac:dyDescent="0.3">
      <c r="A4" s="72" t="s">
        <v>263</v>
      </c>
    </row>
    <row r="5" spans="1:27" ht="75" x14ac:dyDescent="0.25">
      <c r="A5" s="42" t="s">
        <v>543</v>
      </c>
    </row>
    <row r="6" spans="1:27" ht="45" x14ac:dyDescent="0.25">
      <c r="A6" s="98" t="s">
        <v>501</v>
      </c>
    </row>
    <row r="7" spans="1:27" ht="15.75" thickBot="1" x14ac:dyDescent="0.3">
      <c r="A7" s="72" t="s">
        <v>264</v>
      </c>
    </row>
    <row r="8" spans="1:27" ht="150" x14ac:dyDescent="0.25">
      <c r="A8" s="42" t="s">
        <v>488</v>
      </c>
    </row>
    <row r="9" spans="1:27" x14ac:dyDescent="0.25">
      <c r="A9" s="98" t="s">
        <v>502</v>
      </c>
    </row>
    <row r="10" spans="1:27" ht="15.75" thickBot="1" x14ac:dyDescent="0.3">
      <c r="A10" s="72" t="s">
        <v>265</v>
      </c>
    </row>
    <row r="11" spans="1:27" ht="135" x14ac:dyDescent="0.25">
      <c r="A11" s="42" t="s">
        <v>489</v>
      </c>
    </row>
    <row r="12" spans="1:27" ht="45" x14ac:dyDescent="0.25">
      <c r="A12" s="98" t="s">
        <v>503</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1048576" zoomScaleNormal="100" zoomScaleSheetLayoutView="100" workbookViewId="0">
      <selection activeCell="K14" sqref="K14:O1048576"/>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272</v>
      </c>
      <c r="B1" s="56"/>
      <c r="C1" s="56"/>
      <c r="D1" s="56"/>
      <c r="E1" s="56"/>
      <c r="AA1" s="43" t="s">
        <v>507</v>
      </c>
    </row>
    <row r="2" spans="1:27" x14ac:dyDescent="0.25">
      <c r="A2" s="149" t="s">
        <v>273</v>
      </c>
      <c r="B2" s="150"/>
      <c r="C2" s="150"/>
      <c r="D2" s="150"/>
      <c r="E2" s="150"/>
      <c r="F2" s="150"/>
      <c r="G2" s="55"/>
      <c r="H2" s="55"/>
      <c r="I2" s="55"/>
      <c r="J2" s="55"/>
      <c r="K2" s="55"/>
      <c r="L2" s="55"/>
      <c r="M2" s="55"/>
      <c r="N2" s="55"/>
    </row>
    <row r="3" spans="1:27" ht="15.75" thickBot="1" x14ac:dyDescent="0.3"/>
    <row r="4" spans="1:27" ht="15.75" thickBot="1" x14ac:dyDescent="0.3">
      <c r="A4" s="52" t="s">
        <v>267</v>
      </c>
      <c r="B4" s="53" t="s">
        <v>268</v>
      </c>
      <c r="C4" s="53" t="s">
        <v>269</v>
      </c>
      <c r="D4" s="53" t="s">
        <v>270</v>
      </c>
      <c r="E4" s="53" t="s">
        <v>271</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49" t="s">
        <v>274</v>
      </c>
      <c r="B11" s="151"/>
      <c r="C11" s="151"/>
      <c r="D11" s="151"/>
      <c r="E11" s="151"/>
    </row>
    <row r="12" spans="1:27" ht="61.5" customHeight="1" x14ac:dyDescent="0.25">
      <c r="A12" s="152" t="s">
        <v>504</v>
      </c>
      <c r="B12" s="153"/>
      <c r="C12" s="153"/>
      <c r="D12" s="153"/>
      <c r="E12" s="154"/>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zoomScaleNormal="100" zoomScalePageLayoutView="80" workbookViewId="0">
      <selection activeCell="K14" sqref="K14:O1048576"/>
    </sheetView>
  </sheetViews>
  <sheetFormatPr defaultColWidth="0" defaultRowHeight="15" zeroHeight="1" x14ac:dyDescent="0.25"/>
  <cols>
    <col min="1" max="1" width="146.7109375" style="92" customWidth="1"/>
    <col min="2" max="16384" width="2" style="43" hidden="1"/>
  </cols>
  <sheetData>
    <row r="1" spans="1:27" ht="21.75" customHeight="1" thickBot="1" x14ac:dyDescent="0.3">
      <c r="A1" s="72" t="s">
        <v>519</v>
      </c>
      <c r="AA1" s="43" t="s">
        <v>507</v>
      </c>
    </row>
    <row r="2" spans="1:27" ht="57" customHeight="1" x14ac:dyDescent="0.25">
      <c r="A2" s="42" t="s">
        <v>520</v>
      </c>
    </row>
    <row r="3" spans="1:27" ht="52.5" customHeight="1" x14ac:dyDescent="0.25">
      <c r="A3" s="98" t="s">
        <v>521</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2" zoomScaleNormal="100" workbookViewId="0">
      <selection activeCell="K14" sqref="K14:O1048576"/>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508</v>
      </c>
      <c r="B1" s="56"/>
      <c r="C1" s="56"/>
      <c r="D1" s="56"/>
      <c r="AA1" s="43" t="s">
        <v>507</v>
      </c>
    </row>
    <row r="2" spans="1:27" x14ac:dyDescent="0.25">
      <c r="A2" s="168" t="s">
        <v>280</v>
      </c>
      <c r="B2" s="169"/>
      <c r="C2" s="169"/>
      <c r="D2" s="169"/>
    </row>
    <row r="3" spans="1:27" x14ac:dyDescent="0.25"/>
    <row r="4" spans="1:27" x14ac:dyDescent="0.25">
      <c r="A4" s="61" t="s">
        <v>275</v>
      </c>
      <c r="B4" s="61" t="s">
        <v>276</v>
      </c>
      <c r="C4" s="61" t="s">
        <v>277</v>
      </c>
      <c r="D4" s="61" t="s">
        <v>278</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279</v>
      </c>
    </row>
    <row r="12" spans="1:27" ht="39.75" customHeight="1" x14ac:dyDescent="0.25">
      <c r="A12" s="152" t="s">
        <v>535</v>
      </c>
      <c r="B12" s="166"/>
      <c r="C12" s="166"/>
      <c r="D12" s="167"/>
    </row>
    <row r="13" spans="1:27" ht="20.25" customHeight="1" x14ac:dyDescent="0.25">
      <c r="A13" s="58"/>
      <c r="B13" s="33"/>
      <c r="C13" s="33"/>
      <c r="D13" s="33"/>
    </row>
    <row r="14" spans="1:27" ht="20.25" customHeight="1" thickBot="1" x14ac:dyDescent="0.3">
      <c r="A14" s="111" t="s">
        <v>509</v>
      </c>
      <c r="B14" s="62"/>
      <c r="C14" s="62"/>
      <c r="D14" s="62"/>
    </row>
    <row r="15" spans="1:27" x14ac:dyDescent="0.25">
      <c r="A15" s="63" t="s">
        <v>510</v>
      </c>
      <c r="B15" s="64"/>
      <c r="C15" s="64"/>
      <c r="D15" s="64"/>
    </row>
    <row r="16" spans="1:27" ht="49.5" customHeight="1" x14ac:dyDescent="0.25">
      <c r="A16" s="170" t="s">
        <v>281</v>
      </c>
      <c r="B16" s="132"/>
      <c r="C16" s="132"/>
      <c r="D16" s="132"/>
    </row>
    <row r="17" spans="1:4" x14ac:dyDescent="0.25">
      <c r="A17" s="61" t="s">
        <v>3</v>
      </c>
      <c r="B17" s="171" t="s">
        <v>282</v>
      </c>
      <c r="C17" s="172"/>
      <c r="D17" s="172"/>
    </row>
    <row r="18" spans="1:4" x14ac:dyDescent="0.25">
      <c r="A18" s="60" t="s">
        <v>31</v>
      </c>
      <c r="B18" s="160"/>
      <c r="C18" s="161"/>
      <c r="D18" s="162"/>
    </row>
    <row r="19" spans="1:4" x14ac:dyDescent="0.25">
      <c r="A19" s="59" t="s">
        <v>13</v>
      </c>
      <c r="B19" s="158"/>
      <c r="C19" s="159"/>
      <c r="D19" s="159"/>
    </row>
    <row r="20" spans="1:4" x14ac:dyDescent="0.25">
      <c r="A20" s="59" t="s">
        <v>15</v>
      </c>
      <c r="B20" s="158"/>
      <c r="C20" s="159"/>
      <c r="D20" s="159"/>
    </row>
    <row r="21" spans="1:4" x14ac:dyDescent="0.25">
      <c r="A21" s="59" t="s">
        <v>11</v>
      </c>
      <c r="B21" s="158"/>
      <c r="C21" s="159"/>
      <c r="D21" s="159"/>
    </row>
    <row r="22" spans="1:4" x14ac:dyDescent="0.25">
      <c r="A22" s="59" t="s">
        <v>283</v>
      </c>
      <c r="B22" s="158"/>
      <c r="C22" s="159"/>
      <c r="D22" s="159"/>
    </row>
    <row r="23" spans="1:4" x14ac:dyDescent="0.25">
      <c r="A23" s="59" t="s">
        <v>25</v>
      </c>
      <c r="B23" s="163"/>
      <c r="C23" s="164"/>
      <c r="D23" s="165"/>
    </row>
    <row r="24" spans="1:4" x14ac:dyDescent="0.25">
      <c r="A24" s="59" t="s">
        <v>17</v>
      </c>
      <c r="B24" s="158"/>
      <c r="C24" s="159"/>
      <c r="D24" s="159"/>
    </row>
    <row r="25" spans="1:4" x14ac:dyDescent="0.25">
      <c r="A25" s="59" t="s">
        <v>9</v>
      </c>
      <c r="B25" s="158"/>
      <c r="C25" s="159"/>
      <c r="D25" s="159"/>
    </row>
    <row r="26" spans="1:4" x14ac:dyDescent="0.25"/>
    <row r="27" spans="1:4" ht="15.75" x14ac:dyDescent="0.25">
      <c r="A27" s="109" t="s">
        <v>511</v>
      </c>
    </row>
    <row r="28" spans="1:4" x14ac:dyDescent="0.25">
      <c r="A28" s="110" t="s">
        <v>284</v>
      </c>
    </row>
    <row r="29" spans="1:4" ht="66.75" customHeight="1" x14ac:dyDescent="0.25">
      <c r="A29" s="155" t="s">
        <v>505</v>
      </c>
      <c r="B29" s="156"/>
      <c r="C29" s="156"/>
      <c r="D29" s="157"/>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8"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K14" sqref="K14:O1048576"/>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507</v>
      </c>
    </row>
    <row r="2" spans="1:27" ht="15.75" thickBot="1" x14ac:dyDescent="0.3">
      <c r="A2" s="101" t="s">
        <v>522</v>
      </c>
      <c r="B2" s="56"/>
      <c r="C2" s="56"/>
      <c r="D2" s="56"/>
      <c r="E2" s="56"/>
      <c r="F2" s="56"/>
    </row>
    <row r="3" spans="1:27" x14ac:dyDescent="0.25">
      <c r="A3" s="43" t="s">
        <v>546</v>
      </c>
    </row>
    <row r="4" spans="1:27" x14ac:dyDescent="0.25">
      <c r="A4" s="67" t="s">
        <v>285</v>
      </c>
      <c r="B4" s="67" t="s">
        <v>286</v>
      </c>
      <c r="C4" s="67" t="s">
        <v>287</v>
      </c>
      <c r="D4" s="67" t="s">
        <v>288</v>
      </c>
      <c r="E4" s="67" t="s">
        <v>289</v>
      </c>
      <c r="F4" s="67" t="s">
        <v>270</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536</v>
      </c>
      <c r="B12" s="93"/>
      <c r="C12" s="93"/>
      <c r="D12" s="93"/>
      <c r="E12" s="93"/>
      <c r="F12" s="93"/>
    </row>
    <row r="13" spans="1:27" x14ac:dyDescent="0.25">
      <c r="A13" s="173" t="s">
        <v>534</v>
      </c>
      <c r="B13" s="174"/>
      <c r="C13" s="174"/>
      <c r="D13" s="174"/>
      <c r="E13" s="175"/>
      <c r="F13" s="176"/>
    </row>
    <row r="14" spans="1:27" x14ac:dyDescent="0.25">
      <c r="A14" s="177"/>
      <c r="B14" s="178"/>
      <c r="C14" s="178"/>
      <c r="D14" s="178"/>
      <c r="E14" s="178"/>
      <c r="F14" s="179"/>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6"/>
  <sheetViews>
    <sheetView view="pageLayout" zoomScaleNormal="100" workbookViewId="0">
      <selection activeCell="K14" sqref="K14:O1048576"/>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523</v>
      </c>
      <c r="B1" s="56"/>
      <c r="C1" s="56"/>
      <c r="AA1" s="43" t="s">
        <v>507</v>
      </c>
    </row>
    <row r="2" spans="1:27" x14ac:dyDescent="0.25">
      <c r="A2" s="68" t="s">
        <v>512</v>
      </c>
    </row>
    <row r="3" spans="1:27" ht="51" customHeight="1" thickBot="1" x14ac:dyDescent="0.3">
      <c r="A3" s="182" t="s">
        <v>290</v>
      </c>
      <c r="B3" s="183"/>
      <c r="C3" s="183"/>
    </row>
    <row r="4" spans="1:27" ht="15.75" thickBot="1" x14ac:dyDescent="0.3">
      <c r="A4" s="65" t="s">
        <v>3</v>
      </c>
      <c r="B4" s="66" t="s">
        <v>291</v>
      </c>
      <c r="C4" s="66" t="s">
        <v>292</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293</v>
      </c>
    </row>
    <row r="14" spans="1:27" ht="71.25" customHeight="1" x14ac:dyDescent="0.25">
      <c r="A14" s="152" t="s">
        <v>541</v>
      </c>
      <c r="B14" s="180"/>
      <c r="C14" s="181"/>
    </row>
    <row r="15" spans="1:27" x14ac:dyDescent="0.25"/>
    <row r="16" spans="1:27" x14ac:dyDescent="0.25">
      <c r="A16" s="68" t="s">
        <v>513</v>
      </c>
    </row>
    <row r="17" spans="1:3" x14ac:dyDescent="0.25">
      <c r="A17" s="43" t="s">
        <v>294</v>
      </c>
    </row>
    <row r="18" spans="1:3" ht="50.25" customHeight="1" x14ac:dyDescent="0.25">
      <c r="A18" s="152" t="s">
        <v>295</v>
      </c>
      <c r="B18" s="180"/>
      <c r="C18" s="181"/>
    </row>
    <row r="19" spans="1:3" x14ac:dyDescent="0.25"/>
    <row r="20" spans="1:3" x14ac:dyDescent="0.25">
      <c r="A20" s="68" t="s">
        <v>514</v>
      </c>
    </row>
    <row r="21" spans="1:3" x14ac:dyDescent="0.25">
      <c r="A21" s="43" t="s">
        <v>296</v>
      </c>
    </row>
    <row r="22" spans="1:3" ht="48.75" customHeight="1" x14ac:dyDescent="0.25">
      <c r="A22" s="152" t="s">
        <v>297</v>
      </c>
      <c r="B22" s="180"/>
      <c r="C22" s="181"/>
    </row>
    <row r="23" spans="1:3" x14ac:dyDescent="0.25"/>
    <row r="24" spans="1:3" x14ac:dyDescent="0.25">
      <c r="A24" s="68" t="s">
        <v>515</v>
      </c>
    </row>
    <row r="25" spans="1:3" x14ac:dyDescent="0.25">
      <c r="A25" s="43" t="s">
        <v>294</v>
      </c>
    </row>
    <row r="26" spans="1:3" ht="44.25" customHeight="1" x14ac:dyDescent="0.25">
      <c r="A26" s="152" t="s">
        <v>298</v>
      </c>
      <c r="B26" s="180"/>
      <c r="C26" s="181"/>
    </row>
    <row r="27" spans="1:3" x14ac:dyDescent="0.25"/>
    <row r="28" spans="1:3" x14ac:dyDescent="0.25">
      <c r="A28" s="68" t="s">
        <v>516</v>
      </c>
    </row>
    <row r="29" spans="1:3" x14ac:dyDescent="0.25">
      <c r="A29" s="43" t="s">
        <v>299</v>
      </c>
    </row>
    <row r="30" spans="1:3" ht="38.25" customHeight="1" x14ac:dyDescent="0.25">
      <c r="A30" s="152" t="s">
        <v>300</v>
      </c>
      <c r="B30" s="180"/>
      <c r="C30" s="181"/>
    </row>
    <row r="31" spans="1:3" x14ac:dyDescent="0.25"/>
    <row r="32" spans="1:3" x14ac:dyDescent="0.25">
      <c r="A32" s="68" t="s">
        <v>517</v>
      </c>
    </row>
    <row r="33" spans="1:3" x14ac:dyDescent="0.25">
      <c r="A33" s="43" t="s">
        <v>301</v>
      </c>
    </row>
    <row r="34" spans="1:3" ht="42.75" customHeight="1" x14ac:dyDescent="0.25">
      <c r="A34" s="152" t="s">
        <v>302</v>
      </c>
      <c r="B34" s="180"/>
      <c r="C34" s="181"/>
    </row>
    <row r="35" spans="1:3" x14ac:dyDescent="0.25"/>
    <row r="36" spans="1:3" x14ac:dyDescent="0.25">
      <c r="A36" s="68" t="s">
        <v>551</v>
      </c>
    </row>
    <row r="37" spans="1:3" x14ac:dyDescent="0.25">
      <c r="A37" s="43" t="s">
        <v>552</v>
      </c>
    </row>
    <row r="38" spans="1:3" ht="57.75" customHeight="1" x14ac:dyDescent="0.25">
      <c r="A38" s="152" t="s">
        <v>553</v>
      </c>
      <c r="B38" s="180"/>
      <c r="C38" s="181"/>
    </row>
    <row r="39" spans="1:3" x14ac:dyDescent="0.25"/>
    <row r="40" spans="1:3" x14ac:dyDescent="0.25">
      <c r="A40" s="68" t="s">
        <v>554</v>
      </c>
    </row>
    <row r="41" spans="1:3" x14ac:dyDescent="0.25">
      <c r="A41" s="43" t="s">
        <v>303</v>
      </c>
    </row>
    <row r="42" spans="1:3" ht="57.75" customHeight="1" x14ac:dyDescent="0.25">
      <c r="A42" s="152" t="s">
        <v>304</v>
      </c>
      <c r="B42" s="180"/>
      <c r="C42" s="181"/>
    </row>
    <row r="43" spans="1:3" x14ac:dyDescent="0.25">
      <c r="A43" s="93"/>
      <c r="B43" s="93"/>
      <c r="C43" s="93"/>
    </row>
    <row r="44" spans="1:3" x14ac:dyDescent="0.25">
      <c r="A44" s="93"/>
      <c r="B44" s="93"/>
      <c r="C44" s="93"/>
    </row>
    <row r="45" spans="1:3" x14ac:dyDescent="0.25">
      <c r="A45" s="93"/>
      <c r="B45" s="93"/>
      <c r="C45" s="93"/>
    </row>
    <row r="46" spans="1:3" x14ac:dyDescent="0.25">
      <c r="A46" s="93"/>
      <c r="B46" s="93"/>
      <c r="C46" s="93"/>
    </row>
  </sheetData>
  <sheetProtection password="CDE2" sheet="1" objects="1" scenarios="1" formatCells="0" formatColumns="0" formatRows="0"/>
  <mergeCells count="9">
    <mergeCell ref="A34:C34"/>
    <mergeCell ref="A42:C42"/>
    <mergeCell ref="A3:C3"/>
    <mergeCell ref="A14:C14"/>
    <mergeCell ref="A18:C18"/>
    <mergeCell ref="A22:C22"/>
    <mergeCell ref="A26:C26"/>
    <mergeCell ref="A30:C30"/>
    <mergeCell ref="A38:C38"/>
  </mergeCells>
  <pageMargins left="0.2" right="0.2" top="0.5" bottom="0.5" header="0.3" footer="0.3"/>
  <pageSetup scale="78"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K14" sqref="K14:O1048576"/>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507</v>
      </c>
    </row>
    <row r="2" spans="1:27" x14ac:dyDescent="0.25">
      <c r="A2" s="102" t="s">
        <v>524</v>
      </c>
    </row>
    <row r="3" spans="1:27" ht="15.75" thickBot="1" x14ac:dyDescent="0.3">
      <c r="A3" s="43" t="s">
        <v>305</v>
      </c>
    </row>
    <row r="4" spans="1:27" ht="22.5" customHeight="1" thickBot="1" x14ac:dyDescent="0.3">
      <c r="A4" s="184" t="s">
        <v>306</v>
      </c>
      <c r="B4" s="186" t="s">
        <v>307</v>
      </c>
      <c r="C4" s="187"/>
      <c r="D4" s="187"/>
      <c r="E4" s="188"/>
      <c r="F4" s="186" t="s">
        <v>308</v>
      </c>
      <c r="G4" s="188"/>
    </row>
    <row r="5" spans="1:27" ht="15.75" thickBot="1" x14ac:dyDescent="0.3">
      <c r="A5" s="185"/>
      <c r="B5" s="97" t="s">
        <v>309</v>
      </c>
      <c r="C5" s="97" t="s">
        <v>310</v>
      </c>
      <c r="D5" s="97" t="s">
        <v>311</v>
      </c>
      <c r="E5" s="97" t="s">
        <v>312</v>
      </c>
      <c r="F5" s="97" t="s">
        <v>313</v>
      </c>
      <c r="G5" s="97" t="s">
        <v>314</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315</v>
      </c>
    </row>
    <row r="13" spans="1:27" ht="57.75" customHeight="1" x14ac:dyDescent="0.25">
      <c r="A13" s="152" t="s">
        <v>316</v>
      </c>
      <c r="B13" s="166"/>
      <c r="C13" s="166"/>
      <c r="D13" s="166"/>
      <c r="E13" s="166"/>
      <c r="F13" s="166"/>
      <c r="G13" s="167"/>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538</v>
      </c>
    </row>
    <row r="88" spans="1:4" x14ac:dyDescent="0.25">
      <c r="A88" t="s">
        <v>31</v>
      </c>
      <c r="B88" s="13" t="s">
        <v>183</v>
      </c>
    </row>
    <row r="89" spans="1:4" x14ac:dyDescent="0.25">
      <c r="A89" t="s">
        <v>31</v>
      </c>
      <c r="B89" s="13" t="s">
        <v>539</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J6" sqref="J6"/>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318</v>
      </c>
      <c r="C1" s="1" t="s">
        <v>1</v>
      </c>
      <c r="D1" s="2" t="s">
        <v>2</v>
      </c>
      <c r="E1" s="3" t="s">
        <v>3</v>
      </c>
      <c r="F1" s="2" t="s">
        <v>226</v>
      </c>
      <c r="G1" s="2" t="s">
        <v>76</v>
      </c>
      <c r="H1" s="4" t="s">
        <v>6</v>
      </c>
      <c r="I1" s="2" t="s">
        <v>65</v>
      </c>
      <c r="J1" s="1" t="s">
        <v>4</v>
      </c>
      <c r="K1" s="4" t="s">
        <v>224</v>
      </c>
      <c r="L1" s="4" t="s">
        <v>110</v>
      </c>
      <c r="M1" s="1" t="s">
        <v>5</v>
      </c>
      <c r="N1" s="4" t="s">
        <v>518</v>
      </c>
      <c r="O1" s="4" t="s">
        <v>491</v>
      </c>
    </row>
    <row r="2" spans="1:15" ht="105.75" customHeight="1" x14ac:dyDescent="0.25">
      <c r="A2" s="5" t="s">
        <v>0</v>
      </c>
      <c r="B2" s="5" t="s">
        <v>532</v>
      </c>
      <c r="C2" s="5" t="s">
        <v>66</v>
      </c>
      <c r="D2" s="5" t="s">
        <v>7</v>
      </c>
      <c r="E2" s="6" t="s">
        <v>229</v>
      </c>
      <c r="F2" s="5" t="s">
        <v>228</v>
      </c>
      <c r="G2" s="5" t="s">
        <v>230</v>
      </c>
      <c r="H2" s="25" t="s">
        <v>223</v>
      </c>
      <c r="I2" s="5" t="s">
        <v>111</v>
      </c>
      <c r="J2" s="25" t="s">
        <v>231</v>
      </c>
      <c r="K2" s="5" t="s">
        <v>225</v>
      </c>
      <c r="L2" s="5" t="s">
        <v>227</v>
      </c>
      <c r="M2" s="5" t="s">
        <v>250</v>
      </c>
      <c r="N2" s="37" t="s">
        <v>526</v>
      </c>
      <c r="O2" s="37" t="s">
        <v>492</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494</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495</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Operational</v>
      </c>
      <c r="G3" s="8">
        <f>'1'!$C$3</f>
        <v>0</v>
      </c>
      <c r="H3" s="8">
        <f>'1'!$C$4</f>
        <v>0</v>
      </c>
      <c r="I3" s="8">
        <f>'1'!$A$12</f>
        <v>0</v>
      </c>
      <c r="J3" s="8" t="str">
        <f>'1'!$C$5</f>
        <v>Unemployment (Up), Deflation</v>
      </c>
      <c r="K3" s="8">
        <f>'1'!$A$9</f>
        <v>0</v>
      </c>
      <c r="L3" s="8">
        <f>'1'!$C$6</f>
        <v>0</v>
      </c>
      <c r="M3" s="8" t="str">
        <f>'1'!$C$7</f>
        <v>$250 M - $500 M</v>
      </c>
      <c r="N3" s="8">
        <f>'1'!$B$10</f>
        <v>0</v>
      </c>
      <c r="O3" s="10"/>
    </row>
    <row r="4" spans="1:15" x14ac:dyDescent="0.25">
      <c r="A4" s="7"/>
      <c r="B4" s="7">
        <f>'Approval and Documentation'!C$4</f>
        <v>0</v>
      </c>
      <c r="C4" s="7">
        <f>'Approval and Documentation'!C$6</f>
        <v>0</v>
      </c>
      <c r="D4" s="8">
        <f>'2'!$C$1</f>
        <v>0</v>
      </c>
      <c r="E4" s="11">
        <v>2</v>
      </c>
      <c r="F4" s="8" t="str">
        <f>'2'!$C$2</f>
        <v xml:space="preserve">Strategic </v>
      </c>
      <c r="G4" s="8" t="str">
        <f>'2'!$C$3</f>
        <v>External Factors - Competition</v>
      </c>
      <c r="H4" s="8" t="str">
        <f>'2'!$C$4</f>
        <v>Retain and attract talent</v>
      </c>
      <c r="I4" s="8" t="str">
        <f>'2'!$A$12</f>
        <v>At the end of 2014 Investment Grade was launched, with a budget of aprox $24 Mn in DCM and Syndicate.  The department is on track to exceed the $24M in revenue with targeted revenue of $34Mn ($20M attested to BAU and $12M for new business - as of now aprox $5.5 Mio as book runners).  The team (4 persons)  is a newly hired team for the initiative came at the same time from a competitor, BNP Paribas. The material risk is attributed to the key senior team members (in origination and syndication). If they  were to leave together in the short term, we would face a situation where in house knowledge is not built yet and would have a potential loss of more than $5.5 Mio in active book runners roles due to employee attrition.</v>
      </c>
      <c r="J4" s="8" t="str">
        <f>'2'!$C$5</f>
        <v>Unemployment (Down)</v>
      </c>
      <c r="K4" s="8" t="str">
        <f>'2'!$A$9</f>
        <v>Continuous monitoring of competitors trying to implement same initiative as well as Compensation ranges. Compensation model for the team strucured with claw backs to February 2016. US DCM Latam (juniors) supporting as well IG. Retention plan beyond February 2016 is being discussed as a proactive control.</v>
      </c>
      <c r="L4" s="8" t="str">
        <f>'2'!$C$6</f>
        <v>$1 - $5 M</v>
      </c>
      <c r="M4" s="8" t="str">
        <f>'2'!$C$7</f>
        <v>$5 M - $50 M</v>
      </c>
      <c r="N4" s="8" t="str">
        <f>'2'!$B$10</f>
        <v>Annual budget for 2015 of $24Mn for DCM and Syndicate. Team is on track this year to exceed this revenue with $32Mn.  If key personnel (2) in origination and syndication were to leave together, approximately $12M would be the potential loss from not gaining active book runner deals and some fees in co-manager roles.</v>
      </c>
      <c r="O4" s="10"/>
    </row>
    <row r="5" spans="1:15" x14ac:dyDescent="0.25">
      <c r="A5" s="7"/>
      <c r="B5" s="7">
        <f>'Approval and Documentation'!C$4</f>
        <v>0</v>
      </c>
      <c r="C5" s="7">
        <f>'Approval and Documentation'!C$6</f>
        <v>0</v>
      </c>
      <c r="D5" s="8">
        <f>'3'!$C$1</f>
        <v>0</v>
      </c>
      <c r="E5" s="7">
        <v>3</v>
      </c>
      <c r="F5" s="8" t="str">
        <f>'3'!$C$2</f>
        <v>Reputational</v>
      </c>
      <c r="G5" s="8" t="str">
        <f>'3'!$C$3</f>
        <v>Brand Image/Customers Experience</v>
      </c>
      <c r="H5" s="8" t="str">
        <f>'3'!$C$4</f>
        <v>Employer Brand</v>
      </c>
      <c r="I5" s="8" t="str">
        <f>'3'!$A$12</f>
        <v>Adverse regulator opinion might have an impact on attracting talent. From an HR perspective the risk ties to our capabilities not only attracting the right employee, but to retain the current ones should the situation worse to extreme limits.</v>
      </c>
      <c r="J5" s="8">
        <f>'3'!$C$5</f>
        <v>0</v>
      </c>
      <c r="K5" s="8" t="str">
        <f>'3'!$A$9</f>
        <v>Risk control during interviewing process clarifying status of CCAR. Pitch actions being taken to pass the test.</v>
      </c>
      <c r="L5" s="8" t="str">
        <f>'3'!$C$6</f>
        <v>$1 - $5 M</v>
      </c>
      <c r="M5" s="8" t="str">
        <f>'3'!$C$7</f>
        <v>$1 - $5 M</v>
      </c>
      <c r="N5" s="8" t="str">
        <f>'3'!$B$10</f>
        <v>Adverse regulator opinion might have an impact on the talent acquisition. CCAR already coming up in the interviewing process</v>
      </c>
      <c r="O5" s="10"/>
    </row>
    <row r="6" spans="1:15" x14ac:dyDescent="0.25">
      <c r="A6" s="7"/>
      <c r="B6" s="7">
        <f>'Approval and Documentation'!C$4</f>
        <v>0</v>
      </c>
      <c r="C6" s="7">
        <f>'Approval and Documentation'!C$6</f>
        <v>0</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f>'Approval and Documentation'!C$4</f>
        <v>0</v>
      </c>
      <c r="C7" s="7">
        <f>'Approval and Documentation'!C$6</f>
        <v>0</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Normal="100" workbookViewId="0">
      <selection activeCell="K14" sqref="K14:O104857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89" t="s">
        <v>497</v>
      </c>
      <c r="B1" s="144"/>
      <c r="C1" s="73"/>
      <c r="Q1" s="81"/>
      <c r="R1" s="81"/>
      <c r="AA1" s="39" t="str">
        <f>C2</f>
        <v>Operational</v>
      </c>
    </row>
    <row r="2" spans="1:27" ht="30.75" customHeight="1" thickBot="1" x14ac:dyDescent="0.3">
      <c r="A2" s="190" t="s">
        <v>255</v>
      </c>
      <c r="B2" s="191"/>
      <c r="C2" s="90" t="s">
        <v>31</v>
      </c>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544</v>
      </c>
      <c r="B5" s="144"/>
      <c r="C5" s="71" t="s">
        <v>547</v>
      </c>
      <c r="R5" s="42" t="str">
        <f t="shared" si="0"/>
        <v>Risk Driver - The economic, business or regulatory force(s) leading to the potential increase(s) in the Risk profile as capture under the 'Stressed Financial Impact'. Drivers(s)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27.75" customHeight="1" thickBot="1" x14ac:dyDescent="0.3">
      <c r="A7" s="195" t="s">
        <v>548</v>
      </c>
      <c r="B7" s="191"/>
      <c r="C7" s="70" t="s">
        <v>234</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116.25" customHeight="1" thickBot="1" x14ac:dyDescent="0.3">
      <c r="A9" s="200"/>
      <c r="B9" s="201"/>
      <c r="C9" s="202"/>
      <c r="Q9" s="38">
        <f>A9</f>
        <v>0</v>
      </c>
    </row>
    <row r="10" spans="1:27" ht="48.75" customHeight="1" thickBot="1" x14ac:dyDescent="0.3">
      <c r="A10" s="41" t="s">
        <v>498</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7" zoomScaleNormal="100" workbookViewId="0">
      <selection activeCell="K14" sqref="K14:O104857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3" t="s">
        <v>497</v>
      </c>
      <c r="B1" s="204"/>
      <c r="C1" s="82"/>
      <c r="Q1" s="81"/>
      <c r="R1" s="81"/>
      <c r="AA1" s="39" t="str">
        <f>C2</f>
        <v xml:space="preserve">Strategic </v>
      </c>
    </row>
    <row r="2" spans="1:27" ht="30.75" customHeight="1" thickBot="1" x14ac:dyDescent="0.3">
      <c r="A2" s="190" t="s">
        <v>255</v>
      </c>
      <c r="B2" s="191"/>
      <c r="C2" s="90" t="s">
        <v>20</v>
      </c>
      <c r="R2" s="42" t="str">
        <f t="shared" ref="R2:R7" si="0">A2</f>
        <v>Risk Type  - The Risk Type from the SHUSA ERM Risk Taxonomy</v>
      </c>
    </row>
    <row r="3" spans="1:27" ht="24" customHeight="1" thickBot="1" x14ac:dyDescent="0.3">
      <c r="A3" s="189" t="s">
        <v>251</v>
      </c>
      <c r="B3" s="144"/>
      <c r="C3" s="70" t="s">
        <v>216</v>
      </c>
      <c r="R3" s="42" t="str">
        <f t="shared" si="0"/>
        <v>Risk Sub Type  - The Risk Sub-Category from the SHUSA ERM Risk Taxonomy</v>
      </c>
    </row>
    <row r="4" spans="1:27" ht="31.5" customHeight="1" thickBot="1" x14ac:dyDescent="0.3">
      <c r="A4" s="189" t="s">
        <v>252</v>
      </c>
      <c r="B4" s="144"/>
      <c r="C4" s="73" t="s">
        <v>555</v>
      </c>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t="s">
        <v>81</v>
      </c>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t="s">
        <v>233</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t="s">
        <v>560</v>
      </c>
      <c r="B9" s="201"/>
      <c r="C9" s="202"/>
      <c r="Q9" s="38" t="str">
        <f>A9</f>
        <v>Continuous monitoring of competitors trying to implement same initiative as well as Compensation ranges. Compensation model for the team strucured with claw backs to February 2016. US DCM Latam (juniors) supporting as well IG. Retention plan beyond February 2016 is being discussed as a proactive control.</v>
      </c>
    </row>
    <row r="10" spans="1:27" ht="81.75" customHeight="1" thickBot="1" x14ac:dyDescent="0.3">
      <c r="A10" s="41" t="s">
        <v>499</v>
      </c>
      <c r="B10" s="192" t="s">
        <v>562</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t="s">
        <v>561</v>
      </c>
      <c r="B12" s="193"/>
      <c r="C12" s="194"/>
      <c r="Q12" s="38" t="str">
        <f>A12</f>
        <v>At the end of 2014 Investment Grade was launched, with a budget of aprox $24 Mn in DCM and Syndicate.  The department is on track to exceed the $24M in revenue with targeted revenue of $34Mn ($20M attested to BAU and $12M for new business - as of now aprox $5.5 Mio as book runners).  The team (4 persons)  is a newly hired team for the initiative came at the same time from a competitor, BNP Paribas. The material risk is attributed to the key senior team members (in origination and syndication). If they  were to leave together in the short term, we would face a situation where in house knowledge is not built yet and would have a potential loss of more than $5.5 Mio in active book runners roles due to employee attrition.</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headerFooter>
    <oddHeader>&amp;CDCM - Employee Retention</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topLeftCell="A9" zoomScaleNormal="100" workbookViewId="0">
      <selection activeCell="K14" sqref="K14:O1048576"/>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t="str">
        <f>C2</f>
        <v>Reputational</v>
      </c>
    </row>
    <row r="2" spans="1:27" ht="30.75" customHeight="1" thickBot="1" x14ac:dyDescent="0.3">
      <c r="A2" s="190" t="s">
        <v>255</v>
      </c>
      <c r="B2" s="191"/>
      <c r="C2" s="90" t="s">
        <v>25</v>
      </c>
      <c r="R2" s="42" t="str">
        <f t="shared" ref="R2:R7" si="0">A2</f>
        <v>Risk Type  - The Risk Type from the SHUSA ERM Risk Taxonomy</v>
      </c>
    </row>
    <row r="3" spans="1:27" ht="24" customHeight="1" thickBot="1" x14ac:dyDescent="0.3">
      <c r="A3" s="189" t="s">
        <v>251</v>
      </c>
      <c r="B3" s="144"/>
      <c r="C3" s="70" t="s">
        <v>29</v>
      </c>
      <c r="R3" s="42" t="str">
        <f t="shared" si="0"/>
        <v>Risk Sub Type  - The Risk Sub-Category from the SHUSA ERM Risk Taxonomy</v>
      </c>
    </row>
    <row r="4" spans="1:27" ht="31.5" customHeight="1" thickBot="1" x14ac:dyDescent="0.3">
      <c r="A4" s="189" t="s">
        <v>252</v>
      </c>
      <c r="B4" s="144"/>
      <c r="C4" s="73" t="s">
        <v>556</v>
      </c>
      <c r="R4" s="42" t="str">
        <f t="shared" si="0"/>
        <v>Risk Name - The name of the risk which helps define it and differentiate it from other risks in other Business Lines with a similar Risk Category</v>
      </c>
    </row>
    <row r="5" spans="1:27" ht="27"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t="s">
        <v>232</v>
      </c>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t="s">
        <v>232</v>
      </c>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t="s">
        <v>558</v>
      </c>
      <c r="B9" s="201"/>
      <c r="C9" s="202"/>
      <c r="Q9" s="38" t="str">
        <f>A9</f>
        <v>Risk control during interviewing process clarifying status of CCAR. Pitch actions being taken to pass the test.</v>
      </c>
    </row>
    <row r="10" spans="1:27" ht="81.75" customHeight="1" thickBot="1" x14ac:dyDescent="0.3">
      <c r="A10" s="41" t="s">
        <v>499</v>
      </c>
      <c r="B10" s="192" t="s">
        <v>557</v>
      </c>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t="s">
        <v>559</v>
      </c>
      <c r="B12" s="193"/>
      <c r="C12" s="194"/>
      <c r="Q12" s="38" t="str">
        <f>A12</f>
        <v>Adverse regulator opinion might have an impact on attracting talent. From an HR perspective the risk ties to our capabilities not only attracting the right employee, but to retain the current ones should the situation worse to extreme limits.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topLeftCell="A4"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496</v>
      </c>
      <c r="B1" s="144"/>
      <c r="C1" s="73"/>
      <c r="Q1" s="81"/>
      <c r="R1" s="81"/>
      <c r="AA1" s="39">
        <f>C2</f>
        <v>0</v>
      </c>
    </row>
    <row r="2" spans="1:27" ht="30.75" customHeight="1" thickBot="1" x14ac:dyDescent="0.3">
      <c r="A2" s="190" t="s">
        <v>255</v>
      </c>
      <c r="B2" s="191"/>
      <c r="C2" s="91"/>
      <c r="R2" s="42" t="str">
        <f t="shared" ref="R2:R7" si="0">A2</f>
        <v>Risk Type  - The Risk Type from the SHUSA ERM Risk Taxonomy</v>
      </c>
    </row>
    <row r="3" spans="1:27" ht="24" customHeight="1" thickBot="1" x14ac:dyDescent="0.3">
      <c r="A3" s="189" t="s">
        <v>251</v>
      </c>
      <c r="B3" s="144"/>
      <c r="C3" s="84"/>
      <c r="R3" s="42" t="str">
        <f t="shared" si="0"/>
        <v>Risk Sub Type  - The Risk Sub-Category from the SHUSA ERM Risk Taxonomy</v>
      </c>
    </row>
    <row r="4" spans="1:27" ht="31.5" customHeight="1" thickBot="1" x14ac:dyDescent="0.3">
      <c r="A4" s="189" t="s">
        <v>252</v>
      </c>
      <c r="B4" s="144"/>
      <c r="C4" s="8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85"/>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84"/>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84"/>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20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7"/>
      <c r="Q9" s="38">
        <f>A9</f>
        <v>0</v>
      </c>
    </row>
    <row r="10" spans="1:27" ht="81.75" customHeight="1" thickBot="1" x14ac:dyDescent="0.3">
      <c r="A10" s="41" t="s">
        <v>499</v>
      </c>
      <c r="B10" s="192"/>
      <c r="C10" s="208"/>
    </row>
    <row r="11" spans="1:27" ht="31.5" customHeight="1" thickBot="1" x14ac:dyDescent="0.3">
      <c r="A11" s="197" t="s">
        <v>254</v>
      </c>
      <c r="B11" s="198"/>
      <c r="C11" s="20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209"/>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493</v>
      </c>
      <c r="B1" s="144"/>
      <c r="C1" s="73"/>
      <c r="Q1" s="81"/>
      <c r="R1" s="81"/>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499</v>
      </c>
      <c r="B10" s="192"/>
      <c r="C10" s="196"/>
    </row>
    <row r="11" spans="1:27" ht="31.5" customHeight="1" thickBot="1" x14ac:dyDescent="0.3">
      <c r="A11" s="197" t="s">
        <v>254</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6" sqref="A6:B7"/>
    </sheetView>
  </sheetViews>
  <sheetFormatPr defaultColWidth="0" defaultRowHeight="15" zeroHeight="1" x14ac:dyDescent="0.25"/>
  <cols>
    <col min="1" max="1" width="66.5703125" style="87" customWidth="1"/>
    <col min="2" max="2" width="22.7109375" style="87" customWidth="1"/>
    <col min="3" max="3" width="35.710937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7" t="s">
        <v>493</v>
      </c>
      <c r="B1" s="144"/>
      <c r="C1" s="73"/>
      <c r="AA1" s="39">
        <f>C2</f>
        <v>0</v>
      </c>
    </row>
    <row r="2" spans="1:27" ht="30.75" customHeight="1" thickBot="1" x14ac:dyDescent="0.3">
      <c r="A2" s="190" t="s">
        <v>255</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545</v>
      </c>
      <c r="B5" s="144"/>
      <c r="C5" s="71"/>
      <c r="R5" s="42" t="str">
        <f t="shared" si="0"/>
        <v>Risk Driver - The economic, business or regulatory force(s) leading to the potential increase(s) in the Risk profile as capture under the 'Stressed Financial Impact'. Driver(s) must be supported in the 'Financial Impact Rationale'.</v>
      </c>
    </row>
    <row r="6" spans="1:27" ht="42.75" customHeight="1" thickBot="1" x14ac:dyDescent="0.3">
      <c r="A6" s="189" t="s">
        <v>549</v>
      </c>
      <c r="B6" s="144"/>
      <c r="C6" s="70"/>
      <c r="R6" s="42" t="str">
        <f t="shared" si="0"/>
        <v xml:space="preserve">Annual Expected Loss (Base) - A reasonable expectation of a negative impact to revenues/expenses within the next 12 month period in baseline conditions. This considers the amount at risk along with the current control environment both the design and effectiveness.
</v>
      </c>
    </row>
    <row r="7" spans="1:27" ht="42.75" customHeight="1" thickBot="1" x14ac:dyDescent="0.3">
      <c r="A7" s="195" t="s">
        <v>548</v>
      </c>
      <c r="B7" s="191"/>
      <c r="C7" s="70"/>
      <c r="R7" s="42" t="str">
        <f t="shared" si="0"/>
        <v xml:space="preserve">Stressed Financial Impact - An annual expected loss that considers a severe combination of circumstances that could reasonably be expected to occur in one annual period out of ten.  </v>
      </c>
    </row>
    <row r="8" spans="1:27" ht="64.5" customHeight="1" thickBot="1" x14ac:dyDescent="0.3">
      <c r="A8" s="197" t="s">
        <v>253</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498</v>
      </c>
      <c r="B10" s="192"/>
      <c r="C10" s="196"/>
    </row>
    <row r="11" spans="1:27" ht="31.5" customHeight="1" thickBot="1" x14ac:dyDescent="0.3">
      <c r="A11" s="197" t="s">
        <v>254</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password="CDE2" sheet="1" objects="1" scenarios="1"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1"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K14" sqref="K14:O1048576"/>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2" t="s">
        <v>343</v>
      </c>
      <c r="B1" s="213"/>
      <c r="C1" s="213"/>
    </row>
    <row r="2" spans="1:3" ht="15.75" thickBot="1" x14ac:dyDescent="0.3">
      <c r="A2" s="74" t="s">
        <v>226</v>
      </c>
      <c r="B2" s="75" t="s">
        <v>320</v>
      </c>
      <c r="C2" s="75" t="s">
        <v>321</v>
      </c>
    </row>
    <row r="3" spans="1:3" ht="15.75" thickBot="1" x14ac:dyDescent="0.3">
      <c r="A3" s="214" t="s">
        <v>146</v>
      </c>
      <c r="B3" s="214" t="s">
        <v>322</v>
      </c>
      <c r="C3" s="54" t="s">
        <v>323</v>
      </c>
    </row>
    <row r="4" spans="1:3" ht="15.75" thickBot="1" x14ac:dyDescent="0.3">
      <c r="A4" s="215"/>
      <c r="B4" s="215"/>
      <c r="C4" s="54" t="s">
        <v>324</v>
      </c>
    </row>
    <row r="5" spans="1:3" ht="15.75" thickBot="1" x14ac:dyDescent="0.3">
      <c r="A5" s="215"/>
      <c r="B5" s="215"/>
      <c r="C5" s="54" t="s">
        <v>325</v>
      </c>
    </row>
    <row r="6" spans="1:3" ht="15.75" thickBot="1" x14ac:dyDescent="0.3">
      <c r="A6" s="215"/>
      <c r="B6" s="215"/>
      <c r="C6" s="54" t="s">
        <v>326</v>
      </c>
    </row>
    <row r="7" spans="1:3" ht="15.75" thickBot="1" x14ac:dyDescent="0.3">
      <c r="A7" s="215"/>
      <c r="B7" s="215"/>
      <c r="C7" s="54" t="s">
        <v>327</v>
      </c>
    </row>
    <row r="8" spans="1:3" ht="15.75" thickBot="1" x14ac:dyDescent="0.3">
      <c r="A8" s="216"/>
      <c r="B8" s="216"/>
      <c r="C8" s="54" t="s">
        <v>328</v>
      </c>
    </row>
    <row r="9" spans="1:3" ht="15.75" thickBot="1" x14ac:dyDescent="0.3">
      <c r="A9" s="214" t="s">
        <v>23</v>
      </c>
      <c r="B9" s="214" t="s">
        <v>329</v>
      </c>
      <c r="C9" s="54" t="s">
        <v>330</v>
      </c>
    </row>
    <row r="10" spans="1:3" ht="15.75" thickBot="1" x14ac:dyDescent="0.3">
      <c r="A10" s="215"/>
      <c r="B10" s="215"/>
      <c r="C10" s="54" t="s">
        <v>331</v>
      </c>
    </row>
    <row r="11" spans="1:3" ht="15.75" thickBot="1" x14ac:dyDescent="0.3">
      <c r="A11" s="215"/>
      <c r="B11" s="215"/>
      <c r="C11" s="54" t="s">
        <v>332</v>
      </c>
    </row>
    <row r="12" spans="1:3" ht="15.75" thickBot="1" x14ac:dyDescent="0.3">
      <c r="A12" s="216"/>
      <c r="B12" s="216"/>
      <c r="C12" s="54" t="s">
        <v>333</v>
      </c>
    </row>
    <row r="13" spans="1:3" ht="30.75" thickBot="1" x14ac:dyDescent="0.3">
      <c r="A13" s="46" t="s">
        <v>213</v>
      </c>
      <c r="B13" s="54" t="s">
        <v>213</v>
      </c>
      <c r="C13" s="54" t="s">
        <v>213</v>
      </c>
    </row>
    <row r="14" spans="1:3" ht="15.75" thickBot="1" x14ac:dyDescent="0.3">
      <c r="A14" s="214" t="s">
        <v>10</v>
      </c>
      <c r="B14" s="214" t="s">
        <v>344</v>
      </c>
      <c r="C14" s="54" t="s">
        <v>334</v>
      </c>
    </row>
    <row r="15" spans="1:3" ht="15.75" thickBot="1" x14ac:dyDescent="0.3">
      <c r="A15" s="215"/>
      <c r="B15" s="215"/>
      <c r="C15" s="54" t="s">
        <v>335</v>
      </c>
    </row>
    <row r="16" spans="1:3" ht="15.75" thickBot="1" x14ac:dyDescent="0.3">
      <c r="A16" s="215"/>
      <c r="B16" s="215"/>
      <c r="C16" s="54" t="s">
        <v>336</v>
      </c>
    </row>
    <row r="17" spans="1:3" ht="15.75" thickBot="1" x14ac:dyDescent="0.3">
      <c r="A17" s="216"/>
      <c r="B17" s="216"/>
      <c r="C17" s="54" t="s">
        <v>337</v>
      </c>
    </row>
    <row r="18" spans="1:3" ht="15.75" thickBot="1" x14ac:dyDescent="0.3">
      <c r="A18" s="214" t="s">
        <v>22</v>
      </c>
      <c r="B18" s="214" t="s">
        <v>338</v>
      </c>
      <c r="C18" s="54" t="s">
        <v>339</v>
      </c>
    </row>
    <row r="19" spans="1:3" ht="15.75" thickBot="1" x14ac:dyDescent="0.3">
      <c r="A19" s="215"/>
      <c r="B19" s="215"/>
      <c r="C19" s="54" t="s">
        <v>340</v>
      </c>
    </row>
    <row r="20" spans="1:3" ht="15.75" thickBot="1" x14ac:dyDescent="0.3">
      <c r="A20" s="215"/>
      <c r="B20" s="215"/>
      <c r="C20" s="54" t="s">
        <v>341</v>
      </c>
    </row>
    <row r="21" spans="1:3" ht="15.75" thickBot="1" x14ac:dyDescent="0.3">
      <c r="A21" s="216"/>
      <c r="B21" s="216"/>
      <c r="C21" s="54" t="s">
        <v>345</v>
      </c>
    </row>
    <row r="22" spans="1:3" ht="15.75" thickBot="1" x14ac:dyDescent="0.3">
      <c r="A22" s="46" t="s">
        <v>222</v>
      </c>
      <c r="B22" s="54" t="s">
        <v>342</v>
      </c>
      <c r="C22" s="54" t="s">
        <v>222</v>
      </c>
    </row>
    <row r="23" spans="1:3" x14ac:dyDescent="0.25">
      <c r="A23" s="80"/>
      <c r="B23" s="80"/>
      <c r="C23" s="80"/>
    </row>
    <row r="24" spans="1:3" ht="45.75" customHeight="1" x14ac:dyDescent="0.25">
      <c r="A24" s="210" t="s">
        <v>346</v>
      </c>
      <c r="B24" s="211"/>
      <c r="C24" s="211"/>
    </row>
    <row r="25" spans="1:3" ht="16.5" thickBot="1" x14ac:dyDescent="0.3">
      <c r="A25" s="77"/>
      <c r="B25"/>
      <c r="C25"/>
    </row>
    <row r="26" spans="1:3" ht="15.75" thickBot="1" x14ac:dyDescent="0.3">
      <c r="A26" s="74" t="s">
        <v>226</v>
      </c>
      <c r="B26" s="75" t="s">
        <v>320</v>
      </c>
      <c r="C26" s="75" t="s">
        <v>321</v>
      </c>
    </row>
    <row r="27" spans="1:3" ht="15.75" thickBot="1" x14ac:dyDescent="0.3">
      <c r="A27" s="214" t="s">
        <v>145</v>
      </c>
      <c r="B27" s="214" t="s">
        <v>347</v>
      </c>
      <c r="C27" s="54" t="s">
        <v>348</v>
      </c>
    </row>
    <row r="28" spans="1:3" ht="15.75" thickBot="1" x14ac:dyDescent="0.3">
      <c r="A28" s="215"/>
      <c r="B28" s="215"/>
      <c r="C28" s="54" t="s">
        <v>349</v>
      </c>
    </row>
    <row r="29" spans="1:3" ht="15.75" thickBot="1" x14ac:dyDescent="0.3">
      <c r="A29" s="215"/>
      <c r="B29" s="215"/>
      <c r="C29" s="54" t="s">
        <v>350</v>
      </c>
    </row>
    <row r="30" spans="1:3" ht="15.75" thickBot="1" x14ac:dyDescent="0.3">
      <c r="A30" s="215"/>
      <c r="B30" s="215"/>
      <c r="C30" s="54" t="s">
        <v>28</v>
      </c>
    </row>
    <row r="31" spans="1:3" ht="15.75" thickBot="1" x14ac:dyDescent="0.3">
      <c r="A31" s="215"/>
      <c r="B31" s="215"/>
      <c r="C31" s="54" t="s">
        <v>26</v>
      </c>
    </row>
    <row r="32" spans="1:3" ht="15.75" thickBot="1" x14ac:dyDescent="0.3">
      <c r="A32" s="216"/>
      <c r="B32" s="216"/>
      <c r="C32" s="54" t="s">
        <v>351</v>
      </c>
    </row>
    <row r="33" spans="1:3" ht="15.75" x14ac:dyDescent="0.25">
      <c r="A33" s="77"/>
      <c r="B33"/>
      <c r="C33"/>
    </row>
    <row r="34" spans="1:3" ht="42" customHeight="1" x14ac:dyDescent="0.25">
      <c r="A34" s="210" t="s">
        <v>352</v>
      </c>
      <c r="B34" s="211"/>
      <c r="C34" s="211"/>
    </row>
    <row r="35" spans="1:3" ht="15.75" thickBot="1" x14ac:dyDescent="0.3">
      <c r="A35" s="44"/>
      <c r="B35"/>
      <c r="C35"/>
    </row>
    <row r="36" spans="1:3" ht="15.75" thickBot="1" x14ac:dyDescent="0.3">
      <c r="A36" s="74" t="s">
        <v>226</v>
      </c>
      <c r="B36" s="75" t="s">
        <v>320</v>
      </c>
      <c r="C36" s="75" t="s">
        <v>321</v>
      </c>
    </row>
    <row r="37" spans="1:3" ht="30.75" thickBot="1" x14ac:dyDescent="0.3">
      <c r="A37" s="46" t="s">
        <v>53</v>
      </c>
      <c r="B37" s="54" t="s">
        <v>353</v>
      </c>
      <c r="C37" s="54" t="s">
        <v>53</v>
      </c>
    </row>
    <row r="38" spans="1:3" ht="75" x14ac:dyDescent="0.25">
      <c r="A38" s="214" t="s">
        <v>64</v>
      </c>
      <c r="B38" s="76" t="s">
        <v>354</v>
      </c>
      <c r="C38" s="214" t="s">
        <v>64</v>
      </c>
    </row>
    <row r="39" spans="1:3" ht="30" x14ac:dyDescent="0.25">
      <c r="A39" s="215"/>
      <c r="B39" s="76" t="s">
        <v>355</v>
      </c>
      <c r="C39" s="215"/>
    </row>
    <row r="40" spans="1:3" ht="30" x14ac:dyDescent="0.25">
      <c r="A40" s="215"/>
      <c r="B40" s="76" t="s">
        <v>356</v>
      </c>
      <c r="C40" s="215"/>
    </row>
    <row r="41" spans="1:3" x14ac:dyDescent="0.25">
      <c r="A41" s="215"/>
      <c r="B41" s="76" t="s">
        <v>357</v>
      </c>
      <c r="C41" s="215"/>
    </row>
    <row r="42" spans="1:3" ht="15.75" thickBot="1" x14ac:dyDescent="0.3">
      <c r="A42" s="216"/>
      <c r="B42" s="54" t="s">
        <v>358</v>
      </c>
      <c r="C42" s="216"/>
    </row>
    <row r="43" spans="1:3" ht="135.75" thickBot="1" x14ac:dyDescent="0.3">
      <c r="A43" s="46" t="s">
        <v>56</v>
      </c>
      <c r="B43" s="54" t="s">
        <v>359</v>
      </c>
      <c r="C43" s="54" t="s">
        <v>56</v>
      </c>
    </row>
    <row r="44" spans="1:3" ht="75.75" thickBot="1" x14ac:dyDescent="0.3">
      <c r="A44" s="46" t="s">
        <v>138</v>
      </c>
      <c r="B44" s="54" t="s">
        <v>360</v>
      </c>
      <c r="C44" s="54" t="s">
        <v>138</v>
      </c>
    </row>
    <row r="45" spans="1:3" ht="15.75" thickBot="1" x14ac:dyDescent="0.3">
      <c r="A45" s="214" t="s">
        <v>57</v>
      </c>
      <c r="B45" s="214" t="s">
        <v>361</v>
      </c>
      <c r="C45" s="54" t="s">
        <v>362</v>
      </c>
    </row>
    <row r="46" spans="1:3" ht="15.75" thickBot="1" x14ac:dyDescent="0.3">
      <c r="A46" s="215"/>
      <c r="B46" s="215"/>
      <c r="C46" s="54" t="s">
        <v>335</v>
      </c>
    </row>
    <row r="47" spans="1:3" ht="15.75" thickBot="1" x14ac:dyDescent="0.3">
      <c r="A47" s="215"/>
      <c r="B47" s="215"/>
      <c r="C47" s="54" t="s">
        <v>330</v>
      </c>
    </row>
    <row r="48" spans="1:3" ht="15.75" thickBot="1" x14ac:dyDescent="0.3">
      <c r="A48" s="215"/>
      <c r="B48" s="215"/>
      <c r="C48" s="54" t="s">
        <v>363</v>
      </c>
    </row>
    <row r="49" spans="1:3" ht="15.75" thickBot="1" x14ac:dyDescent="0.3">
      <c r="A49" s="216"/>
      <c r="B49" s="216"/>
      <c r="C49" s="54" t="s">
        <v>364</v>
      </c>
    </row>
    <row r="50" spans="1:3" ht="60.75" thickBot="1" x14ac:dyDescent="0.3">
      <c r="A50" s="46" t="s">
        <v>55</v>
      </c>
      <c r="B50" s="54" t="s">
        <v>365</v>
      </c>
      <c r="C50" s="54" t="s">
        <v>55</v>
      </c>
    </row>
    <row r="51" spans="1:3" ht="30" x14ac:dyDescent="0.25">
      <c r="A51" s="214" t="s">
        <v>52</v>
      </c>
      <c r="B51" s="76" t="s">
        <v>366</v>
      </c>
      <c r="C51" s="214" t="s">
        <v>52</v>
      </c>
    </row>
    <row r="52" spans="1:3" ht="45.75" thickBot="1" x14ac:dyDescent="0.3">
      <c r="A52" s="216"/>
      <c r="B52" s="54" t="s">
        <v>367</v>
      </c>
      <c r="C52" s="216"/>
    </row>
    <row r="53" spans="1:3" ht="45.75" thickBot="1" x14ac:dyDescent="0.3">
      <c r="A53" s="46" t="s">
        <v>18</v>
      </c>
      <c r="B53" s="54" t="s">
        <v>368</v>
      </c>
      <c r="C53" s="54" t="s">
        <v>18</v>
      </c>
    </row>
    <row r="54" spans="1:3" ht="30.75" thickBot="1" x14ac:dyDescent="0.3">
      <c r="A54" s="46" t="s">
        <v>144</v>
      </c>
      <c r="B54" s="54" t="s">
        <v>369</v>
      </c>
      <c r="C54" s="54" t="s">
        <v>370</v>
      </c>
    </row>
    <row r="55" spans="1:3" ht="15.75" x14ac:dyDescent="0.25">
      <c r="A55" s="77"/>
      <c r="B55"/>
      <c r="C55"/>
    </row>
    <row r="56" spans="1:3" ht="39" customHeight="1" x14ac:dyDescent="0.25">
      <c r="A56" s="210" t="s">
        <v>371</v>
      </c>
      <c r="B56" s="211"/>
      <c r="C56" s="211"/>
    </row>
    <row r="57" spans="1:3" ht="16.5" thickBot="1" x14ac:dyDescent="0.3">
      <c r="A57" s="77"/>
      <c r="B57"/>
      <c r="C57"/>
    </row>
    <row r="58" spans="1:3" ht="15.75" thickBot="1" x14ac:dyDescent="0.3">
      <c r="A58" s="74" t="s">
        <v>226</v>
      </c>
      <c r="B58" s="75" t="s">
        <v>320</v>
      </c>
      <c r="C58" s="75" t="s">
        <v>321</v>
      </c>
    </row>
    <row r="59" spans="1:3" ht="15.75" thickBot="1" x14ac:dyDescent="0.3">
      <c r="A59" s="46" t="s">
        <v>158</v>
      </c>
      <c r="B59" s="54" t="s">
        <v>372</v>
      </c>
      <c r="C59" s="54" t="s">
        <v>373</v>
      </c>
    </row>
    <row r="60" spans="1:3" ht="30" x14ac:dyDescent="0.25">
      <c r="A60" s="214" t="s">
        <v>45</v>
      </c>
      <c r="B60" s="76" t="s">
        <v>374</v>
      </c>
      <c r="C60" s="214" t="s">
        <v>381</v>
      </c>
    </row>
    <row r="61" spans="1:3" x14ac:dyDescent="0.25">
      <c r="A61" s="215"/>
      <c r="B61" s="76" t="s">
        <v>375</v>
      </c>
      <c r="C61" s="215"/>
    </row>
    <row r="62" spans="1:3" x14ac:dyDescent="0.25">
      <c r="A62" s="215"/>
      <c r="B62" s="76" t="s">
        <v>376</v>
      </c>
      <c r="C62" s="215"/>
    </row>
    <row r="63" spans="1:3" ht="15.75" thickBot="1" x14ac:dyDescent="0.3">
      <c r="A63" s="215"/>
      <c r="B63" s="76" t="s">
        <v>377</v>
      </c>
      <c r="C63" s="216"/>
    </row>
    <row r="64" spans="1:3" ht="15.75" thickBot="1" x14ac:dyDescent="0.3">
      <c r="A64" s="215"/>
      <c r="B64" s="76" t="s">
        <v>378</v>
      </c>
      <c r="C64" s="54" t="s">
        <v>382</v>
      </c>
    </row>
    <row r="65" spans="1:3" ht="30.75" thickBot="1" x14ac:dyDescent="0.3">
      <c r="A65" s="215"/>
      <c r="B65" s="76" t="s">
        <v>379</v>
      </c>
      <c r="C65" s="54" t="s">
        <v>383</v>
      </c>
    </row>
    <row r="66" spans="1:3" ht="75.75" thickBot="1" x14ac:dyDescent="0.3">
      <c r="A66" s="216"/>
      <c r="B66" s="54" t="s">
        <v>380</v>
      </c>
      <c r="C66" s="54" t="s">
        <v>384</v>
      </c>
    </row>
    <row r="67" spans="1:3" ht="90.75" thickBot="1" x14ac:dyDescent="0.3">
      <c r="A67" s="46" t="s">
        <v>48</v>
      </c>
      <c r="B67" s="54" t="s">
        <v>385</v>
      </c>
      <c r="C67" s="54" t="s">
        <v>48</v>
      </c>
    </row>
    <row r="68" spans="1:3" ht="30.75" thickBot="1" x14ac:dyDescent="0.3">
      <c r="A68" s="46" t="s">
        <v>163</v>
      </c>
      <c r="B68" s="54" t="s">
        <v>386</v>
      </c>
      <c r="C68" s="54" t="s">
        <v>163</v>
      </c>
    </row>
    <row r="69" spans="1:3" ht="15.75" thickBot="1" x14ac:dyDescent="0.3">
      <c r="A69" s="214" t="s">
        <v>46</v>
      </c>
      <c r="B69" s="76" t="s">
        <v>387</v>
      </c>
      <c r="C69" s="54" t="s">
        <v>389</v>
      </c>
    </row>
    <row r="70" spans="1:3" ht="90.75" thickBot="1" x14ac:dyDescent="0.3">
      <c r="A70" s="216"/>
      <c r="B70" s="54" t="s">
        <v>388</v>
      </c>
      <c r="C70" s="54" t="s">
        <v>390</v>
      </c>
    </row>
    <row r="71" spans="1:3" ht="15.75" x14ac:dyDescent="0.25">
      <c r="A71" s="77"/>
      <c r="B71"/>
      <c r="C71"/>
    </row>
    <row r="72" spans="1:3" ht="53.25" customHeight="1" x14ac:dyDescent="0.25">
      <c r="A72" s="210" t="s">
        <v>391</v>
      </c>
      <c r="B72" s="211"/>
      <c r="C72" s="211"/>
    </row>
    <row r="73" spans="1:3" ht="16.5" thickBot="1" x14ac:dyDescent="0.3">
      <c r="A73" s="77"/>
      <c r="B73"/>
      <c r="C73"/>
    </row>
    <row r="74" spans="1:3" ht="15.75" thickBot="1" x14ac:dyDescent="0.3">
      <c r="A74" s="74" t="s">
        <v>226</v>
      </c>
      <c r="B74" s="78" t="s">
        <v>320</v>
      </c>
      <c r="C74" s="75" t="s">
        <v>321</v>
      </c>
    </row>
    <row r="75" spans="1:3" ht="15.75" thickBot="1" x14ac:dyDescent="0.3">
      <c r="A75" s="214" t="s">
        <v>49</v>
      </c>
      <c r="B75" s="217" t="s">
        <v>392</v>
      </c>
      <c r="C75" s="54" t="s">
        <v>393</v>
      </c>
    </row>
    <row r="76" spans="1:3" ht="15.75" thickBot="1" x14ac:dyDescent="0.3">
      <c r="A76" s="215"/>
      <c r="B76" s="218"/>
      <c r="C76" s="54" t="s">
        <v>394</v>
      </c>
    </row>
    <row r="77" spans="1:3" ht="15.75" thickBot="1" x14ac:dyDescent="0.3">
      <c r="A77" s="215"/>
      <c r="B77" s="218"/>
      <c r="C77" s="54" t="s">
        <v>10</v>
      </c>
    </row>
    <row r="78" spans="1:3" ht="15.75" thickBot="1" x14ac:dyDescent="0.3">
      <c r="A78" s="216"/>
      <c r="B78" s="219"/>
      <c r="C78" s="54" t="s">
        <v>395</v>
      </c>
    </row>
    <row r="79" spans="1:3" ht="15.75" thickBot="1" x14ac:dyDescent="0.3">
      <c r="A79" s="214" t="s">
        <v>50</v>
      </c>
      <c r="B79" s="217" t="s">
        <v>396</v>
      </c>
      <c r="C79" s="54" t="s">
        <v>397</v>
      </c>
    </row>
    <row r="80" spans="1:3" ht="15.75" thickBot="1" x14ac:dyDescent="0.3">
      <c r="A80" s="215"/>
      <c r="B80" s="218"/>
      <c r="C80" s="54" t="s">
        <v>398</v>
      </c>
    </row>
    <row r="81" spans="1:3" ht="15.75" thickBot="1" x14ac:dyDescent="0.3">
      <c r="A81" s="216"/>
      <c r="B81" s="219"/>
      <c r="C81" s="54" t="s">
        <v>326</v>
      </c>
    </row>
    <row r="82" spans="1:3" ht="15.75" thickBot="1" x14ac:dyDescent="0.3">
      <c r="A82" s="214" t="s">
        <v>16</v>
      </c>
      <c r="B82" s="217" t="s">
        <v>399</v>
      </c>
      <c r="C82" s="54" t="s">
        <v>400</v>
      </c>
    </row>
    <row r="83" spans="1:3" ht="15.75" thickBot="1" x14ac:dyDescent="0.3">
      <c r="A83" s="215"/>
      <c r="B83" s="218"/>
      <c r="C83" s="54" t="s">
        <v>401</v>
      </c>
    </row>
    <row r="84" spans="1:3" ht="15.75" thickBot="1" x14ac:dyDescent="0.3">
      <c r="A84" s="215"/>
      <c r="B84" s="218"/>
      <c r="C84" s="54" t="s">
        <v>402</v>
      </c>
    </row>
    <row r="85" spans="1:3" ht="15.75" thickBot="1" x14ac:dyDescent="0.3">
      <c r="A85" s="216"/>
      <c r="B85" s="219"/>
      <c r="C85" s="54" t="s">
        <v>403</v>
      </c>
    </row>
    <row r="86" spans="1:3" ht="15.75" x14ac:dyDescent="0.25">
      <c r="A86" s="77"/>
      <c r="B86"/>
      <c r="C86"/>
    </row>
    <row r="87" spans="1:3" ht="22.5" customHeight="1" x14ac:dyDescent="0.25">
      <c r="A87" s="210" t="s">
        <v>404</v>
      </c>
      <c r="B87" s="211"/>
      <c r="C87" s="211"/>
    </row>
    <row r="88" spans="1:3" ht="16.5" thickBot="1" x14ac:dyDescent="0.3">
      <c r="A88" s="77"/>
      <c r="B88"/>
      <c r="C88"/>
    </row>
    <row r="89" spans="1:3" ht="15.75" thickBot="1" x14ac:dyDescent="0.3">
      <c r="A89" s="74" t="s">
        <v>226</v>
      </c>
      <c r="B89" s="75" t="s">
        <v>320</v>
      </c>
      <c r="C89" s="75" t="s">
        <v>321</v>
      </c>
    </row>
    <row r="90" spans="1:3" ht="30.75" thickBot="1" x14ac:dyDescent="0.3">
      <c r="A90" s="214" t="s">
        <v>30</v>
      </c>
      <c r="B90" s="214" t="s">
        <v>405</v>
      </c>
      <c r="C90" s="54" t="s">
        <v>406</v>
      </c>
    </row>
    <row r="91" spans="1:3" ht="15.75" thickBot="1" x14ac:dyDescent="0.3">
      <c r="A91" s="215"/>
      <c r="B91" s="215"/>
      <c r="C91" s="54" t="s">
        <v>407</v>
      </c>
    </row>
    <row r="92" spans="1:3" ht="15.75" thickBot="1" x14ac:dyDescent="0.3">
      <c r="A92" s="215"/>
      <c r="B92" s="215"/>
      <c r="C92" s="54" t="s">
        <v>408</v>
      </c>
    </row>
    <row r="93" spans="1:3" ht="15.75" thickBot="1" x14ac:dyDescent="0.3">
      <c r="A93" s="215"/>
      <c r="B93" s="215"/>
      <c r="C93" s="54" t="s">
        <v>409</v>
      </c>
    </row>
    <row r="94" spans="1:3" ht="15.75" thickBot="1" x14ac:dyDescent="0.3">
      <c r="A94" s="216"/>
      <c r="B94" s="216"/>
      <c r="C94" s="54" t="s">
        <v>410</v>
      </c>
    </row>
    <row r="95" spans="1:3" ht="15.75" thickBot="1" x14ac:dyDescent="0.3">
      <c r="A95" s="214" t="s">
        <v>32</v>
      </c>
      <c r="B95" s="214" t="s">
        <v>411</v>
      </c>
      <c r="C95" s="54" t="s">
        <v>412</v>
      </c>
    </row>
    <row r="96" spans="1:3" ht="15.75" thickBot="1" x14ac:dyDescent="0.3">
      <c r="A96" s="215"/>
      <c r="B96" s="215"/>
      <c r="C96" s="54" t="s">
        <v>413</v>
      </c>
    </row>
    <row r="97" spans="1:3" ht="15.75" thickBot="1" x14ac:dyDescent="0.3">
      <c r="A97" s="215"/>
      <c r="B97" s="215"/>
      <c r="C97" s="79" t="s">
        <v>414</v>
      </c>
    </row>
    <row r="98" spans="1:3" ht="15.75" thickBot="1" x14ac:dyDescent="0.3">
      <c r="A98" s="216"/>
      <c r="B98" s="216"/>
      <c r="C98" s="54" t="s">
        <v>415</v>
      </c>
    </row>
    <row r="99" spans="1:3" ht="15.75" thickBot="1" x14ac:dyDescent="0.3">
      <c r="A99" s="214" t="s">
        <v>34</v>
      </c>
      <c r="B99" s="214" t="s">
        <v>416</v>
      </c>
      <c r="C99" s="54" t="s">
        <v>417</v>
      </c>
    </row>
    <row r="100" spans="1:3" ht="27" customHeight="1" thickBot="1" x14ac:dyDescent="0.3">
      <c r="A100" s="215"/>
      <c r="B100" s="215"/>
      <c r="C100" s="54" t="s">
        <v>418</v>
      </c>
    </row>
    <row r="101" spans="1:3" ht="40.5" customHeight="1" thickBot="1" x14ac:dyDescent="0.3">
      <c r="A101" s="216"/>
      <c r="B101" s="216"/>
      <c r="C101" s="54" t="s">
        <v>419</v>
      </c>
    </row>
    <row r="102" spans="1:3" ht="45.75" thickBot="1" x14ac:dyDescent="0.3">
      <c r="A102" s="214" t="s">
        <v>38</v>
      </c>
      <c r="B102" s="214" t="s">
        <v>420</v>
      </c>
      <c r="C102" s="54" t="s">
        <v>421</v>
      </c>
    </row>
    <row r="103" spans="1:3" ht="15.75" thickBot="1" x14ac:dyDescent="0.3">
      <c r="A103" s="215"/>
      <c r="B103" s="215"/>
      <c r="C103" s="54" t="s">
        <v>422</v>
      </c>
    </row>
    <row r="104" spans="1:3" ht="30.75" thickBot="1" x14ac:dyDescent="0.3">
      <c r="A104" s="215"/>
      <c r="B104" s="215"/>
      <c r="C104" s="54" t="s">
        <v>423</v>
      </c>
    </row>
    <row r="105" spans="1:3" ht="15.75" thickBot="1" x14ac:dyDescent="0.3">
      <c r="A105" s="215"/>
      <c r="B105" s="215"/>
      <c r="C105" s="54" t="s">
        <v>424</v>
      </c>
    </row>
    <row r="106" spans="1:3" ht="15.75" thickBot="1" x14ac:dyDescent="0.3">
      <c r="A106" s="215"/>
      <c r="B106" s="215"/>
      <c r="C106" s="54" t="s">
        <v>425</v>
      </c>
    </row>
    <row r="107" spans="1:3" ht="15.75" thickBot="1" x14ac:dyDescent="0.3">
      <c r="A107" s="215"/>
      <c r="B107" s="215"/>
      <c r="C107" s="54" t="s">
        <v>426</v>
      </c>
    </row>
    <row r="108" spans="1:3" ht="15.75" thickBot="1" x14ac:dyDescent="0.3">
      <c r="A108" s="215"/>
      <c r="B108" s="215"/>
      <c r="C108" s="54" t="s">
        <v>427</v>
      </c>
    </row>
    <row r="109" spans="1:3" ht="30.75" thickBot="1" x14ac:dyDescent="0.3">
      <c r="A109" s="216"/>
      <c r="B109" s="216"/>
      <c r="C109" s="54" t="s">
        <v>428</v>
      </c>
    </row>
    <row r="110" spans="1:3" ht="15.75" thickBot="1" x14ac:dyDescent="0.3">
      <c r="A110" s="214" t="s">
        <v>37</v>
      </c>
      <c r="B110" s="214" t="s">
        <v>429</v>
      </c>
      <c r="C110" s="54" t="s">
        <v>430</v>
      </c>
    </row>
    <row r="111" spans="1:3" ht="15.75" thickBot="1" x14ac:dyDescent="0.3">
      <c r="A111" s="215"/>
      <c r="B111" s="215"/>
      <c r="C111" s="54" t="s">
        <v>431</v>
      </c>
    </row>
    <row r="112" spans="1:3" ht="15.75" thickBot="1" x14ac:dyDescent="0.3">
      <c r="A112" s="216"/>
      <c r="B112" s="216"/>
      <c r="C112" s="54" t="s">
        <v>432</v>
      </c>
    </row>
    <row r="113" spans="1:3" ht="15.75" thickBot="1" x14ac:dyDescent="0.3">
      <c r="A113" s="214" t="s">
        <v>39</v>
      </c>
      <c r="B113" s="214" t="s">
        <v>433</v>
      </c>
      <c r="C113" s="54" t="s">
        <v>434</v>
      </c>
    </row>
    <row r="114" spans="1:3" ht="15.75" thickBot="1" x14ac:dyDescent="0.3">
      <c r="A114" s="215"/>
      <c r="B114" s="215"/>
      <c r="C114" s="54" t="s">
        <v>435</v>
      </c>
    </row>
    <row r="115" spans="1:3" ht="15.75" thickBot="1" x14ac:dyDescent="0.3">
      <c r="A115" s="215"/>
      <c r="B115" s="215"/>
      <c r="C115" s="54" t="s">
        <v>436</v>
      </c>
    </row>
    <row r="116" spans="1:3" ht="15.75" thickBot="1" x14ac:dyDescent="0.3">
      <c r="A116" s="216"/>
      <c r="B116" s="216"/>
      <c r="C116" s="54" t="s">
        <v>437</v>
      </c>
    </row>
    <row r="117" spans="1:3" ht="15.75" thickBot="1" x14ac:dyDescent="0.3">
      <c r="A117" s="214" t="s">
        <v>33</v>
      </c>
      <c r="B117" s="214" t="s">
        <v>438</v>
      </c>
      <c r="C117" s="54" t="s">
        <v>439</v>
      </c>
    </row>
    <row r="118" spans="1:3" ht="15.75" thickBot="1" x14ac:dyDescent="0.3">
      <c r="A118" s="215"/>
      <c r="B118" s="215"/>
      <c r="C118" s="54" t="s">
        <v>440</v>
      </c>
    </row>
    <row r="119" spans="1:3" ht="15.75" thickBot="1" x14ac:dyDescent="0.3">
      <c r="A119" s="215"/>
      <c r="B119" s="215"/>
      <c r="C119" s="54" t="s">
        <v>441</v>
      </c>
    </row>
    <row r="120" spans="1:3" ht="15.75" thickBot="1" x14ac:dyDescent="0.3">
      <c r="A120" s="215"/>
      <c r="B120" s="215"/>
      <c r="C120" s="54" t="s">
        <v>442</v>
      </c>
    </row>
    <row r="121" spans="1:3" ht="15.75" thickBot="1" x14ac:dyDescent="0.3">
      <c r="A121" s="215"/>
      <c r="B121" s="215"/>
      <c r="C121" s="54" t="s">
        <v>443</v>
      </c>
    </row>
    <row r="122" spans="1:3" x14ac:dyDescent="0.25">
      <c r="A122" s="215"/>
      <c r="B122" s="215"/>
      <c r="C122" s="76" t="s">
        <v>444</v>
      </c>
    </row>
    <row r="123" spans="1:3" ht="15.75" thickBot="1" x14ac:dyDescent="0.3">
      <c r="A123" s="215"/>
      <c r="B123" s="215"/>
      <c r="C123" s="54" t="s">
        <v>445</v>
      </c>
    </row>
    <row r="124" spans="1:3" ht="15.75" thickBot="1" x14ac:dyDescent="0.3">
      <c r="A124" s="216"/>
      <c r="B124" s="216"/>
      <c r="C124" s="54" t="s">
        <v>446</v>
      </c>
    </row>
    <row r="125" spans="1:3" x14ac:dyDescent="0.25">
      <c r="A125" s="80"/>
      <c r="B125" s="80"/>
      <c r="C125" s="80"/>
    </row>
    <row r="126" spans="1:3" ht="50.25" customHeight="1" x14ac:dyDescent="0.25">
      <c r="A126" s="210" t="s">
        <v>447</v>
      </c>
      <c r="B126" s="211"/>
      <c r="C126" s="211"/>
    </row>
    <row r="127" spans="1:3" ht="16.5" thickBot="1" x14ac:dyDescent="0.3">
      <c r="A127" s="77"/>
      <c r="B127"/>
      <c r="C127"/>
    </row>
    <row r="128" spans="1:3" ht="15.75" thickBot="1" x14ac:dyDescent="0.3">
      <c r="A128" s="74" t="s">
        <v>226</v>
      </c>
      <c r="B128" s="75" t="s">
        <v>320</v>
      </c>
      <c r="C128" s="75" t="s">
        <v>321</v>
      </c>
    </row>
    <row r="129" spans="1:3" ht="15.75" thickBot="1" x14ac:dyDescent="0.3">
      <c r="A129" s="214" t="s">
        <v>60</v>
      </c>
      <c r="B129" s="214" t="s">
        <v>448</v>
      </c>
      <c r="C129" s="54" t="s">
        <v>449</v>
      </c>
    </row>
    <row r="130" spans="1:3" ht="15.75" thickBot="1" x14ac:dyDescent="0.3">
      <c r="A130" s="215"/>
      <c r="B130" s="215"/>
      <c r="C130" s="54" t="s">
        <v>450</v>
      </c>
    </row>
    <row r="131" spans="1:3" ht="15.75" thickBot="1" x14ac:dyDescent="0.3">
      <c r="A131" s="215"/>
      <c r="B131" s="215"/>
      <c r="C131" s="54" t="s">
        <v>451</v>
      </c>
    </row>
    <row r="132" spans="1:3" ht="15.75" thickBot="1" x14ac:dyDescent="0.3">
      <c r="A132" s="215"/>
      <c r="B132" s="215"/>
      <c r="C132" s="54" t="s">
        <v>452</v>
      </c>
    </row>
    <row r="133" spans="1:3" ht="30.75" thickBot="1" x14ac:dyDescent="0.3">
      <c r="A133" s="216"/>
      <c r="B133" s="216"/>
      <c r="C133" s="54" t="s">
        <v>453</v>
      </c>
    </row>
    <row r="134" spans="1:3" ht="15.75" thickBot="1" x14ac:dyDescent="0.3">
      <c r="A134" s="214" t="s">
        <v>62</v>
      </c>
      <c r="B134" s="214" t="s">
        <v>454</v>
      </c>
      <c r="C134" s="54" t="s">
        <v>455</v>
      </c>
    </row>
    <row r="135" spans="1:3" ht="15.75" thickBot="1" x14ac:dyDescent="0.3">
      <c r="A135" s="215"/>
      <c r="B135" s="215"/>
      <c r="C135" s="54" t="s">
        <v>456</v>
      </c>
    </row>
    <row r="136" spans="1:3" ht="15.75" thickBot="1" x14ac:dyDescent="0.3">
      <c r="A136" s="215"/>
      <c r="B136" s="215"/>
      <c r="C136" s="54" t="s">
        <v>457</v>
      </c>
    </row>
    <row r="137" spans="1:3" ht="15.75" thickBot="1" x14ac:dyDescent="0.3">
      <c r="A137" s="215"/>
      <c r="B137" s="215"/>
      <c r="C137" s="54" t="s">
        <v>458</v>
      </c>
    </row>
    <row r="138" spans="1:3" ht="15.75" thickBot="1" x14ac:dyDescent="0.3">
      <c r="A138" s="215"/>
      <c r="B138" s="215"/>
      <c r="C138" s="54" t="s">
        <v>459</v>
      </c>
    </row>
    <row r="139" spans="1:3" ht="15.75" thickBot="1" x14ac:dyDescent="0.3">
      <c r="A139" s="215"/>
      <c r="B139" s="215"/>
      <c r="C139" s="54" t="s">
        <v>460</v>
      </c>
    </row>
    <row r="140" spans="1:3" ht="15.75" thickBot="1" x14ac:dyDescent="0.3">
      <c r="A140" s="215"/>
      <c r="B140" s="215"/>
      <c r="C140" s="54" t="s">
        <v>461</v>
      </c>
    </row>
    <row r="141" spans="1:3" ht="15.75" thickBot="1" x14ac:dyDescent="0.3">
      <c r="A141" s="215"/>
      <c r="B141" s="215"/>
      <c r="C141" s="54" t="s">
        <v>462</v>
      </c>
    </row>
    <row r="142" spans="1:3" ht="15.75" thickBot="1" x14ac:dyDescent="0.3">
      <c r="A142" s="216"/>
      <c r="B142" s="216"/>
      <c r="C142" s="54" t="s">
        <v>463</v>
      </c>
    </row>
    <row r="143" spans="1:3" ht="15.75" thickBot="1" x14ac:dyDescent="0.3">
      <c r="A143" s="214" t="s">
        <v>63</v>
      </c>
      <c r="B143" s="214" t="s">
        <v>464</v>
      </c>
      <c r="C143" s="54" t="s">
        <v>465</v>
      </c>
    </row>
    <row r="144" spans="1:3" ht="15.75" thickBot="1" x14ac:dyDescent="0.3">
      <c r="A144" s="215"/>
      <c r="B144" s="215"/>
      <c r="C144" s="54" t="s">
        <v>466</v>
      </c>
    </row>
    <row r="145" spans="1:3" ht="15.75" thickBot="1" x14ac:dyDescent="0.3">
      <c r="A145" s="215"/>
      <c r="B145" s="215"/>
      <c r="C145" s="54" t="s">
        <v>467</v>
      </c>
    </row>
    <row r="146" spans="1:3" ht="15.75" thickBot="1" x14ac:dyDescent="0.3">
      <c r="A146" s="215"/>
      <c r="B146" s="215"/>
      <c r="C146" s="54" t="s">
        <v>468</v>
      </c>
    </row>
    <row r="147" spans="1:3" ht="15.75" thickBot="1" x14ac:dyDescent="0.3">
      <c r="A147" s="215"/>
      <c r="B147" s="215"/>
      <c r="C147" s="54" t="s">
        <v>469</v>
      </c>
    </row>
    <row r="148" spans="1:3" ht="15.75" thickBot="1" x14ac:dyDescent="0.3">
      <c r="A148" s="215"/>
      <c r="B148" s="215"/>
      <c r="C148" s="54" t="s">
        <v>470</v>
      </c>
    </row>
    <row r="149" spans="1:3" ht="15.75" thickBot="1" x14ac:dyDescent="0.3">
      <c r="A149" s="215"/>
      <c r="B149" s="215"/>
      <c r="C149" s="54" t="s">
        <v>471</v>
      </c>
    </row>
    <row r="150" spans="1:3" ht="15.75" thickBot="1" x14ac:dyDescent="0.3">
      <c r="A150" s="215"/>
      <c r="B150" s="215"/>
      <c r="C150" s="54" t="s">
        <v>472</v>
      </c>
    </row>
    <row r="151" spans="1:3" ht="15.75" thickBot="1" x14ac:dyDescent="0.3">
      <c r="A151" s="216"/>
      <c r="B151" s="216"/>
      <c r="C151" s="54" t="s">
        <v>40</v>
      </c>
    </row>
    <row r="152" spans="1:3" ht="15.75" thickBot="1" x14ac:dyDescent="0.3">
      <c r="A152" s="214" t="s">
        <v>59</v>
      </c>
      <c r="B152" s="214" t="s">
        <v>473</v>
      </c>
      <c r="C152" s="54" t="s">
        <v>474</v>
      </c>
    </row>
    <row r="153" spans="1:3" ht="15.75" thickBot="1" x14ac:dyDescent="0.3">
      <c r="A153" s="215"/>
      <c r="B153" s="215"/>
      <c r="C153" s="54" t="s">
        <v>475</v>
      </c>
    </row>
    <row r="154" spans="1:3" ht="15.75" thickBot="1" x14ac:dyDescent="0.3">
      <c r="A154" s="216"/>
      <c r="B154" s="216"/>
      <c r="C154" s="54" t="s">
        <v>476</v>
      </c>
    </row>
    <row r="155" spans="1:3" ht="15.75" thickBot="1" x14ac:dyDescent="0.3">
      <c r="A155" s="214" t="s">
        <v>61</v>
      </c>
      <c r="B155" s="214" t="s">
        <v>477</v>
      </c>
      <c r="C155" s="54" t="s">
        <v>478</v>
      </c>
    </row>
    <row r="156" spans="1:3" ht="15.75" thickBot="1" x14ac:dyDescent="0.3">
      <c r="A156" s="216"/>
      <c r="B156" s="216"/>
      <c r="C156" s="54" t="s">
        <v>479</v>
      </c>
    </row>
    <row r="157" spans="1:3" ht="30.75" thickBot="1" x14ac:dyDescent="0.3">
      <c r="A157" s="46" t="s">
        <v>58</v>
      </c>
      <c r="B157" s="54" t="s">
        <v>480</v>
      </c>
      <c r="C157" s="54" t="s">
        <v>58</v>
      </c>
    </row>
    <row r="158" spans="1:3" ht="15.75" thickBot="1" x14ac:dyDescent="0.3">
      <c r="A158" s="46" t="s">
        <v>12</v>
      </c>
      <c r="B158" s="54" t="s">
        <v>481</v>
      </c>
      <c r="C158" s="54" t="s">
        <v>12</v>
      </c>
    </row>
    <row r="159" spans="1:3" ht="15.75" x14ac:dyDescent="0.25">
      <c r="A159" s="77"/>
      <c r="B159"/>
      <c r="C159"/>
    </row>
    <row r="160" spans="1:3" ht="36.75" customHeight="1" x14ac:dyDescent="0.25">
      <c r="A160" s="210" t="s">
        <v>482</v>
      </c>
      <c r="B160" s="211"/>
      <c r="C160" s="211"/>
    </row>
    <row r="161" spans="1:3" ht="16.5" thickBot="1" x14ac:dyDescent="0.3">
      <c r="A161" s="77"/>
      <c r="B161"/>
      <c r="C161"/>
    </row>
    <row r="162" spans="1:3" ht="15.75" thickBot="1" x14ac:dyDescent="0.3">
      <c r="A162" s="74" t="s">
        <v>226</v>
      </c>
      <c r="B162" s="75" t="s">
        <v>320</v>
      </c>
      <c r="C162" s="75" t="s">
        <v>321</v>
      </c>
    </row>
    <row r="163" spans="1:3" ht="30.75" thickBot="1" x14ac:dyDescent="0.3">
      <c r="A163" s="46" t="s">
        <v>44</v>
      </c>
      <c r="B163" s="54" t="s">
        <v>483</v>
      </c>
      <c r="C163" s="54" t="s">
        <v>44</v>
      </c>
    </row>
    <row r="164" spans="1:3" ht="30.75" thickBot="1" x14ac:dyDescent="0.3">
      <c r="A164" s="46" t="s">
        <v>42</v>
      </c>
      <c r="B164" s="54" t="s">
        <v>484</v>
      </c>
      <c r="C164" s="54" t="s">
        <v>42</v>
      </c>
    </row>
    <row r="165" spans="1:3" ht="15.75" thickBot="1" x14ac:dyDescent="0.3">
      <c r="A165" s="46" t="s">
        <v>41</v>
      </c>
      <c r="B165" s="54" t="s">
        <v>485</v>
      </c>
      <c r="C165" s="54" t="s">
        <v>41</v>
      </c>
    </row>
    <row r="166" spans="1:3" ht="15.75" thickBot="1" x14ac:dyDescent="0.3">
      <c r="A166" s="46" t="s">
        <v>43</v>
      </c>
      <c r="B166" s="54" t="s">
        <v>486</v>
      </c>
      <c r="C166" s="54" t="s">
        <v>43</v>
      </c>
    </row>
    <row r="167" spans="1:3" ht="30.75" thickBot="1" x14ac:dyDescent="0.3">
      <c r="A167" s="46" t="s">
        <v>40</v>
      </c>
      <c r="B167" s="54" t="s">
        <v>487</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55</vt:i4>
      </vt:variant>
      <vt:variant>
        <vt:lpstr>Named Ranges</vt:lpstr>
      </vt:variant>
      <vt:variant>
        <vt:i4>58</vt:i4>
      </vt:variant>
    </vt:vector>
  </HeadingPairs>
  <TitlesOfParts>
    <vt:vector size="113"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'Off-Balance Sheet'!Print_Area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Belete, Gabriel</cp:lastModifiedBy>
  <cp:lastPrinted>2015-09-18T14:38:01Z</cp:lastPrinted>
  <dcterms:created xsi:type="dcterms:W3CDTF">2015-03-19T18:31:05Z</dcterms:created>
  <dcterms:modified xsi:type="dcterms:W3CDTF">2015-09-18T14:43:11Z</dcterms:modified>
</cp:coreProperties>
</file>