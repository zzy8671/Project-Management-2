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300" windowWidth="15120" windowHeight="7515" tabRatio="900" firstSheet="2" activeTab="21"/>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9" r:id="rId15"/>
    <sheet name="2" sheetId="12" r:id="rId16"/>
    <sheet name="3" sheetId="10" r:id="rId17"/>
    <sheet name="4" sheetId="11" r:id="rId18"/>
    <sheet name="5" sheetId="8"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AA1" i="67" l="1"/>
  <c r="R2" i="67"/>
  <c r="R3" i="67"/>
  <c r="R4" i="67"/>
  <c r="R5" i="67"/>
  <c r="R6" i="67"/>
  <c r="R7" i="67"/>
  <c r="Q8" i="67"/>
  <c r="Q9" i="67"/>
  <c r="Q11" i="67"/>
  <c r="Q12" i="67"/>
  <c r="AA1" i="66"/>
  <c r="R2" i="66"/>
  <c r="R3" i="66"/>
  <c r="R4" i="66"/>
  <c r="R5" i="66"/>
  <c r="R6" i="66"/>
  <c r="R7" i="66"/>
  <c r="Q8" i="66"/>
  <c r="Q9" i="66"/>
  <c r="Q11" i="66"/>
  <c r="Q12" i="66"/>
  <c r="AA1" i="65"/>
  <c r="R2" i="65"/>
  <c r="R3" i="65"/>
  <c r="R4" i="65"/>
  <c r="R5" i="65"/>
  <c r="R6" i="65"/>
  <c r="R7" i="65"/>
  <c r="Q8" i="65"/>
  <c r="Q9" i="65"/>
  <c r="Q11" i="65"/>
  <c r="Q12" i="65"/>
  <c r="AA1" i="64"/>
  <c r="R2" i="64"/>
  <c r="R3" i="64"/>
  <c r="R4" i="64"/>
  <c r="R5" i="64"/>
  <c r="R6" i="64"/>
  <c r="R7" i="64"/>
  <c r="Q8" i="64"/>
  <c r="Q9" i="64"/>
  <c r="Q11" i="64"/>
  <c r="Q12" i="64"/>
  <c r="AA1" i="63"/>
  <c r="R2" i="63"/>
  <c r="R3" i="63"/>
  <c r="R4" i="63"/>
  <c r="R5" i="63"/>
  <c r="R6" i="63"/>
  <c r="R7" i="63"/>
  <c r="Q8" i="63"/>
  <c r="Q9" i="63"/>
  <c r="Q11" i="63"/>
  <c r="Q12" i="63"/>
  <c r="AA1" i="62"/>
  <c r="R2" i="62"/>
  <c r="R3" i="62"/>
  <c r="R4" i="62"/>
  <c r="R5" i="62"/>
  <c r="R6" i="62"/>
  <c r="R7" i="62"/>
  <c r="Q8" i="62"/>
  <c r="Q9" i="62"/>
  <c r="Q11" i="62"/>
  <c r="Q12" i="62"/>
  <c r="AA1" i="61"/>
  <c r="R2" i="61"/>
  <c r="R3" i="61"/>
  <c r="R4" i="61"/>
  <c r="R5" i="61"/>
  <c r="R6" i="61"/>
  <c r="R7" i="61"/>
  <c r="Q8" i="61"/>
  <c r="Q9" i="61"/>
  <c r="Q11" i="61"/>
  <c r="Q12" i="61"/>
  <c r="AA1" i="60"/>
  <c r="R2" i="60"/>
  <c r="R3" i="60"/>
  <c r="R4" i="60"/>
  <c r="R5" i="60"/>
  <c r="R6" i="60"/>
  <c r="R7" i="60"/>
  <c r="Q8" i="60"/>
  <c r="Q9" i="60"/>
  <c r="Q11" i="60"/>
  <c r="Q12" i="60"/>
  <c r="AA1" i="59"/>
  <c r="R2" i="59"/>
  <c r="R3" i="59"/>
  <c r="R4" i="59"/>
  <c r="R5" i="59"/>
  <c r="R6" i="59"/>
  <c r="R7" i="59"/>
  <c r="Q8" i="59"/>
  <c r="Q9" i="59"/>
  <c r="Q11" i="59"/>
  <c r="Q12" i="59"/>
  <c r="AA1" i="58"/>
  <c r="R2" i="58"/>
  <c r="R3" i="58"/>
  <c r="R4" i="58"/>
  <c r="R5" i="58"/>
  <c r="R6" i="58"/>
  <c r="R7" i="58"/>
  <c r="Q8" i="58"/>
  <c r="Q9" i="58"/>
  <c r="Q11" i="58"/>
  <c r="Q12" i="58"/>
  <c r="AA1" i="55"/>
  <c r="R2" i="55"/>
  <c r="R3" i="55"/>
  <c r="R4" i="55"/>
  <c r="R5" i="55"/>
  <c r="R6" i="55"/>
  <c r="R7" i="55"/>
  <c r="Q8" i="55"/>
  <c r="Q9" i="55"/>
  <c r="Q11" i="55"/>
  <c r="Q12" i="55"/>
  <c r="AA1" i="54"/>
  <c r="R2" i="54"/>
  <c r="R3" i="54"/>
  <c r="R4" i="54"/>
  <c r="R5" i="54"/>
  <c r="R6" i="54"/>
  <c r="R7" i="54"/>
  <c r="Q8" i="54"/>
  <c r="Q9" i="54"/>
  <c r="Q11" i="54"/>
  <c r="Q12" i="54"/>
  <c r="AA1" i="53"/>
  <c r="R2" i="53"/>
  <c r="R3" i="53"/>
  <c r="R4" i="53"/>
  <c r="R5" i="53"/>
  <c r="R6" i="53"/>
  <c r="R7" i="53"/>
  <c r="Q8" i="53"/>
  <c r="Q9" i="53"/>
  <c r="Q11" i="53"/>
  <c r="Q12" i="53"/>
  <c r="AA1" i="52"/>
  <c r="R2" i="52"/>
  <c r="R3" i="52"/>
  <c r="R4" i="52"/>
  <c r="R5" i="52"/>
  <c r="R6" i="52"/>
  <c r="R7" i="52"/>
  <c r="Q8" i="52"/>
  <c r="Q9" i="52"/>
  <c r="Q11" i="52"/>
  <c r="Q12" i="52"/>
  <c r="AA1" i="51"/>
  <c r="R2" i="51"/>
  <c r="R3" i="51"/>
  <c r="R4" i="51"/>
  <c r="R5" i="51"/>
  <c r="R6" i="51"/>
  <c r="R7" i="51"/>
  <c r="Q8" i="51"/>
  <c r="Q9" i="51"/>
  <c r="Q11" i="51"/>
  <c r="Q12" i="51"/>
  <c r="AA1" i="50"/>
  <c r="R2" i="50"/>
  <c r="R3" i="50"/>
  <c r="R4" i="50"/>
  <c r="R5" i="50"/>
  <c r="R6" i="50"/>
  <c r="R7" i="50"/>
  <c r="Q8" i="50"/>
  <c r="Q9" i="50"/>
  <c r="Q11" i="50"/>
  <c r="Q12" i="50"/>
  <c r="AA1" i="49"/>
  <c r="R2" i="49"/>
  <c r="R3" i="49"/>
  <c r="R4" i="49"/>
  <c r="R5" i="49"/>
  <c r="R6" i="49"/>
  <c r="R7" i="49"/>
  <c r="Q8" i="49"/>
  <c r="Q9" i="49"/>
  <c r="Q11" i="49"/>
  <c r="Q12" i="49"/>
  <c r="AA1" i="48"/>
  <c r="R2" i="48"/>
  <c r="R3" i="48"/>
  <c r="R4" i="48"/>
  <c r="R5" i="48"/>
  <c r="R6" i="48"/>
  <c r="R7" i="48"/>
  <c r="Q8" i="48"/>
  <c r="Q9" i="48"/>
  <c r="Q11" i="48"/>
  <c r="Q12" i="48"/>
  <c r="AA1" i="47"/>
  <c r="R2" i="47"/>
  <c r="R3" i="47"/>
  <c r="R4" i="47"/>
  <c r="R5" i="47"/>
  <c r="R6" i="47"/>
  <c r="R7" i="47"/>
  <c r="Q8" i="47"/>
  <c r="Q9" i="47"/>
  <c r="Q11" i="47"/>
  <c r="Q12" i="47"/>
  <c r="AA1" i="46"/>
  <c r="R2" i="46"/>
  <c r="R3" i="46"/>
  <c r="R4" i="46"/>
  <c r="R5" i="46"/>
  <c r="R6" i="46"/>
  <c r="R7" i="46"/>
  <c r="Q8" i="46"/>
  <c r="Q9" i="46"/>
  <c r="Q11" i="46"/>
  <c r="Q12" i="46"/>
  <c r="AA1" i="27"/>
  <c r="R2" i="27"/>
  <c r="R3" i="27"/>
  <c r="R4" i="27"/>
  <c r="R5" i="27"/>
  <c r="R6" i="27"/>
  <c r="R7" i="27"/>
  <c r="Q8" i="27"/>
  <c r="Q9" i="27"/>
  <c r="Q11" i="27"/>
  <c r="Q12" i="27"/>
  <c r="AA1" i="26"/>
  <c r="R2" i="26"/>
  <c r="R3" i="26"/>
  <c r="R4" i="26"/>
  <c r="R5" i="26"/>
  <c r="R6" i="26"/>
  <c r="R7" i="26"/>
  <c r="Q8" i="26"/>
  <c r="Q9" i="26"/>
  <c r="Q11" i="26"/>
  <c r="Q12" i="26"/>
  <c r="AA1" i="25"/>
  <c r="R2" i="25"/>
  <c r="R3" i="25"/>
  <c r="R4" i="25"/>
  <c r="R5" i="25"/>
  <c r="R6" i="25"/>
  <c r="R7" i="25"/>
  <c r="Q8" i="25"/>
  <c r="Q9" i="25"/>
  <c r="Q11" i="25"/>
  <c r="Q12" i="25"/>
  <c r="AA1" i="24"/>
  <c r="R2" i="24"/>
  <c r="R3" i="24"/>
  <c r="R4" i="24"/>
  <c r="R5" i="24"/>
  <c r="R6" i="24"/>
  <c r="R7" i="24"/>
  <c r="Q8" i="24"/>
  <c r="Q9" i="24"/>
  <c r="Q11" i="24"/>
  <c r="Q12" i="24"/>
  <c r="AA1" i="23"/>
  <c r="R2" i="23"/>
  <c r="R3" i="23"/>
  <c r="R4" i="23"/>
  <c r="R5" i="23"/>
  <c r="R6" i="23"/>
  <c r="R7" i="23"/>
  <c r="Q8" i="23"/>
  <c r="Q9" i="23"/>
  <c r="Q11" i="23"/>
  <c r="Q12" i="23"/>
  <c r="AA1" i="22"/>
  <c r="R2" i="22"/>
  <c r="R3" i="22"/>
  <c r="R4" i="22"/>
  <c r="R5" i="22"/>
  <c r="R6" i="22"/>
  <c r="R7" i="22"/>
  <c r="Q8" i="22"/>
  <c r="Q9" i="22"/>
  <c r="Q11" i="22"/>
  <c r="Q12" i="22"/>
  <c r="AA1" i="21"/>
  <c r="R2" i="21"/>
  <c r="R3" i="21"/>
  <c r="R4" i="21"/>
  <c r="R5" i="21"/>
  <c r="R6" i="21"/>
  <c r="R7" i="21"/>
  <c r="Q8" i="21"/>
  <c r="Q9" i="21"/>
  <c r="Q11" i="21"/>
  <c r="Q12" i="21"/>
  <c r="AA1" i="20"/>
  <c r="R2" i="20"/>
  <c r="R3" i="20"/>
  <c r="R4" i="20"/>
  <c r="R5" i="20"/>
  <c r="R6" i="20"/>
  <c r="R7" i="20"/>
  <c r="Q8" i="20"/>
  <c r="Q9" i="20"/>
  <c r="Q11" i="20"/>
  <c r="Q12" i="20"/>
  <c r="AA1" i="19"/>
  <c r="R2" i="19"/>
  <c r="R3" i="19"/>
  <c r="R4" i="19"/>
  <c r="R5" i="19"/>
  <c r="R6" i="19"/>
  <c r="R7" i="19"/>
  <c r="Q8" i="19"/>
  <c r="Q9" i="19"/>
  <c r="Q11" i="19"/>
  <c r="Q12" i="19"/>
  <c r="AA1" i="18"/>
  <c r="R2" i="18"/>
  <c r="R3" i="18"/>
  <c r="R4" i="18"/>
  <c r="R5" i="18"/>
  <c r="R6" i="18"/>
  <c r="R7" i="18"/>
  <c r="Q8" i="18"/>
  <c r="Q9" i="18"/>
  <c r="Q11" i="18"/>
  <c r="Q12" i="18"/>
  <c r="AA1" i="17"/>
  <c r="R2" i="17"/>
  <c r="R3" i="17"/>
  <c r="R4" i="17"/>
  <c r="R5" i="17"/>
  <c r="R6" i="17"/>
  <c r="R7" i="17"/>
  <c r="Q8" i="17"/>
  <c r="Q9" i="17"/>
  <c r="Q11" i="17"/>
  <c r="Q12" i="17"/>
  <c r="AA1" i="16"/>
  <c r="R2" i="16"/>
  <c r="R3" i="16"/>
  <c r="R4" i="16"/>
  <c r="R5" i="16"/>
  <c r="R6" i="16"/>
  <c r="R7" i="16"/>
  <c r="Q8" i="16"/>
  <c r="Q9" i="16"/>
  <c r="Q11" i="16"/>
  <c r="Q12" i="16"/>
  <c r="AA1" i="15"/>
  <c r="R2" i="15"/>
  <c r="R3" i="15"/>
  <c r="R4" i="15"/>
  <c r="R5" i="15"/>
  <c r="R6" i="15"/>
  <c r="R7" i="15"/>
  <c r="Q8" i="15"/>
  <c r="Q9" i="15"/>
  <c r="Q11" i="15"/>
  <c r="Q12" i="15"/>
  <c r="AA1" i="14"/>
  <c r="R2" i="14"/>
  <c r="R3" i="14"/>
  <c r="R4" i="14"/>
  <c r="R5" i="14"/>
  <c r="R6" i="14"/>
  <c r="R7" i="14"/>
  <c r="Q8" i="14"/>
  <c r="Q9" i="14"/>
  <c r="Q11" i="14"/>
  <c r="Q12" i="14"/>
  <c r="AA1" i="13"/>
  <c r="R2" i="13"/>
  <c r="R3" i="13"/>
  <c r="R4" i="13"/>
  <c r="R5" i="13"/>
  <c r="R6" i="13"/>
  <c r="R7" i="13"/>
  <c r="Q8" i="13"/>
  <c r="Q9" i="13"/>
  <c r="Q11" i="13"/>
  <c r="Q12" i="13"/>
  <c r="AA1" i="12"/>
  <c r="R2" i="12"/>
  <c r="R3" i="12"/>
  <c r="R4" i="12"/>
  <c r="R5" i="12"/>
  <c r="R6" i="12"/>
  <c r="R7" i="12"/>
  <c r="Q8" i="12"/>
  <c r="Q9" i="12"/>
  <c r="Q11" i="12"/>
  <c r="Q12" i="12"/>
  <c r="AA1" i="11"/>
  <c r="R2" i="11"/>
  <c r="R3" i="11"/>
  <c r="R4" i="11"/>
  <c r="R5" i="11"/>
  <c r="R6" i="11"/>
  <c r="R7" i="11"/>
  <c r="Q8" i="11"/>
  <c r="Q9" i="11"/>
  <c r="Q11" i="11"/>
  <c r="Q12" i="11"/>
  <c r="AA1" i="10"/>
  <c r="R2" i="10"/>
  <c r="R3" i="10"/>
  <c r="R4" i="10"/>
  <c r="R5" i="10"/>
  <c r="R6" i="10"/>
  <c r="R7" i="10"/>
  <c r="Q8" i="10"/>
  <c r="Q9" i="10"/>
  <c r="Q11" i="10"/>
  <c r="Q12" i="10"/>
  <c r="AA1" i="9"/>
  <c r="R2" i="9"/>
  <c r="R3" i="9"/>
  <c r="R4" i="9"/>
  <c r="R5" i="9"/>
  <c r="R6" i="9"/>
  <c r="R7" i="9"/>
  <c r="Q8" i="9"/>
  <c r="Q9" i="9"/>
  <c r="Q11" i="9"/>
  <c r="Q12" i="9"/>
  <c r="AA1" i="8"/>
  <c r="R2" i="8"/>
  <c r="R3" i="8"/>
  <c r="R4" i="8"/>
  <c r="R5" i="8"/>
  <c r="R6" i="8"/>
  <c r="R7" i="8"/>
  <c r="Q8" i="8"/>
  <c r="Q9" i="8"/>
  <c r="Q11" i="8"/>
  <c r="Q12" i="8"/>
  <c r="B3" i="1"/>
  <c r="C3" i="1"/>
  <c r="D3" i="1"/>
  <c r="F3" i="1"/>
  <c r="G3" i="1"/>
  <c r="H3" i="1"/>
  <c r="I3" i="1"/>
  <c r="J3" i="1"/>
  <c r="K3" i="1"/>
  <c r="L3" i="1"/>
  <c r="M3" i="1"/>
  <c r="N3" i="1"/>
  <c r="B4" i="1"/>
  <c r="C4" i="1"/>
  <c r="D4" i="1"/>
  <c r="F4" i="1"/>
  <c r="G4" i="1"/>
  <c r="H4" i="1"/>
  <c r="I4" i="1"/>
  <c r="J4" i="1"/>
  <c r="K4" i="1"/>
  <c r="L4" i="1"/>
  <c r="M4" i="1"/>
  <c r="N4" i="1"/>
  <c r="B5" i="1"/>
  <c r="C5" i="1"/>
  <c r="D5" i="1"/>
  <c r="F5" i="1"/>
  <c r="G5" i="1"/>
  <c r="H5" i="1"/>
  <c r="I5" i="1"/>
  <c r="J5" i="1"/>
  <c r="K5" i="1"/>
  <c r="L5" i="1"/>
  <c r="M5" i="1"/>
  <c r="N5" i="1"/>
  <c r="B6" i="1"/>
  <c r="C6" i="1"/>
  <c r="D6" i="1"/>
  <c r="F6" i="1"/>
  <c r="G6" i="1"/>
  <c r="H6" i="1"/>
  <c r="I6" i="1"/>
  <c r="J6" i="1"/>
  <c r="K6" i="1"/>
  <c r="L6" i="1"/>
  <c r="M6" i="1"/>
  <c r="N6" i="1"/>
  <c r="B7" i="1"/>
  <c r="C7" i="1"/>
  <c r="D7" i="1"/>
  <c r="F7" i="1"/>
  <c r="G7" i="1"/>
  <c r="H7" i="1"/>
  <c r="I7" i="1"/>
  <c r="J7" i="1"/>
  <c r="K7" i="1"/>
  <c r="L7" i="1"/>
  <c r="M7" i="1"/>
  <c r="N7" i="1"/>
  <c r="B8" i="1"/>
  <c r="C8" i="1"/>
  <c r="D8" i="1"/>
  <c r="F8" i="1"/>
  <c r="G8" i="1"/>
  <c r="H8" i="1"/>
  <c r="I8" i="1"/>
  <c r="J8" i="1"/>
  <c r="K8" i="1"/>
  <c r="L8" i="1"/>
  <c r="M8" i="1"/>
  <c r="N8" i="1"/>
  <c r="B9" i="1"/>
  <c r="C9" i="1"/>
  <c r="D9" i="1"/>
  <c r="F9" i="1"/>
  <c r="G9" i="1"/>
  <c r="H9" i="1"/>
  <c r="I9" i="1"/>
  <c r="J9" i="1"/>
  <c r="K9" i="1"/>
  <c r="L9" i="1"/>
  <c r="M9" i="1"/>
  <c r="N9" i="1"/>
  <c r="B10" i="1"/>
  <c r="C10" i="1"/>
  <c r="D10" i="1"/>
  <c r="F10" i="1"/>
  <c r="G10" i="1"/>
  <c r="H10" i="1"/>
  <c r="I10" i="1"/>
  <c r="J10" i="1"/>
  <c r="K10" i="1"/>
  <c r="L10" i="1"/>
  <c r="M10" i="1"/>
  <c r="N10" i="1"/>
  <c r="B11" i="1"/>
  <c r="C11" i="1"/>
  <c r="D11" i="1"/>
  <c r="F11" i="1"/>
  <c r="G11" i="1"/>
  <c r="H11" i="1"/>
  <c r="I11" i="1"/>
  <c r="J11" i="1"/>
  <c r="K11" i="1"/>
  <c r="L11" i="1"/>
  <c r="M11" i="1"/>
  <c r="N11" i="1"/>
  <c r="B12" i="1"/>
  <c r="C12" i="1"/>
  <c r="D12" i="1"/>
  <c r="F12" i="1"/>
  <c r="G12" i="1"/>
  <c r="H12" i="1"/>
  <c r="I12" i="1"/>
  <c r="J12" i="1"/>
  <c r="K12" i="1"/>
  <c r="L12" i="1"/>
  <c r="M12" i="1"/>
  <c r="N12" i="1"/>
  <c r="B13" i="1"/>
  <c r="C13" i="1"/>
  <c r="D13" i="1"/>
  <c r="F13" i="1"/>
  <c r="G13" i="1"/>
  <c r="H13" i="1"/>
  <c r="I13" i="1"/>
  <c r="J13" i="1"/>
  <c r="K13" i="1"/>
  <c r="L13" i="1"/>
  <c r="M13" i="1"/>
  <c r="N13" i="1"/>
  <c r="B14" i="1"/>
  <c r="C14" i="1"/>
  <c r="D14" i="1"/>
  <c r="F14" i="1"/>
  <c r="G14" i="1"/>
  <c r="H14" i="1"/>
  <c r="I14" i="1"/>
  <c r="J14" i="1"/>
  <c r="K14" i="1"/>
  <c r="L14" i="1"/>
  <c r="M14" i="1"/>
  <c r="N14" i="1"/>
  <c r="B15" i="1"/>
  <c r="C15" i="1"/>
  <c r="D15" i="1"/>
  <c r="F15" i="1"/>
  <c r="G15" i="1"/>
  <c r="H15" i="1"/>
  <c r="I15" i="1"/>
  <c r="J15" i="1"/>
  <c r="K15" i="1"/>
  <c r="L15" i="1"/>
  <c r="M15" i="1"/>
  <c r="N15" i="1"/>
  <c r="B16" i="1"/>
  <c r="C16" i="1"/>
  <c r="D16" i="1"/>
  <c r="F16" i="1"/>
  <c r="G16" i="1"/>
  <c r="H16" i="1"/>
  <c r="I16" i="1"/>
  <c r="J16" i="1"/>
  <c r="K16" i="1"/>
  <c r="L16" i="1"/>
  <c r="M16" i="1"/>
  <c r="N16" i="1"/>
  <c r="B17" i="1"/>
  <c r="C17" i="1"/>
  <c r="D17" i="1"/>
  <c r="F17" i="1"/>
  <c r="G17" i="1"/>
  <c r="H17" i="1"/>
  <c r="I17" i="1"/>
  <c r="J17" i="1"/>
  <c r="K17" i="1"/>
  <c r="L17" i="1"/>
  <c r="M17" i="1"/>
  <c r="N17" i="1"/>
  <c r="B18" i="1"/>
  <c r="C18" i="1"/>
  <c r="D18" i="1"/>
  <c r="F18" i="1"/>
  <c r="G18" i="1"/>
  <c r="H18" i="1"/>
  <c r="I18" i="1"/>
  <c r="J18" i="1"/>
  <c r="K18" i="1"/>
  <c r="L18" i="1"/>
  <c r="M18" i="1"/>
  <c r="N18" i="1"/>
  <c r="B19" i="1"/>
  <c r="C19" i="1"/>
  <c r="D19" i="1"/>
  <c r="F19" i="1"/>
  <c r="G19" i="1"/>
  <c r="H19" i="1"/>
  <c r="I19" i="1"/>
  <c r="J19" i="1"/>
  <c r="K19" i="1"/>
  <c r="L19" i="1"/>
  <c r="M19" i="1"/>
  <c r="N19" i="1"/>
  <c r="B20" i="1"/>
  <c r="C20" i="1"/>
  <c r="D20" i="1"/>
  <c r="F20" i="1"/>
  <c r="G20" i="1"/>
  <c r="H20" i="1"/>
  <c r="I20" i="1"/>
  <c r="J20" i="1"/>
  <c r="K20" i="1"/>
  <c r="L20" i="1"/>
  <c r="M20" i="1"/>
  <c r="N20" i="1"/>
  <c r="B21" i="1"/>
  <c r="C21" i="1"/>
  <c r="D21" i="1"/>
  <c r="F21" i="1"/>
  <c r="G21" i="1"/>
  <c r="H21" i="1"/>
  <c r="I21" i="1"/>
  <c r="J21" i="1"/>
  <c r="K21" i="1"/>
  <c r="L21" i="1"/>
  <c r="M21" i="1"/>
  <c r="N21" i="1"/>
  <c r="B22" i="1"/>
  <c r="C22" i="1"/>
  <c r="D22" i="1"/>
  <c r="F22" i="1"/>
  <c r="G22" i="1"/>
  <c r="H22" i="1"/>
  <c r="I22" i="1"/>
  <c r="J22" i="1"/>
  <c r="K22" i="1"/>
  <c r="L22" i="1"/>
  <c r="M22" i="1"/>
  <c r="N22" i="1"/>
  <c r="B23" i="1"/>
  <c r="C23" i="1"/>
  <c r="D23" i="1"/>
  <c r="F23" i="1"/>
  <c r="G23" i="1"/>
  <c r="H23" i="1"/>
  <c r="I23" i="1"/>
  <c r="J23" i="1"/>
  <c r="K23" i="1"/>
  <c r="L23" i="1"/>
  <c r="M23" i="1"/>
  <c r="N23" i="1"/>
  <c r="B24" i="1"/>
  <c r="C24" i="1"/>
  <c r="D24" i="1"/>
  <c r="F24" i="1"/>
  <c r="G24" i="1"/>
  <c r="H24" i="1"/>
  <c r="I24" i="1"/>
  <c r="J24" i="1"/>
  <c r="K24" i="1"/>
  <c r="L24" i="1"/>
  <c r="M24" i="1"/>
  <c r="N24" i="1"/>
  <c r="B25" i="1"/>
  <c r="C25" i="1"/>
  <c r="D25" i="1"/>
  <c r="F25" i="1"/>
  <c r="G25" i="1"/>
  <c r="H25" i="1"/>
  <c r="I25" i="1"/>
  <c r="J25" i="1"/>
  <c r="K25" i="1"/>
  <c r="L25" i="1"/>
  <c r="M25" i="1"/>
  <c r="N25" i="1"/>
  <c r="B26" i="1"/>
  <c r="C26" i="1"/>
  <c r="D26" i="1"/>
  <c r="F26" i="1"/>
  <c r="G26" i="1"/>
  <c r="H26" i="1"/>
  <c r="I26" i="1"/>
  <c r="J26" i="1"/>
  <c r="K26" i="1"/>
  <c r="L26" i="1"/>
  <c r="M26" i="1"/>
  <c r="N26" i="1"/>
  <c r="B27" i="1"/>
  <c r="C27" i="1"/>
  <c r="D27" i="1"/>
  <c r="F27" i="1"/>
  <c r="G27" i="1"/>
  <c r="H27" i="1"/>
  <c r="I27" i="1"/>
  <c r="J27" i="1"/>
  <c r="K27" i="1"/>
  <c r="L27" i="1"/>
  <c r="M27" i="1"/>
  <c r="N27" i="1"/>
  <c r="B28" i="1"/>
  <c r="C28" i="1"/>
  <c r="D28" i="1"/>
  <c r="F28" i="1"/>
  <c r="G28" i="1"/>
  <c r="H28" i="1"/>
  <c r="I28" i="1"/>
  <c r="J28" i="1"/>
  <c r="K28" i="1"/>
  <c r="L28" i="1"/>
  <c r="M28" i="1"/>
  <c r="N28" i="1"/>
  <c r="B29" i="1"/>
  <c r="C29" i="1"/>
  <c r="D29" i="1"/>
  <c r="F29" i="1"/>
  <c r="G29" i="1"/>
  <c r="H29" i="1"/>
  <c r="I29" i="1"/>
  <c r="J29" i="1"/>
  <c r="K29" i="1"/>
  <c r="L29" i="1"/>
  <c r="M29" i="1"/>
  <c r="N29" i="1"/>
  <c r="B30" i="1"/>
  <c r="C30" i="1"/>
  <c r="D30" i="1"/>
  <c r="F30" i="1"/>
  <c r="G30" i="1"/>
  <c r="H30" i="1"/>
  <c r="I30" i="1"/>
  <c r="J30" i="1"/>
  <c r="K30" i="1"/>
  <c r="L30" i="1"/>
  <c r="M30" i="1"/>
  <c r="N30" i="1"/>
  <c r="B31" i="1"/>
  <c r="C31" i="1"/>
  <c r="D31" i="1"/>
  <c r="F31" i="1"/>
  <c r="G31" i="1"/>
  <c r="H31" i="1"/>
  <c r="I31" i="1"/>
  <c r="J31" i="1"/>
  <c r="K31" i="1"/>
  <c r="L31" i="1"/>
  <c r="M31" i="1"/>
  <c r="N31" i="1"/>
  <c r="B32" i="1"/>
  <c r="C32" i="1"/>
  <c r="D32" i="1"/>
  <c r="F32" i="1"/>
  <c r="G32" i="1"/>
  <c r="H32" i="1"/>
  <c r="I32" i="1"/>
  <c r="J32" i="1"/>
  <c r="K32" i="1"/>
  <c r="L32" i="1"/>
  <c r="M32" i="1"/>
  <c r="N32" i="1"/>
  <c r="B33" i="1"/>
  <c r="C33" i="1"/>
  <c r="D33" i="1"/>
  <c r="F33" i="1"/>
  <c r="G33" i="1"/>
  <c r="H33" i="1"/>
  <c r="I33" i="1"/>
  <c r="J33" i="1"/>
  <c r="K33" i="1"/>
  <c r="L33" i="1"/>
  <c r="M33" i="1"/>
  <c r="N33" i="1"/>
  <c r="B34" i="1"/>
  <c r="C34" i="1"/>
  <c r="D34" i="1"/>
  <c r="F34" i="1"/>
  <c r="G34" i="1"/>
  <c r="H34" i="1"/>
  <c r="I34" i="1"/>
  <c r="J34" i="1"/>
  <c r="K34" i="1"/>
  <c r="L34" i="1"/>
  <c r="M34" i="1"/>
  <c r="N34" i="1"/>
  <c r="B35" i="1"/>
  <c r="C35" i="1"/>
  <c r="D35" i="1"/>
  <c r="F35" i="1"/>
  <c r="G35" i="1"/>
  <c r="H35" i="1"/>
  <c r="I35" i="1"/>
  <c r="J35" i="1"/>
  <c r="K35" i="1"/>
  <c r="L35" i="1"/>
  <c r="M35" i="1"/>
  <c r="N35" i="1"/>
  <c r="B36" i="1"/>
  <c r="C36" i="1"/>
  <c r="D36" i="1"/>
  <c r="F36" i="1"/>
  <c r="G36" i="1"/>
  <c r="H36" i="1"/>
  <c r="I36" i="1"/>
  <c r="J36" i="1"/>
  <c r="K36" i="1"/>
  <c r="L36" i="1"/>
  <c r="M36" i="1"/>
  <c r="N36" i="1"/>
  <c r="B37" i="1"/>
  <c r="C37" i="1"/>
  <c r="D37" i="1"/>
  <c r="F37" i="1"/>
  <c r="G37" i="1"/>
  <c r="H37" i="1"/>
  <c r="I37" i="1"/>
  <c r="J37" i="1"/>
  <c r="K37" i="1"/>
  <c r="L37" i="1"/>
  <c r="M37" i="1"/>
  <c r="N37" i="1"/>
  <c r="B38" i="1"/>
  <c r="C38" i="1"/>
  <c r="D38" i="1"/>
  <c r="F38" i="1"/>
  <c r="G38" i="1"/>
  <c r="H38" i="1"/>
  <c r="I38" i="1"/>
  <c r="J38" i="1"/>
  <c r="K38" i="1"/>
  <c r="L38" i="1"/>
  <c r="M38" i="1"/>
  <c r="N38" i="1"/>
  <c r="B39" i="1"/>
  <c r="C39" i="1"/>
  <c r="D39" i="1"/>
  <c r="F39" i="1"/>
  <c r="G39" i="1"/>
  <c r="H39" i="1"/>
  <c r="I39" i="1"/>
  <c r="J39" i="1"/>
  <c r="K39" i="1"/>
  <c r="L39" i="1"/>
  <c r="M39" i="1"/>
  <c r="N39" i="1"/>
  <c r="B40" i="1"/>
  <c r="C40" i="1"/>
  <c r="D40" i="1"/>
  <c r="F40" i="1"/>
  <c r="G40" i="1"/>
  <c r="H40" i="1"/>
  <c r="I40" i="1"/>
  <c r="J40" i="1"/>
  <c r="K40" i="1"/>
  <c r="L40" i="1"/>
  <c r="M40" i="1"/>
  <c r="N40" i="1"/>
  <c r="B41" i="1"/>
  <c r="C41" i="1"/>
  <c r="D41" i="1"/>
  <c r="F41" i="1"/>
  <c r="G41" i="1"/>
  <c r="H41" i="1"/>
  <c r="I41" i="1"/>
  <c r="J41" i="1"/>
  <c r="K41" i="1"/>
  <c r="L41" i="1"/>
  <c r="M41" i="1"/>
  <c r="N41" i="1"/>
  <c r="B42" i="1"/>
  <c r="C42" i="1"/>
  <c r="D42" i="1"/>
  <c r="F42" i="1"/>
  <c r="G42" i="1"/>
  <c r="H42" i="1"/>
  <c r="I42" i="1"/>
  <c r="J42" i="1"/>
  <c r="K42" i="1"/>
  <c r="L42" i="1"/>
  <c r="M42" i="1"/>
  <c r="N42" i="1"/>
  <c r="AL11" i="5"/>
  <c r="AM11" i="5"/>
  <c r="AL12" i="5"/>
  <c r="AM12" i="5" s="1"/>
  <c r="AK13" i="5"/>
  <c r="AL13" i="5"/>
  <c r="AM13" i="5" s="1"/>
  <c r="AK14" i="5"/>
  <c r="AL14" i="5" s="1"/>
  <c r="AM14" i="5" s="1"/>
  <c r="AK15" i="5"/>
  <c r="AL15" i="5"/>
  <c r="AM15" i="5" s="1"/>
  <c r="AK16" i="5"/>
  <c r="AL16" i="5" s="1"/>
  <c r="AM16" i="5" s="1"/>
  <c r="AK17" i="5"/>
  <c r="AL17" i="5" s="1"/>
  <c r="AM17" i="5" s="1"/>
  <c r="AK18" i="5"/>
  <c r="AL18" i="5" s="1"/>
  <c r="AM18" i="5" s="1"/>
  <c r="AK19" i="5"/>
  <c r="AL19" i="5"/>
  <c r="AM19" i="5" s="1"/>
  <c r="C1" i="4"/>
  <c r="C35" i="4"/>
  <c r="C49" i="4"/>
  <c r="C63" i="4"/>
  <c r="C74" i="4"/>
  <c r="C79" i="4"/>
  <c r="C119" i="4"/>
  <c r="C126" i="4"/>
</calcChain>
</file>

<file path=xl/sharedStrings.xml><?xml version="1.0" encoding="utf-8"?>
<sst xmlns="http://schemas.openxmlformats.org/spreadsheetml/2006/main" count="1445" uniqueCount="613">
  <si>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</si>
  <si>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</si>
  <si>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</si>
  <si>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</si>
  <si>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</si>
  <si>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</si>
  <si>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</si>
  <si>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</si>
  <si>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</si>
  <si>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</si>
  <si>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</si>
  <si>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</si>
  <si>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</si>
  <si>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</si>
  <si>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</si>
  <si>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</si>
  <si>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</si>
  <si>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</si>
  <si>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</si>
  <si>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</si>
  <si>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</si>
  <si>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</si>
  <si>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</si>
  <si>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</si>
  <si>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</si>
  <si>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</si>
  <si>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</si>
  <si>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</si>
  <si>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</si>
  <si>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</si>
  <si>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</si>
  <si>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</si>
  <si>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</si>
  <si>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</si>
  <si>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</si>
  <si>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</si>
  <si>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</si>
  <si>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</si>
  <si>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</si>
  <si>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</si>
  <si>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</si>
  <si>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</si>
  <si>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</si>
  <si>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</si>
  <si>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</si>
  <si>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</si>
  <si>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</si>
  <si>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</si>
  <si>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</si>
  <si>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</si>
  <si>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</si>
  <si>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</si>
  <si>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</si>
  <si>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</si>
  <si>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</si>
  <si>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</si>
  <si>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</si>
  <si>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</si>
  <si>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</si>
  <si>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</si>
  <si>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</si>
  <si>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</si>
  <si>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</si>
  <si>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</si>
  <si>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</si>
  <si>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</si>
  <si>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</si>
  <si>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</si>
  <si>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</si>
  <si>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</si>
  <si>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</si>
  <si>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</si>
  <si>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</si>
  <si>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</si>
  <si>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</si>
  <si>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</si>
  <si>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</si>
  <si>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</si>
  <si>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</si>
  <si>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</si>
  <si>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</si>
  <si>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</si>
  <si>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</si>
  <si>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</si>
  <si>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</si>
  <si>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</si>
  <si>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</si>
  <si>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</si>
  <si>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</si>
  <si>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</si>
  <si>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</si>
  <si>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</si>
  <si>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</si>
  <si>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</si>
  <si>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</si>
  <si>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</si>
  <si>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</si>
  <si>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</si>
  <si>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</si>
  <si>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</si>
  <si>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</si>
  <si>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</si>
  <si>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</si>
  <si>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</si>
  <si>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</si>
  <si>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</si>
  <si>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</si>
  <si>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</si>
  <si>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</si>
  <si>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</si>
  <si>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</si>
  <si>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</si>
  <si>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</si>
  <si>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</si>
  <si>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</si>
  <si>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</si>
  <si>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</si>
  <si>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</si>
  <si>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</si>
  <si>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</si>
  <si>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</si>
  <si>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</si>
  <si>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</si>
  <si>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</si>
  <si>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</si>
  <si>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</si>
  <si>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</si>
  <si>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</si>
  <si>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</si>
  <si>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</si>
  <si>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</si>
  <si>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</si>
  <si>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</si>
  <si>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</si>
  <si>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</si>
  <si>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</si>
  <si>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</si>
  <si>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</si>
  <si>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</si>
  <si>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</si>
  <si>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</si>
  <si>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</si>
  <si>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</si>
  <si>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</si>
  <si>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</si>
  <si>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</si>
  <si>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</si>
  <si>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</si>
  <si>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</si>
  <si>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</si>
  <si>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</si>
  <si>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</si>
  <si>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</si>
  <si>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</si>
  <si>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</si>
  <si>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</si>
  <si>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</si>
  <si>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</si>
  <si>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</si>
  <si>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</si>
  <si>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</si>
  <si>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</si>
  <si>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</si>
  <si>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</si>
  <si>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</si>
  <si>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</si>
  <si>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</si>
  <si>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</si>
  <si>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</si>
  <si>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</si>
  <si>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</si>
  <si>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</si>
  <si>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</si>
  <si>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</si>
  <si>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</si>
  <si>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</si>
  <si>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</si>
  <si>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</si>
  <si>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</si>
  <si>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</si>
  <si>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</si>
  <si>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</si>
  <si>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</si>
  <si>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</si>
  <si>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</si>
  <si>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</si>
  <si>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</si>
  <si>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</si>
  <si>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</si>
  <si>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</si>
  <si>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</si>
  <si>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</si>
  <si>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</si>
  <si>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</si>
  <si>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</si>
  <si>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</si>
  <si>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</si>
  <si>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</si>
  <si>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</si>
  <si>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</si>
  <si>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</si>
  <si>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</si>
  <si>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</si>
  <si>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</si>
  <si>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</si>
  <si>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</si>
  <si>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</si>
  <si>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</si>
  <si>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</si>
  <si>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</si>
  <si>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</si>
  <si>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</si>
  <si>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</si>
  <si>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</si>
  <si>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</si>
  <si>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</si>
  <si>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</si>
  <si>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</si>
  <si>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</si>
  <si>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</si>
  <si>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</si>
  <si>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</si>
  <si>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</si>
  <si>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</si>
  <si>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</si>
  <si>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</si>
  <si>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</si>
  <si>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</si>
  <si>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</si>
  <si>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</si>
  <si>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</si>
  <si>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</si>
  <si>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</si>
  <si>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</si>
  <si>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</si>
  <si>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</si>
  <si>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</si>
  <si>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</si>
  <si>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</si>
  <si>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</si>
  <si>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</si>
  <si>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</si>
  <si>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</si>
  <si>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</si>
  <si>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</si>
  <si>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</si>
  <si>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</si>
  <si>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</si>
  <si>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</si>
  <si>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</si>
  <si>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</si>
  <si>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</si>
  <si>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</si>
  <si>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</si>
  <si>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</si>
  <si>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</si>
  <si>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</si>
  <si>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</si>
  <si>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</si>
  <si>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</si>
  <si>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</si>
  <si>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</si>
  <si>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</si>
  <si>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</si>
  <si>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</si>
  <si>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</si>
  <si>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</si>
  <si>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</si>
  <si>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</si>
  <si>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</si>
  <si>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</si>
  <si>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</si>
  <si>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</si>
  <si>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</si>
  <si>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</si>
  <si>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</si>
  <si>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</si>
  <si>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</si>
  <si>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</si>
  <si>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</si>
  <si>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</si>
  <si>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</si>
  <si>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</si>
  <si>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</si>
  <si>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</si>
  <si>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</si>
  <si>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</si>
  <si>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</si>
  <si>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</si>
  <si>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</si>
  <si>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</si>
  <si>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</si>
  <si>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</si>
  <si>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</si>
  <si>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</si>
  <si>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</si>
  <si>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</si>
  <si>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</si>
  <si>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</si>
  <si>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</si>
  <si>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</si>
  <si>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</si>
  <si>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</si>
  <si>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</si>
  <si>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</si>
  <si>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</si>
  <si>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</si>
  <si>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</si>
  <si>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</si>
  <si>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</si>
  <si>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</si>
  <si>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</si>
  <si>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</si>
  <si>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</si>
  <si>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</si>
  <si>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</si>
  <si>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</si>
  <si>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</si>
  <si>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</si>
  <si>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</si>
  <si>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</si>
  <si>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</si>
  <si>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</si>
  <si>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</si>
  <si>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</si>
  <si>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</si>
  <si>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</si>
  <si>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</si>
  <si>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</si>
  <si>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</si>
  <si>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</si>
  <si>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</si>
  <si>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</si>
  <si>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</si>
  <si>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</si>
  <si>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</si>
  <si>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</si>
  <si>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</si>
  <si>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</si>
  <si>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</si>
  <si>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</si>
  <si>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</si>
  <si>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</si>
  <si>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</si>
  <si>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</si>
  <si>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</si>
  <si>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</si>
  <si>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</si>
  <si>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</si>
  <si>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</si>
  <si>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</si>
  <si>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</si>
  <si>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</si>
  <si>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</si>
  <si>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</si>
  <si>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</si>
  <si>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</si>
  <si>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</si>
  <si>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</si>
  <si>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</si>
  <si>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</si>
  <si>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</si>
  <si>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</si>
  <si>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</si>
  <si>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</si>
  <si>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</si>
  <si>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</si>
  <si>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</si>
  <si>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</si>
  <si>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</si>
  <si>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</si>
  <si>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</si>
  <si>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</si>
  <si>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</si>
  <si>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</si>
  <si>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</si>
  <si>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</si>
  <si>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</si>
  <si>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</si>
  <si>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</si>
  <si>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</si>
  <si>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</si>
  <si>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</si>
  <si>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</si>
  <si>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</si>
  <si>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</si>
  <si>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</si>
  <si>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</si>
  <si>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</si>
  <si>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</si>
  <si>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</si>
  <si>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</si>
  <si>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</si>
  <si>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</si>
  <si>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</si>
  <si>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</si>
  <si>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</si>
  <si>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</si>
  <si>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</si>
  <si>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</si>
  <si>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</si>
  <si>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</si>
  <si>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</si>
  <si>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</si>
  <si>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</si>
  <si>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</si>
  <si>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</si>
  <si>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</si>
  <si>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</si>
  <si>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</si>
  <si>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</si>
  <si>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</si>
  <si>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</si>
  <si>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</si>
  <si>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</si>
  <si>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</si>
  <si>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</si>
  <si>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</si>
  <si>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</si>
  <si>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</si>
  <si>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</si>
  <si>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</si>
  <si>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</si>
  <si>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</si>
  <si>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</si>
  <si>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</si>
  <si>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</si>
  <si>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</si>
  <si>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</si>
  <si>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</si>
  <si>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</si>
  <si>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</si>
  <si>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</si>
  <si>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</si>
  <si>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</si>
  <si>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</si>
  <si>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</si>
  <si>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</si>
  <si>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</si>
  <si>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</si>
  <si>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</si>
  <si>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</si>
  <si>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</si>
  <si>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</si>
  <si>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</si>
  <si>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</si>
  <si>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</si>
  <si>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</si>
  <si>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</si>
  <si>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</si>
  <si>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</si>
  <si>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</si>
  <si>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</si>
  <si>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</si>
  <si>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</si>
  <si>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</si>
  <si>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</si>
  <si>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</si>
  <si>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</si>
  <si>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</si>
  <si>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</si>
  <si>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</si>
  <si>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</si>
  <si>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</si>
  <si>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</si>
  <si>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</si>
  <si>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</si>
  <si>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</si>
  <si>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</si>
  <si>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</si>
  <si>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</si>
  <si>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</si>
  <si>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</si>
  <si>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</si>
  <si>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</si>
  <si>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</si>
  <si>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</si>
  <si>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</si>
  <si>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</si>
  <si>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</si>
  <si>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</si>
  <si>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</si>
  <si>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</si>
  <si>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</si>
  <si>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</si>
  <si>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</si>
  <si>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</si>
  <si>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</si>
  <si>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</si>
  <si>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</si>
  <si>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</si>
  <si>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</si>
  <si>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</si>
  <si>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</si>
  <si>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</si>
  <si>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</si>
  <si>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</si>
  <si>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</si>
  <si>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</si>
  <si>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</si>
  <si>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</si>
  <si>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</si>
  <si>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</si>
  <si>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</si>
  <si>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</si>
  <si>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</si>
  <si>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</si>
  <si>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</si>
  <si>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</si>
  <si>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</si>
  <si>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</si>
  <si>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</si>
  <si>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</si>
  <si>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</si>
  <si>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</si>
  <si>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</si>
  <si>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</si>
  <si>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</si>
  <si>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</si>
  <si>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</si>
  <si>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</si>
  <si>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</si>
  <si>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</si>
  <si>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</si>
  <si>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</si>
  <si>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</si>
  <si>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</si>
  <si>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</si>
  <si>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</si>
  <si>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</si>
  <si>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</si>
  <si>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</si>
  <si>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</si>
  <si>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</si>
  <si>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GBM Equity Underwriting</t>
  </si>
  <si>
    <t>SIS</t>
  </si>
  <si>
    <t>Sergio Lew</t>
  </si>
  <si>
    <t>SIS: GBM Equity Underwriting</t>
  </si>
  <si>
    <t>Elias Ehrlich</t>
  </si>
  <si>
    <t>[Compliance to fulfill]</t>
  </si>
  <si>
    <t>Introductory Session: Material Risk Training - June 3, 2015
One-on-one Meetings: From June 8 to 15, 2015
Workshop: June 16, 2015</t>
  </si>
  <si>
    <t>Maria Munoz</t>
  </si>
  <si>
    <t>Sergio Lew, Jim Bathon</t>
  </si>
  <si>
    <t>Non Applicable</t>
  </si>
  <si>
    <t>N.A.</t>
  </si>
  <si>
    <t xml:space="preserve">Non Applicable
</t>
  </si>
  <si>
    <t xml:space="preserve">N.A.
</t>
  </si>
  <si>
    <t>SIS engaged in a workshop approach for identification of Material Risks for each of the business segments including Cash Equities, Debt Underwriting, Equity Underwriting, Fixed Income/Bond Trading, Futures Brokerage Activity,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will produce an aggregate list of Material Risks which will go through review and challenge in both July and August with the final deliverable to SHUSA on August 31, 2015.</t>
  </si>
  <si>
    <t>N/A</t>
  </si>
  <si>
    <t xml:space="preserve"> The SIS Inc. does not have any assets or liabilities which do not appear on the balance sheet. 
</t>
  </si>
  <si>
    <t>N/A: RCSA Assessment has not occurred.</t>
  </si>
  <si>
    <t xml:space="preserve">SIS has not had a RCSA buisness assessment.  </t>
  </si>
  <si>
    <t xml:space="preserve">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would entail after the trades are input into the the front office system, they are printed and input into the back office systems manually until all processes are configures and operational.
</t>
  </si>
  <si>
    <t>Lack of resources in supporting areas</t>
  </si>
  <si>
    <t>FIRM-WIDE RISK</t>
  </si>
  <si>
    <t>IT support</t>
  </si>
  <si>
    <t>2014YE</t>
  </si>
  <si>
    <t>Risk of loosing intellectual capital</t>
  </si>
  <si>
    <t xml:space="preserve">         6,430 </t>
  </si>
  <si>
    <t xml:space="preserve">         2,609 </t>
  </si>
  <si>
    <t xml:space="preserve">         15,080 </t>
  </si>
  <si>
    <t xml:space="preserve">           5,284 </t>
  </si>
  <si>
    <t xml:space="preserve">         3,159 </t>
  </si>
  <si>
    <t>Budget Achievement (Mn USD)</t>
  </si>
  <si>
    <t>Budget Achievement (%)</t>
  </si>
  <si>
    <t>NY Hub 2014 Perimeter includes Latin American excluding Brazil and the US, the perimeter in 2015 has been expanded to include also Brazil</t>
  </si>
  <si>
    <t>The main control is an IT support center for business hours and a very helpful team in the NY building.</t>
  </si>
  <si>
    <t>Business Lines:
1) Equity Capital Markets (i.e., Initial Public Offerings and Follow On Offerings) for Latin American (mainly Brazil, Mexico, Chile, Colombia, Peru, Argentina) companies  
   - Involvement: Origination (pitching activity) and execution of deals
   - Main Products: SEC Registered Offerings, 144A / Reg S Offerings, 4(2) Offerings
   - Role: Global Coordinator / Joint Bookrunner / Co-Manager
2) Equity Capital Markets for US companies
   - Involvement: Origination (pitching activity) and execution of deals
   - Main Products: SEC Registered 
   - Role: Co-Manager, Passive Bookrunner
3) Buybacks for US corporates</t>
  </si>
  <si>
    <t>[See attached the P-18]</t>
  </si>
  <si>
    <t>Lack of systems - Know your customer, performing an accurate due diligence and correctly completing FINRA questionnaires</t>
  </si>
  <si>
    <t>Key controls include Annual reviews and HR compensation policies. Training could be contemplated as an additional tool, particularly for junior resources.</t>
  </si>
  <si>
    <t>Risk of people leaving the department is particularly important for this business given the reliance of business on relationships and know-how for the origination and execution of ECM deals. This business unit has experienced a high turnover, in particular, in senior management in recent years.</t>
  </si>
  <si>
    <t>Risk of doing business enhanced by lack of formal process and controls particularly in the tracking deal expenses</t>
  </si>
  <si>
    <t>Based upon no past history of fines or sanctions from this business line, reported by the Compliance Department, the next 12 months and worst 1 in 10 figures would be low.</t>
  </si>
  <si>
    <t>Reliance on Affiliates</t>
  </si>
  <si>
    <t>Preliminary analysis on expanding the ECM business in the US given the banking relationships stemming from Santander N.A.; the approach might be progressive, starting with sectors in which Santander N.A. has a deeper penetration such as for example energy</t>
  </si>
  <si>
    <t>Litigation</t>
  </si>
  <si>
    <t>Insider Trading &amp; Invoices</t>
  </si>
  <si>
    <t>Difficult to quantify, as there is no hard data on precedents.</t>
  </si>
  <si>
    <t xml:space="preserve">* SIS ECM involvement is required 
* SIS ECM works closely with local teams and educates them on US regulation as appropriate; a more formal educational process on US Regulation could be contemplated for ECM
* Local teams are part of internal approvals (i.e., Market Risk Approval, NY Underwriting Committee)
* Both Local Teams and SIS ECM participated in diligence sessions
</t>
  </si>
  <si>
    <t>Fines and sanctions for not being compliant with regulations (particularly AML, OFAC, etc.)</t>
  </si>
  <si>
    <t xml:space="preserve">Given the nature of this business, this unit requires access to tools (such as PCs, shared drives, outlook, remote access, scanner and printer) outside the usual business hours (including afterhours, weekends and public holidays). There current level of Helpdesk and IT support covers business hours imposing a potential risk for the business. Main considerations include:
(1) Lack of IT support outside normal business hours. As an example, the team has come to the office during a weekend to work to comply with a deadline and the systems were not working and there was not IT support to contact.
(2) IT support follow US public holidays while most of our business is in Latin American.
(3) Local NY IT department does not receive many times the IT tickets we open with the Helpdesk. This translates in delays in solving simple problems.
(4) There are issues outside of the scope of the IT support department, including among others not receiving emails because of the size of a deal or not receiving zip files. It is crucial given the nature of this business to receive documentation on time so we are able to provide sign off in a given window which sometimes could be 30 minutes or an hour.
(5) The printer/scanner on our floor is recurrently not working. The external technician comes to fix it very frequently and it stops working properly soon after he leaves. The scanner capability has not been available for a couple of week already. It is important for our work as it market practice to send in pdf comments to Prospectus and Offering Memorandums.
It should be noted that we manage a lot of confidential information from companies, so there is a risk of potentially losing it (e.g., cyber-attack)
</t>
  </si>
  <si>
    <t xml:space="preserve">This is one of the material risks of this business that has in place more controls, including (1) the SIS Control Room together with the Watch and Restricted Lists, (2) the existence of a Platform and compliance approvals for employees personal trading, (3) the requirement of broker-dealer licenses (series 63, 24, 79/7) to conduct this business. A Global Control Room for the whole Group would be desirable to minimize this risk for other employees outside SIS. </t>
  </si>
  <si>
    <t xml:space="preserve">There is an intrinsic risk to the Equity Capital Markets Business that a deal in which we have been working for months or even a year (execution of ECM deals could range from 3-4 months to over a year) does not close in the end. This is a risk generally outside of the control of the business unit as reasons usually are more related to market conditions, issuer's price sensitivity and investors’ appetite. 
This could be considered a two-folded risk:
(1) On one hand, it is market practice for ECM Deals that Underwriter Fees are only accrued and paid if a deals closes and after the deal has closed; regardless of the resources and time deployed to a specific transaction.
(2) On the other hand, the execution of ECM Deals require incurring in many costs prior to the pricing and closing of a transaction. For example the out of pocket expenses incurred by the syndicate of banks (including due diligence trips, investor education efforts which involves the research analyst of each bank travelling worldwide to visit potential investors, ECM &amp; Sales representatives travelling with the issuer during the marketing phase of the Roadshow, etc.) as well as costs coming from third parties involved in the execution of the deal (including local and international legal counsels which are paid regardless of the closing of the deal, printers, etc.). Usually the above mentioned costs and expenses are assumed by the company as described in the mandate or underwriting agreement but there might be cases in which there is no legal contract or the company does not have the resources or financial capacity to absorb those costs. In those situation the syndicate of banks would usually assume the cost, splitting it among the banks in the syndicate according to the economics of the deal (i.e., in the the same % as the split of fees).
This intrinsic two-folded risk of doing business, on which the business unit has very limited control upon, could be enhanced by the manual processes and lack of controls, particularly by the tracking and reimbursement of deal expenses and fees. See below a couple of examples:
(i) The lack of a unique identifier for each deal makes it very difficult for the Accounting Department to trace and track back expenses for a specific deal. Therefore, it is difficult for the business unit have a full view of the expenses undertaken for a particular deal as well as to be sure of the completeness of the expenses been reimbursed upon.
(ii) The process to check the payment of fees and reimbursement of expenses is fully done by emails of this business unit and the Accounting team. There are no external controls or verifications in place.
(iii) There is no process or system to request the amount spent in the execution of deals from other geographies within Santander. International Roadshows usually involve Santander employees in other geographies and legal entities (such as for example ECM and Cash Equities representatives in Santander UK, Santander Brazil and Santander Chile) incurring in costs for the execution of the deal. Currently, this business unit engage with the Assistant of Cash Equities in other geographies to trace back amounts spent and be able to request the corresponding reimbursement.
 (iv) In the case of Santander being the Leading Book runner of a transaction, it would be this business unit the team in charge of aggregating all the expenses for deal (including expenses from the syndicate of banks, printer, legal counsels, etc.) and requesting the reimbursement from the company. There are no control in place to verify if the submission from other parties is correct and accurate. 
Other manual processes that could represent a risk or enhance the risk of doing business for ECM include: 
(I) Record retention which is currently done by the business team. In order to improve the control environment the maintenance and control of completeness should be allocated to a supporting area 
(II) The manual inclusion and update of the control room which then inform Compliance's Watch &amp; Restricted List, and 
(III) Requesting capital by email.
</t>
  </si>
  <si>
    <t>Based on previous deals, expenses for a deal could be around $1 or 2 MN per deal to be shared among the syndicate of banks according to economics.</t>
  </si>
  <si>
    <t>The resource limitations in critical areas could indirectly result in loss of revenue (inaccurate metrics, lack or fecords) and insufficient level of compliance related training.  The dependence on one dedicated attorney for the broker dealer and branch could also indirectly contribute to errors due to oversaturation of the resource.</t>
  </si>
  <si>
    <t xml:space="preserve">Main controls include:
(1) If the person in legal is not available, the issue is escalated, ultimately to the CEO of SIS
(2) Compliance and audit assessments
(3) FINRA licenses and annual training and assessments
</t>
  </si>
  <si>
    <t>There are several controls in place to minimize the impact of this potential risk, including business, auditors and legal due diligence process and internal approvals such as the Underwriting Committee, Know-Your-Customer approval and the Market Risk Approval</t>
  </si>
  <si>
    <t>This material risk is not a straight-through calculation. The $1-5 MN is an estimate in the case of 1 or 2 people leaving the department.</t>
  </si>
  <si>
    <t>We rely on the Banking team to provide information on the relationship of Santander Group with the issuer, if the information is not complete or accurate we could be misrepresenting the information in FINRA submissions. To improve the control environment a CRM and strong processes to gather and update information from clients could be implemented. However, it should be noted that FINRA Questionnaires are only required for SEC registered deals.</t>
  </si>
  <si>
    <t>As part of the execution of SEC Registered deals, FINRA requires that broker-dealers respond to a questionnaire disclosing certain information such as the relationship of SIS and other Santander affiliates with the issuer of the Equity Offering and if Santander has a proprietary position on the stock of the issuer. Given the lack of a CRM system or a Client Database, this business unit has limited capacity to verify the information requested by FINRA. We usually engage with the banker of the company to respond to the questionnaire relying on him for completeness and accurateness. In the case that the banker leaves or is out-of-reach, it would very difficult for us to complete the questionnaire.</t>
  </si>
  <si>
    <t>None</t>
  </si>
  <si>
    <t xml:space="preserve">An IT Risk Assessment is completed on a biannual basis. The assessment includes a review of the Information Securities policies and procedures. In addition, best practices for IT Risk are reviewed as compared with similar banks. Suggested updates to the procedures are documented and reviewed with the owners.  Procedures are updated as required. The IT Risk Assessment is currently in progress with a target completion of July 2015.
Significant Risk Section.  
</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</si>
  <si>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maintained by Isban Branch US,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ISBAN Branch US – Monthly IT Report provided to the Chief Operational Risk Officer and Operational Risk Management group.
</t>
  </si>
  <si>
    <t>10.4 IT Risk Assessments</t>
  </si>
  <si>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</si>
  <si>
    <t>There have not been any significant events or emerging events over the last 12 months and/or any which are in unpaid status.</t>
  </si>
  <si>
    <t>An automated Global Control Room would be needed to fully implement the recommendations. At this time the lack of an automated Global Control Room would not rise to a material risk as the manual work around will suffice until the automation is implemented in 2016. This applies to the Electronic Document Retention program as well.</t>
  </si>
  <si>
    <t xml:space="preserve">The main risks identified include know your customer, performing an accurate due diligence and correctly completing FINRA questionnaires, risk of losing intellectual capital, litigation and settlement risk in the event the issuer is in bankruptcy or unable to meet its payment obligations under contractual agreements with the underwriters, lack of critical resources in support areas,  risk of insider trading and money movement due to lack of controls,  systems related support during weekend and evening hours, and reliance risk on affiliates Latin America/ECM.  
</t>
  </si>
  <si>
    <t xml:space="preserve">Below are the main findings of the Santander US Compliance Risk Assessment for Santander Investment Securities Inc. - Equity Capital Markets (ECM) that took place on April 9th, 2015. We are including as an Annex the full document that was shared with the ECM team on June 19th, 2015. The line of business rating aggregation calculation of the inherent risk for ECM is 2.64 which is low-moderate, the control effectiveness is 2.94 which is satisfactory, and the residual risk is 2.79 which is moderate.
Actions &amp; Recommendations (RULE/REGULATION - INHERENT RISK - RESIDUAL RISK - CONTROL EFFECTIVENESS COMMENT):
SA, Section 5(c) - "gun jumping" - Moderate - Elevated - Needs Improvement - Controls are not in place. Policies and Procedures require enhancement.
Surveillance policies and procedure need to be implemented to ensure that ECM and Syndicate departments are appropriately following the distribution of preliminary and final prospectuses/offering memoranda and maintaining a list of the potential investor contacted. The policies and procedures must detail and describe how the records are maintained regarding solicitation of client orders and the type of supervisory review conducted to ensure that orders are not in violation of the rule.
FINRA Rule 5110 - Corporate Financing Rule - Underwriting Terms and Arrangements - Moderate - Elevated - Weak - Policies and Procedures are not clearly stated to address this rule.
Policies and procedures need to be implemented to address this rule. Current procedures only cover the filings by underwriters of certain documentation and information related to public offerings and they must be expanded to cover Underwriting Compensation and Arrangement, Unreasonable Terms and Arrangements, Lock-Up Restrictions on Securities, and Non-Cash Compensation.
SEA 10b-5 - Employment of manipulative and deceptive devices - Moderate - Elevated - Needs Improvement Controls are not in place. Policies and Procedures require enhancement.
The only surveillance in place is the communication review. The surveillance procedure is manual and not through an exception report. On daily basis a sample of registered representative phone calls are reviewed. It is not possible to conduct a review of every representative on a daily basis, therefore compliance may not be able to detect if illegal activity occurred on a particular day. Compliance needs technology to detect certain keywords spoken during telephonic calls that creates an exception report rather than random sampling methodology. Compliance review of email is a manual process for a large quantity of data. Although Global Relay allows for the input of criteria to detect potential violate activity, the quality and the amount of output produced is too cumbersome and time consuming to review as part of the daily work. The criteria and review process needs remediation to produce quality results similar to an exception report.
Books and Records - Moderate - Satisfactory - There is no oversight to ensure that the control is being followed.  
Policies and procedures need to be implemented in order to ensure that book and records are being maintained in accordance with regulations.  After the completion of a deal, all legal and transactional documentation must be maintained in a centralized file for future reference. This includes but is not limited to engagement letters with issuers; selling agreements; sales material, e.g. term sheets, presentation deck; outside counsel service agreements; comfort letters; financial analysis; due diligence questionnaires; and due diligence checklists. Currently, deal documentation is maintained by various departments and our local affiliates. Responsibility for document maintenance must be allocated to a support area.
Together with DCM the recommendations noted in the compliance assessments have not been fully implemented. An automated Global Control Room would be needed to fully implement the recommendations. At this time the lack of an automated Global Control Room would not rise to a material risk as the manual work around will suffice until the automation is implemented in 2016. This applies to the Electronic  Document Retention program as well.
</t>
  </si>
  <si>
    <t>The risk of transactions not closing is intrinsic to the ECM business. Controls we have in place regarding  the expenses incurred in during the execution of a deal include: first, we engage with companies that are clients of the bank and that Santander knows well; and, second, we share the exposure of this risk among the syndicate of banks. For the accurateness of costs we partner with high reputation counterparties such as other well-known banks and legal counsels. In order to improve our control environment of expenses incurred several actions could be contemplated including among others, (1) adopting a unique identifier to deals in order for Accounting to be able to trace expenses incurred during the execution of a deal, (2) implementation of system that allows tracking expenses not only in SIS but in other geographies such as the UK and Latin American countries, locations that usually are involved in International Roadshows, and (3) checks and balances from invoices and backup systems.</t>
  </si>
  <si>
    <t>Litigation and settlement risk in the event the issuer is in bankruptcy or unable to meet its payment obligations under contractual agreements with the underwriters. The risk is that the offering documentation include a misstatement or omits to state a material fact which results in lawsuits by investors and lead to potential liability of SIS under the Securities Laws. Where the underwriters have performed reasonable due diligence they have a due diligence defense and would not be liable.  In addition the underwriters enter into contractual arrangements with the issuer covering any losses to the underwriters arising from such misstatements or omissions.  In the event the issuer is in bankruptcy or unable to meets its obligations, the underwriters have a litigation and settlement risk.  Litigation may also have a reputational impact on the franchise resulting in decreased underwriting business activity in the future.</t>
  </si>
  <si>
    <t xml:space="preserve">The risk of paying/settlement is low but the economic impact could be significant given a class action and the bankrupcty of the issuer. On top of that the reputational impact could mean losing future business.  At firm level, there have been very few litigations in which SIS has been involved, and a very limited number has been resolved in a settlement against SIS. </t>
  </si>
  <si>
    <t>Likelyhood is low, given the level of sentitivity material non-public information managed in the Equity Capital Markets business compared to other Corporate Finance areas such as M&amp;A. Penalties could range in 3 times the profit or loss avoided.</t>
  </si>
  <si>
    <t>Low probability but high impact in the case of a law suit a regulatory action/sanction in the case SIS were fully relying on local affilites for due diligence in a particular case</t>
  </si>
  <si>
    <t xml:space="preserve">A significant share of the ECM Business done in SIS relates to Latin American listings with an International Tranche according to (1) Rule 144A/Reg S or (2) an SEC registration of ADRs (dual listing). In those cases, the SIS ECM Team works very closely with the Santander Local ECM team which is part of the Local Tranche of the transaction. Given the proximity to the issuer and the size of the SIS ECM team, sometimes we need to rely on the local team for due diligence, KYC, etc. SIS affiliates might not be familiar with US regulations imposing a risk to the business (i.e., insider trading, Chinese walls, record keeping).  </t>
  </si>
  <si>
    <t xml:space="preserve">SIS has implemented a BSA/AML compliance program consistent with the requirements of the Bank Secrecy Act (BSA) as amended by the USA Patriot Act of 2001,.  The program includes:   
1)            the designation of an Anti-Money Laundering Compliance Officer;
2)            internal policies, procedures and controls;
3)            an ongoing employee training program; and
4)            independent testing of compliance by internal auditors.
Main control include:
* Internal and External Audits
* Compliance test / annual certifications
* Licenses and annual training for employees
* FINRA assessments
* As part of the annual Compliance meeting completed by every SIS employee, SIS provides a comprehensive review of the AML requirements.   
* AML Compliance provides training to all new SIS employees within 30 days of the hire date.   
* AML Compliance works closely with the ECM personnel to ensure AML due diligence is performed properly during each account approval process.    
Controls and training the ECM personnel on new regulations and regulatory changes could be enhanced to minimize this risk. Allocating the record keeping to an supporting area would be an enhancement, as recommended in the last Compliance Assessment.
</t>
  </si>
  <si>
    <t xml:space="preserve">Sanctions and fines for not being compliant with regulations while doing business, in particular AML and OFAC. In addition, the manual nature of our processes increases this risk. Controls and training the ECM personnel on new regulations and regulatory changes could be enhanced to minimize this risk.
The request of capital for the Underwriting of ECM deals is done by email to Accounting which could lead to manual errors and late notifications. Given the level of capitalization of SIS, if the amount requested is not sufficient or arrives late there is a risk that SIS is not able to participate in a transaction or fails to comply with capital requirement regulations / FINRA requirements. </t>
  </si>
  <si>
    <t>Michelle Murphy, Andrew Schwartz, Cesar Ibarex, Ronals Grimsby, Rita Walz-Cucciolli, Mercedes Pacheco, Susana Fernandez, Raymil Perez, Maria Munoz, Jennifer Omaechevarria</t>
  </si>
  <si>
    <t xml:space="preserve"> SIS Regulatory Compliance, including Futures Commission Merchant regulations:  We are currently conducting an audit of various business lines compliance with critical rules established by FINRA and CFTC.  Relevant issues raised will be reported to management in due course (mid-to-late July).</t>
  </si>
  <si>
    <t>Audit in progress see commentary.</t>
  </si>
  <si>
    <t xml:space="preserve">The lack of resources in supporting areas poses potential risks to our business:
There is only one legal person we rely on for all the deals. There is a risk if the internal legal counsel is not available due to sickness, travel or others.  There are no dedicated personnel in the middle or back office to keep records, report metrics, coordinate the expense reimbursement of deals, etc. There is a risk given that lack of controls and checks on these reports. There are no specific resources and personnel within compliance dedicated train business people on new/changes to regulations.
</t>
  </si>
  <si>
    <t xml:space="preserve">The potential of Santander employees trading on material non-public information imposes a risk to employees as well as for the whole Santander Group. Managing material and confidential information is usual given the nature of the ECM business and while there are some controls for SIS employees, those do not apply Santander employees in other geographies and organizations (e.g., Santander N.A., Santander Mexico, Santander Brazil, etc.). 
The ECM Front Office unite prepares and sends out to clients invoices for fees and/or expenses. This represents a risk, as it opens the possibility to manual errors in amounts and/or wiring instructions.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</si>
</sst>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0"/>
      <color rgb="FF000000"/>
      <name val="Calibri"/>
      <family val="2"/>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theme="8" tint="0.59999389629810485"/>
        <bgColor indexed="64"/>
      </patternFill>
    </fill>
  </fills>
  <borders count="4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9">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0" fillId="31" borderId="0" xfId="0" applyFill="1" applyAlignment="1">
      <alignment horizontal="left" wrapText="1"/>
    </xf>
    <xf numFmtId="9" fontId="65" fillId="0" borderId="19" xfId="0" applyNumberFormat="1" applyFont="1" applyBorder="1" applyAlignment="1">
      <alignment horizontal="center" vertical="center" wrapText="1"/>
    </xf>
    <xf numFmtId="3" fontId="65" fillId="0" borderId="21" xfId="0" applyNumberFormat="1" applyFont="1" applyBorder="1" applyAlignment="1">
      <alignment horizontal="center" vertical="center" wrapText="1"/>
    </xf>
    <xf numFmtId="0" fontId="65" fillId="0" borderId="21" xfId="0" applyFont="1" applyBorder="1" applyAlignment="1">
      <alignment horizontal="center" vertical="center"/>
    </xf>
    <xf numFmtId="0" fontId="19" fillId="0" borderId="26" xfId="0" applyFont="1" applyBorder="1" applyAlignment="1">
      <alignment vertical="center" wrapText="1"/>
    </xf>
    <xf numFmtId="0" fontId="19" fillId="0" borderId="21" xfId="0" applyFont="1" applyBorder="1" applyAlignment="1">
      <alignment vertical="center" wrapText="1"/>
    </xf>
    <xf numFmtId="0" fontId="0" fillId="36" borderId="2" xfId="0" applyFill="1" applyBorder="1" applyAlignment="1" applyProtection="1">
      <alignment horizontal="left" vertical="top" wrapText="1"/>
      <protection locked="0"/>
    </xf>
    <xf numFmtId="0" fontId="0" fillId="31" borderId="27" xfId="0" applyFill="1" applyBorder="1" applyAlignment="1">
      <alignment vertical="top" wrapText="1"/>
    </xf>
    <xf numFmtId="0" fontId="0" fillId="0" borderId="29" xfId="0" applyBorder="1" applyAlignment="1"/>
    <xf numFmtId="0" fontId="0" fillId="0" borderId="46" xfId="0" applyBorder="1" applyAlignment="1">
      <alignment vertical="top" wrapText="1"/>
    </xf>
    <xf numFmtId="0" fontId="0" fillId="0" borderId="47"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6"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34" borderId="28" xfId="0" applyFill="1" applyBorder="1" applyAlignment="1" applyProtection="1">
      <alignment wrapText="1"/>
      <protection locked="0"/>
    </xf>
    <xf numFmtId="0" fontId="0" fillId="34" borderId="29" xfId="0" applyFill="1" applyBorder="1" applyAlignment="1" applyProtection="1">
      <alignment wrapText="1"/>
      <protection locked="0"/>
    </xf>
    <xf numFmtId="0" fontId="0" fillId="34" borderId="30" xfId="0" applyFill="1" applyBorder="1" applyAlignment="1" applyProtection="1">
      <alignment wrapText="1"/>
      <protection locked="0"/>
    </xf>
    <xf numFmtId="0" fontId="0" fillId="34" borderId="31" xfId="0" applyFill="1" applyBorder="1" applyAlignment="1" applyProtection="1">
      <alignment wrapText="1"/>
      <protection locked="0"/>
    </xf>
    <xf numFmtId="0" fontId="0" fillId="34" borderId="32" xfId="0" applyFill="1"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36" borderId="35" xfId="0" applyFill="1" applyBorder="1" applyAlignment="1" applyProtection="1">
      <alignment vertical="top" wrapText="1"/>
      <protection locked="0"/>
    </xf>
    <xf numFmtId="0" fontId="0" fillId="36" borderId="36" xfId="0" applyFill="1" applyBorder="1" applyAlignment="1" applyProtection="1">
      <alignment vertical="top" wrapText="1"/>
      <protection locked="0"/>
    </xf>
    <xf numFmtId="0" fontId="0" fillId="36" borderId="1" xfId="0" applyFill="1" applyBorder="1" applyAlignment="1" applyProtection="1">
      <alignment vertical="top" wrapText="1"/>
      <protection locked="0"/>
    </xf>
    <xf numFmtId="0" fontId="19" fillId="34" borderId="35" xfId="0" applyFont="1" applyFill="1" applyBorder="1" applyAlignment="1" applyProtection="1">
      <alignment vertical="top" wrapText="1"/>
      <protection locked="0"/>
    </xf>
    <xf numFmtId="0" fontId="0" fillId="34" borderId="36" xfId="0" applyFill="1" applyBorder="1" applyAlignment="1" applyProtection="1">
      <alignment vertical="top" wrapText="1"/>
      <protection locked="0"/>
    </xf>
    <xf numFmtId="0" fontId="0" fillId="34" borderId="1" xfId="0" applyFill="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4" borderId="0" xfId="0" applyFill="1" applyBorder="1" applyAlignment="1" applyProtection="1">
      <alignment vertical="top" wrapText="1"/>
      <protection locked="0"/>
    </xf>
    <xf numFmtId="0" fontId="0" fillId="34" borderId="0" xfId="0" applyFill="1" applyBorder="1" applyAlignment="1" applyProtection="1">
      <alignment vertical="top"/>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0" fillId="32" borderId="45" xfId="0" applyFill="1" applyBorder="1" applyAlignment="1" applyProtection="1">
      <alignment horizontal="left" vertical="top" wrapText="1"/>
      <protection locked="0"/>
    </xf>
    <xf numFmtId="0" fontId="0" fillId="31" borderId="44" xfId="0" applyFill="1" applyBorder="1" applyAlignment="1">
      <alignment vertical="top" wrapText="1"/>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219075</xdr:colOff>
          <xdr:row>0</xdr:row>
          <xdr:rowOff>228600</xdr:rowOff>
        </xdr:from>
        <xdr:to>
          <xdr:col>2</xdr:col>
          <xdr:colOff>9525</xdr:colOff>
          <xdr:row>2</xdr:row>
          <xdr:rowOff>47625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2</xdr:row>
          <xdr:rowOff>133350</xdr:rowOff>
        </xdr:from>
        <xdr:to>
          <xdr:col>2</xdr:col>
          <xdr:colOff>19050</xdr:colOff>
          <xdr:row>3</xdr:row>
          <xdr:rowOff>171450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3</xdr:row>
          <xdr:rowOff>123825</xdr:rowOff>
        </xdr:from>
        <xdr:to>
          <xdr:col>4</xdr:col>
          <xdr:colOff>676275</xdr:colOff>
          <xdr:row>7</xdr:row>
          <xdr:rowOff>9525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85725</xdr:rowOff>
        </xdr:from>
        <xdr:to>
          <xdr:col>4</xdr:col>
          <xdr:colOff>695325</xdr:colOff>
          <xdr:row>13</xdr:row>
          <xdr:rowOff>76200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14</xdr:row>
          <xdr:rowOff>133350</xdr:rowOff>
        </xdr:from>
        <xdr:to>
          <xdr:col>4</xdr:col>
          <xdr:colOff>723900</xdr:colOff>
          <xdr:row>16</xdr:row>
          <xdr:rowOff>114300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20</xdr:row>
          <xdr:rowOff>114300</xdr:rowOff>
        </xdr:from>
        <xdr:to>
          <xdr:col>4</xdr:col>
          <xdr:colOff>809625</xdr:colOff>
          <xdr:row>22</xdr:row>
          <xdr:rowOff>28575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topLeftCell="A7" zoomScaleNormal="90" workbookViewId="0">
      <selection activeCell="A14" sqref="A14:D40"/>
    </sheetView>
  </sheetViews>
  <sheetFormatPr defaultColWidth="0" defaultRowHeight="0" customHeight="1" zeroHeight="1" x14ac:dyDescent="0.25"/>
  <cols>
    <col min="1" max="1" width="28.85546875" style="102" customWidth="1"/>
    <col min="2" max="2" width="9.140625" style="102" customWidth="1"/>
    <col min="3" max="3" width="13" style="102" customWidth="1"/>
    <col min="4" max="4" width="13.140625" style="102" customWidth="1"/>
    <col min="5" max="5" width="47.7109375" style="102"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518</v>
      </c>
      <c r="B1" s="43"/>
      <c r="C1" s="43"/>
      <c r="D1" s="43"/>
      <c r="E1" s="43"/>
      <c r="AA1" s="43">
        <v>0</v>
      </c>
    </row>
    <row r="2" spans="1:27" ht="15" x14ac:dyDescent="0.25">
      <c r="A2" s="43"/>
      <c r="B2" s="43"/>
      <c r="C2" s="43"/>
      <c r="D2" s="43"/>
      <c r="E2" s="117" t="s">
        <v>530</v>
      </c>
    </row>
    <row r="3" spans="1:27" ht="15" x14ac:dyDescent="0.25">
      <c r="A3" s="39"/>
      <c r="B3" s="39"/>
      <c r="C3" s="39"/>
      <c r="D3" s="39"/>
      <c r="E3" s="127" t="s">
        <v>512</v>
      </c>
      <c r="F3" s="128"/>
    </row>
    <row r="4" spans="1:27" ht="15" x14ac:dyDescent="0.25">
      <c r="A4" s="39"/>
      <c r="B4" s="39"/>
      <c r="C4" s="39"/>
      <c r="D4" s="39"/>
      <c r="E4" s="129"/>
      <c r="F4" s="130"/>
    </row>
    <row r="5" spans="1:27" ht="4.5" customHeight="1" x14ac:dyDescent="0.25">
      <c r="A5" s="39"/>
      <c r="B5" s="39"/>
      <c r="C5" s="39"/>
      <c r="D5" s="39"/>
      <c r="E5" s="129"/>
      <c r="F5" s="130"/>
    </row>
    <row r="6" spans="1:27" ht="4.5" customHeight="1" x14ac:dyDescent="0.25">
      <c r="A6" s="39"/>
      <c r="B6" s="39"/>
      <c r="C6" s="39"/>
      <c r="D6" s="39"/>
      <c r="E6" s="129"/>
      <c r="F6" s="130"/>
    </row>
    <row r="7" spans="1:27" ht="15" x14ac:dyDescent="0.25">
      <c r="A7" s="39"/>
      <c r="B7" s="39"/>
      <c r="C7" s="39"/>
      <c r="D7" s="39"/>
      <c r="E7" s="129"/>
      <c r="F7" s="130"/>
    </row>
    <row r="8" spans="1:27" ht="15" x14ac:dyDescent="0.25">
      <c r="A8" s="39"/>
      <c r="B8" s="39"/>
      <c r="C8" s="39"/>
      <c r="D8" s="39"/>
      <c r="E8" s="129"/>
      <c r="F8" s="130"/>
    </row>
    <row r="9" spans="1:27" ht="15" x14ac:dyDescent="0.25">
      <c r="A9" s="39"/>
      <c r="B9" s="39"/>
      <c r="C9" s="39"/>
      <c r="D9" s="39"/>
      <c r="E9" s="129"/>
      <c r="F9" s="130"/>
    </row>
    <row r="10" spans="1:27" ht="15" hidden="1" customHeight="1" x14ac:dyDescent="0.25">
      <c r="A10" s="39"/>
      <c r="B10" s="39"/>
      <c r="C10" s="39"/>
      <c r="D10" s="39"/>
      <c r="E10" s="129"/>
      <c r="F10" s="130"/>
    </row>
    <row r="11" spans="1:27" ht="15" hidden="1" customHeight="1" x14ac:dyDescent="0.25">
      <c r="A11" s="39"/>
      <c r="B11" s="39"/>
      <c r="C11" s="39"/>
      <c r="D11" s="39"/>
      <c r="E11" s="129"/>
      <c r="F11" s="130"/>
    </row>
    <row r="12" spans="1:27" ht="15" hidden="1" customHeight="1" x14ac:dyDescent="0.25">
      <c r="A12" s="107"/>
      <c r="B12" s="39"/>
      <c r="C12" s="39"/>
      <c r="D12" s="39"/>
      <c r="E12" s="129"/>
      <c r="F12" s="130"/>
    </row>
    <row r="13" spans="1:27" ht="15" x14ac:dyDescent="0.25">
      <c r="A13" s="39"/>
      <c r="B13" s="39"/>
      <c r="C13" s="39"/>
      <c r="D13" s="39"/>
      <c r="E13" s="129"/>
      <c r="F13" s="130"/>
    </row>
    <row r="14" spans="1:27" ht="15" customHeight="1" x14ac:dyDescent="0.25">
      <c r="A14" s="133" t="s">
        <v>522</v>
      </c>
      <c r="B14" s="134"/>
      <c r="C14" s="135"/>
      <c r="D14" s="135"/>
      <c r="E14" s="129"/>
      <c r="F14" s="130"/>
    </row>
    <row r="15" spans="1:27" ht="15" customHeight="1" x14ac:dyDescent="0.25">
      <c r="A15" s="136"/>
      <c r="B15" s="137"/>
      <c r="C15" s="138"/>
      <c r="D15" s="138"/>
      <c r="E15" s="129"/>
      <c r="F15" s="130"/>
    </row>
    <row r="16" spans="1:27" ht="15" customHeight="1" x14ac:dyDescent="0.25">
      <c r="A16" s="136"/>
      <c r="B16" s="137"/>
      <c r="C16" s="138"/>
      <c r="D16" s="138"/>
      <c r="E16" s="129"/>
      <c r="F16" s="130"/>
    </row>
    <row r="17" spans="1:6" ht="53.25" customHeight="1" x14ac:dyDescent="0.25">
      <c r="A17" s="136"/>
      <c r="B17" s="137"/>
      <c r="C17" s="138"/>
      <c r="D17" s="138"/>
      <c r="E17" s="129"/>
      <c r="F17" s="130"/>
    </row>
    <row r="18" spans="1:6" ht="15" x14ac:dyDescent="0.25">
      <c r="A18" s="136"/>
      <c r="B18" s="137"/>
      <c r="C18" s="138"/>
      <c r="D18" s="138"/>
      <c r="E18" s="129"/>
      <c r="F18" s="130"/>
    </row>
    <row r="19" spans="1:6" ht="15" x14ac:dyDescent="0.25">
      <c r="A19" s="136"/>
      <c r="B19" s="137"/>
      <c r="C19" s="138"/>
      <c r="D19" s="138"/>
      <c r="E19" s="129"/>
      <c r="F19" s="130"/>
    </row>
    <row r="20" spans="1:6" ht="15" x14ac:dyDescent="0.25">
      <c r="A20" s="136"/>
      <c r="B20" s="137"/>
      <c r="C20" s="138"/>
      <c r="D20" s="138"/>
      <c r="E20" s="129"/>
      <c r="F20" s="130"/>
    </row>
    <row r="21" spans="1:6" ht="15" x14ac:dyDescent="0.25">
      <c r="A21" s="136"/>
      <c r="B21" s="137"/>
      <c r="C21" s="138"/>
      <c r="D21" s="138"/>
      <c r="E21" s="129"/>
      <c r="F21" s="130"/>
    </row>
    <row r="22" spans="1:6" ht="15" x14ac:dyDescent="0.25">
      <c r="A22" s="136"/>
      <c r="B22" s="137"/>
      <c r="C22" s="138"/>
      <c r="D22" s="138"/>
      <c r="E22" s="129"/>
      <c r="F22" s="130"/>
    </row>
    <row r="23" spans="1:6" ht="15" x14ac:dyDescent="0.25">
      <c r="A23" s="136"/>
      <c r="B23" s="137"/>
      <c r="C23" s="138"/>
      <c r="D23" s="138"/>
      <c r="E23" s="129"/>
      <c r="F23" s="130"/>
    </row>
    <row r="24" spans="1:6" ht="15" customHeight="1" x14ac:dyDescent="0.25">
      <c r="A24" s="136"/>
      <c r="B24" s="137"/>
      <c r="C24" s="138"/>
      <c r="D24" s="138"/>
      <c r="E24" s="129"/>
      <c r="F24" s="130"/>
    </row>
    <row r="25" spans="1:6" ht="15" customHeight="1" x14ac:dyDescent="0.25">
      <c r="A25" s="136"/>
      <c r="B25" s="137"/>
      <c r="C25" s="138"/>
      <c r="D25" s="138"/>
      <c r="E25" s="129"/>
      <c r="F25" s="130"/>
    </row>
    <row r="26" spans="1:6" ht="15" customHeight="1" x14ac:dyDescent="0.25">
      <c r="A26" s="136"/>
      <c r="B26" s="137"/>
      <c r="C26" s="138"/>
      <c r="D26" s="138"/>
      <c r="E26" s="129"/>
      <c r="F26" s="130"/>
    </row>
    <row r="27" spans="1:6" ht="36" customHeight="1" x14ac:dyDescent="0.25">
      <c r="A27" s="136"/>
      <c r="B27" s="137"/>
      <c r="C27" s="138"/>
      <c r="D27" s="138"/>
      <c r="E27" s="129"/>
      <c r="F27" s="130"/>
    </row>
    <row r="28" spans="1:6" ht="36" customHeight="1" x14ac:dyDescent="0.25">
      <c r="A28" s="136"/>
      <c r="B28" s="137"/>
      <c r="C28" s="138"/>
      <c r="D28" s="138"/>
      <c r="E28" s="129"/>
      <c r="F28" s="130"/>
    </row>
    <row r="29" spans="1:6" ht="36" customHeight="1" x14ac:dyDescent="0.25">
      <c r="A29" s="136"/>
      <c r="B29" s="137"/>
      <c r="C29" s="138"/>
      <c r="D29" s="138"/>
      <c r="E29" s="129"/>
      <c r="F29" s="130"/>
    </row>
    <row r="30" spans="1:6" ht="36" customHeight="1" x14ac:dyDescent="0.25">
      <c r="A30" s="136"/>
      <c r="B30" s="137"/>
      <c r="C30" s="138"/>
      <c r="D30" s="138"/>
      <c r="E30" s="129"/>
      <c r="F30" s="130"/>
    </row>
    <row r="31" spans="1:6" ht="36" customHeight="1" x14ac:dyDescent="0.25">
      <c r="A31" s="136"/>
      <c r="B31" s="137"/>
      <c r="C31" s="138"/>
      <c r="D31" s="138"/>
      <c r="E31" s="129"/>
      <c r="F31" s="130"/>
    </row>
    <row r="32" spans="1:6" ht="15" x14ac:dyDescent="0.25">
      <c r="A32" s="136"/>
      <c r="B32" s="137"/>
      <c r="C32" s="138"/>
      <c r="D32" s="138"/>
      <c r="E32" s="129"/>
      <c r="F32" s="130"/>
    </row>
    <row r="33" spans="1:6" ht="15" customHeight="1" x14ac:dyDescent="0.25">
      <c r="A33" s="136"/>
      <c r="B33" s="137"/>
      <c r="C33" s="138"/>
      <c r="D33" s="138"/>
      <c r="E33" s="129"/>
      <c r="F33" s="130"/>
    </row>
    <row r="34" spans="1:6" ht="15" customHeight="1" x14ac:dyDescent="0.25">
      <c r="A34" s="136"/>
      <c r="B34" s="137"/>
      <c r="C34" s="138"/>
      <c r="D34" s="138"/>
      <c r="E34" s="129"/>
      <c r="F34" s="130"/>
    </row>
    <row r="35" spans="1:6" ht="15" x14ac:dyDescent="0.25">
      <c r="A35" s="136"/>
      <c r="B35" s="137"/>
      <c r="C35" s="138"/>
      <c r="D35" s="138"/>
      <c r="E35" s="129"/>
      <c r="F35" s="130"/>
    </row>
    <row r="36" spans="1:6" ht="31.5" customHeight="1" x14ac:dyDescent="0.25">
      <c r="A36" s="136"/>
      <c r="B36" s="137"/>
      <c r="C36" s="138"/>
      <c r="D36" s="138"/>
      <c r="E36" s="129"/>
      <c r="F36" s="130"/>
    </row>
    <row r="37" spans="1:6" ht="31.5" customHeight="1" x14ac:dyDescent="0.25">
      <c r="A37" s="136"/>
      <c r="B37" s="137"/>
      <c r="C37" s="138"/>
      <c r="D37" s="138"/>
      <c r="E37" s="129"/>
      <c r="F37" s="130"/>
    </row>
    <row r="38" spans="1:6" ht="31.5" customHeight="1" x14ac:dyDescent="0.25">
      <c r="A38" s="136"/>
      <c r="B38" s="137"/>
      <c r="C38" s="138"/>
      <c r="D38" s="138"/>
      <c r="E38" s="129"/>
      <c r="F38" s="130"/>
    </row>
    <row r="39" spans="1:6" ht="31.5" customHeight="1" x14ac:dyDescent="0.25">
      <c r="A39" s="136"/>
      <c r="B39" s="137"/>
      <c r="C39" s="138"/>
      <c r="D39" s="138"/>
      <c r="E39" s="129"/>
      <c r="F39" s="130"/>
    </row>
    <row r="40" spans="1:6" ht="15" x14ac:dyDescent="0.25">
      <c r="A40" s="139"/>
      <c r="B40" s="140"/>
      <c r="C40" s="141"/>
      <c r="D40" s="141"/>
      <c r="E40" s="131"/>
      <c r="F40" s="132"/>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219075</xdr:colOff>
                    <xdr:row>0</xdr:row>
                    <xdr:rowOff>228600</xdr:rowOff>
                  </from>
                  <to>
                    <xdr:col>2</xdr:col>
                    <xdr:colOff>9525</xdr:colOff>
                    <xdr:row>2</xdr:row>
                    <xdr:rowOff>47625</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238125</xdr:colOff>
                    <xdr:row>2</xdr:row>
                    <xdr:rowOff>133350</xdr:rowOff>
                  </from>
                  <to>
                    <xdr:col>2</xdr:col>
                    <xdr:colOff>19050</xdr:colOff>
                    <xdr:row>3</xdr:row>
                    <xdr:rowOff>171450</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3</xdr:col>
                    <xdr:colOff>352425</xdr:colOff>
                    <xdr:row>3</xdr:row>
                    <xdr:rowOff>123825</xdr:rowOff>
                  </from>
                  <to>
                    <xdr:col>4</xdr:col>
                    <xdr:colOff>676275</xdr:colOff>
                    <xdr:row>7</xdr:row>
                    <xdr:rowOff>9525</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3</xdr:col>
                    <xdr:colOff>361950</xdr:colOff>
                    <xdr:row>8</xdr:row>
                    <xdr:rowOff>85725</xdr:rowOff>
                  </from>
                  <to>
                    <xdr:col>4</xdr:col>
                    <xdr:colOff>695325</xdr:colOff>
                    <xdr:row>13</xdr:row>
                    <xdr:rowOff>76200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3</xdr:col>
                    <xdr:colOff>361950</xdr:colOff>
                    <xdr:row>14</xdr:row>
                    <xdr:rowOff>133350</xdr:rowOff>
                  </from>
                  <to>
                    <xdr:col>4</xdr:col>
                    <xdr:colOff>723900</xdr:colOff>
                    <xdr:row>16</xdr:row>
                    <xdr:rowOff>114300</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3</xdr:col>
                    <xdr:colOff>381000</xdr:colOff>
                    <xdr:row>20</xdr:row>
                    <xdr:rowOff>114300</xdr:rowOff>
                  </from>
                  <to>
                    <xdr:col>4</xdr:col>
                    <xdr:colOff>809625</xdr:colOff>
                    <xdr:row>22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26" zoomScaleNormal="100" zoomScaleSheetLayoutView="100" workbookViewId="0">
      <selection activeCell="A11" sqref="A11:C11"/>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493</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7"/>
      <c r="L12" s="36"/>
      <c r="M12" s="36"/>
      <c r="N12" s="36"/>
      <c r="O12" s="36"/>
    </row>
    <row r="13" spans="1:15 16383:16383" x14ac:dyDescent="0.25">
      <c r="K13" s="36"/>
      <c r="L13" s="36"/>
      <c r="M13" s="36"/>
      <c r="N13" s="36"/>
      <c r="O13" s="36"/>
    </row>
    <row r="14" spans="1:15 16383:16383" x14ac:dyDescent="0.25">
      <c r="A14" s="142" t="s">
        <v>309</v>
      </c>
      <c r="B14" s="143"/>
      <c r="C14" s="143"/>
      <c r="D14" s="143"/>
      <c r="E14" s="143"/>
      <c r="F14" s="143"/>
      <c r="G14" s="143"/>
      <c r="H14" s="143"/>
      <c r="I14" s="143"/>
      <c r="J14" s="143"/>
      <c r="K14" s="119"/>
    </row>
    <row r="15" spans="1:15 16383:16383" x14ac:dyDescent="0.25">
      <c r="A15" s="143"/>
      <c r="B15" s="143"/>
      <c r="C15" s="143"/>
      <c r="D15" s="143"/>
      <c r="E15" s="143"/>
      <c r="F15" s="143"/>
      <c r="G15" s="143"/>
      <c r="H15" s="143"/>
      <c r="I15" s="143"/>
      <c r="J15" s="143"/>
    </row>
    <row r="16" spans="1:15 16383:16383" x14ac:dyDescent="0.25">
      <c r="A16" s="143"/>
      <c r="B16" s="143"/>
      <c r="C16" s="143"/>
      <c r="D16" s="143"/>
      <c r="E16" s="143"/>
      <c r="F16" s="143"/>
      <c r="G16" s="143"/>
      <c r="H16" s="143"/>
      <c r="I16" s="143"/>
      <c r="J16" s="143"/>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4" t="s">
        <v>482</v>
      </c>
      <c r="B24" s="145"/>
      <c r="C24" s="145"/>
      <c r="D24" s="145"/>
      <c r="E24" s="145"/>
      <c r="F24" s="145"/>
      <c r="G24" s="145"/>
      <c r="H24" s="145"/>
      <c r="I24" s="145"/>
      <c r="J24" s="145"/>
    </row>
    <row r="25" spans="1:10" x14ac:dyDescent="0.25">
      <c r="A25" s="145"/>
      <c r="B25" s="145"/>
      <c r="C25" s="145"/>
      <c r="D25" s="145"/>
      <c r="E25" s="145"/>
      <c r="F25" s="145"/>
      <c r="G25" s="145"/>
      <c r="H25" s="145"/>
      <c r="I25" s="145"/>
      <c r="J25" s="145"/>
    </row>
    <row r="26" spans="1:10" x14ac:dyDescent="0.25">
      <c r="A26" s="145"/>
      <c r="B26" s="145"/>
      <c r="C26" s="145"/>
      <c r="D26" s="145"/>
      <c r="E26" s="145"/>
      <c r="F26" s="145"/>
      <c r="G26" s="145"/>
      <c r="H26" s="145"/>
      <c r="I26" s="145"/>
      <c r="J26" s="145"/>
    </row>
    <row r="27" spans="1:10" x14ac:dyDescent="0.25">
      <c r="A27" s="146"/>
      <c r="B27" s="146"/>
      <c r="C27" s="146"/>
      <c r="D27" s="146"/>
      <c r="E27" s="146"/>
      <c r="F27" s="146"/>
      <c r="G27" s="146"/>
      <c r="H27" s="146"/>
      <c r="I27" s="146"/>
      <c r="J27" s="146"/>
    </row>
    <row r="28" spans="1:10" x14ac:dyDescent="0.25">
      <c r="A28" s="146"/>
      <c r="B28" s="146"/>
      <c r="C28" s="146"/>
      <c r="D28" s="146"/>
      <c r="E28" s="146"/>
      <c r="F28" s="146"/>
      <c r="G28" s="146"/>
      <c r="H28" s="146"/>
      <c r="I28" s="146"/>
      <c r="J28" s="146"/>
    </row>
    <row r="29" spans="1:10" x14ac:dyDescent="0.25"/>
    <row r="30" spans="1:10" x14ac:dyDescent="0.25"/>
    <row r="31" spans="1:10" x14ac:dyDescent="0.25"/>
    <row r="32" spans="1:10" x14ac:dyDescent="0.25"/>
    <row r="33" spans="1:10" x14ac:dyDescent="0.25">
      <c r="A33" s="147" t="s">
        <v>534</v>
      </c>
      <c r="B33" s="148"/>
      <c r="C33" s="148"/>
      <c r="D33" s="148"/>
      <c r="E33" s="148"/>
      <c r="F33" s="148"/>
      <c r="G33" s="148"/>
      <c r="H33" s="148"/>
      <c r="I33" s="148"/>
      <c r="J33" s="148"/>
    </row>
    <row r="34" spans="1:10" x14ac:dyDescent="0.25">
      <c r="A34" s="148"/>
      <c r="B34" s="148"/>
      <c r="C34" s="148"/>
      <c r="D34" s="148"/>
      <c r="E34" s="148"/>
      <c r="F34" s="148"/>
      <c r="G34" s="148"/>
      <c r="H34" s="148"/>
      <c r="I34" s="148"/>
      <c r="J34" s="148"/>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topLeftCell="A7" zoomScaleNormal="100" workbookViewId="0">
      <selection activeCell="C13" sqref="C13"/>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493</v>
      </c>
    </row>
    <row r="2" spans="1:27" ht="15.75" thickBot="1" x14ac:dyDescent="0.3"/>
    <row r="3" spans="1:27" ht="29.25" customHeight="1" thickBot="1" x14ac:dyDescent="0.3">
      <c r="A3" s="149" t="s">
        <v>257</v>
      </c>
      <c r="B3" s="150"/>
      <c r="C3" s="105"/>
    </row>
    <row r="4" spans="1:27" ht="33.75" customHeight="1" thickBot="1" x14ac:dyDescent="0.3">
      <c r="A4" s="149" t="s">
        <v>310</v>
      </c>
      <c r="B4" s="150"/>
      <c r="C4" s="106" t="s">
        <v>535</v>
      </c>
    </row>
    <row r="5" spans="1:27" ht="33.75" customHeight="1" thickBot="1" x14ac:dyDescent="0.3">
      <c r="A5" s="149" t="s">
        <v>311</v>
      </c>
      <c r="B5" s="150"/>
      <c r="C5" s="106" t="s">
        <v>536</v>
      </c>
    </row>
    <row r="6" spans="1:27" ht="33.75" customHeight="1" thickBot="1" x14ac:dyDescent="0.3">
      <c r="A6" s="149" t="s">
        <v>1</v>
      </c>
      <c r="B6" s="150"/>
      <c r="C6" s="106" t="s">
        <v>537</v>
      </c>
    </row>
    <row r="7" spans="1:27" ht="33.75" customHeight="1" thickBot="1" x14ac:dyDescent="0.3">
      <c r="A7" s="149" t="s">
        <v>258</v>
      </c>
      <c r="B7" s="150"/>
      <c r="C7" s="106" t="s">
        <v>538</v>
      </c>
    </row>
    <row r="8" spans="1:27" ht="33.75" customHeight="1" thickBot="1" x14ac:dyDescent="0.3">
      <c r="A8" s="149" t="s">
        <v>513</v>
      </c>
      <c r="B8" s="150"/>
      <c r="C8" s="106" t="s">
        <v>539</v>
      </c>
    </row>
    <row r="9" spans="1:27" ht="33.75" customHeight="1" thickBot="1" x14ac:dyDescent="0.3">
      <c r="A9" s="149" t="s">
        <v>514</v>
      </c>
      <c r="B9" s="150"/>
      <c r="C9" s="106" t="s">
        <v>539</v>
      </c>
    </row>
    <row r="10" spans="1:27" ht="55.5" customHeight="1" thickBot="1" x14ac:dyDescent="0.3">
      <c r="A10" s="149" t="s">
        <v>259</v>
      </c>
      <c r="B10" s="150"/>
      <c r="C10" s="106" t="s">
        <v>540</v>
      </c>
    </row>
    <row r="11" spans="1:27" ht="39" thickBot="1" x14ac:dyDescent="0.3">
      <c r="A11" s="149" t="s">
        <v>260</v>
      </c>
      <c r="B11" s="150"/>
      <c r="C11" s="106" t="s">
        <v>608</v>
      </c>
    </row>
    <row r="12" spans="1:27" ht="33.75" customHeight="1" thickBot="1" x14ac:dyDescent="0.3">
      <c r="A12" s="149" t="s">
        <v>515</v>
      </c>
      <c r="B12" s="150"/>
      <c r="C12" s="106" t="s">
        <v>541</v>
      </c>
    </row>
    <row r="13" spans="1:27" ht="33.75" customHeight="1" thickBot="1" x14ac:dyDescent="0.3">
      <c r="A13" s="149" t="s">
        <v>261</v>
      </c>
      <c r="B13" s="150"/>
      <c r="C13" s="106" t="s">
        <v>542</v>
      </c>
    </row>
    <row r="14" spans="1:27" x14ac:dyDescent="0.25"/>
    <row r="15" spans="1:27" ht="15.75" thickBot="1" x14ac:dyDescent="0.3">
      <c r="A15" s="68" t="s">
        <v>492</v>
      </c>
      <c r="B15" s="151"/>
      <c r="C15" s="152"/>
    </row>
    <row r="16" spans="1:27" x14ac:dyDescent="0.25"/>
    <row r="17" spans="1:3" x14ac:dyDescent="0.25">
      <c r="A17" s="89" t="s">
        <v>516</v>
      </c>
      <c r="B17" s="47"/>
    </row>
    <row r="18" spans="1:3" x14ac:dyDescent="0.25"/>
    <row r="19" spans="1:3" x14ac:dyDescent="0.25">
      <c r="A19" s="48" t="s">
        <v>262</v>
      </c>
      <c r="B19" s="49"/>
      <c r="C19" s="50"/>
    </row>
    <row r="20" spans="1:3" ht="198.75" customHeight="1" x14ac:dyDescent="0.25">
      <c r="A20" s="153" t="s">
        <v>510</v>
      </c>
      <c r="B20" s="141"/>
      <c r="C20" s="154"/>
    </row>
  </sheetData>
  <sheetProtection password="CDE2" sheet="1" objects="1" scenarios="1"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showWhiteSpace="0" view="pageLayout" topLeftCell="A10" zoomScaleNormal="100" zoomScaleSheetLayoutView="100" workbookViewId="0">
      <selection activeCell="A6" sqref="A6"/>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494</v>
      </c>
    </row>
    <row r="2" spans="1:27" s="39" customFormat="1" ht="26.25" customHeight="1" x14ac:dyDescent="0.25">
      <c r="A2" s="120" t="s">
        <v>523</v>
      </c>
    </row>
    <row r="3" spans="1:27" ht="77.25" customHeight="1" x14ac:dyDescent="0.25">
      <c r="A3" s="126" t="s">
        <v>598</v>
      </c>
    </row>
    <row r="4" spans="1:27" ht="15.75" thickBot="1" x14ac:dyDescent="0.3">
      <c r="A4" s="72" t="s">
        <v>263</v>
      </c>
    </row>
    <row r="5" spans="1:27" ht="75" x14ac:dyDescent="0.25">
      <c r="A5" s="42" t="s">
        <v>524</v>
      </c>
    </row>
    <row r="6" spans="1:27" ht="176.25" customHeight="1" x14ac:dyDescent="0.25">
      <c r="A6" s="97" t="s">
        <v>567</v>
      </c>
    </row>
    <row r="7" spans="1:27" ht="15.75" thickBot="1" x14ac:dyDescent="0.3">
      <c r="A7" s="72" t="s">
        <v>264</v>
      </c>
    </row>
    <row r="8" spans="1:27" ht="150" x14ac:dyDescent="0.25">
      <c r="A8" s="42" t="s">
        <v>480</v>
      </c>
    </row>
    <row r="9" spans="1:27" ht="138.75" customHeight="1" x14ac:dyDescent="0.25">
      <c r="A9" s="97" t="s">
        <v>547</v>
      </c>
    </row>
    <row r="10" spans="1:27" ht="15.75" thickBot="1" x14ac:dyDescent="0.3">
      <c r="A10" s="72" t="s">
        <v>265</v>
      </c>
    </row>
    <row r="11" spans="1:27" ht="109.5" customHeight="1" x14ac:dyDescent="0.25">
      <c r="A11" s="42" t="s">
        <v>481</v>
      </c>
    </row>
    <row r="12" spans="1:27" ht="82.5" customHeight="1" x14ac:dyDescent="0.25">
      <c r="A12" s="97" t="s">
        <v>568</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7" zoomScaleNormal="100" zoomScaleSheetLayoutView="100" workbookViewId="0">
      <selection activeCell="A11" sqref="A11:E11"/>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494</v>
      </c>
    </row>
    <row r="2" spans="1:27" x14ac:dyDescent="0.25">
      <c r="A2" s="155" t="s">
        <v>273</v>
      </c>
      <c r="B2" s="156"/>
      <c r="C2" s="156"/>
      <c r="D2" s="156"/>
      <c r="E2" s="156"/>
      <c r="F2" s="156"/>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5" t="s">
        <v>543</v>
      </c>
      <c r="B5" s="114"/>
      <c r="C5" s="116"/>
      <c r="D5" s="114"/>
      <c r="E5" s="114"/>
    </row>
    <row r="6" spans="1:27" ht="15.75" thickBot="1" x14ac:dyDescent="0.3">
      <c r="A6" s="115"/>
      <c r="B6" s="114"/>
      <c r="C6" s="114"/>
      <c r="D6" s="114"/>
      <c r="E6" s="114"/>
    </row>
    <row r="7" spans="1:27" ht="15.75" thickBot="1" x14ac:dyDescent="0.3">
      <c r="A7" s="115"/>
      <c r="B7" s="114"/>
      <c r="C7" s="114"/>
      <c r="D7" s="114"/>
      <c r="E7" s="114"/>
    </row>
    <row r="8" spans="1:27" ht="15.75" thickBot="1" x14ac:dyDescent="0.3">
      <c r="A8" s="115"/>
      <c r="B8" s="114"/>
      <c r="C8" s="114"/>
      <c r="D8" s="114"/>
      <c r="E8" s="114"/>
    </row>
    <row r="9" spans="1:27" ht="15.75" thickBot="1" x14ac:dyDescent="0.3">
      <c r="A9" s="115"/>
      <c r="B9" s="114"/>
      <c r="C9" s="114"/>
      <c r="D9" s="114"/>
      <c r="E9" s="114"/>
    </row>
    <row r="10" spans="1:27" x14ac:dyDescent="0.25">
      <c r="A10" s="44"/>
      <c r="B10"/>
      <c r="C10"/>
      <c r="D10"/>
      <c r="E10"/>
    </row>
    <row r="11" spans="1:27" ht="48.75" customHeight="1" x14ac:dyDescent="0.25">
      <c r="A11" s="155" t="s">
        <v>274</v>
      </c>
      <c r="B11" s="157"/>
      <c r="C11" s="157"/>
      <c r="D11" s="157"/>
      <c r="E11" s="157"/>
    </row>
    <row r="12" spans="1:27" ht="61.5" customHeight="1" x14ac:dyDescent="0.25">
      <c r="A12" s="158" t="s">
        <v>575</v>
      </c>
      <c r="B12" s="159"/>
      <c r="C12" s="159"/>
      <c r="D12" s="159"/>
      <c r="E12" s="160"/>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11" sqref="A11:C11"/>
    </sheetView>
  </sheetViews>
  <sheetFormatPr defaultColWidth="0" defaultRowHeight="15" zeroHeight="1" x14ac:dyDescent="0.25"/>
  <cols>
    <col min="1" max="1" width="146.7109375" style="91" customWidth="1"/>
    <col min="2" max="16384" width="2" style="43" hidden="1"/>
  </cols>
  <sheetData>
    <row r="1" spans="1:27" ht="21.75" customHeight="1" thickBot="1" x14ac:dyDescent="0.3">
      <c r="A1" s="72" t="s">
        <v>505</v>
      </c>
      <c r="AA1" s="43" t="s">
        <v>494</v>
      </c>
    </row>
    <row r="2" spans="1:27" ht="57" customHeight="1" x14ac:dyDescent="0.25">
      <c r="A2" s="42" t="s">
        <v>506</v>
      </c>
    </row>
    <row r="3" spans="1:27" ht="52.5" customHeight="1" x14ac:dyDescent="0.25">
      <c r="A3" s="97" t="s">
        <v>549</v>
      </c>
    </row>
    <row r="4" spans="1:27" ht="24.75" customHeight="1" x14ac:dyDescent="0.25">
      <c r="A4" s="98"/>
    </row>
    <row r="5" spans="1:27" x14ac:dyDescent="0.25">
      <c r="A5" s="99"/>
    </row>
    <row r="6" spans="1:27" x14ac:dyDescent="0.25">
      <c r="A6" s="99"/>
    </row>
    <row r="7" spans="1:27" ht="27.75" customHeight="1" x14ac:dyDescent="0.25">
      <c r="A7" s="98"/>
    </row>
    <row r="8" spans="1:27" ht="21.75" customHeight="1" x14ac:dyDescent="0.25">
      <c r="A8" s="99"/>
    </row>
    <row r="9" spans="1:27" ht="20.25" customHeight="1" x14ac:dyDescent="0.25">
      <c r="A9" s="99"/>
    </row>
    <row r="10" spans="1:27" ht="24.75" customHeight="1" x14ac:dyDescent="0.25">
      <c r="A10" s="98"/>
    </row>
    <row r="11" spans="1:27" ht="22.5" customHeight="1" x14ac:dyDescent="0.25">
      <c r="A11" s="99"/>
    </row>
    <row r="12" spans="1:27" ht="20.25" customHeight="1" x14ac:dyDescent="0.25">
      <c r="A12" s="99"/>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6" zoomScaleNormal="100" workbookViewId="0">
      <selection activeCell="A12" sqref="A12:D1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495</v>
      </c>
      <c r="B1" s="56"/>
      <c r="C1" s="56"/>
      <c r="D1" s="56"/>
      <c r="AA1" s="43" t="s">
        <v>494</v>
      </c>
    </row>
    <row r="2" spans="1:27" x14ac:dyDescent="0.25">
      <c r="A2" s="166" t="s">
        <v>280</v>
      </c>
      <c r="B2" s="167"/>
      <c r="C2" s="167"/>
      <c r="D2" s="167"/>
    </row>
    <row r="3" spans="1:27" x14ac:dyDescent="0.25"/>
    <row r="4" spans="1:27" x14ac:dyDescent="0.25">
      <c r="A4" s="61" t="s">
        <v>275</v>
      </c>
      <c r="B4" s="61" t="s">
        <v>276</v>
      </c>
      <c r="C4" s="61" t="s">
        <v>277</v>
      </c>
      <c r="D4" s="61" t="s">
        <v>278</v>
      </c>
    </row>
    <row r="5" spans="1:27" ht="52.5" customHeight="1" thickBot="1" x14ac:dyDescent="0.3">
      <c r="A5" s="124" t="s">
        <v>596</v>
      </c>
      <c r="B5" s="125" t="s">
        <v>548</v>
      </c>
      <c r="C5" s="125" t="s">
        <v>548</v>
      </c>
      <c r="D5" s="111"/>
    </row>
    <row r="6" spans="1:27" x14ac:dyDescent="0.25">
      <c r="A6" s="111"/>
      <c r="B6" s="111"/>
      <c r="C6" s="111"/>
      <c r="D6" s="111"/>
    </row>
    <row r="7" spans="1:27" x14ac:dyDescent="0.25">
      <c r="A7" s="112"/>
      <c r="B7" s="112"/>
      <c r="C7" s="113"/>
      <c r="D7" s="111"/>
    </row>
    <row r="8" spans="1:27" x14ac:dyDescent="0.25">
      <c r="A8" s="111"/>
      <c r="B8" s="111"/>
      <c r="C8" s="111"/>
      <c r="D8" s="111"/>
    </row>
    <row r="9" spans="1:27" x14ac:dyDescent="0.25">
      <c r="A9" s="111"/>
      <c r="B9" s="111"/>
      <c r="C9" s="111"/>
      <c r="D9" s="111"/>
    </row>
    <row r="10" spans="1:27" x14ac:dyDescent="0.25"/>
    <row r="11" spans="1:27" x14ac:dyDescent="0.25">
      <c r="A11" s="43" t="s">
        <v>279</v>
      </c>
    </row>
    <row r="12" spans="1:27" ht="134.25" customHeight="1" x14ac:dyDescent="0.25">
      <c r="A12" s="158" t="s">
        <v>595</v>
      </c>
      <c r="B12" s="164"/>
      <c r="C12" s="164"/>
      <c r="D12" s="165"/>
    </row>
    <row r="13" spans="1:27" ht="20.25" customHeight="1" x14ac:dyDescent="0.25">
      <c r="A13" s="58"/>
      <c r="B13" s="33"/>
      <c r="C13" s="33"/>
      <c r="D13" s="33"/>
    </row>
    <row r="14" spans="1:27" ht="20.25" customHeight="1" thickBot="1" x14ac:dyDescent="0.3">
      <c r="A14" s="110" t="s">
        <v>496</v>
      </c>
      <c r="B14" s="62"/>
      <c r="C14" s="62"/>
      <c r="D14" s="62"/>
    </row>
    <row r="15" spans="1:27" x14ac:dyDescent="0.25">
      <c r="A15" s="63" t="s">
        <v>497</v>
      </c>
      <c r="B15" s="64"/>
      <c r="C15" s="64"/>
      <c r="D15" s="64"/>
    </row>
    <row r="16" spans="1:27" ht="49.5" customHeight="1" x14ac:dyDescent="0.25">
      <c r="A16" s="168" t="s">
        <v>281</v>
      </c>
      <c r="B16" s="138"/>
      <c r="C16" s="138"/>
      <c r="D16" s="138"/>
    </row>
    <row r="17" spans="1:4" x14ac:dyDescent="0.25">
      <c r="A17" s="61" t="s">
        <v>3</v>
      </c>
      <c r="B17" s="169" t="s">
        <v>282</v>
      </c>
      <c r="C17" s="170"/>
      <c r="D17" s="170"/>
    </row>
    <row r="18" spans="1:4" x14ac:dyDescent="0.25">
      <c r="A18" s="60" t="s">
        <v>31</v>
      </c>
      <c r="B18" s="161" t="s">
        <v>544</v>
      </c>
      <c r="C18" s="162"/>
      <c r="D18" s="163"/>
    </row>
    <row r="19" spans="1:4" x14ac:dyDescent="0.25">
      <c r="A19" s="59" t="s">
        <v>13</v>
      </c>
      <c r="B19" s="161" t="s">
        <v>544</v>
      </c>
      <c r="C19" s="162"/>
      <c r="D19" s="163"/>
    </row>
    <row r="20" spans="1:4" x14ac:dyDescent="0.25">
      <c r="A20" s="59" t="s">
        <v>15</v>
      </c>
      <c r="B20" s="161" t="s">
        <v>544</v>
      </c>
      <c r="C20" s="162"/>
      <c r="D20" s="163"/>
    </row>
    <row r="21" spans="1:4" x14ac:dyDescent="0.25">
      <c r="A21" s="59" t="s">
        <v>11</v>
      </c>
      <c r="B21" s="161" t="s">
        <v>544</v>
      </c>
      <c r="C21" s="162"/>
      <c r="D21" s="163"/>
    </row>
    <row r="22" spans="1:4" x14ac:dyDescent="0.25">
      <c r="A22" s="59" t="s">
        <v>283</v>
      </c>
      <c r="B22" s="161" t="s">
        <v>544</v>
      </c>
      <c r="C22" s="162"/>
      <c r="D22" s="163"/>
    </row>
    <row r="23" spans="1:4" x14ac:dyDescent="0.25">
      <c r="A23" s="59" t="s">
        <v>25</v>
      </c>
      <c r="B23" s="161" t="s">
        <v>544</v>
      </c>
      <c r="C23" s="162"/>
      <c r="D23" s="163"/>
    </row>
    <row r="24" spans="1:4" x14ac:dyDescent="0.25">
      <c r="A24" s="59" t="s">
        <v>17</v>
      </c>
      <c r="B24" s="161" t="s">
        <v>544</v>
      </c>
      <c r="C24" s="162"/>
      <c r="D24" s="163"/>
    </row>
    <row r="25" spans="1:4" x14ac:dyDescent="0.25">
      <c r="A25" s="59" t="s">
        <v>9</v>
      </c>
      <c r="B25" s="161" t="s">
        <v>544</v>
      </c>
      <c r="C25" s="162"/>
      <c r="D25" s="163"/>
    </row>
    <row r="26" spans="1:4" x14ac:dyDescent="0.25"/>
    <row r="27" spans="1:4" ht="15.75" x14ac:dyDescent="0.25">
      <c r="A27" s="108" t="s">
        <v>498</v>
      </c>
    </row>
    <row r="28" spans="1:4" x14ac:dyDescent="0.25">
      <c r="A28" s="109" t="s">
        <v>284</v>
      </c>
    </row>
    <row r="29" spans="1:4" ht="66.75" customHeight="1" x14ac:dyDescent="0.25">
      <c r="A29" s="171" t="s">
        <v>545</v>
      </c>
      <c r="B29" s="172"/>
      <c r="C29" s="172"/>
      <c r="D29" s="173"/>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B9" sqref="B8:B9"/>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494</v>
      </c>
    </row>
    <row r="2" spans="1:27" ht="15.75" thickBot="1" x14ac:dyDescent="0.3">
      <c r="A2" s="100" t="s">
        <v>507</v>
      </c>
      <c r="B2" s="56"/>
      <c r="C2" s="56"/>
      <c r="D2" s="56"/>
      <c r="E2" s="56"/>
      <c r="F2" s="56"/>
    </row>
    <row r="3" spans="1:27" x14ac:dyDescent="0.25">
      <c r="A3" s="43" t="s">
        <v>527</v>
      </c>
    </row>
    <row r="4" spans="1:27" x14ac:dyDescent="0.25">
      <c r="A4" s="67" t="s">
        <v>285</v>
      </c>
      <c r="B4" s="67" t="s">
        <v>286</v>
      </c>
      <c r="C4" s="67" t="s">
        <v>287</v>
      </c>
      <c r="D4" s="67" t="s">
        <v>288</v>
      </c>
      <c r="E4" s="67" t="s">
        <v>289</v>
      </c>
      <c r="F4" s="67" t="s">
        <v>270</v>
      </c>
    </row>
    <row r="5" spans="1:27" ht="25.5" x14ac:dyDescent="0.25">
      <c r="A5" s="103" t="s">
        <v>610</v>
      </c>
      <c r="B5" s="103"/>
      <c r="C5" s="103"/>
      <c r="D5" s="111"/>
      <c r="E5" s="111"/>
      <c r="F5" s="103"/>
    </row>
    <row r="6" spans="1:27" x14ac:dyDescent="0.25">
      <c r="A6" s="103"/>
      <c r="B6" s="103"/>
      <c r="C6" s="103"/>
      <c r="D6" s="104"/>
      <c r="E6" s="104"/>
      <c r="F6" s="103"/>
    </row>
    <row r="7" spans="1:27" x14ac:dyDescent="0.25">
      <c r="A7" s="103"/>
      <c r="B7" s="103"/>
      <c r="C7" s="103"/>
      <c r="D7" s="104"/>
      <c r="E7" s="104"/>
      <c r="F7" s="103"/>
    </row>
    <row r="8" spans="1:27" x14ac:dyDescent="0.25">
      <c r="A8" s="103"/>
      <c r="B8" s="103"/>
      <c r="C8" s="103"/>
      <c r="D8" s="104"/>
      <c r="E8" s="104"/>
      <c r="F8" s="103"/>
    </row>
    <row r="9" spans="1:27" x14ac:dyDescent="0.25">
      <c r="A9" s="103"/>
      <c r="B9" s="103"/>
      <c r="C9" s="103"/>
      <c r="D9" s="104"/>
      <c r="E9" s="104"/>
      <c r="F9" s="103"/>
    </row>
    <row r="10" spans="1:27" x14ac:dyDescent="0.25">
      <c r="A10" s="103"/>
      <c r="B10" s="103"/>
      <c r="C10" s="103"/>
      <c r="D10" s="104"/>
      <c r="E10" s="104"/>
      <c r="F10" s="103"/>
    </row>
    <row r="11" spans="1:27" x14ac:dyDescent="0.25">
      <c r="A11" s="92"/>
      <c r="B11" s="92"/>
      <c r="C11" s="92"/>
      <c r="D11" s="92"/>
      <c r="E11" s="92"/>
      <c r="F11" s="92"/>
    </row>
    <row r="12" spans="1:27" x14ac:dyDescent="0.25">
      <c r="A12" s="92" t="s">
        <v>519</v>
      </c>
      <c r="B12" s="92"/>
      <c r="C12" s="92"/>
      <c r="D12" s="92"/>
      <c r="E12" s="92"/>
      <c r="F12" s="92"/>
    </row>
    <row r="13" spans="1:27" ht="21.75" customHeight="1" x14ac:dyDescent="0.25">
      <c r="A13" s="174" t="s">
        <v>609</v>
      </c>
      <c r="B13" s="175"/>
      <c r="C13" s="175"/>
      <c r="D13" s="175"/>
      <c r="E13" s="176"/>
      <c r="F13" s="177"/>
    </row>
    <row r="14" spans="1:27" ht="25.5" customHeight="1" x14ac:dyDescent="0.25">
      <c r="A14" s="178"/>
      <c r="B14" s="179"/>
      <c r="C14" s="179"/>
      <c r="D14" s="179"/>
      <c r="E14" s="179"/>
      <c r="F14" s="180"/>
    </row>
    <row r="15" spans="1:27" x14ac:dyDescent="0.25">
      <c r="A15" s="92"/>
      <c r="B15" s="92"/>
      <c r="C15" s="92"/>
      <c r="D15" s="92"/>
      <c r="E15" s="92"/>
      <c r="F15" s="92"/>
    </row>
    <row r="16" spans="1:27" x14ac:dyDescent="0.25">
      <c r="A16" s="92"/>
      <c r="B16" s="92"/>
      <c r="C16" s="92"/>
      <c r="D16" s="92"/>
      <c r="E16" s="92"/>
      <c r="F16" s="92"/>
    </row>
    <row r="17" spans="1:6" x14ac:dyDescent="0.25">
      <c r="A17" s="92"/>
      <c r="B17" s="92"/>
      <c r="C17" s="92"/>
      <c r="D17" s="92"/>
      <c r="E17" s="92"/>
      <c r="F17" s="92"/>
    </row>
    <row r="18" spans="1:6" x14ac:dyDescent="0.25">
      <c r="A18" s="92"/>
      <c r="B18" s="92"/>
      <c r="C18" s="92"/>
      <c r="D18" s="92"/>
      <c r="E18" s="92"/>
      <c r="F18" s="92"/>
    </row>
    <row r="19" spans="1:6" x14ac:dyDescent="0.25">
      <c r="A19" s="92"/>
      <c r="B19" s="92"/>
      <c r="C19" s="92"/>
      <c r="D19" s="92"/>
      <c r="E19" s="92"/>
      <c r="F19" s="92"/>
    </row>
    <row r="20" spans="1:6" x14ac:dyDescent="0.25">
      <c r="A20" s="92"/>
      <c r="B20" s="92"/>
      <c r="C20" s="92"/>
      <c r="D20" s="92"/>
      <c r="E20" s="92"/>
      <c r="F20" s="92"/>
    </row>
    <row r="21" spans="1:6" x14ac:dyDescent="0.25">
      <c r="A21" s="92"/>
      <c r="B21" s="92"/>
      <c r="C21" s="92"/>
      <c r="D21" s="92"/>
      <c r="E21" s="92"/>
      <c r="F21" s="92"/>
    </row>
    <row r="22" spans="1:6" x14ac:dyDescent="0.25">
      <c r="A22" s="92"/>
      <c r="B22" s="92"/>
      <c r="C22" s="92"/>
      <c r="D22" s="92"/>
      <c r="E22" s="92"/>
      <c r="F22" s="92"/>
    </row>
    <row r="23" spans="1:6" x14ac:dyDescent="0.25">
      <c r="A23" s="92"/>
      <c r="B23" s="92"/>
      <c r="C23" s="92"/>
      <c r="D23" s="92"/>
      <c r="E23" s="92"/>
      <c r="F23" s="92"/>
    </row>
    <row r="24" spans="1:6" x14ac:dyDescent="0.25">
      <c r="A24" s="92"/>
      <c r="B24" s="92"/>
      <c r="C24" s="92"/>
      <c r="D24" s="92"/>
      <c r="E24" s="92"/>
      <c r="F24" s="92"/>
    </row>
    <row r="25" spans="1:6" x14ac:dyDescent="0.25">
      <c r="A25" s="92"/>
      <c r="B25" s="92"/>
      <c r="C25" s="92"/>
      <c r="D25" s="92"/>
      <c r="E25" s="92"/>
      <c r="F25" s="92"/>
    </row>
    <row r="26" spans="1:6" x14ac:dyDescent="0.25">
      <c r="A26" s="92"/>
      <c r="B26" s="92"/>
      <c r="C26" s="92"/>
      <c r="D26" s="92"/>
      <c r="E26" s="92"/>
      <c r="F26" s="92"/>
    </row>
    <row r="27" spans="1:6" x14ac:dyDescent="0.25">
      <c r="A27" s="92"/>
      <c r="B27" s="92"/>
      <c r="C27" s="92"/>
      <c r="D27" s="92"/>
      <c r="E27" s="92"/>
      <c r="F27" s="92"/>
    </row>
    <row r="28" spans="1:6" x14ac:dyDescent="0.25">
      <c r="A28" s="92"/>
      <c r="B28" s="92"/>
      <c r="C28" s="92"/>
      <c r="D28" s="92"/>
      <c r="E28" s="92"/>
      <c r="F28" s="92"/>
    </row>
    <row r="29" spans="1:6" x14ac:dyDescent="0.25">
      <c r="A29" s="92"/>
      <c r="B29" s="92"/>
      <c r="C29" s="92"/>
      <c r="D29" s="92"/>
      <c r="E29" s="92"/>
      <c r="F29" s="92"/>
    </row>
    <row r="30" spans="1:6" x14ac:dyDescent="0.25">
      <c r="A30" s="92"/>
      <c r="B30" s="92"/>
      <c r="C30" s="92"/>
      <c r="D30" s="92"/>
      <c r="E30" s="92"/>
      <c r="F30" s="92"/>
    </row>
    <row r="31" spans="1:6" x14ac:dyDescent="0.25">
      <c r="A31" s="92"/>
      <c r="B31" s="92"/>
      <c r="C31" s="92"/>
      <c r="D31" s="92"/>
      <c r="E31" s="92"/>
      <c r="F31" s="92"/>
    </row>
    <row r="32" spans="1:6" x14ac:dyDescent="0.25">
      <c r="A32" s="92"/>
      <c r="B32" s="92"/>
      <c r="C32" s="92"/>
      <c r="D32" s="92"/>
      <c r="E32" s="92"/>
      <c r="F32" s="92"/>
    </row>
    <row r="33" spans="1:6" x14ac:dyDescent="0.25">
      <c r="A33" s="92"/>
      <c r="B33" s="92"/>
      <c r="C33" s="92"/>
      <c r="D33" s="92"/>
      <c r="E33" s="92"/>
      <c r="F33" s="92"/>
    </row>
    <row r="34" spans="1:6" x14ac:dyDescent="0.25">
      <c r="A34" s="92"/>
      <c r="B34" s="92"/>
      <c r="C34" s="92"/>
      <c r="D34" s="92"/>
      <c r="E34" s="92"/>
      <c r="F34" s="92"/>
    </row>
    <row r="35" spans="1:6" x14ac:dyDescent="0.25">
      <c r="A35" s="92"/>
      <c r="B35" s="92"/>
      <c r="C35" s="92"/>
      <c r="D35" s="92"/>
      <c r="E35" s="92"/>
      <c r="F35" s="92"/>
    </row>
    <row r="36" spans="1:6" x14ac:dyDescent="0.25">
      <c r="A36" s="92"/>
      <c r="B36" s="92"/>
      <c r="C36" s="92"/>
      <c r="D36" s="92"/>
      <c r="E36" s="92"/>
      <c r="F36" s="92"/>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topLeftCell="A43" zoomScaleNormal="100" workbookViewId="0">
      <selection activeCell="A38" sqref="A38:C3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0" t="s">
        <v>508</v>
      </c>
      <c r="B1" s="56"/>
      <c r="C1" s="56"/>
      <c r="AA1" s="43" t="s">
        <v>494</v>
      </c>
    </row>
    <row r="2" spans="1:27" x14ac:dyDescent="0.25">
      <c r="A2" s="68" t="s">
        <v>499</v>
      </c>
    </row>
    <row r="3" spans="1:27" ht="51" customHeight="1" thickBot="1" x14ac:dyDescent="0.3">
      <c r="A3" s="183" t="s">
        <v>290</v>
      </c>
      <c r="B3" s="184"/>
      <c r="C3" s="184"/>
    </row>
    <row r="4" spans="1:27" ht="15.75" thickBot="1" x14ac:dyDescent="0.3">
      <c r="A4" s="65" t="s">
        <v>3</v>
      </c>
      <c r="B4" s="66" t="s">
        <v>291</v>
      </c>
      <c r="C4" s="66" t="s">
        <v>292</v>
      </c>
    </row>
    <row r="5" spans="1:27" ht="16.5" thickBot="1" x14ac:dyDescent="0.3">
      <c r="A5" s="69" t="s">
        <v>39</v>
      </c>
      <c r="B5" s="114" t="s">
        <v>550</v>
      </c>
      <c r="C5" s="114" t="s">
        <v>550</v>
      </c>
    </row>
    <row r="6" spans="1:27" ht="16.5" thickBot="1" x14ac:dyDescent="0.3">
      <c r="A6" s="69" t="s">
        <v>38</v>
      </c>
      <c r="B6" s="114" t="s">
        <v>550</v>
      </c>
      <c r="C6" s="114" t="s">
        <v>550</v>
      </c>
    </row>
    <row r="7" spans="1:27" ht="16.5" thickBot="1" x14ac:dyDescent="0.3">
      <c r="A7" s="69" t="s">
        <v>37</v>
      </c>
      <c r="B7" s="114" t="s">
        <v>550</v>
      </c>
      <c r="C7" s="114" t="s">
        <v>550</v>
      </c>
    </row>
    <row r="8" spans="1:27" ht="16.5" thickBot="1" x14ac:dyDescent="0.3">
      <c r="A8" s="69" t="s">
        <v>34</v>
      </c>
      <c r="B8" s="114" t="s">
        <v>550</v>
      </c>
      <c r="C8" s="114" t="s">
        <v>550</v>
      </c>
    </row>
    <row r="9" spans="1:27" ht="16.5" thickBot="1" x14ac:dyDescent="0.3">
      <c r="A9" s="69" t="s">
        <v>33</v>
      </c>
      <c r="B9" s="114" t="s">
        <v>550</v>
      </c>
      <c r="C9" s="114" t="s">
        <v>550</v>
      </c>
    </row>
    <row r="10" spans="1:27" ht="16.5" thickBot="1" x14ac:dyDescent="0.3">
      <c r="A10" s="69" t="s">
        <v>32</v>
      </c>
      <c r="B10" s="114" t="s">
        <v>550</v>
      </c>
      <c r="C10" s="114" t="s">
        <v>550</v>
      </c>
    </row>
    <row r="11" spans="1:27" ht="16.5" thickBot="1" x14ac:dyDescent="0.3">
      <c r="A11" s="69" t="s">
        <v>30</v>
      </c>
      <c r="B11" s="114" t="s">
        <v>550</v>
      </c>
      <c r="C11" s="114" t="s">
        <v>550</v>
      </c>
    </row>
    <row r="12" spans="1:27" x14ac:dyDescent="0.25"/>
    <row r="13" spans="1:27" x14ac:dyDescent="0.25">
      <c r="A13" s="43" t="s">
        <v>293</v>
      </c>
    </row>
    <row r="14" spans="1:27" ht="71.25" customHeight="1" x14ac:dyDescent="0.25">
      <c r="A14" s="158" t="s">
        <v>551</v>
      </c>
      <c r="B14" s="181"/>
      <c r="C14" s="182"/>
    </row>
    <row r="15" spans="1:27" x14ac:dyDescent="0.25"/>
    <row r="16" spans="1:27" x14ac:dyDescent="0.25">
      <c r="A16" s="68" t="s">
        <v>500</v>
      </c>
    </row>
    <row r="17" spans="1:3" x14ac:dyDescent="0.25">
      <c r="A17" s="43" t="s">
        <v>294</v>
      </c>
    </row>
    <row r="18" spans="1:3" ht="83.25" customHeight="1" x14ac:dyDescent="0.25">
      <c r="A18" s="158" t="s">
        <v>552</v>
      </c>
      <c r="B18" s="181"/>
      <c r="C18" s="182"/>
    </row>
    <row r="19" spans="1:3" x14ac:dyDescent="0.25"/>
    <row r="20" spans="1:3" x14ac:dyDescent="0.25">
      <c r="A20" s="68" t="s">
        <v>501</v>
      </c>
    </row>
    <row r="21" spans="1:3" x14ac:dyDescent="0.25">
      <c r="A21" s="43" t="s">
        <v>295</v>
      </c>
    </row>
    <row r="22" spans="1:3" ht="211.5" customHeight="1" x14ac:dyDescent="0.25">
      <c r="A22" s="185" t="s">
        <v>593</v>
      </c>
      <c r="B22" s="186"/>
      <c r="C22" s="187"/>
    </row>
    <row r="23" spans="1:3" x14ac:dyDescent="0.25"/>
    <row r="24" spans="1:3" x14ac:dyDescent="0.25">
      <c r="A24" s="68" t="s">
        <v>594</v>
      </c>
    </row>
    <row r="25" spans="1:3" x14ac:dyDescent="0.25">
      <c r="A25" s="43" t="s">
        <v>294</v>
      </c>
    </row>
    <row r="26" spans="1:3" ht="70.5" customHeight="1" x14ac:dyDescent="0.25">
      <c r="A26" s="158" t="s">
        <v>592</v>
      </c>
      <c r="B26" s="181"/>
      <c r="C26" s="182"/>
    </row>
    <row r="27" spans="1:3" x14ac:dyDescent="0.25"/>
    <row r="28" spans="1:3" x14ac:dyDescent="0.25">
      <c r="A28" s="68" t="s">
        <v>502</v>
      </c>
    </row>
    <row r="29" spans="1:3" x14ac:dyDescent="0.25">
      <c r="A29" s="43" t="s">
        <v>296</v>
      </c>
    </row>
    <row r="30" spans="1:3" ht="17.25" customHeight="1" x14ac:dyDescent="0.25">
      <c r="A30" s="158" t="s">
        <v>546</v>
      </c>
      <c r="B30" s="181"/>
      <c r="C30" s="182"/>
    </row>
    <row r="31" spans="1:3" x14ac:dyDescent="0.25"/>
    <row r="32" spans="1:3" x14ac:dyDescent="0.25">
      <c r="A32" s="68" t="s">
        <v>503</v>
      </c>
    </row>
    <row r="33" spans="1:3" x14ac:dyDescent="0.25">
      <c r="A33" s="43" t="s">
        <v>297</v>
      </c>
    </row>
    <row r="34" spans="1:3" ht="14.25" customHeight="1" x14ac:dyDescent="0.25">
      <c r="A34" s="158" t="s">
        <v>546</v>
      </c>
      <c r="B34" s="181"/>
      <c r="C34" s="182"/>
    </row>
    <row r="35" spans="1:3" ht="20.25" customHeight="1" x14ac:dyDescent="0.25"/>
    <row r="36" spans="1:3" x14ac:dyDescent="0.25">
      <c r="A36" s="68" t="s">
        <v>531</v>
      </c>
    </row>
    <row r="37" spans="1:3" x14ac:dyDescent="0.25">
      <c r="A37" s="43" t="s">
        <v>532</v>
      </c>
    </row>
    <row r="38" spans="1:3" ht="409.5" customHeight="1" x14ac:dyDescent="0.25">
      <c r="A38" s="188" t="s">
        <v>599</v>
      </c>
      <c r="B38" s="189"/>
      <c r="C38" s="190"/>
    </row>
    <row r="39" spans="1:3" x14ac:dyDescent="0.25"/>
    <row r="40" spans="1:3" x14ac:dyDescent="0.25">
      <c r="A40" s="68" t="s">
        <v>533</v>
      </c>
    </row>
    <row r="41" spans="1:3" x14ac:dyDescent="0.25">
      <c r="A41" s="43" t="s">
        <v>298</v>
      </c>
    </row>
    <row r="42" spans="1:3" ht="105.75" customHeight="1" x14ac:dyDescent="0.25">
      <c r="A42" s="158" t="s">
        <v>591</v>
      </c>
      <c r="B42" s="181"/>
      <c r="C42" s="182"/>
    </row>
    <row r="43" spans="1:3" x14ac:dyDescent="0.25">
      <c r="A43" s="92"/>
      <c r="B43" s="92"/>
      <c r="C43" s="92"/>
    </row>
    <row r="44" spans="1:3" x14ac:dyDescent="0.25">
      <c r="A44" s="92"/>
      <c r="B44" s="92"/>
      <c r="C44" s="92"/>
    </row>
    <row r="45" spans="1:3" x14ac:dyDescent="0.25">
      <c r="A45" s="92"/>
      <c r="B45" s="92"/>
      <c r="C45" s="92"/>
    </row>
    <row r="46" spans="1:3" x14ac:dyDescent="0.25">
      <c r="A46" s="92"/>
      <c r="B46" s="92"/>
      <c r="C46" s="92"/>
    </row>
  </sheetData>
  <sheetProtection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11" sqref="A11:C11"/>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494</v>
      </c>
    </row>
    <row r="2" spans="1:27" x14ac:dyDescent="0.25">
      <c r="A2" s="101" t="s">
        <v>509</v>
      </c>
    </row>
    <row r="3" spans="1:27" ht="15.75" thickBot="1" x14ac:dyDescent="0.3">
      <c r="A3" s="43" t="s">
        <v>299</v>
      </c>
    </row>
    <row r="4" spans="1:27" ht="22.5" customHeight="1" thickBot="1" x14ac:dyDescent="0.3">
      <c r="A4" s="191" t="s">
        <v>300</v>
      </c>
      <c r="B4" s="193" t="s">
        <v>301</v>
      </c>
      <c r="C4" s="194"/>
      <c r="D4" s="194"/>
      <c r="E4" s="195"/>
      <c r="F4" s="193" t="s">
        <v>302</v>
      </c>
      <c r="G4" s="195"/>
    </row>
    <row r="5" spans="1:27" ht="15.75" thickBot="1" x14ac:dyDescent="0.3">
      <c r="A5" s="192"/>
      <c r="B5" s="96" t="s">
        <v>303</v>
      </c>
      <c r="C5" s="96" t="s">
        <v>304</v>
      </c>
      <c r="D5" s="96" t="s">
        <v>305</v>
      </c>
      <c r="E5" s="96" t="s">
        <v>556</v>
      </c>
      <c r="F5" s="96" t="s">
        <v>306</v>
      </c>
      <c r="G5" s="96" t="s">
        <v>307</v>
      </c>
    </row>
    <row r="6" spans="1:27" ht="15.75" thickBot="1" x14ac:dyDescent="0.3">
      <c r="A6" s="95" t="s">
        <v>564</v>
      </c>
      <c r="B6" s="121">
        <v>0.96</v>
      </c>
      <c r="C6" s="121">
        <v>1.39</v>
      </c>
      <c r="D6" s="121">
        <v>0.57999999999999996</v>
      </c>
      <c r="E6" s="121">
        <v>0.82</v>
      </c>
      <c r="F6" s="121">
        <v>0.93</v>
      </c>
      <c r="G6" s="121">
        <v>0.55000000000000004</v>
      </c>
    </row>
    <row r="7" spans="1:27" ht="26.25" thickBot="1" x14ac:dyDescent="0.3">
      <c r="A7" s="95" t="s">
        <v>563</v>
      </c>
      <c r="B7" s="122">
        <v>4458</v>
      </c>
      <c r="C7" s="123" t="s">
        <v>558</v>
      </c>
      <c r="D7" s="123" t="s">
        <v>559</v>
      </c>
      <c r="E7" s="123" t="s">
        <v>560</v>
      </c>
      <c r="F7" s="123" t="s">
        <v>561</v>
      </c>
      <c r="G7" s="123" t="s">
        <v>562</v>
      </c>
    </row>
    <row r="8" spans="1:27" ht="15.75" thickBot="1" x14ac:dyDescent="0.3">
      <c r="A8" s="95"/>
      <c r="B8" s="93"/>
      <c r="C8" s="93"/>
      <c r="D8" s="93"/>
      <c r="E8" s="93"/>
      <c r="F8" s="93"/>
      <c r="G8" s="93"/>
    </row>
    <row r="9" spans="1:27" ht="15.75" thickBot="1" x14ac:dyDescent="0.3">
      <c r="A9" s="95"/>
      <c r="B9" s="93"/>
      <c r="C9" s="93"/>
      <c r="D9" s="93"/>
      <c r="E9" s="93"/>
      <c r="F9" s="93"/>
      <c r="G9" s="93"/>
    </row>
    <row r="10" spans="1:27" ht="15.75" thickBot="1" x14ac:dyDescent="0.3">
      <c r="A10" s="95"/>
      <c r="B10" s="93"/>
      <c r="C10" s="93"/>
      <c r="D10" s="93"/>
      <c r="E10" s="93"/>
      <c r="F10" s="93"/>
      <c r="G10" s="93"/>
    </row>
    <row r="11" spans="1:27" x14ac:dyDescent="0.25"/>
    <row r="12" spans="1:27" x14ac:dyDescent="0.25">
      <c r="A12" s="43" t="s">
        <v>308</v>
      </c>
    </row>
    <row r="13" spans="1:27" ht="57.75" customHeight="1" x14ac:dyDescent="0.25">
      <c r="A13" s="196" t="s">
        <v>565</v>
      </c>
      <c r="B13" s="197"/>
      <c r="C13" s="197"/>
      <c r="D13" s="197"/>
      <c r="E13" s="196"/>
      <c r="F13" s="197"/>
      <c r="G13" s="197"/>
    </row>
    <row r="14" spans="1:27" x14ac:dyDescent="0.25">
      <c r="A14" s="92"/>
      <c r="B14" s="92"/>
      <c r="C14" s="92"/>
      <c r="D14" s="92"/>
      <c r="E14" s="92"/>
      <c r="F14" s="92"/>
      <c r="G14" s="92"/>
    </row>
    <row r="15" spans="1:27" x14ac:dyDescent="0.25">
      <c r="A15" s="92"/>
      <c r="B15" s="92"/>
      <c r="C15" s="92"/>
      <c r="D15" s="92"/>
      <c r="E15" s="92"/>
      <c r="F15" s="92"/>
      <c r="G15" s="92"/>
    </row>
    <row r="16" spans="1:27" x14ac:dyDescent="0.25">
      <c r="A16" s="92"/>
      <c r="B16" s="92"/>
      <c r="C16" s="92"/>
      <c r="D16" s="92"/>
      <c r="E16" s="92"/>
      <c r="F16" s="92"/>
      <c r="G16" s="92"/>
    </row>
    <row r="17" spans="1:7" x14ac:dyDescent="0.25">
      <c r="A17" s="92"/>
      <c r="B17" s="92"/>
      <c r="C17" s="92"/>
      <c r="D17" s="92"/>
      <c r="E17" s="92"/>
      <c r="F17" s="92"/>
      <c r="G17" s="92"/>
    </row>
    <row r="18" spans="1:7" x14ac:dyDescent="0.25">
      <c r="A18" s="92"/>
      <c r="B18" s="92"/>
      <c r="C18" s="92"/>
      <c r="D18" s="94"/>
      <c r="E18" s="92"/>
      <c r="F18" s="92"/>
      <c r="G18" s="92"/>
    </row>
    <row r="19" spans="1:7" x14ac:dyDescent="0.25">
      <c r="A19" s="92"/>
      <c r="B19" s="92"/>
      <c r="C19" s="92"/>
      <c r="D19" s="92"/>
      <c r="E19" s="92"/>
      <c r="F19" s="92"/>
      <c r="G19" s="92"/>
    </row>
    <row r="20" spans="1:7" x14ac:dyDescent="0.25">
      <c r="A20" s="92"/>
      <c r="B20" s="92"/>
      <c r="C20" s="92"/>
      <c r="D20" s="92"/>
      <c r="E20" s="92"/>
      <c r="F20" s="92"/>
      <c r="G20" s="92"/>
    </row>
    <row r="21" spans="1:7" x14ac:dyDescent="0.25">
      <c r="A21" s="92"/>
      <c r="B21" s="92"/>
      <c r="C21" s="92"/>
      <c r="D21" s="92"/>
      <c r="E21" s="92"/>
      <c r="F21" s="92"/>
      <c r="G21" s="92"/>
    </row>
    <row r="22" spans="1:7" x14ac:dyDescent="0.25">
      <c r="A22" s="92"/>
      <c r="B22" s="92"/>
      <c r="C22" s="92"/>
      <c r="D22" s="92"/>
      <c r="E22" s="92"/>
      <c r="F22" s="92"/>
      <c r="G22" s="92"/>
    </row>
    <row r="23" spans="1:7" x14ac:dyDescent="0.25">
      <c r="A23" s="92"/>
      <c r="B23" s="92"/>
      <c r="C23" s="92"/>
      <c r="D23" s="92"/>
      <c r="E23" s="92"/>
      <c r="F23" s="92"/>
      <c r="G23" s="92"/>
    </row>
    <row r="24" spans="1:7" x14ac:dyDescent="0.25">
      <c r="A24" s="92"/>
      <c r="B24" s="92"/>
      <c r="C24" s="92"/>
      <c r="D24" s="92"/>
      <c r="E24" s="92"/>
      <c r="F24" s="92"/>
      <c r="G24" s="92"/>
    </row>
    <row r="25" spans="1:7" x14ac:dyDescent="0.25">
      <c r="A25" s="92"/>
      <c r="B25" s="92"/>
      <c r="C25" s="92"/>
      <c r="D25" s="92"/>
      <c r="E25" s="92"/>
      <c r="F25" s="92"/>
      <c r="G25" s="92"/>
    </row>
    <row r="26" spans="1:7" x14ac:dyDescent="0.25">
      <c r="A26" s="92"/>
      <c r="B26" s="92"/>
      <c r="C26" s="92"/>
      <c r="D26" s="92"/>
      <c r="E26" s="92"/>
      <c r="F26" s="92"/>
      <c r="G26" s="92"/>
    </row>
    <row r="27" spans="1:7" x14ac:dyDescent="0.25">
      <c r="A27" s="92"/>
      <c r="B27" s="92"/>
      <c r="C27" s="92"/>
      <c r="D27" s="92"/>
      <c r="E27" s="92"/>
      <c r="F27" s="92"/>
      <c r="G27" s="92"/>
    </row>
    <row r="28" spans="1:7" x14ac:dyDescent="0.25">
      <c r="A28" s="92"/>
      <c r="B28" s="92"/>
      <c r="C28" s="92"/>
      <c r="D28" s="92"/>
      <c r="E28" s="92"/>
      <c r="F28" s="92"/>
      <c r="G28" s="92"/>
    </row>
    <row r="29" spans="1:7" x14ac:dyDescent="0.25">
      <c r="A29" s="92"/>
      <c r="B29" s="92"/>
      <c r="C29" s="92"/>
      <c r="D29" s="92"/>
      <c r="E29" s="92"/>
      <c r="F29" s="92"/>
      <c r="G29" s="92"/>
    </row>
    <row r="30" spans="1:7" x14ac:dyDescent="0.25">
      <c r="A30" s="92"/>
      <c r="B30" s="92"/>
      <c r="C30" s="92"/>
      <c r="D30" s="92"/>
      <c r="E30" s="92"/>
      <c r="F30" s="92"/>
      <c r="G30" s="92"/>
    </row>
    <row r="31" spans="1:7" x14ac:dyDescent="0.25">
      <c r="A31" s="92"/>
      <c r="B31" s="92"/>
      <c r="C31" s="92"/>
      <c r="D31" s="92"/>
      <c r="E31" s="92"/>
      <c r="F31" s="92"/>
      <c r="G31" s="92"/>
    </row>
    <row r="32" spans="1:7" x14ac:dyDescent="0.25">
      <c r="A32" s="92"/>
      <c r="B32" s="92"/>
      <c r="C32" s="92"/>
      <c r="D32" s="92"/>
      <c r="E32" s="92"/>
      <c r="F32" s="92"/>
      <c r="G32" s="92"/>
    </row>
    <row r="33" spans="1:7" x14ac:dyDescent="0.25">
      <c r="A33" s="92"/>
      <c r="B33" s="92"/>
      <c r="C33" s="92"/>
      <c r="D33" s="92"/>
      <c r="E33" s="92"/>
      <c r="F33" s="92"/>
      <c r="G33" s="92"/>
    </row>
    <row r="34" spans="1:7" x14ac:dyDescent="0.25">
      <c r="A34" s="92"/>
      <c r="B34" s="92"/>
      <c r="C34" s="92"/>
      <c r="D34" s="92"/>
      <c r="E34" s="92"/>
      <c r="F34" s="92"/>
      <c r="G34" s="92"/>
    </row>
  </sheetData>
  <sheetProtection password="CDE2" sheet="1" objects="1" scenarios="1" formatCells="0" formatColumns="0" formatRows="0"/>
  <mergeCells count="5">
    <mergeCell ref="A4:A5"/>
    <mergeCell ref="B4:E4"/>
    <mergeCell ref="F4:G4"/>
    <mergeCell ref="A13:D13"/>
    <mergeCell ref="E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520</v>
      </c>
    </row>
    <row r="88" spans="1:4" x14ac:dyDescent="0.25">
      <c r="A88" t="s">
        <v>31</v>
      </c>
      <c r="B88" s="13" t="s">
        <v>183</v>
      </c>
    </row>
    <row r="89" spans="1:4" x14ac:dyDescent="0.25">
      <c r="A89" t="s">
        <v>31</v>
      </c>
      <c r="B89" s="13" t="s">
        <v>521</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310</v>
      </c>
      <c r="C1" s="1" t="s">
        <v>1</v>
      </c>
      <c r="D1" s="2" t="s">
        <v>2</v>
      </c>
      <c r="E1" s="3" t="s">
        <v>3</v>
      </c>
      <c r="F1" s="2" t="s">
        <v>226</v>
      </c>
      <c r="G1" s="2" t="s">
        <v>76</v>
      </c>
      <c r="H1" s="4" t="s">
        <v>6</v>
      </c>
      <c r="I1" s="2" t="s">
        <v>65</v>
      </c>
      <c r="J1" s="1" t="s">
        <v>4</v>
      </c>
      <c r="K1" s="4" t="s">
        <v>224</v>
      </c>
      <c r="L1" s="4" t="s">
        <v>110</v>
      </c>
      <c r="M1" s="1" t="s">
        <v>5</v>
      </c>
      <c r="N1" s="4" t="s">
        <v>504</v>
      </c>
      <c r="O1" s="4" t="s">
        <v>483</v>
      </c>
    </row>
    <row r="2" spans="1:15" ht="105.75" customHeight="1" x14ac:dyDescent="0.25">
      <c r="A2" s="5" t="s">
        <v>0</v>
      </c>
      <c r="B2" s="5" t="s">
        <v>517</v>
      </c>
      <c r="C2" s="5" t="s">
        <v>66</v>
      </c>
      <c r="D2" s="5" t="s">
        <v>7</v>
      </c>
      <c r="E2" s="6" t="s">
        <v>229</v>
      </c>
      <c r="F2" s="5" t="s">
        <v>228</v>
      </c>
      <c r="G2" s="5" t="s">
        <v>230</v>
      </c>
      <c r="H2" s="25" t="s">
        <v>223</v>
      </c>
      <c r="I2" s="5" t="s">
        <v>111</v>
      </c>
      <c r="J2" s="25" t="s">
        <v>231</v>
      </c>
      <c r="K2" s="5" t="s">
        <v>225</v>
      </c>
      <c r="L2" s="5" t="s">
        <v>227</v>
      </c>
      <c r="M2" s="5" t="s">
        <v>250</v>
      </c>
      <c r="N2" s="37" t="s">
        <v>511</v>
      </c>
      <c r="O2" s="37" t="s">
        <v>484</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486</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487</v>
      </c>
      <c r="E2" s="5" t="s">
        <v>7</v>
      </c>
      <c r="F2" s="6" t="s">
        <v>229</v>
      </c>
      <c r="G2" s="5" t="s">
        <v>228</v>
      </c>
      <c r="H2" s="5" t="s">
        <v>230</v>
      </c>
      <c r="I2" s="25" t="s">
        <v>223</v>
      </c>
      <c r="J2" s="5" t="s">
        <v>111</v>
      </c>
      <c r="K2" s="25" t="s">
        <v>231</v>
      </c>
      <c r="L2" s="5" t="s">
        <v>225</v>
      </c>
      <c r="M2" s="5" t="s">
        <v>227</v>
      </c>
      <c r="N2" s="5" t="s">
        <v>250</v>
      </c>
      <c r="O2" s="37" t="s">
        <v>247</v>
      </c>
    </row>
    <row r="3" spans="1:15" ht="409.5" x14ac:dyDescent="0.25">
      <c r="B3" s="7" t="str">
        <f>'Approval and Documentation'!C$4</f>
        <v>SIS</v>
      </c>
      <c r="C3" s="7" t="str">
        <f>'Approval and Documentation'!C$6</f>
        <v>SIS: GBM Equity Underwriting</v>
      </c>
      <c r="D3" s="8">
        <f>'5'!$C$1</f>
        <v>0</v>
      </c>
      <c r="E3" s="7">
        <v>1</v>
      </c>
      <c r="F3" s="8" t="str">
        <f>'5'!$C$2</f>
        <v>Operational</v>
      </c>
      <c r="G3" s="8" t="str">
        <f>'5'!$C$3</f>
        <v>Execution, Delivery and Process Management</v>
      </c>
      <c r="H3" s="8" t="str">
        <f>'5'!$C$4</f>
        <v>Risk of doing business enhanced by lack of formal process and controls particularly in the tracking deal expenses</v>
      </c>
      <c r="I3" s="8" t="str">
        <f>'5'!$A$12</f>
        <v xml:space="preserve">There is an intrinsic risk to the Equity Capital Markets Business that a deal in which we have been working for months or even a year (execution of ECM deals could range from 3-4 months to over a year) does not close in the end. This is a risk generally outside of the control of the business unit as reasons usually are more related to market conditions, issuer's price sensitivity and investors’ appetite. 
This could be considered a two-folded risk:
(1) On one hand, it is market practice for ECM Deals that Underwriter Fees are only accrued and paid if a deals closes and after the deal has closed; regardless of the resources and time deployed to a specific transaction.
(2) On the other hand, the execution of ECM Deals require incurring in many costs prior to the pricing and closing of a transaction. For example the out of pocket expenses incurred by the syndicate of banks (including due diligence trips, investor education efforts which involves the research analyst of each bank travelling worldwide to visit potential investors, ECM &amp; Sales representatives travelling with the issuer during the marketing phase of the Roadshow, etc.) as well as costs coming from third parties involved in the execution of the deal (including local and international legal counsels which are paid regardless of the closing of the deal, printers, etc.). Usually the above mentioned costs and expenses are assumed by the company as described in the mandate or underwriting agreement but there might be cases in which there is no legal contract or the company does not have the resources or financial capacity to absorb those costs. In those situation the syndicate of banks would usually assume the cost, splitting it among the banks in the syndicate according to the economics of the deal (i.e., in the the same % as the split of fees).
This intrinsic two-folded risk of doing business, on which the business unit has very limited control upon, could be enhanced by the manual processes and lack of controls, particularly by the tracking and reimbursement of deal expenses and fees. See below a couple of examples:
(i) The lack of a unique identifier for each deal makes it very difficult for the Accounting Department to trace and track back expenses for a specific deal. Therefore, it is difficult for the business unit have a full view of the expenses undertaken for a particular deal as well as to be sure of the completeness of the expenses been reimbursed upon.
(ii) The process to check the payment of fees and reimbursement of expenses is fully done by emails of this business unit and the Accounting team. There are no external controls or verifications in place.
(iii) There is no process or system to request the amount spent in the execution of deals from other geographies within Santander. International Roadshows usually involve Santander employees in other geographies and legal entities (such as for example ECM and Cash Equities representatives in Santander UK, Santander Brazil and Santander Chile) incurring in costs for the execution of the deal. Currently, this business unit engage with the Assistant of Cash Equities in other geographies to trace back amounts spent and be able to request the corresponding reimbursement.
 (iv) In the case of Santander being the Leading Book runner of a transaction, it would be this business unit the team in charge of aggregating all the expenses for deal (including expenses from the syndicate of banks, printer, legal counsels, etc.) and requesting the reimbursement from the company. There are no control in place to verify if the submission from other parties is correct and accurate. 
Other manual processes that could represent a risk or enhance the risk of doing business for ECM include: 
(I) Record retention which is currently done by the business team. In order to improve the control environment the maintenance and control of completeness should be allocated to a supporting area 
(II) The manual inclusion and update of the control room which then inform Compliance's Watch &amp; Restricted List, and 
(III) Requesting capital by email.
</v>
      </c>
      <c r="J3" s="8">
        <f>'5'!$C$5</f>
        <v>0</v>
      </c>
      <c r="K3" s="8" t="str">
        <f>'5'!$A$9</f>
        <v>The risk of transactions not closing is intrinsic to the ECM business. Controls we have in place regarding  the expenses incurred in during the execution of a deal include: first, we engage with companies that are clients of the bank and that Santander knows well; and, second, we share the exposure of this risk among the syndicate of banks. For the accurateness of costs we partner with high reputation counterparties such as other well-known banks and legal counsels. In order to improve our control environment of expenses incurred several actions could be contemplated including among others, (1) adopting a unique identifier to deals in order for Accounting to be able to trace expenses incurred during the execution of a deal, (2) implementation of system that allows tracking expenses not only in SIS but in other geographies such as the UK and Latin American countries, locations that usually are involved in International Roadshows, and (3) checks and balances from invoices and backup systems.</v>
      </c>
      <c r="L3" s="8" t="str">
        <f>'5'!$C$6</f>
        <v>$1 - $5 M</v>
      </c>
      <c r="M3" s="8" t="str">
        <f>'5'!$C$7</f>
        <v>$1 - $5 M</v>
      </c>
      <c r="N3" s="8" t="str">
        <f>'5'!$B$10</f>
        <v>Based on previous deals, expenses for a deal could be around $1 or 2 MN per deal to be shared among the syndicate of banks according to economics.</v>
      </c>
      <c r="O3" s="10"/>
    </row>
    <row r="4" spans="1:15" ht="195" x14ac:dyDescent="0.25">
      <c r="A4" s="7"/>
      <c r="B4" s="7" t="str">
        <f>'Approval and Documentation'!C$4</f>
        <v>SIS</v>
      </c>
      <c r="C4" s="7" t="str">
        <f>'Approval and Documentation'!C$6</f>
        <v>SIS: GBM Equity Underwriting</v>
      </c>
      <c r="D4" s="8">
        <f>'1'!$C$1</f>
        <v>0</v>
      </c>
      <c r="E4" s="11">
        <v>2</v>
      </c>
      <c r="F4" s="8" t="str">
        <f>'1'!$C$2</f>
        <v>Operational</v>
      </c>
      <c r="G4" s="8" t="str">
        <f>'1'!$C$3</f>
        <v>Clients, Products and Business Practices</v>
      </c>
      <c r="H4" s="8" t="str">
        <f>'1'!$C$4</f>
        <v>Lack of systems - Know your customer, performing an accurate due diligence and correctly completing FINRA questionnaires</v>
      </c>
      <c r="I4" s="8" t="str">
        <f>'1'!$A$12</f>
        <v>As part of the execution of SEC Registered deals, FINRA requires that broker-dealers respond to a questionnaire disclosing certain information such as the relationship of SIS and other Santander affiliates with the issuer of the Equity Offering and if Santander has a proprietary position on the stock of the issuer. Given the lack of a CRM system or a Client Database, this business unit has limited capacity to verify the information requested by FINRA. We usually engage with the banker of the company to respond to the questionnaire relying on him for completeness and accurateness. In the case that the banker leaves or is out-of-reach, it would very difficult for us to complete the questionnaire.</v>
      </c>
      <c r="J4" s="8">
        <f>'1'!$C$5</f>
        <v>0</v>
      </c>
      <c r="K4" s="8" t="str">
        <f>'1'!$A$9</f>
        <v>We rely on the Banking team to provide information on the relationship of Santander Group with the issuer, if the information is not complete or accurate we could be misrepresenting the information in FINRA submissions. To improve the control environment a CRM and strong processes to gather and update information from clients could be implemented. However, it should be noted that FINRA Questionnaires are only required for SEC registered deals.</v>
      </c>
      <c r="L4" s="8" t="str">
        <f>'1'!$C$6</f>
        <v>$1 - $5 M</v>
      </c>
      <c r="M4" s="8" t="str">
        <f>'1'!$C$7</f>
        <v>$1 - $5 M</v>
      </c>
      <c r="N4" s="8" t="str">
        <f>'1'!$B$10</f>
        <v>An automated Global Control Room would be needed to fully implement the recommendations. At this time the lack of an automated Global Control Room would not rise to a material risk as the manual work around will suffice until the automation is implemented in 2016. This applies to the Electronic Document Retention program as well.</v>
      </c>
      <c r="O4" s="10"/>
    </row>
    <row r="5" spans="1:15" ht="240" x14ac:dyDescent="0.25">
      <c r="A5" s="7"/>
      <c r="B5" s="7" t="str">
        <f>'Approval and Documentation'!C$4</f>
        <v>SIS</v>
      </c>
      <c r="C5" s="7" t="str">
        <f>'Approval and Documentation'!C$6</f>
        <v>SIS: GBM Equity Underwriting</v>
      </c>
      <c r="D5" s="8">
        <f>'3'!$C$1</f>
        <v>0</v>
      </c>
      <c r="E5" s="7">
        <v>3</v>
      </c>
      <c r="F5" s="8" t="str">
        <f>'3'!$C$2</f>
        <v>Compliance</v>
      </c>
      <c r="G5" s="8" t="str">
        <f>'3'!$C$3</f>
        <v>Legal</v>
      </c>
      <c r="H5" s="8" t="str">
        <f>'3'!$C$4</f>
        <v>Litigation</v>
      </c>
      <c r="I5" s="8" t="str">
        <f>'3'!$A$12</f>
        <v>Litigation and settlement risk in the event the issuer is in bankruptcy or unable to meet its payment obligations under contractual agreements with the underwriters. The risk is that the offering documentation include a misstatement or omits to state a material fact which results in lawsuits by investors and lead to potential liability of SIS under the Securities Laws. Where the underwriters have performed reasonable due diligence they have a due diligence defense and would not be liable.  In addition the underwriters enter into contractual arrangements with the issuer covering any losses to the underwriters arising from such misstatements or omissions.  In the event the issuer is in bankruptcy or unable to meets its obligations, the underwriters have a litigation and settlement risk.  Litigation may also have a reputational impact on the franchise resulting in decreased underwriting business activity in the future.</v>
      </c>
      <c r="J5" s="8">
        <f>'3'!$C$5</f>
        <v>0</v>
      </c>
      <c r="K5" s="8" t="str">
        <f>'3'!$A$9</f>
        <v>There are several controls in place to minimize the impact of this potential risk, including business, auditors and legal due diligence process and internal approvals such as the Underwriting Committee, Know-Your-Customer approval and the Market Risk Approval</v>
      </c>
      <c r="L5" s="8" t="str">
        <f>'3'!$C$6</f>
        <v>$1 - $5 M</v>
      </c>
      <c r="M5" s="8" t="str">
        <f>'3'!$C$7</f>
        <v>$1 - $5 M</v>
      </c>
      <c r="N5" s="8" t="str">
        <f>'3'!$B$10</f>
        <v xml:space="preserve">The risk of paying/settlement is low but the economic impact could be significant given a class action and the bankrupcty of the issuer. On top of that the reputational impact could mean losing future business.  At firm level, there have been very few litigations in which SIS has been involved, and a very limited number has been resolved in a settlement against SIS. </v>
      </c>
      <c r="O5" s="10"/>
    </row>
    <row r="6" spans="1:15" ht="210" x14ac:dyDescent="0.25">
      <c r="A6" s="7"/>
      <c r="B6" s="7" t="str">
        <f>'Approval and Documentation'!C$4</f>
        <v>SIS</v>
      </c>
      <c r="C6" s="7" t="str">
        <f>'Approval and Documentation'!C$6</f>
        <v>SIS: GBM Equity Underwriting</v>
      </c>
      <c r="D6" s="8">
        <f>'4'!$C$1</f>
        <v>0</v>
      </c>
      <c r="E6" s="11">
        <v>4</v>
      </c>
      <c r="F6" s="8" t="str">
        <f>'4'!$C$2</f>
        <v xml:space="preserve">Strategic </v>
      </c>
      <c r="G6" s="8" t="str">
        <f>'4'!$C$3</f>
        <v>Strategic Planning - Resources</v>
      </c>
      <c r="H6" s="8" t="str">
        <f>'4'!$C$4</f>
        <v>Lack of resources in supporting areas</v>
      </c>
      <c r="I6" s="8" t="str">
        <f>'4'!$A$12</f>
        <v xml:space="preserve">The lack of resources in supporting areas poses potential risks to our business:
There is only one legal person we rely on for all the deals. There is a risk if the internal legal counsel is not available due to sickness, travel or others.  There are no dedicated personnel in the middle or back office to keep records, report metrics, coordinate the expense reimbursement of deals, etc. There is a risk given that lack of controls and checks on these reports. There are no specific resources and personnel within compliance dedicated train business people on new/changes to regulations.
</v>
      </c>
      <c r="J6" s="8">
        <f>'4'!$C$5</f>
        <v>0</v>
      </c>
      <c r="K6" s="8" t="str">
        <f>'4'!$A$9</f>
        <v xml:space="preserve">Main controls include:
(1) If the person in legal is not available, the issue is escalated, ultimately to the CEO of SIS
(2) Compliance and audit assessments
(3) FINRA licenses and annual training and assessments
</v>
      </c>
      <c r="L6" s="8" t="str">
        <f>'4'!$C$6</f>
        <v>$1 - $5 M</v>
      </c>
      <c r="M6" s="8" t="str">
        <f>'4'!$C$7</f>
        <v>$1 - $5 M</v>
      </c>
      <c r="N6" s="8" t="str">
        <f>'4'!$B$10</f>
        <v>The resource limitations in critical areas could indirectly result in loss of revenue (inaccurate metrics, lack or fecords) and insufficient level of compliance related training.  The dependence on one dedicated attorney for the broker dealer and branch could also indirectly contribute to errors due to oversaturation of the resource.</v>
      </c>
      <c r="O6" s="10"/>
    </row>
    <row r="7" spans="1:15" ht="75" x14ac:dyDescent="0.25">
      <c r="A7" s="7"/>
      <c r="B7" s="7" t="str">
        <f>'Approval and Documentation'!C$4</f>
        <v>SIS</v>
      </c>
      <c r="C7" s="7" t="str">
        <f>'Approval and Documentation'!C$6</f>
        <v>SIS: GBM Equity Underwriting</v>
      </c>
      <c r="D7" s="8">
        <f>'2'!$C$1</f>
        <v>0</v>
      </c>
      <c r="E7" s="7">
        <v>5</v>
      </c>
      <c r="F7" s="8" t="str">
        <f>'2'!$C$2</f>
        <v xml:space="preserve">Strategic </v>
      </c>
      <c r="G7" s="8" t="str">
        <f>'2'!$C$3</f>
        <v>Management and Other Personnel</v>
      </c>
      <c r="H7" s="8" t="str">
        <f>'2'!$C$4</f>
        <v>Risk of loosing intellectual capital</v>
      </c>
      <c r="I7" s="8" t="str">
        <f>'2'!$A$12</f>
        <v>Risk of people leaving the department is particularly important for this business given the reliance of business on relationships and know-how for the origination and execution of ECM deals. This business unit has experienced a high turnover, in particular, in senior management in recent years.</v>
      </c>
      <c r="J7" s="8">
        <f>'2'!$C$5</f>
        <v>0</v>
      </c>
      <c r="K7" s="8" t="str">
        <f>'2'!$A$9</f>
        <v>Key controls include Annual reviews and HR compensation policies. Training could be contemplated as an additional tool, particularly for junior resources.</v>
      </c>
      <c r="L7" s="8" t="str">
        <f>'2'!$C$6</f>
        <v>$1 - $5 M</v>
      </c>
      <c r="M7" s="8" t="str">
        <f>'2'!$C$7</f>
        <v>$1 - $5 M</v>
      </c>
      <c r="N7" s="8" t="str">
        <f>'2'!$B$10</f>
        <v>This material risk is not a straight-through calculation. The $1-5 MN is an estimate in the case of 1 or 2 people leaving the department.</v>
      </c>
      <c r="O7" s="10"/>
    </row>
    <row r="8" spans="1:15" ht="225" x14ac:dyDescent="0.25">
      <c r="A8" s="7"/>
      <c r="B8" s="7" t="str">
        <f>'Approval and Documentation'!C$4</f>
        <v>SIS</v>
      </c>
      <c r="C8" s="7" t="str">
        <f>'Approval and Documentation'!C$6</f>
        <v>SIS: GBM Equity Underwriting</v>
      </c>
      <c r="D8" s="8">
        <f>'6'!$C$1</f>
        <v>0</v>
      </c>
      <c r="E8" s="11">
        <v>6</v>
      </c>
      <c r="F8" s="8" t="str">
        <f>'6'!$C$2</f>
        <v>Operational</v>
      </c>
      <c r="G8" s="8" t="str">
        <f>'6'!$C$3</f>
        <v>Internal Fraud</v>
      </c>
      <c r="H8" s="8" t="str">
        <f>'6'!$C$4</f>
        <v>Insider Trading &amp; Invoices</v>
      </c>
      <c r="I8" s="8" t="str">
        <f>'6'!$A$12</f>
        <v xml:space="preserve">The potential of Santander employees trading on material non-public information imposes a risk to employees as well as for the whole Santander Group. Managing material and confidential information is usual given the nature of the ECM business and while there are some controls for SIS employees, those do not apply Santander employees in other geographies and organizations (e.g., Santander N.A., Santander Mexico, Santander Brazil, etc.). 
The ECM Front Office unite prepares and sends out to clients invoices for fees and/or expenses. This represents a risk, as it opens the possibility to manual errors in amounts and/or wiring instructions.
</v>
      </c>
      <c r="J8" s="8">
        <f>'6'!$C$5</f>
        <v>0</v>
      </c>
      <c r="K8" s="8" t="str">
        <f>'6'!$A$9</f>
        <v xml:space="preserve">This is one of the material risks of this business that has in place more controls, including (1) the SIS Control Room together with the Watch and Restricted Lists, (2) the existence of a Platform and compliance approvals for employees personal trading, (3) the requirement of broker-dealer licenses (series 63, 24, 79/7) to conduct this business. A Global Control Room for the whole Group would be desirable to minimize this risk for other employees outside SIS. </v>
      </c>
      <c r="L8" s="8" t="str">
        <f>'6'!$C$6</f>
        <v>$1 - $5 M</v>
      </c>
      <c r="M8" s="8" t="str">
        <f>'6'!$C$7</f>
        <v>$1 - $5 M</v>
      </c>
      <c r="N8" s="8" t="str">
        <f>'6'!$B$10</f>
        <v>Likelyhood is low, given the level of sentitivity material non-public information managed in the Equity Capital Markets business compared to other Corporate Finance areas such as M&amp;A. Penalties could range in 3 times the profit or loss avoided.</v>
      </c>
      <c r="O8" s="10"/>
    </row>
    <row r="9" spans="1:15" ht="409.5" x14ac:dyDescent="0.25">
      <c r="A9" s="7"/>
      <c r="B9" s="7" t="str">
        <f>'Approval and Documentation'!C$4</f>
        <v>SIS</v>
      </c>
      <c r="C9" s="7" t="str">
        <f>'Approval and Documentation'!C$6</f>
        <v>SIS: GBM Equity Underwriting</v>
      </c>
      <c r="D9" s="8" t="str">
        <f>'7'!$C$1</f>
        <v>FIRM-WIDE RISK</v>
      </c>
      <c r="E9" s="7">
        <v>7</v>
      </c>
      <c r="F9" s="8" t="str">
        <f>'7'!$C$2</f>
        <v>Operational</v>
      </c>
      <c r="G9" s="8" t="str">
        <f>'7'!$C$3</f>
        <v>Business Disruption and System Failures</v>
      </c>
      <c r="H9" s="8" t="str">
        <f>'7'!$C$4</f>
        <v>IT support</v>
      </c>
      <c r="I9" s="8" t="str">
        <f>'7'!$A$12</f>
        <v xml:space="preserve">Given the nature of this business, this unit requires access to tools (such as PCs, shared drives, outlook, remote access, scanner and printer) outside the usual business hours (including afterhours, weekends and public holidays). There current level of Helpdesk and IT support covers business hours imposing a potential risk for the business. Main considerations include:
(1) Lack of IT support outside normal business hours. As an example, the team has come to the office during a weekend to work to comply with a deadline and the systems were not working and there was not IT support to contact.
(2) IT support follow US public holidays while most of our business is in Latin American.
(3) Local NY IT department does not receive many times the IT tickets we open with the Helpdesk. This translates in delays in solving simple problems.
(4) There are issues outside of the scope of the IT support department, including among others not receiving emails because of the size of a deal or not receiving zip files. It is crucial given the nature of this business to receive documentation on time so we are able to provide sign off in a given window which sometimes could be 30 minutes or an hour.
(5) The printer/scanner on our floor is recurrently not working. The external technician comes to fix it very frequently and it stops working properly soon after he leaves. The scanner capability has not been available for a couple of week already. It is important for our work as it market practice to send in pdf comments to Prospectus and Offering Memorandums.
It should be noted that we manage a lot of confidential information from companies, so there is a risk of potentially losing it (e.g., cyber-attack)
</v>
      </c>
      <c r="J9" s="8">
        <f>'7'!$C$5</f>
        <v>0</v>
      </c>
      <c r="K9" s="8" t="str">
        <f>'7'!$A$9</f>
        <v>The main control is an IT support center for business hours and a very helpful team in the NY building.</v>
      </c>
      <c r="L9" s="8" t="str">
        <f>'7'!$C$6</f>
        <v>$1 - $5 M</v>
      </c>
      <c r="M9" s="8" t="str">
        <f>'7'!$C$7</f>
        <v>$1 - $5 M</v>
      </c>
      <c r="N9" s="8" t="str">
        <f>'7'!$B$10</f>
        <v>Difficult to quantify, as there is no hard data on precedents.</v>
      </c>
      <c r="O9" s="10"/>
    </row>
    <row r="10" spans="1:15" ht="409.5" x14ac:dyDescent="0.25">
      <c r="A10" s="7"/>
      <c r="B10" s="7" t="str">
        <f>'Approval and Documentation'!C$4</f>
        <v>SIS</v>
      </c>
      <c r="C10" s="7" t="str">
        <f>'Approval and Documentation'!C$6</f>
        <v>SIS: GBM Equity Underwriting</v>
      </c>
      <c r="D10" s="8" t="str">
        <f>'8'!$C$1</f>
        <v>FIRM-WIDE RISK</v>
      </c>
      <c r="E10" s="11">
        <v>8</v>
      </c>
      <c r="F10" s="8" t="str">
        <f>'8'!$C$2</f>
        <v>Operational</v>
      </c>
      <c r="G10" s="8" t="str">
        <f>'8'!$C$3</f>
        <v>Business Disruption and System Failures</v>
      </c>
      <c r="H10" s="8" t="str">
        <f>'8'!$C$4</f>
        <v>Fines and sanctions for not being compliant with regulations (particularly AML, OFAC, etc.)</v>
      </c>
      <c r="I10" s="8" t="str">
        <f>'8'!$A$12</f>
        <v xml:space="preserve">Sanctions and fines for not being compliant with regulations while doing business, in particular AML and OFAC. In addition, the manual nature of our processes increases this risk. Controls and training the ECM personnel on new regulations and regulatory changes could be enhanced to minimize this risk.
The request of capital for the Underwriting of ECM deals is done by email to Accounting which could lead to manual errors and late notifications. Given the level of capitalization of SIS, if the amount requested is not sufficient or arrives late there is a risk that SIS is not able to participate in a transaction or fails to comply with capital requirement regulations / FINRA requirements. </v>
      </c>
      <c r="J10" s="8">
        <f>'8'!$C$5</f>
        <v>0</v>
      </c>
      <c r="K10" s="8" t="str">
        <f>'8'!$A$9</f>
        <v xml:space="preserve">SIS has implemented a BSA/AML compliance program consistent with the requirements of the Bank Secrecy Act (BSA) as amended by the USA Patriot Act of 2001,.  The program includes:   
1)            the designation of an Anti-Money Laundering Compliance Officer;
2)            internal policies, procedures and controls;
3)            an ongoing employee training program; and
4)            independent testing of compliance by internal auditors.
Main control include:
* Internal and External Audits
* Compliance test / annual certifications
* Licenses and annual training for employees
* FINRA assessments
* As part of the annual Compliance meeting completed by every SIS employee, SIS provides a comprehensive review of the AML requirements.   
* AML Compliance provides training to all new SIS employees within 30 days of the hire date.   
* AML Compliance works closely with the ECM personnel to ensure AML due diligence is performed properly during each account approval process.    
Controls and training the ECM personnel on new regulations and regulatory changes could be enhanced to minimize this risk. Allocating the record keeping to an supporting area would be an enhancement, as recommended in the last Compliance Assessment.
</v>
      </c>
      <c r="L10" s="8" t="str">
        <f>'8'!$C$6</f>
        <v>$1 - $5 M</v>
      </c>
      <c r="M10" s="8" t="str">
        <f>'8'!$C$7</f>
        <v>$5 M - $50 M</v>
      </c>
      <c r="N10" s="8" t="str">
        <f>'8'!$B$10</f>
        <v>Based upon no past history of fines or sanctions from this business line, reported by the Compliance Department, the next 12 months and worst 1 in 10 figures would be low.</v>
      </c>
      <c r="O10" s="10"/>
    </row>
    <row r="11" spans="1:15" ht="165" x14ac:dyDescent="0.25">
      <c r="A11" s="7"/>
      <c r="B11" s="7" t="str">
        <f>'Approval and Documentation'!C$4</f>
        <v>SIS</v>
      </c>
      <c r="C11" s="7" t="str">
        <f>'Approval and Documentation'!C$6</f>
        <v>SIS: GBM Equity Underwriting</v>
      </c>
      <c r="D11" s="8">
        <f>'9'!$C$1</f>
        <v>0</v>
      </c>
      <c r="E11" s="7">
        <v>9</v>
      </c>
      <c r="F11" s="8" t="str">
        <f>'9'!$C$2</f>
        <v>Compliance</v>
      </c>
      <c r="G11" s="8" t="str">
        <f>'9'!$C$3</f>
        <v>Clients, Products and Business Practices</v>
      </c>
      <c r="H11" s="8" t="str">
        <f>'9'!$C$4</f>
        <v>Reliance on Affiliates</v>
      </c>
      <c r="I11" s="8" t="str">
        <f>'9'!$A$12</f>
        <v xml:space="preserve">A significant share of the ECM Business done in SIS relates to Latin American listings with an International Tranche according to (1) Rule 144A/Reg S or (2) an SEC registration of ADRs (dual listing). In those cases, the SIS ECM Team works very closely with the Santander Local ECM team which is part of the Local Tranche of the transaction. Given the proximity to the issuer and the size of the SIS ECM team, sometimes we need to rely on the local team for due diligence, KYC, etc. SIS affiliates might not be familiar with US regulations imposing a risk to the business (i.e., insider trading, Chinese walls, record keeping).  </v>
      </c>
      <c r="J11" s="8">
        <f>'9'!$C$5</f>
        <v>0</v>
      </c>
      <c r="K11" s="8" t="str">
        <f>'9'!$A$9</f>
        <v xml:space="preserve">* SIS ECM involvement is required 
* SIS ECM works closely with local teams and educates them on US regulation as appropriate; a more formal educational process on US Regulation could be contemplated for ECM
* Local teams are part of internal approvals (i.e., Market Risk Approval, NY Underwriting Committee)
* Both Local Teams and SIS ECM participated in diligence sessions
</v>
      </c>
      <c r="L11" s="8" t="str">
        <f>'9'!$C$6</f>
        <v>$1 - $5 M</v>
      </c>
      <c r="M11" s="8" t="str">
        <f>'9'!$C$7</f>
        <v>$1 - $5 M</v>
      </c>
      <c r="N11" s="8" t="str">
        <f>'9'!$B$10</f>
        <v>Low probability but high impact in the case of a law suit a regulatory action/sanction in the case SIS were fully relying on local affilites for due diligence in a particular case</v>
      </c>
      <c r="O11" s="10"/>
    </row>
    <row r="12" spans="1:15" x14ac:dyDescent="0.25">
      <c r="A12" s="7"/>
      <c r="B12" s="7" t="str">
        <f>'Approval and Documentation'!C$4</f>
        <v>SIS</v>
      </c>
      <c r="C12" s="7" t="str">
        <f>'Approval and Documentation'!C$6</f>
        <v>SIS: GBM Equity Underwriting</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SIS</v>
      </c>
      <c r="C13" s="7" t="str">
        <f>'Approval and Documentation'!C$6</f>
        <v>SIS: GBM Equity Underwriting</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SIS</v>
      </c>
      <c r="C14" s="7" t="str">
        <f>'Approval and Documentation'!C$6</f>
        <v>SIS: GBM Equity Underwriting</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SIS</v>
      </c>
      <c r="C15" s="7" t="str">
        <f>'Approval and Documentation'!C$6</f>
        <v>SIS: GBM Equity Underwriting</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SIS</v>
      </c>
      <c r="C16" s="7" t="str">
        <f>'Approval and Documentation'!C$6</f>
        <v>SIS: GBM Equity Underwriting</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SIS</v>
      </c>
      <c r="C17" s="7" t="str">
        <f>'Approval and Documentation'!C$6</f>
        <v>SIS: GBM Equity Underwriting</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SIS</v>
      </c>
      <c r="C18" s="7" t="str">
        <f>'Approval and Documentation'!C$6</f>
        <v>SIS: GBM Equity Underwriting</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SIS</v>
      </c>
      <c r="C19" s="7" t="str">
        <f>'Approval and Documentation'!C$6</f>
        <v>SIS: GBM Equity Underwriting</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SIS</v>
      </c>
      <c r="C20" s="7" t="str">
        <f>'Approval and Documentation'!C$6</f>
        <v>SIS: GBM Equity Underwriting</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SIS</v>
      </c>
      <c r="C21" s="7" t="str">
        <f>'Approval and Documentation'!C$6</f>
        <v>SIS: GBM Equity Underwriting</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SIS</v>
      </c>
      <c r="C22" s="7" t="str">
        <f>'Approval and Documentation'!C$6</f>
        <v>SIS: GBM Equity Underwriting</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SIS</v>
      </c>
      <c r="C23" s="7" t="str">
        <f>'Approval and Documentation'!C$6</f>
        <v>SIS: GBM Equity Underwriting</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SIS</v>
      </c>
      <c r="C24" s="7" t="str">
        <f>'Approval and Documentation'!C$6</f>
        <v>SIS: GBM Equity Underwriting</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SIS</v>
      </c>
      <c r="C25" s="7" t="str">
        <f>'Approval and Documentation'!C$6</f>
        <v>SIS: GBM Equity Underwriting</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SIS</v>
      </c>
      <c r="C26" s="7" t="str">
        <f>'Approval and Documentation'!C$6</f>
        <v>SIS: GBM Equity Underwriting</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SIS</v>
      </c>
      <c r="C27" s="7" t="str">
        <f>'Approval and Documentation'!C$6</f>
        <v>SIS: GBM Equity Underwriting</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SIS</v>
      </c>
      <c r="C28" s="7" t="str">
        <f>'Approval and Documentation'!C$6</f>
        <v>SIS: GBM Equity Underwriting</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SIS</v>
      </c>
      <c r="C29" s="7" t="str">
        <f>'Approval and Documentation'!C$6</f>
        <v>SIS: GBM Equity Underwriting</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SIS</v>
      </c>
      <c r="C30" s="7" t="str">
        <f>'Approval and Documentation'!C$6</f>
        <v>SIS: GBM Equity Underwriting</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SIS</v>
      </c>
      <c r="C31" s="7" t="str">
        <f>'Approval and Documentation'!C$6</f>
        <v>SIS: GBM Equity Underwriting</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SIS</v>
      </c>
      <c r="C32" s="7" t="str">
        <f>'Approval and Documentation'!C$6</f>
        <v>SIS: GBM Equity Underwriting</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SIS</v>
      </c>
      <c r="C33" s="7" t="str">
        <f>'Approval and Documentation'!C$6</f>
        <v>SIS: GBM Equity Underwriting</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SIS</v>
      </c>
      <c r="C34" s="7" t="str">
        <f>'Approval and Documentation'!C$6</f>
        <v>SIS: GBM Equity Underwriting</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SIS</v>
      </c>
      <c r="C35" s="7" t="str">
        <f>'Approval and Documentation'!C$6</f>
        <v>SIS: GBM Equity Underwriting</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SIS</v>
      </c>
      <c r="C36" s="7" t="str">
        <f>'Approval and Documentation'!C$6</f>
        <v>SIS: GBM Equity Underwriting</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SIS</v>
      </c>
      <c r="C37" s="7" t="str">
        <f>'Approval and Documentation'!C$6</f>
        <v>SIS: GBM Equity Underwriting</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SIS</v>
      </c>
      <c r="C38" s="7" t="str">
        <f>'Approval and Documentation'!C$6</f>
        <v>SIS: GBM Equity Underwriting</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SIS</v>
      </c>
      <c r="C39" s="7" t="str">
        <f>'Approval and Documentation'!C$6</f>
        <v>SIS: GBM Equity Underwriting</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SIS</v>
      </c>
      <c r="C40" s="7" t="str">
        <f>'Approval and Documentation'!C$6</f>
        <v>SIS: GBM Equity Underwriting</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SIS</v>
      </c>
      <c r="C41" s="7" t="str">
        <f>'Approval and Documentation'!C$6</f>
        <v>SIS: GBM Equity Underwriting</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SIS</v>
      </c>
      <c r="C42" s="7" t="str">
        <f>'Approval and Documentation'!C$6</f>
        <v>SIS: GBM Equity Underwriting</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9"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8" t="s">
        <v>489</v>
      </c>
      <c r="B1" s="209"/>
      <c r="C1" s="82"/>
      <c r="Q1" s="81"/>
      <c r="R1" s="81"/>
      <c r="AA1" s="39" t="str">
        <f>C2</f>
        <v>Operational</v>
      </c>
    </row>
    <row r="2" spans="1:27" ht="30.75" customHeight="1" thickBot="1" x14ac:dyDescent="0.3">
      <c r="A2" s="212" t="s">
        <v>255</v>
      </c>
      <c r="B2" s="211"/>
      <c r="C2" s="90" t="s">
        <v>31</v>
      </c>
      <c r="R2" s="42" t="str">
        <f t="shared" ref="R2:R7" si="0">A2</f>
        <v>Risk Type  - The Risk Type from the SHUSA ERM Risk Taxonomy</v>
      </c>
    </row>
    <row r="3" spans="1:27" ht="24" customHeight="1" thickBot="1" x14ac:dyDescent="0.3">
      <c r="A3" s="213" t="s">
        <v>251</v>
      </c>
      <c r="B3" s="150"/>
      <c r="C3" s="70" t="s">
        <v>38</v>
      </c>
      <c r="R3" s="42" t="str">
        <f t="shared" si="0"/>
        <v>Risk Sub Type  - The Risk Sub-Category from the SHUSA ERM Risk Taxonomy</v>
      </c>
    </row>
    <row r="4" spans="1:27" ht="48" customHeight="1" thickBot="1" x14ac:dyDescent="0.3">
      <c r="A4" s="213" t="s">
        <v>252</v>
      </c>
      <c r="B4" s="150"/>
      <c r="C4" s="73" t="s">
        <v>569</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 customHeight="1" thickBot="1" x14ac:dyDescent="0.3">
      <c r="A9" s="201" t="s">
        <v>589</v>
      </c>
      <c r="B9" s="202"/>
      <c r="C9" s="203"/>
      <c r="Q9" s="38" t="str">
        <f>A9</f>
        <v>We rely on the Banking team to provide information on the relationship of Santander Group with the issuer, if the information is not complete or accurate we could be misrepresenting the information in FINRA submissions. To improve the control environment a CRM and strong processes to gather and update information from clients could be implemented. However, it should be noted that FINRA Questionnaires are only required for SEC registered deals.</v>
      </c>
    </row>
    <row r="10" spans="1:27" ht="98.25" customHeight="1" thickBot="1" x14ac:dyDescent="0.3">
      <c r="A10" s="41" t="s">
        <v>491</v>
      </c>
      <c r="B10" s="204" t="s">
        <v>597</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409.6" thickBot="1" x14ac:dyDescent="0.3">
      <c r="A12" s="204" t="s">
        <v>590</v>
      </c>
      <c r="B12" s="206"/>
      <c r="C12" s="207"/>
      <c r="Q12" s="38" t="str">
        <f>A12</f>
        <v>As part of the execution of SEC Registered deals, FINRA requires that broker-dealers respond to a questionnaire disclosing certain information such as the relationship of SIS and other Santander affiliates with the issuer of the Equity Offering and if Santander has a proprietary position on the stock of the issuer. Given the lack of a CRM system or a Client Database, this business unit has limited capacity to verify the information requested by FINRA. We usually engage with the banker of the company to respond to the questionnaire relying on him for completeness and accurateness. In the case that the banker leaves or is out-of-reach, it would very difficult for us to complete the questionnaire.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9" zoomScaleNormal="100" workbookViewId="0">
      <selection activeCell="A9" sqref="A9: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t="str">
        <f>C2</f>
        <v xml:space="preserve">Strategic </v>
      </c>
    </row>
    <row r="2" spans="1:27" ht="30.75" customHeight="1" thickBot="1" x14ac:dyDescent="0.3">
      <c r="A2" s="212" t="s">
        <v>255</v>
      </c>
      <c r="B2" s="211"/>
      <c r="C2" s="90" t="s">
        <v>20</v>
      </c>
      <c r="R2" s="42" t="str">
        <f t="shared" ref="R2:R7" si="0">A2</f>
        <v>Risk Type  - The Risk Type from the SHUSA ERM Risk Taxonomy</v>
      </c>
    </row>
    <row r="3" spans="1:27" ht="24" customHeight="1" thickBot="1" x14ac:dyDescent="0.3">
      <c r="A3" s="213" t="s">
        <v>251</v>
      </c>
      <c r="B3" s="150"/>
      <c r="C3" s="70" t="s">
        <v>22</v>
      </c>
      <c r="R3" s="42" t="str">
        <f t="shared" si="0"/>
        <v>Risk Sub Type  - The Risk Sub-Category from the SHUSA ERM Risk Taxonomy</v>
      </c>
    </row>
    <row r="4" spans="1:27" ht="31.5" customHeight="1" thickBot="1" x14ac:dyDescent="0.3">
      <c r="A4" s="213" t="s">
        <v>252</v>
      </c>
      <c r="B4" s="150"/>
      <c r="C4" s="73" t="s">
        <v>557</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t="s">
        <v>570</v>
      </c>
      <c r="B9" s="202"/>
      <c r="C9" s="203"/>
      <c r="Q9" s="38" t="str">
        <f>A9</f>
        <v>Key controls include Annual reviews and HR compensation policies. Training could be contemplated as an additional tool, particularly for junior resources.</v>
      </c>
    </row>
    <row r="10" spans="1:27" ht="81.75" customHeight="1" thickBot="1" x14ac:dyDescent="0.3">
      <c r="A10" s="41" t="s">
        <v>491</v>
      </c>
      <c r="B10" s="204" t="s">
        <v>588</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t="s">
        <v>571</v>
      </c>
      <c r="B12" s="206"/>
      <c r="C12" s="207"/>
      <c r="Q12" s="38" t="str">
        <f>A12</f>
        <v>Risk of people leaving the department is particularly important for this business given the reliance of business on relationships and know-how for the origination and execution of ECM deals. This business unit has experienced a high turnover, in particular, in senior management in recent years.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12"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t="str">
        <f>C2</f>
        <v>Compliance</v>
      </c>
    </row>
    <row r="2" spans="1:27" ht="30.75" customHeight="1" thickBot="1" x14ac:dyDescent="0.3">
      <c r="A2" s="212" t="s">
        <v>255</v>
      </c>
      <c r="B2" s="211"/>
      <c r="C2" s="90" t="s">
        <v>11</v>
      </c>
      <c r="R2" s="42" t="str">
        <f t="shared" ref="R2:R7" si="0">A2</f>
        <v>Risk Type  - The Risk Type from the SHUSA ERM Risk Taxonomy</v>
      </c>
    </row>
    <row r="3" spans="1:27" ht="24" customHeight="1" thickBot="1" x14ac:dyDescent="0.3">
      <c r="A3" s="213" t="s">
        <v>251</v>
      </c>
      <c r="B3" s="150"/>
      <c r="C3" s="70" t="s">
        <v>12</v>
      </c>
      <c r="R3" s="42" t="str">
        <f t="shared" si="0"/>
        <v>Risk Sub Type  - The Risk Sub-Category from the SHUSA ERM Risk Taxonomy</v>
      </c>
    </row>
    <row r="4" spans="1:27" ht="31.5" customHeight="1" thickBot="1" x14ac:dyDescent="0.3">
      <c r="A4" s="213" t="s">
        <v>252</v>
      </c>
      <c r="B4" s="150"/>
      <c r="C4" s="73" t="s">
        <v>576</v>
      </c>
      <c r="R4" s="42" t="str">
        <f t="shared" si="0"/>
        <v>Risk Name - The name of the risk which helps define it and differentiate it from other risks in other Business Lines with a similar Risk Category</v>
      </c>
    </row>
    <row r="5" spans="1:27" ht="27"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t="s">
        <v>587</v>
      </c>
      <c r="B9" s="202"/>
      <c r="C9" s="203"/>
      <c r="Q9" s="38" t="str">
        <f>A9</f>
        <v>There are several controls in place to minimize the impact of this potential risk, including business, auditors and legal due diligence process and internal approvals such as the Underwriting Committee, Know-Your-Customer approval and the Market Risk Approval</v>
      </c>
    </row>
    <row r="10" spans="1:27" ht="97.5" customHeight="1" thickBot="1" x14ac:dyDescent="0.3">
      <c r="A10" s="41" t="s">
        <v>491</v>
      </c>
      <c r="B10" s="204" t="s">
        <v>602</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409.6" thickBot="1" x14ac:dyDescent="0.3">
      <c r="A12" s="204" t="s">
        <v>601</v>
      </c>
      <c r="B12" s="206"/>
      <c r="C12" s="207"/>
      <c r="Q12" s="38" t="str">
        <f>A12</f>
        <v>Litigation and settlement risk in the event the issuer is in bankruptcy or unable to meet its payment obligations under contractual agreements with the underwriters. The risk is that the offering documentation include a misstatement or omits to state a material fact which results in lawsuits by investors and lead to potential liability of SIS under the Securities Laws. Where the underwriters have performed reasonable due diligence they have a due diligence defense and would not be liable.  In addition the underwriters enter into contractual arrangements with the issuer covering any losses to the underwriters arising from such misstatements or omissions.  In the event the issuer is in bankruptcy or unable to meets its obligations, the underwriters have a litigation and settlement risk.  Litigation may also have a reputational impact on the franchise resulting in decreased underwriting business activity in the future.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10"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t="str">
        <f>C2</f>
        <v xml:space="preserve">Strategic </v>
      </c>
    </row>
    <row r="2" spans="1:27" ht="30.75" customHeight="1" thickBot="1" x14ac:dyDescent="0.3">
      <c r="A2" s="212" t="s">
        <v>255</v>
      </c>
      <c r="B2" s="211"/>
      <c r="C2" s="90" t="s">
        <v>20</v>
      </c>
      <c r="R2" s="42" t="str">
        <f t="shared" ref="R2:R7" si="0">A2</f>
        <v>Risk Type  - The Risk Type from the SHUSA ERM Risk Taxonomy</v>
      </c>
    </row>
    <row r="3" spans="1:27" ht="24" customHeight="1" thickBot="1" x14ac:dyDescent="0.3">
      <c r="A3" s="213" t="s">
        <v>251</v>
      </c>
      <c r="B3" s="150"/>
      <c r="C3" s="70" t="s">
        <v>208</v>
      </c>
      <c r="R3" s="42" t="str">
        <f t="shared" si="0"/>
        <v>Risk Sub Type  - The Risk Sub-Category from the SHUSA ERM Risk Taxonomy</v>
      </c>
    </row>
    <row r="4" spans="1:27" ht="31.5" customHeight="1" thickBot="1" x14ac:dyDescent="0.3">
      <c r="A4" s="213" t="s">
        <v>252</v>
      </c>
      <c r="B4" s="150"/>
      <c r="C4" s="73" t="s">
        <v>553</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75" customHeight="1" thickBot="1" x14ac:dyDescent="0.3">
      <c r="A9" s="201" t="s">
        <v>586</v>
      </c>
      <c r="B9" s="202"/>
      <c r="C9" s="203"/>
      <c r="Q9" s="38" t="str">
        <f>A9</f>
        <v xml:space="preserve">Main controls include:
(1) If the person in legal is not available, the issue is escalated, ultimately to the CEO of SIS
(2) Compliance and audit assessments
(3) FINRA licenses and annual training and assessments
</v>
      </c>
    </row>
    <row r="10" spans="1:27" ht="81.75" customHeight="1" thickBot="1" x14ac:dyDescent="0.3">
      <c r="A10" s="41" t="s">
        <v>491</v>
      </c>
      <c r="B10" s="204" t="s">
        <v>585</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104.25" customHeight="1" thickBot="1" x14ac:dyDescent="0.3">
      <c r="A12" s="204" t="s">
        <v>611</v>
      </c>
      <c r="B12" s="206"/>
      <c r="C12" s="207"/>
      <c r="Q12" s="38" t="str">
        <f>A12</f>
        <v xml:space="preserve">The lack of resources in supporting areas poses potential risks to our business:
There is only one legal person we rely on for all the deals. There is a risk if the internal legal counsel is not available due to sickness, travel or others.  There are no dedicated personnel in the middle or back office to keep records, report metrics, coordinate the expense reimbursement of deals, etc. There is a risk given that lack of controls and checks on these reports. There are no specific resources and personnel within compliance dedicated train business people on new/changes to regulations.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12" zoomScale="84" zoomScaleNormal="100" zoomScalePageLayoutView="84"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3" t="s">
        <v>489</v>
      </c>
      <c r="B1" s="150"/>
      <c r="C1" s="73"/>
      <c r="Q1" s="81"/>
      <c r="R1" s="81"/>
      <c r="AA1" s="39" t="str">
        <f>C2</f>
        <v>Operational</v>
      </c>
    </row>
    <row r="2" spans="1:27" ht="30.75" customHeight="1" thickBot="1" x14ac:dyDescent="0.3">
      <c r="A2" s="212" t="s">
        <v>255</v>
      </c>
      <c r="B2" s="211"/>
      <c r="C2" s="90" t="s">
        <v>31</v>
      </c>
      <c r="R2" s="42" t="str">
        <f t="shared" ref="R2:R7" si="0">A2</f>
        <v>Risk Type  - The Risk Type from the SHUSA ERM Risk Taxonomy</v>
      </c>
    </row>
    <row r="3" spans="1:27" ht="24" customHeight="1" thickBot="1" x14ac:dyDescent="0.3">
      <c r="A3" s="213" t="s">
        <v>251</v>
      </c>
      <c r="B3" s="150"/>
      <c r="C3" s="70" t="s">
        <v>33</v>
      </c>
      <c r="R3" s="42" t="str">
        <f t="shared" si="0"/>
        <v>Risk Sub Type  - The Risk Sub-Category from the SHUSA ERM Risk Taxonomy</v>
      </c>
    </row>
    <row r="4" spans="1:27" ht="64.5" customHeight="1" thickBot="1" x14ac:dyDescent="0.3">
      <c r="A4" s="213" t="s">
        <v>252</v>
      </c>
      <c r="B4" s="150"/>
      <c r="C4" s="73" t="s">
        <v>572</v>
      </c>
      <c r="R4" s="42" t="str">
        <f t="shared" si="0"/>
        <v>Risk Name - The name of the risk which helps define it and differentiate it from other risks in other Business Lines with a similar Risk Category</v>
      </c>
    </row>
    <row r="5" spans="1:27" ht="39" customHeight="1" thickBot="1" x14ac:dyDescent="0.3">
      <c r="A5" s="213" t="s">
        <v>525</v>
      </c>
      <c r="B5" s="150"/>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6" customHeight="1" thickBot="1" x14ac:dyDescent="0.3">
      <c r="A9" s="201" t="s">
        <v>600</v>
      </c>
      <c r="B9" s="202"/>
      <c r="C9" s="203"/>
      <c r="Q9" s="38" t="str">
        <f>A9</f>
        <v>The risk of transactions not closing is intrinsic to the ECM business. Controls we have in place regarding  the expenses incurred in during the execution of a deal include: first, we engage with companies that are clients of the bank and that Santander knows well; and, second, we share the exposure of this risk among the syndicate of banks. For the accurateness of costs we partner with high reputation counterparties such as other well-known banks and legal counsels. In order to improve our control environment of expenses incurred several actions could be contemplated including among others, (1) adopting a unique identifier to deals in order for Accounting to be able to trace expenses incurred during the execution of a deal, (2) implementation of system that allows tracking expenses not only in SIS but in other geographies such as the UK and Latin American countries, locations that usually are involved in International Roadshows, and (3) checks and balances from invoices and backup systems.</v>
      </c>
    </row>
    <row r="10" spans="1:27" ht="48.75" customHeight="1" thickBot="1" x14ac:dyDescent="0.3">
      <c r="A10" s="41" t="s">
        <v>490</v>
      </c>
      <c r="B10" s="204" t="s">
        <v>584</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04" t="s">
        <v>583</v>
      </c>
      <c r="B12" s="206"/>
      <c r="C12" s="207"/>
      <c r="Q12" s="38" t="str">
        <f>A12</f>
        <v xml:space="preserve">There is an intrinsic risk to the Equity Capital Markets Business that a deal in which we have been working for months or even a year (execution of ECM deals could range from 3-4 months to over a year) does not close in the end. This is a risk generally outside of the control of the business unit as reasons usually are more related to market conditions, issuer's price sensitivity and investors’ appetite. 
This could be considered a two-folded risk:
(1) On one hand, it is market practice for ECM Deals that Underwriter Fees are only accrued and paid if a deals closes and after the deal has closed; regardless of the resources and time deployed to a specific transaction.
(2) On the other hand, the execution of ECM Deals require incurring in many costs prior to the pricing and closing of a transaction. For example the out of pocket expenses incurred by the syndicate of banks (including due diligence trips, investor education efforts which involves the research analyst of each bank travelling worldwide to visit potential investors, ECM &amp; Sales representatives travelling with the issuer during the marketing phase of the Roadshow, etc.) as well as costs coming from third parties involved in the execution of the deal (including local and international legal counsels which are paid regardless of the closing of the deal, printers, etc.). Usually the above mentioned costs and expenses are assumed by the company as described in the mandate or underwriting agreement but there might be cases in which there is no legal contract or the company does not have the resources or financial capacity to absorb those costs. In those situation the syndicate of banks would usually assume the cost, splitting it among the banks in the syndicate according to the economics of the deal (i.e., in the the same % as the split of fees).
This intrinsic two-folded risk of doing business, on which the business unit has very limited control upon, could be enhanced by the manual processes and lack of controls, particularly by the tracking and reimbursement of deal expenses and fees. See below a couple of examples:
(i) The lack of a unique identifier for each deal makes it very difficult for the Accounting Department to trace and track back expenses for a specific deal. Therefore, it is difficult for the business unit have a full view of the expenses undertaken for a particular deal as well as to be sure of the completeness of the expenses been reimbursed upon.
(ii) The process to check the payment of fees and reimbursement of expenses is fully done by emails of this business unit and the Accounting team. There are no external controls or verifications in place.
(iii) There is no process or system to request the amount spent in the execution of deals from other geographies within Santander. International Roadshows usually involve Santander employees in other geographies and legal entities (such as for example ECM and Cash Equities representatives in Santander UK, Santander Brazil and Santander Chile) incurring in costs for the execution of the deal. Currently, this business unit engage with the Assistant of Cash Equities in other geographies to trace back amounts spent and be able to request the corresponding reimbursement.
 (iv) In the case of Santander being the Leading Book runner of a transaction, it would be this business unit the team in charge of aggregating all the expenses for deal (including expenses from the syndicate of banks, printer, legal counsels, etc.) and requesting the reimbursement from the company. There are no control in place to verify if the submission from other parties is correct and accurate. 
Other manual processes that could represent a risk or enhance the risk of doing business for ECM include: 
(I) Record retention which is currently done by the business team. In order to improve the control environment the maintenance and control of completeness should be allocated to a supporting area 
(II) The manual inclusion and update of the control room which then inform Compliance's Watch &amp; Restricted List, and 
(III) Requesting capital by email.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7"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t="str">
        <f>C2</f>
        <v>Operational</v>
      </c>
    </row>
    <row r="2" spans="1:27" ht="30.75" customHeight="1" thickBot="1" x14ac:dyDescent="0.3">
      <c r="A2" s="212" t="s">
        <v>255</v>
      </c>
      <c r="B2" s="211"/>
      <c r="C2" s="90" t="s">
        <v>31</v>
      </c>
      <c r="R2" s="42" t="str">
        <f t="shared" ref="R2:R7" si="0">A2</f>
        <v>Risk Type  - The Risk Type from the SHUSA ERM Risk Taxonomy</v>
      </c>
    </row>
    <row r="3" spans="1:27" ht="24" customHeight="1" thickBot="1" x14ac:dyDescent="0.3">
      <c r="A3" s="213" t="s">
        <v>251</v>
      </c>
      <c r="B3" s="150"/>
      <c r="C3" s="70" t="s">
        <v>30</v>
      </c>
      <c r="R3" s="42" t="str">
        <f t="shared" si="0"/>
        <v>Risk Sub Type  - The Risk Sub-Category from the SHUSA ERM Risk Taxonomy</v>
      </c>
    </row>
    <row r="4" spans="1:27" ht="31.5" customHeight="1" thickBot="1" x14ac:dyDescent="0.3">
      <c r="A4" s="213" t="s">
        <v>252</v>
      </c>
      <c r="B4" s="150"/>
      <c r="C4" s="73" t="s">
        <v>577</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8.25" customHeight="1" thickBot="1" x14ac:dyDescent="0.3">
      <c r="A9" s="201" t="s">
        <v>582</v>
      </c>
      <c r="B9" s="202"/>
      <c r="C9" s="203"/>
      <c r="Q9" s="38" t="str">
        <f>A9</f>
        <v xml:space="preserve">This is one of the material risks of this business that has in place more controls, including (1) the SIS Control Room together with the Watch and Restricted Lists, (2) the existence of a Platform and compliance approvals for employees personal trading, (3) the requirement of broker-dealer licenses (series 63, 24, 79/7) to conduct this business. A Global Control Room for the whole Group would be desirable to minimize this risk for other employees outside SIS. </v>
      </c>
    </row>
    <row r="10" spans="1:27" ht="81.75" customHeight="1" thickBot="1" x14ac:dyDescent="0.3">
      <c r="A10" s="41" t="s">
        <v>491</v>
      </c>
      <c r="B10" s="204" t="s">
        <v>603</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109.5" customHeight="1" thickBot="1" x14ac:dyDescent="0.3">
      <c r="A12" s="204" t="s">
        <v>612</v>
      </c>
      <c r="B12" s="206"/>
      <c r="C12" s="207"/>
      <c r="Q12" s="38" t="str">
        <f>A12</f>
        <v xml:space="preserve">The potential of Santander employees trading on material non-public information imposes a risk to employees as well as for the whole Santander Group. Managing material and confidential information is usual given the nature of the ECM business and while there are some controls for SIS employees, those do not apply Santander employees in other geographies and organizations (e.g., Santander N.A., Santander Mexico, Santander Brazil, etc.). 
The ECM Front Office unite prepares and sends out to clients invoices for fees and/or expenses. This represents a risk, as it opens the possibility to manual errors in amounts and/or wiring instructions.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showWhiteSpace="0" view="pageLayout" topLeftCell="A12"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t="s">
        <v>554</v>
      </c>
      <c r="Q1" s="81"/>
      <c r="R1" s="81"/>
      <c r="AA1" s="39" t="str">
        <f>C2</f>
        <v>Operational</v>
      </c>
    </row>
    <row r="2" spans="1:27" ht="30.75" customHeight="1" thickBot="1" x14ac:dyDescent="0.3">
      <c r="A2" s="212" t="s">
        <v>255</v>
      </c>
      <c r="B2" s="211"/>
      <c r="C2" s="90" t="s">
        <v>31</v>
      </c>
      <c r="R2" s="42" t="str">
        <f t="shared" ref="R2:R7" si="0">A2</f>
        <v>Risk Type  - The Risk Type from the SHUSA ERM Risk Taxonomy</v>
      </c>
    </row>
    <row r="3" spans="1:27" ht="24" customHeight="1" thickBot="1" x14ac:dyDescent="0.3">
      <c r="A3" s="213" t="s">
        <v>251</v>
      </c>
      <c r="B3" s="150"/>
      <c r="C3" s="70" t="s">
        <v>39</v>
      </c>
      <c r="R3" s="42" t="str">
        <f t="shared" si="0"/>
        <v>Risk Sub Type  - The Risk Sub-Category from the SHUSA ERM Risk Taxonomy</v>
      </c>
    </row>
    <row r="4" spans="1:27" ht="31.5" customHeight="1" thickBot="1" x14ac:dyDescent="0.3">
      <c r="A4" s="213" t="s">
        <v>252</v>
      </c>
      <c r="B4" s="150"/>
      <c r="C4" s="73" t="s">
        <v>555</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7.5" customHeight="1" thickBot="1" x14ac:dyDescent="0.3">
      <c r="A9" s="201" t="s">
        <v>566</v>
      </c>
      <c r="B9" s="202"/>
      <c r="C9" s="214"/>
      <c r="Q9" s="38" t="str">
        <f>A9</f>
        <v>The main control is an IT support center for business hours and a very helpful team in the NY building.</v>
      </c>
    </row>
    <row r="10" spans="1:27" ht="81.75" customHeight="1" thickBot="1" x14ac:dyDescent="0.3">
      <c r="A10" s="41" t="s">
        <v>491</v>
      </c>
      <c r="B10" s="204" t="s">
        <v>578</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282" customHeight="1" thickBot="1" x14ac:dyDescent="0.3">
      <c r="A12" s="204" t="s">
        <v>581</v>
      </c>
      <c r="B12" s="206"/>
      <c r="C12" s="207"/>
      <c r="Q12" s="38" t="str">
        <f>A12</f>
        <v xml:space="preserve">Given the nature of this business, this unit requires access to tools (such as PCs, shared drives, outlook, remote access, scanner and printer) outside the usual business hours (including afterhours, weekends and public holidays). There current level of Helpdesk and IT support covers business hours imposing a potential risk for the business. Main considerations include:
(1) Lack of IT support outside normal business hours. As an example, the team has come to the office during a weekend to work to comply with a deadline and the systems were not working and there was not IT support to contact.
(2) IT support follow US public holidays while most of our business is in Latin American.
(3) Local NY IT department does not receive many times the IT tickets we open with the Helpdesk. This translates in delays in solving simple problems.
(4) There are issues outside of the scope of the IT support department, including among others not receiving emails because of the size of a deal or not receiving zip files. It is crucial given the nature of this business to receive documentation on time so we are able to provide sign off in a given window which sometimes could be 30 minutes or an hour.
(5) The printer/scanner on our floor is recurrently not working. The external technician comes to fix it very frequently and it stops working properly soon after he leaves. The scanner capability has not been available for a couple of week already. It is important for our work as it market practice to send in pdf comments to Prospectus and Offering Memorandums.
It should be noted that we manage a lot of confidential information from companies, so there is a risk of potentially losing it (e.g., cyber-attack)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tabSelected="1" view="pageLayout" topLeftCell="A7"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488</v>
      </c>
      <c r="B1" s="150"/>
      <c r="C1" s="73" t="s">
        <v>554</v>
      </c>
      <c r="Q1" s="81"/>
      <c r="R1" s="81"/>
      <c r="AA1" s="39" t="str">
        <f>C2</f>
        <v>Operational</v>
      </c>
    </row>
    <row r="2" spans="1:27" ht="30.75" customHeight="1" thickBot="1" x14ac:dyDescent="0.3">
      <c r="A2" s="212" t="s">
        <v>255</v>
      </c>
      <c r="B2" s="211"/>
      <c r="C2" s="90" t="s">
        <v>31</v>
      </c>
      <c r="R2" s="42" t="str">
        <f t="shared" ref="R2:R7" si="0">A2</f>
        <v>Risk Type  - The Risk Type from the SHUSA ERM Risk Taxonomy</v>
      </c>
    </row>
    <row r="3" spans="1:27" ht="24" customHeight="1" thickBot="1" x14ac:dyDescent="0.3">
      <c r="A3" s="213" t="s">
        <v>251</v>
      </c>
      <c r="B3" s="150"/>
      <c r="C3" s="70" t="s">
        <v>39</v>
      </c>
      <c r="R3" s="42" t="str">
        <f t="shared" si="0"/>
        <v>Risk Sub Type  - The Risk Sub-Category from the SHUSA ERM Risk Taxonomy</v>
      </c>
    </row>
    <row r="4" spans="1:27" ht="59.25" customHeight="1" thickBot="1" x14ac:dyDescent="0.3">
      <c r="A4" s="213" t="s">
        <v>252</v>
      </c>
      <c r="B4" s="150"/>
      <c r="C4" s="83" t="s">
        <v>580</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84"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84"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15"/>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55" customHeight="1" thickBot="1" x14ac:dyDescent="0.3">
      <c r="A9" s="201" t="s">
        <v>606</v>
      </c>
      <c r="B9" s="202"/>
      <c r="C9" s="214"/>
      <c r="Q9" s="38" t="str">
        <f>A9</f>
        <v xml:space="preserve">SIS has implemented a BSA/AML compliance program consistent with the requirements of the Bank Secrecy Act (BSA) as amended by the USA Patriot Act of 2001,.  The program includes:   
1)            the designation of an Anti-Money Laundering Compliance Officer;
2)            internal policies, procedures and controls;
3)            an ongoing employee training program; and
4)            independent testing of compliance by internal auditors.
Main control include:
* Internal and External Audits
* Compliance test / annual certifications
* Licenses and annual training for employees
* FINRA assessments
* As part of the annual Compliance meeting completed by every SIS employee, SIS provides a comprehensive review of the AML requirements.   
* AML Compliance provides training to all new SIS employees within 30 days of the hire date.   
* AML Compliance works closely with the ECM personnel to ensure AML due diligence is performed properly during each account approval process.    
Controls and training the ECM personnel on new regulations and regulatory changes could be enhanced to minimize this risk. Allocating the record keeping to an supporting area would be an enhancement, as recommended in the last Compliance Assessment.
</v>
      </c>
    </row>
    <row r="10" spans="1:27" ht="81.75" customHeight="1" thickBot="1" x14ac:dyDescent="0.3">
      <c r="A10" s="41" t="s">
        <v>491</v>
      </c>
      <c r="B10" s="204" t="s">
        <v>573</v>
      </c>
      <c r="C10" s="216"/>
    </row>
    <row r="11" spans="1:27" ht="31.5" customHeight="1" thickBot="1" x14ac:dyDescent="0.3">
      <c r="A11" s="198" t="s">
        <v>254</v>
      </c>
      <c r="B11" s="199"/>
      <c r="C11" s="215"/>
      <c r="Q11" s="38" t="str">
        <f>A11</f>
        <v>Risk Narrative - The risk narrative should be an executive level write up touching on the nature of the risk, the expected impact, the worst one in ten year impact, the risk drivers and the adequacy of the control suite.</v>
      </c>
    </row>
    <row r="12" spans="1:27" ht="174" customHeight="1" thickBot="1" x14ac:dyDescent="0.3">
      <c r="A12" s="204" t="s">
        <v>607</v>
      </c>
      <c r="B12" s="206"/>
      <c r="C12" s="217"/>
      <c r="Q12" s="38" t="str">
        <f>A12</f>
        <v xml:space="preserve">Sanctions and fines for not being compliant with regulations while doing business, in particular AML and OFAC. In addition, the manual nature of our processes increases this risk. Controls and training the ECM personnel on new regulations and regulatory changes could be enhanced to minimize this risk.
The request of capital for the Underwriting of ECM deals is done by email to Accounting which could lead to manual errors and late notifications. Given the level of capitalization of SIS, if the amount requested is not sufficient or arrives late there is a risk that SIS is not able to participate in a transaction or fails to comply with capital requirement regulations / FINRA requirements.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topLeftCell="A10" zoomScaleNormal="100" workbookViewId="0">
      <selection activeCell="A10" sqref="A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t="str">
        <f>C2</f>
        <v>Compliance</v>
      </c>
    </row>
    <row r="2" spans="1:27" ht="30.75" customHeight="1" thickBot="1" x14ac:dyDescent="0.3">
      <c r="A2" s="212" t="s">
        <v>255</v>
      </c>
      <c r="B2" s="211"/>
      <c r="C2" s="90" t="s">
        <v>11</v>
      </c>
      <c r="R2" s="42" t="str">
        <f t="shared" ref="R2:R7" si="0">A2</f>
        <v>Risk Type  - The Risk Type from the SHUSA ERM Risk Taxonomy</v>
      </c>
    </row>
    <row r="3" spans="1:27" ht="24" customHeight="1" thickBot="1" x14ac:dyDescent="0.3">
      <c r="A3" s="213" t="s">
        <v>251</v>
      </c>
      <c r="B3" s="150"/>
      <c r="C3" s="70" t="s">
        <v>38</v>
      </c>
      <c r="R3" s="42" t="str">
        <f t="shared" si="0"/>
        <v>Risk Sub Type  - The Risk Sub-Category from the SHUSA ERM Risk Taxonomy</v>
      </c>
    </row>
    <row r="4" spans="1:27" ht="31.5" customHeight="1" thickBot="1" x14ac:dyDescent="0.3">
      <c r="A4" s="213" t="s">
        <v>252</v>
      </c>
      <c r="B4" s="150"/>
      <c r="C4" s="73" t="s">
        <v>574</v>
      </c>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81" customHeight="1" thickBot="1" x14ac:dyDescent="0.3">
      <c r="A9" s="201" t="s">
        <v>579</v>
      </c>
      <c r="B9" s="202"/>
      <c r="C9" s="203"/>
      <c r="Q9" s="38" t="str">
        <f>A9</f>
        <v xml:space="preserve">* SIS ECM involvement is required 
* SIS ECM works closely with local teams and educates them on US regulation as appropriate; a more formal educational process on US Regulation could be contemplated for ECM
* Local teams are part of internal approvals (i.e., Market Risk Approval, NY Underwriting Committee)
* Both Local Teams and SIS ECM participated in diligence sessions
</v>
      </c>
    </row>
    <row r="10" spans="1:27" ht="105.75" customHeight="1" thickBot="1" x14ac:dyDescent="0.3">
      <c r="A10" s="41" t="s">
        <v>491</v>
      </c>
      <c r="B10" s="204" t="s">
        <v>604</v>
      </c>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409.6" thickBot="1" x14ac:dyDescent="0.3">
      <c r="A12" s="204" t="s">
        <v>605</v>
      </c>
      <c r="B12" s="206"/>
      <c r="C12" s="207"/>
      <c r="Q12" s="38" t="str">
        <f>A12</f>
        <v xml:space="preserve">A significant share of the ECM Business done in SIS relates to Latin American listings with an International Tranche according to (1) Rule 144A/Reg S or (2) an SEC registration of ADRs (dual listing). In those cases, the SIS ECM Team works very closely with the Santander Local ECM team which is part of the Local Tranche of the transaction. Given the proximity to the issuer and the size of the SIS ECM team, sometimes we need to rely on the local team for due diligence, KYC, etc. SIS affiliates might not be familiar with US regulations imposing a risk to the business (i.e., insider trading, Chinese walls, record keeping).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4"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C1" sqref="C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8" t="s">
        <v>485</v>
      </c>
      <c r="B1" s="150"/>
      <c r="C1" s="73"/>
      <c r="Q1" s="81"/>
      <c r="R1" s="81"/>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38">
        <f>A9</f>
        <v>0</v>
      </c>
    </row>
    <row r="10" spans="1:27" ht="81.75" customHeight="1" thickBot="1" x14ac:dyDescent="0.3">
      <c r="A10" s="41" t="s">
        <v>491</v>
      </c>
      <c r="B10" s="204"/>
      <c r="C10" s="205"/>
    </row>
    <row r="11" spans="1:27" ht="31.5" customHeight="1" thickBot="1" x14ac:dyDescent="0.3">
      <c r="A11" s="198" t="s">
        <v>254</v>
      </c>
      <c r="B11" s="199"/>
      <c r="C11" s="20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8" t="s">
        <v>485</v>
      </c>
      <c r="B1" s="150"/>
      <c r="C1" s="73"/>
      <c r="AA1" s="39">
        <f>C2</f>
        <v>0</v>
      </c>
    </row>
    <row r="2" spans="1:27" ht="30.75" customHeight="1" thickBot="1" x14ac:dyDescent="0.3">
      <c r="A2" s="212" t="s">
        <v>255</v>
      </c>
      <c r="B2" s="211"/>
      <c r="C2" s="90"/>
      <c r="R2" s="42" t="str">
        <f t="shared" ref="R2:R7" si="0">A2</f>
        <v>Risk Type  - The Risk Type from the SHUSA ERM Risk Taxonomy</v>
      </c>
    </row>
    <row r="3" spans="1:27" ht="24" customHeight="1" thickBot="1" x14ac:dyDescent="0.3">
      <c r="A3" s="213" t="s">
        <v>251</v>
      </c>
      <c r="B3" s="150"/>
      <c r="C3" s="70"/>
      <c r="R3" s="42" t="str">
        <f t="shared" si="0"/>
        <v>Risk Sub Type  - The Risk Sub-Category from the SHUSA ERM Risk Taxonomy</v>
      </c>
    </row>
    <row r="4" spans="1:27" ht="31.5" customHeight="1" thickBot="1" x14ac:dyDescent="0.3">
      <c r="A4" s="213" t="s">
        <v>252</v>
      </c>
      <c r="B4" s="150"/>
      <c r="C4" s="73"/>
      <c r="R4" s="42" t="str">
        <f t="shared" si="0"/>
        <v>Risk Name - The name of the risk which helps define it and differentiate it from other risks in other Business Lines with a similar Risk Category</v>
      </c>
    </row>
    <row r="5" spans="1:27" ht="39" customHeight="1" thickBot="1" x14ac:dyDescent="0.3">
      <c r="A5" s="213" t="s">
        <v>526</v>
      </c>
      <c r="B5" s="150"/>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3" t="s">
        <v>529</v>
      </c>
      <c r="B6" s="150"/>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0" t="s">
        <v>528</v>
      </c>
      <c r="B7" s="21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8" t="s">
        <v>253</v>
      </c>
      <c r="B8" s="199"/>
      <c r="C8" s="200"/>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1"/>
      <c r="B9" s="202"/>
      <c r="C9" s="203"/>
      <c r="Q9" s="86">
        <f>A9</f>
        <v>0</v>
      </c>
    </row>
    <row r="10" spans="1:27" ht="81.75" customHeight="1" thickBot="1" x14ac:dyDescent="0.3">
      <c r="A10" s="41" t="s">
        <v>490</v>
      </c>
      <c r="B10" s="204"/>
      <c r="C10" s="205"/>
    </row>
    <row r="11" spans="1:27" ht="31.5" customHeight="1" thickBot="1" x14ac:dyDescent="0.3">
      <c r="A11" s="198" t="s">
        <v>254</v>
      </c>
      <c r="B11" s="199"/>
      <c r="C11" s="200"/>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04"/>
      <c r="B12" s="206"/>
      <c r="C12" s="207"/>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7" t="s">
        <v>335</v>
      </c>
      <c r="B1" s="228"/>
      <c r="C1" s="228"/>
    </row>
    <row r="2" spans="1:3" ht="15.75" thickBot="1" x14ac:dyDescent="0.3">
      <c r="A2" s="74" t="s">
        <v>226</v>
      </c>
      <c r="B2" s="75" t="s">
        <v>312</v>
      </c>
      <c r="C2" s="75" t="s">
        <v>313</v>
      </c>
    </row>
    <row r="3" spans="1:3" ht="15.75" thickBot="1" x14ac:dyDescent="0.3">
      <c r="A3" s="219" t="s">
        <v>146</v>
      </c>
      <c r="B3" s="219" t="s">
        <v>314</v>
      </c>
      <c r="C3" s="54" t="s">
        <v>315</v>
      </c>
    </row>
    <row r="4" spans="1:3" ht="15.75" thickBot="1" x14ac:dyDescent="0.3">
      <c r="A4" s="220"/>
      <c r="B4" s="220"/>
      <c r="C4" s="54" t="s">
        <v>316</v>
      </c>
    </row>
    <row r="5" spans="1:3" ht="15.75" thickBot="1" x14ac:dyDescent="0.3">
      <c r="A5" s="220"/>
      <c r="B5" s="220"/>
      <c r="C5" s="54" t="s">
        <v>317</v>
      </c>
    </row>
    <row r="6" spans="1:3" ht="15.75" thickBot="1" x14ac:dyDescent="0.3">
      <c r="A6" s="220"/>
      <c r="B6" s="220"/>
      <c r="C6" s="54" t="s">
        <v>318</v>
      </c>
    </row>
    <row r="7" spans="1:3" ht="15.75" thickBot="1" x14ac:dyDescent="0.3">
      <c r="A7" s="220"/>
      <c r="B7" s="220"/>
      <c r="C7" s="54" t="s">
        <v>319</v>
      </c>
    </row>
    <row r="8" spans="1:3" ht="15.75" thickBot="1" x14ac:dyDescent="0.3">
      <c r="A8" s="221"/>
      <c r="B8" s="221"/>
      <c r="C8" s="54" t="s">
        <v>320</v>
      </c>
    </row>
    <row r="9" spans="1:3" ht="15.75" thickBot="1" x14ac:dyDescent="0.3">
      <c r="A9" s="219" t="s">
        <v>23</v>
      </c>
      <c r="B9" s="219" t="s">
        <v>321</v>
      </c>
      <c r="C9" s="54" t="s">
        <v>322</v>
      </c>
    </row>
    <row r="10" spans="1:3" ht="15.75" thickBot="1" x14ac:dyDescent="0.3">
      <c r="A10" s="220"/>
      <c r="B10" s="220"/>
      <c r="C10" s="54" t="s">
        <v>323</v>
      </c>
    </row>
    <row r="11" spans="1:3" ht="15.75" thickBot="1" x14ac:dyDescent="0.3">
      <c r="A11" s="220"/>
      <c r="B11" s="220"/>
      <c r="C11" s="54" t="s">
        <v>324</v>
      </c>
    </row>
    <row r="12" spans="1:3" ht="15.75" thickBot="1" x14ac:dyDescent="0.3">
      <c r="A12" s="221"/>
      <c r="B12" s="221"/>
      <c r="C12" s="54" t="s">
        <v>325</v>
      </c>
    </row>
    <row r="13" spans="1:3" ht="30.75" thickBot="1" x14ac:dyDescent="0.3">
      <c r="A13" s="46" t="s">
        <v>213</v>
      </c>
      <c r="B13" s="54" t="s">
        <v>213</v>
      </c>
      <c r="C13" s="54" t="s">
        <v>213</v>
      </c>
    </row>
    <row r="14" spans="1:3" ht="15.75" thickBot="1" x14ac:dyDescent="0.3">
      <c r="A14" s="219" t="s">
        <v>10</v>
      </c>
      <c r="B14" s="219" t="s">
        <v>336</v>
      </c>
      <c r="C14" s="54" t="s">
        <v>326</v>
      </c>
    </row>
    <row r="15" spans="1:3" ht="15.75" thickBot="1" x14ac:dyDescent="0.3">
      <c r="A15" s="220"/>
      <c r="B15" s="220"/>
      <c r="C15" s="54" t="s">
        <v>327</v>
      </c>
    </row>
    <row r="16" spans="1:3" ht="15.75" thickBot="1" x14ac:dyDescent="0.3">
      <c r="A16" s="220"/>
      <c r="B16" s="220"/>
      <c r="C16" s="54" t="s">
        <v>328</v>
      </c>
    </row>
    <row r="17" spans="1:3" ht="15.75" thickBot="1" x14ac:dyDescent="0.3">
      <c r="A17" s="221"/>
      <c r="B17" s="221"/>
      <c r="C17" s="54" t="s">
        <v>329</v>
      </c>
    </row>
    <row r="18" spans="1:3" ht="15.75" thickBot="1" x14ac:dyDescent="0.3">
      <c r="A18" s="219" t="s">
        <v>22</v>
      </c>
      <c r="B18" s="219" t="s">
        <v>330</v>
      </c>
      <c r="C18" s="54" t="s">
        <v>331</v>
      </c>
    </row>
    <row r="19" spans="1:3" ht="15.75" thickBot="1" x14ac:dyDescent="0.3">
      <c r="A19" s="220"/>
      <c r="B19" s="220"/>
      <c r="C19" s="54" t="s">
        <v>332</v>
      </c>
    </row>
    <row r="20" spans="1:3" ht="15.75" thickBot="1" x14ac:dyDescent="0.3">
      <c r="A20" s="220"/>
      <c r="B20" s="220"/>
      <c r="C20" s="54" t="s">
        <v>333</v>
      </c>
    </row>
    <row r="21" spans="1:3" ht="15.75" thickBot="1" x14ac:dyDescent="0.3">
      <c r="A21" s="221"/>
      <c r="B21" s="221"/>
      <c r="C21" s="54" t="s">
        <v>337</v>
      </c>
    </row>
    <row r="22" spans="1:3" ht="15.75" thickBot="1" x14ac:dyDescent="0.3">
      <c r="A22" s="46" t="s">
        <v>222</v>
      </c>
      <c r="B22" s="54" t="s">
        <v>334</v>
      </c>
      <c r="C22" s="54" t="s">
        <v>222</v>
      </c>
    </row>
    <row r="23" spans="1:3" x14ac:dyDescent="0.25">
      <c r="A23" s="80"/>
      <c r="B23" s="80"/>
      <c r="C23" s="80"/>
    </row>
    <row r="24" spans="1:3" ht="45.75" customHeight="1" x14ac:dyDescent="0.25">
      <c r="A24" s="225" t="s">
        <v>338</v>
      </c>
      <c r="B24" s="226"/>
      <c r="C24" s="226"/>
    </row>
    <row r="25" spans="1:3" ht="16.5" thickBot="1" x14ac:dyDescent="0.3">
      <c r="A25" s="77"/>
      <c r="B25"/>
      <c r="C25"/>
    </row>
    <row r="26" spans="1:3" ht="15.75" thickBot="1" x14ac:dyDescent="0.3">
      <c r="A26" s="74" t="s">
        <v>226</v>
      </c>
      <c r="B26" s="75" t="s">
        <v>312</v>
      </c>
      <c r="C26" s="75" t="s">
        <v>313</v>
      </c>
    </row>
    <row r="27" spans="1:3" ht="15.75" thickBot="1" x14ac:dyDescent="0.3">
      <c r="A27" s="219" t="s">
        <v>145</v>
      </c>
      <c r="B27" s="219" t="s">
        <v>339</v>
      </c>
      <c r="C27" s="54" t="s">
        <v>340</v>
      </c>
    </row>
    <row r="28" spans="1:3" ht="15.75" thickBot="1" x14ac:dyDescent="0.3">
      <c r="A28" s="220"/>
      <c r="B28" s="220"/>
      <c r="C28" s="54" t="s">
        <v>341</v>
      </c>
    </row>
    <row r="29" spans="1:3" ht="15.75" thickBot="1" x14ac:dyDescent="0.3">
      <c r="A29" s="220"/>
      <c r="B29" s="220"/>
      <c r="C29" s="54" t="s">
        <v>342</v>
      </c>
    </row>
    <row r="30" spans="1:3" ht="15.75" thickBot="1" x14ac:dyDescent="0.3">
      <c r="A30" s="220"/>
      <c r="B30" s="220"/>
      <c r="C30" s="54" t="s">
        <v>28</v>
      </c>
    </row>
    <row r="31" spans="1:3" ht="15.75" thickBot="1" x14ac:dyDescent="0.3">
      <c r="A31" s="220"/>
      <c r="B31" s="220"/>
      <c r="C31" s="54" t="s">
        <v>26</v>
      </c>
    </row>
    <row r="32" spans="1:3" ht="15.75" thickBot="1" x14ac:dyDescent="0.3">
      <c r="A32" s="221"/>
      <c r="B32" s="221"/>
      <c r="C32" s="54" t="s">
        <v>343</v>
      </c>
    </row>
    <row r="33" spans="1:3" ht="15.75" x14ac:dyDescent="0.25">
      <c r="A33" s="77"/>
      <c r="B33"/>
      <c r="C33"/>
    </row>
    <row r="34" spans="1:3" ht="42" customHeight="1" x14ac:dyDescent="0.25">
      <c r="A34" s="225" t="s">
        <v>344</v>
      </c>
      <c r="B34" s="226"/>
      <c r="C34" s="226"/>
    </row>
    <row r="35" spans="1:3" ht="15.75" thickBot="1" x14ac:dyDescent="0.3">
      <c r="A35" s="44"/>
      <c r="B35"/>
      <c r="C35"/>
    </row>
    <row r="36" spans="1:3" ht="15.75" thickBot="1" x14ac:dyDescent="0.3">
      <c r="A36" s="74" t="s">
        <v>226</v>
      </c>
      <c r="B36" s="75" t="s">
        <v>312</v>
      </c>
      <c r="C36" s="75" t="s">
        <v>313</v>
      </c>
    </row>
    <row r="37" spans="1:3" ht="30.75" thickBot="1" x14ac:dyDescent="0.3">
      <c r="A37" s="46" t="s">
        <v>53</v>
      </c>
      <c r="B37" s="54" t="s">
        <v>345</v>
      </c>
      <c r="C37" s="54" t="s">
        <v>53</v>
      </c>
    </row>
    <row r="38" spans="1:3" ht="75" x14ac:dyDescent="0.25">
      <c r="A38" s="219" t="s">
        <v>64</v>
      </c>
      <c r="B38" s="76" t="s">
        <v>346</v>
      </c>
      <c r="C38" s="219" t="s">
        <v>64</v>
      </c>
    </row>
    <row r="39" spans="1:3" ht="30" x14ac:dyDescent="0.25">
      <c r="A39" s="220"/>
      <c r="B39" s="76" t="s">
        <v>347</v>
      </c>
      <c r="C39" s="220"/>
    </row>
    <row r="40" spans="1:3" ht="30" x14ac:dyDescent="0.25">
      <c r="A40" s="220"/>
      <c r="B40" s="76" t="s">
        <v>348</v>
      </c>
      <c r="C40" s="220"/>
    </row>
    <row r="41" spans="1:3" x14ac:dyDescent="0.25">
      <c r="A41" s="220"/>
      <c r="B41" s="76" t="s">
        <v>349</v>
      </c>
      <c r="C41" s="220"/>
    </row>
    <row r="42" spans="1:3" ht="15.75" thickBot="1" x14ac:dyDescent="0.3">
      <c r="A42" s="221"/>
      <c r="B42" s="54" t="s">
        <v>350</v>
      </c>
      <c r="C42" s="221"/>
    </row>
    <row r="43" spans="1:3" ht="135.75" thickBot="1" x14ac:dyDescent="0.3">
      <c r="A43" s="46" t="s">
        <v>56</v>
      </c>
      <c r="B43" s="54" t="s">
        <v>351</v>
      </c>
      <c r="C43" s="54" t="s">
        <v>56</v>
      </c>
    </row>
    <row r="44" spans="1:3" ht="75.75" thickBot="1" x14ac:dyDescent="0.3">
      <c r="A44" s="46" t="s">
        <v>138</v>
      </c>
      <c r="B44" s="54" t="s">
        <v>352</v>
      </c>
      <c r="C44" s="54" t="s">
        <v>138</v>
      </c>
    </row>
    <row r="45" spans="1:3" ht="15.75" thickBot="1" x14ac:dyDescent="0.3">
      <c r="A45" s="219" t="s">
        <v>57</v>
      </c>
      <c r="B45" s="219" t="s">
        <v>353</v>
      </c>
      <c r="C45" s="54" t="s">
        <v>354</v>
      </c>
    </row>
    <row r="46" spans="1:3" ht="15.75" thickBot="1" x14ac:dyDescent="0.3">
      <c r="A46" s="220"/>
      <c r="B46" s="220"/>
      <c r="C46" s="54" t="s">
        <v>327</v>
      </c>
    </row>
    <row r="47" spans="1:3" ht="15.75" thickBot="1" x14ac:dyDescent="0.3">
      <c r="A47" s="220"/>
      <c r="B47" s="220"/>
      <c r="C47" s="54" t="s">
        <v>322</v>
      </c>
    </row>
    <row r="48" spans="1:3" ht="15.75" thickBot="1" x14ac:dyDescent="0.3">
      <c r="A48" s="220"/>
      <c r="B48" s="220"/>
      <c r="C48" s="54" t="s">
        <v>355</v>
      </c>
    </row>
    <row r="49" spans="1:3" ht="15.75" thickBot="1" x14ac:dyDescent="0.3">
      <c r="A49" s="221"/>
      <c r="B49" s="221"/>
      <c r="C49" s="54" t="s">
        <v>356</v>
      </c>
    </row>
    <row r="50" spans="1:3" ht="60.75" thickBot="1" x14ac:dyDescent="0.3">
      <c r="A50" s="46" t="s">
        <v>55</v>
      </c>
      <c r="B50" s="54" t="s">
        <v>357</v>
      </c>
      <c r="C50" s="54" t="s">
        <v>55</v>
      </c>
    </row>
    <row r="51" spans="1:3" ht="30" x14ac:dyDescent="0.25">
      <c r="A51" s="219" t="s">
        <v>52</v>
      </c>
      <c r="B51" s="76" t="s">
        <v>358</v>
      </c>
      <c r="C51" s="219" t="s">
        <v>52</v>
      </c>
    </row>
    <row r="52" spans="1:3" ht="45.75" thickBot="1" x14ac:dyDescent="0.3">
      <c r="A52" s="221"/>
      <c r="B52" s="54" t="s">
        <v>359</v>
      </c>
      <c r="C52" s="221"/>
    </row>
    <row r="53" spans="1:3" ht="45.75" thickBot="1" x14ac:dyDescent="0.3">
      <c r="A53" s="46" t="s">
        <v>18</v>
      </c>
      <c r="B53" s="54" t="s">
        <v>360</v>
      </c>
      <c r="C53" s="54" t="s">
        <v>18</v>
      </c>
    </row>
    <row r="54" spans="1:3" ht="30.75" thickBot="1" x14ac:dyDescent="0.3">
      <c r="A54" s="46" t="s">
        <v>144</v>
      </c>
      <c r="B54" s="54" t="s">
        <v>361</v>
      </c>
      <c r="C54" s="54" t="s">
        <v>362</v>
      </c>
    </row>
    <row r="55" spans="1:3" ht="15.75" x14ac:dyDescent="0.25">
      <c r="A55" s="77"/>
      <c r="B55"/>
      <c r="C55"/>
    </row>
    <row r="56" spans="1:3" ht="39" customHeight="1" x14ac:dyDescent="0.25">
      <c r="A56" s="225" t="s">
        <v>363</v>
      </c>
      <c r="B56" s="226"/>
      <c r="C56" s="226"/>
    </row>
    <row r="57" spans="1:3" ht="16.5" thickBot="1" x14ac:dyDescent="0.3">
      <c r="A57" s="77"/>
      <c r="B57"/>
      <c r="C57"/>
    </row>
    <row r="58" spans="1:3" ht="15.75" thickBot="1" x14ac:dyDescent="0.3">
      <c r="A58" s="74" t="s">
        <v>226</v>
      </c>
      <c r="B58" s="75" t="s">
        <v>312</v>
      </c>
      <c r="C58" s="75" t="s">
        <v>313</v>
      </c>
    </row>
    <row r="59" spans="1:3" ht="15.75" thickBot="1" x14ac:dyDescent="0.3">
      <c r="A59" s="46" t="s">
        <v>158</v>
      </c>
      <c r="B59" s="54" t="s">
        <v>364</v>
      </c>
      <c r="C59" s="54" t="s">
        <v>365</v>
      </c>
    </row>
    <row r="60" spans="1:3" ht="30" x14ac:dyDescent="0.25">
      <c r="A60" s="219" t="s">
        <v>45</v>
      </c>
      <c r="B60" s="76" t="s">
        <v>366</v>
      </c>
      <c r="C60" s="219" t="s">
        <v>373</v>
      </c>
    </row>
    <row r="61" spans="1:3" x14ac:dyDescent="0.25">
      <c r="A61" s="220"/>
      <c r="B61" s="76" t="s">
        <v>367</v>
      </c>
      <c r="C61" s="220"/>
    </row>
    <row r="62" spans="1:3" x14ac:dyDescent="0.25">
      <c r="A62" s="220"/>
      <c r="B62" s="76" t="s">
        <v>368</v>
      </c>
      <c r="C62" s="220"/>
    </row>
    <row r="63" spans="1:3" ht="15.75" thickBot="1" x14ac:dyDescent="0.3">
      <c r="A63" s="220"/>
      <c r="B63" s="76" t="s">
        <v>369</v>
      </c>
      <c r="C63" s="221"/>
    </row>
    <row r="64" spans="1:3" ht="15.75" thickBot="1" x14ac:dyDescent="0.3">
      <c r="A64" s="220"/>
      <c r="B64" s="76" t="s">
        <v>370</v>
      </c>
      <c r="C64" s="54" t="s">
        <v>374</v>
      </c>
    </row>
    <row r="65" spans="1:3" ht="30.75" thickBot="1" x14ac:dyDescent="0.3">
      <c r="A65" s="220"/>
      <c r="B65" s="76" t="s">
        <v>371</v>
      </c>
      <c r="C65" s="54" t="s">
        <v>375</v>
      </c>
    </row>
    <row r="66" spans="1:3" ht="75.75" thickBot="1" x14ac:dyDescent="0.3">
      <c r="A66" s="221"/>
      <c r="B66" s="54" t="s">
        <v>372</v>
      </c>
      <c r="C66" s="54" t="s">
        <v>376</v>
      </c>
    </row>
    <row r="67" spans="1:3" ht="90.75" thickBot="1" x14ac:dyDescent="0.3">
      <c r="A67" s="46" t="s">
        <v>48</v>
      </c>
      <c r="B67" s="54" t="s">
        <v>377</v>
      </c>
      <c r="C67" s="54" t="s">
        <v>48</v>
      </c>
    </row>
    <row r="68" spans="1:3" ht="30.75" thickBot="1" x14ac:dyDescent="0.3">
      <c r="A68" s="46" t="s">
        <v>163</v>
      </c>
      <c r="B68" s="54" t="s">
        <v>378</v>
      </c>
      <c r="C68" s="54" t="s">
        <v>163</v>
      </c>
    </row>
    <row r="69" spans="1:3" ht="15.75" thickBot="1" x14ac:dyDescent="0.3">
      <c r="A69" s="219" t="s">
        <v>46</v>
      </c>
      <c r="B69" s="76" t="s">
        <v>379</v>
      </c>
      <c r="C69" s="54" t="s">
        <v>381</v>
      </c>
    </row>
    <row r="70" spans="1:3" ht="90.75" thickBot="1" x14ac:dyDescent="0.3">
      <c r="A70" s="221"/>
      <c r="B70" s="54" t="s">
        <v>380</v>
      </c>
      <c r="C70" s="54" t="s">
        <v>382</v>
      </c>
    </row>
    <row r="71" spans="1:3" ht="15.75" x14ac:dyDescent="0.25">
      <c r="A71" s="77"/>
      <c r="B71"/>
      <c r="C71"/>
    </row>
    <row r="72" spans="1:3" ht="53.25" customHeight="1" x14ac:dyDescent="0.25">
      <c r="A72" s="225" t="s">
        <v>383</v>
      </c>
      <c r="B72" s="226"/>
      <c r="C72" s="226"/>
    </row>
    <row r="73" spans="1:3" ht="16.5" thickBot="1" x14ac:dyDescent="0.3">
      <c r="A73" s="77"/>
      <c r="B73"/>
      <c r="C73"/>
    </row>
    <row r="74" spans="1:3" ht="15.75" thickBot="1" x14ac:dyDescent="0.3">
      <c r="A74" s="74" t="s">
        <v>226</v>
      </c>
      <c r="B74" s="78" t="s">
        <v>312</v>
      </c>
      <c r="C74" s="75" t="s">
        <v>313</v>
      </c>
    </row>
    <row r="75" spans="1:3" ht="15.75" thickBot="1" x14ac:dyDescent="0.3">
      <c r="A75" s="219" t="s">
        <v>49</v>
      </c>
      <c r="B75" s="222" t="s">
        <v>384</v>
      </c>
      <c r="C75" s="54" t="s">
        <v>385</v>
      </c>
    </row>
    <row r="76" spans="1:3" ht="15.75" thickBot="1" x14ac:dyDescent="0.3">
      <c r="A76" s="220"/>
      <c r="B76" s="223"/>
      <c r="C76" s="54" t="s">
        <v>386</v>
      </c>
    </row>
    <row r="77" spans="1:3" ht="15.75" thickBot="1" x14ac:dyDescent="0.3">
      <c r="A77" s="220"/>
      <c r="B77" s="223"/>
      <c r="C77" s="54" t="s">
        <v>10</v>
      </c>
    </row>
    <row r="78" spans="1:3" ht="15.75" thickBot="1" x14ac:dyDescent="0.3">
      <c r="A78" s="221"/>
      <c r="B78" s="224"/>
      <c r="C78" s="54" t="s">
        <v>387</v>
      </c>
    </row>
    <row r="79" spans="1:3" ht="15.75" thickBot="1" x14ac:dyDescent="0.3">
      <c r="A79" s="219" t="s">
        <v>50</v>
      </c>
      <c r="B79" s="222" t="s">
        <v>388</v>
      </c>
      <c r="C79" s="54" t="s">
        <v>389</v>
      </c>
    </row>
    <row r="80" spans="1:3" ht="15.75" thickBot="1" x14ac:dyDescent="0.3">
      <c r="A80" s="220"/>
      <c r="B80" s="223"/>
      <c r="C80" s="54" t="s">
        <v>390</v>
      </c>
    </row>
    <row r="81" spans="1:3" ht="15.75" thickBot="1" x14ac:dyDescent="0.3">
      <c r="A81" s="221"/>
      <c r="B81" s="224"/>
      <c r="C81" s="54" t="s">
        <v>318</v>
      </c>
    </row>
    <row r="82" spans="1:3" ht="15.75" thickBot="1" x14ac:dyDescent="0.3">
      <c r="A82" s="219" t="s">
        <v>16</v>
      </c>
      <c r="B82" s="222" t="s">
        <v>391</v>
      </c>
      <c r="C82" s="54" t="s">
        <v>392</v>
      </c>
    </row>
    <row r="83" spans="1:3" ht="15.75" thickBot="1" x14ac:dyDescent="0.3">
      <c r="A83" s="220"/>
      <c r="B83" s="223"/>
      <c r="C83" s="54" t="s">
        <v>393</v>
      </c>
    </row>
    <row r="84" spans="1:3" ht="15.75" thickBot="1" x14ac:dyDescent="0.3">
      <c r="A84" s="220"/>
      <c r="B84" s="223"/>
      <c r="C84" s="54" t="s">
        <v>394</v>
      </c>
    </row>
    <row r="85" spans="1:3" ht="15.75" thickBot="1" x14ac:dyDescent="0.3">
      <c r="A85" s="221"/>
      <c r="B85" s="224"/>
      <c r="C85" s="54" t="s">
        <v>395</v>
      </c>
    </row>
    <row r="86" spans="1:3" ht="15.75" x14ac:dyDescent="0.25">
      <c r="A86" s="77"/>
      <c r="B86"/>
      <c r="C86"/>
    </row>
    <row r="87" spans="1:3" ht="22.5" customHeight="1" x14ac:dyDescent="0.25">
      <c r="A87" s="225" t="s">
        <v>396</v>
      </c>
      <c r="B87" s="226"/>
      <c r="C87" s="226"/>
    </row>
    <row r="88" spans="1:3" ht="16.5" thickBot="1" x14ac:dyDescent="0.3">
      <c r="A88" s="77"/>
      <c r="B88"/>
      <c r="C88"/>
    </row>
    <row r="89" spans="1:3" ht="15.75" thickBot="1" x14ac:dyDescent="0.3">
      <c r="A89" s="74" t="s">
        <v>226</v>
      </c>
      <c r="B89" s="75" t="s">
        <v>312</v>
      </c>
      <c r="C89" s="75" t="s">
        <v>313</v>
      </c>
    </row>
    <row r="90" spans="1:3" ht="30.75" thickBot="1" x14ac:dyDescent="0.3">
      <c r="A90" s="219" t="s">
        <v>30</v>
      </c>
      <c r="B90" s="219" t="s">
        <v>397</v>
      </c>
      <c r="C90" s="54" t="s">
        <v>398</v>
      </c>
    </row>
    <row r="91" spans="1:3" ht="15.75" thickBot="1" x14ac:dyDescent="0.3">
      <c r="A91" s="220"/>
      <c r="B91" s="220"/>
      <c r="C91" s="54" t="s">
        <v>399</v>
      </c>
    </row>
    <row r="92" spans="1:3" ht="15.75" thickBot="1" x14ac:dyDescent="0.3">
      <c r="A92" s="220"/>
      <c r="B92" s="220"/>
      <c r="C92" s="54" t="s">
        <v>400</v>
      </c>
    </row>
    <row r="93" spans="1:3" ht="15.75" thickBot="1" x14ac:dyDescent="0.3">
      <c r="A93" s="220"/>
      <c r="B93" s="220"/>
      <c r="C93" s="54" t="s">
        <v>401</v>
      </c>
    </row>
    <row r="94" spans="1:3" ht="15.75" thickBot="1" x14ac:dyDescent="0.3">
      <c r="A94" s="221"/>
      <c r="B94" s="221"/>
      <c r="C94" s="54" t="s">
        <v>402</v>
      </c>
    </row>
    <row r="95" spans="1:3" ht="15.75" thickBot="1" x14ac:dyDescent="0.3">
      <c r="A95" s="219" t="s">
        <v>32</v>
      </c>
      <c r="B95" s="219" t="s">
        <v>403</v>
      </c>
      <c r="C95" s="54" t="s">
        <v>404</v>
      </c>
    </row>
    <row r="96" spans="1:3" ht="15.75" thickBot="1" x14ac:dyDescent="0.3">
      <c r="A96" s="220"/>
      <c r="B96" s="220"/>
      <c r="C96" s="54" t="s">
        <v>405</v>
      </c>
    </row>
    <row r="97" spans="1:3" ht="15.75" thickBot="1" x14ac:dyDescent="0.3">
      <c r="A97" s="220"/>
      <c r="B97" s="220"/>
      <c r="C97" s="79" t="s">
        <v>406</v>
      </c>
    </row>
    <row r="98" spans="1:3" ht="15.75" thickBot="1" x14ac:dyDescent="0.3">
      <c r="A98" s="221"/>
      <c r="B98" s="221"/>
      <c r="C98" s="54" t="s">
        <v>407</v>
      </c>
    </row>
    <row r="99" spans="1:3" ht="15.75" thickBot="1" x14ac:dyDescent="0.3">
      <c r="A99" s="219" t="s">
        <v>34</v>
      </c>
      <c r="B99" s="219" t="s">
        <v>408</v>
      </c>
      <c r="C99" s="54" t="s">
        <v>409</v>
      </c>
    </row>
    <row r="100" spans="1:3" ht="27" customHeight="1" thickBot="1" x14ac:dyDescent="0.3">
      <c r="A100" s="220"/>
      <c r="B100" s="220"/>
      <c r="C100" s="54" t="s">
        <v>410</v>
      </c>
    </row>
    <row r="101" spans="1:3" ht="40.5" customHeight="1" thickBot="1" x14ac:dyDescent="0.3">
      <c r="A101" s="221"/>
      <c r="B101" s="221"/>
      <c r="C101" s="54" t="s">
        <v>411</v>
      </c>
    </row>
    <row r="102" spans="1:3" ht="45.75" thickBot="1" x14ac:dyDescent="0.3">
      <c r="A102" s="219" t="s">
        <v>38</v>
      </c>
      <c r="B102" s="219" t="s">
        <v>412</v>
      </c>
      <c r="C102" s="54" t="s">
        <v>413</v>
      </c>
    </row>
    <row r="103" spans="1:3" ht="15.75" thickBot="1" x14ac:dyDescent="0.3">
      <c r="A103" s="220"/>
      <c r="B103" s="220"/>
      <c r="C103" s="54" t="s">
        <v>414</v>
      </c>
    </row>
    <row r="104" spans="1:3" ht="30.75" thickBot="1" x14ac:dyDescent="0.3">
      <c r="A104" s="220"/>
      <c r="B104" s="220"/>
      <c r="C104" s="54" t="s">
        <v>415</v>
      </c>
    </row>
    <row r="105" spans="1:3" ht="15.75" thickBot="1" x14ac:dyDescent="0.3">
      <c r="A105" s="220"/>
      <c r="B105" s="220"/>
      <c r="C105" s="54" t="s">
        <v>416</v>
      </c>
    </row>
    <row r="106" spans="1:3" ht="15.75" thickBot="1" x14ac:dyDescent="0.3">
      <c r="A106" s="220"/>
      <c r="B106" s="220"/>
      <c r="C106" s="54" t="s">
        <v>417</v>
      </c>
    </row>
    <row r="107" spans="1:3" ht="15.75" thickBot="1" x14ac:dyDescent="0.3">
      <c r="A107" s="220"/>
      <c r="B107" s="220"/>
      <c r="C107" s="54" t="s">
        <v>418</v>
      </c>
    </row>
    <row r="108" spans="1:3" ht="15.75" thickBot="1" x14ac:dyDescent="0.3">
      <c r="A108" s="220"/>
      <c r="B108" s="220"/>
      <c r="C108" s="54" t="s">
        <v>419</v>
      </c>
    </row>
    <row r="109" spans="1:3" ht="30.75" thickBot="1" x14ac:dyDescent="0.3">
      <c r="A109" s="221"/>
      <c r="B109" s="221"/>
      <c r="C109" s="54" t="s">
        <v>420</v>
      </c>
    </row>
    <row r="110" spans="1:3" ht="15.75" thickBot="1" x14ac:dyDescent="0.3">
      <c r="A110" s="219" t="s">
        <v>37</v>
      </c>
      <c r="B110" s="219" t="s">
        <v>421</v>
      </c>
      <c r="C110" s="54" t="s">
        <v>422</v>
      </c>
    </row>
    <row r="111" spans="1:3" ht="15.75" thickBot="1" x14ac:dyDescent="0.3">
      <c r="A111" s="220"/>
      <c r="B111" s="220"/>
      <c r="C111" s="54" t="s">
        <v>423</v>
      </c>
    </row>
    <row r="112" spans="1:3" ht="15.75" thickBot="1" x14ac:dyDescent="0.3">
      <c r="A112" s="221"/>
      <c r="B112" s="221"/>
      <c r="C112" s="54" t="s">
        <v>424</v>
      </c>
    </row>
    <row r="113" spans="1:3" ht="15.75" thickBot="1" x14ac:dyDescent="0.3">
      <c r="A113" s="219" t="s">
        <v>39</v>
      </c>
      <c r="B113" s="219" t="s">
        <v>425</v>
      </c>
      <c r="C113" s="54" t="s">
        <v>426</v>
      </c>
    </row>
    <row r="114" spans="1:3" ht="15.75" thickBot="1" x14ac:dyDescent="0.3">
      <c r="A114" s="220"/>
      <c r="B114" s="220"/>
      <c r="C114" s="54" t="s">
        <v>427</v>
      </c>
    </row>
    <row r="115" spans="1:3" ht="15.75" thickBot="1" x14ac:dyDescent="0.3">
      <c r="A115" s="220"/>
      <c r="B115" s="220"/>
      <c r="C115" s="54" t="s">
        <v>428</v>
      </c>
    </row>
    <row r="116" spans="1:3" ht="15.75" thickBot="1" x14ac:dyDescent="0.3">
      <c r="A116" s="221"/>
      <c r="B116" s="221"/>
      <c r="C116" s="54" t="s">
        <v>429</v>
      </c>
    </row>
    <row r="117" spans="1:3" ht="15.75" thickBot="1" x14ac:dyDescent="0.3">
      <c r="A117" s="219" t="s">
        <v>33</v>
      </c>
      <c r="B117" s="219" t="s">
        <v>430</v>
      </c>
      <c r="C117" s="54" t="s">
        <v>431</v>
      </c>
    </row>
    <row r="118" spans="1:3" ht="15.75" thickBot="1" x14ac:dyDescent="0.3">
      <c r="A118" s="220"/>
      <c r="B118" s="220"/>
      <c r="C118" s="54" t="s">
        <v>432</v>
      </c>
    </row>
    <row r="119" spans="1:3" ht="15.75" thickBot="1" x14ac:dyDescent="0.3">
      <c r="A119" s="220"/>
      <c r="B119" s="220"/>
      <c r="C119" s="54" t="s">
        <v>433</v>
      </c>
    </row>
    <row r="120" spans="1:3" ht="15.75" thickBot="1" x14ac:dyDescent="0.3">
      <c r="A120" s="220"/>
      <c r="B120" s="220"/>
      <c r="C120" s="54" t="s">
        <v>434</v>
      </c>
    </row>
    <row r="121" spans="1:3" ht="15.75" thickBot="1" x14ac:dyDescent="0.3">
      <c r="A121" s="220"/>
      <c r="B121" s="220"/>
      <c r="C121" s="54" t="s">
        <v>435</v>
      </c>
    </row>
    <row r="122" spans="1:3" x14ac:dyDescent="0.25">
      <c r="A122" s="220"/>
      <c r="B122" s="220"/>
      <c r="C122" s="76" t="s">
        <v>436</v>
      </c>
    </row>
    <row r="123" spans="1:3" ht="15.75" thickBot="1" x14ac:dyDescent="0.3">
      <c r="A123" s="220"/>
      <c r="B123" s="220"/>
      <c r="C123" s="54" t="s">
        <v>437</v>
      </c>
    </row>
    <row r="124" spans="1:3" ht="15.75" thickBot="1" x14ac:dyDescent="0.3">
      <c r="A124" s="221"/>
      <c r="B124" s="221"/>
      <c r="C124" s="54" t="s">
        <v>438</v>
      </c>
    </row>
    <row r="125" spans="1:3" x14ac:dyDescent="0.25">
      <c r="A125" s="80"/>
      <c r="B125" s="80"/>
      <c r="C125" s="80"/>
    </row>
    <row r="126" spans="1:3" ht="50.25" customHeight="1" x14ac:dyDescent="0.25">
      <c r="A126" s="225" t="s">
        <v>439</v>
      </c>
      <c r="B126" s="226"/>
      <c r="C126" s="226"/>
    </row>
    <row r="127" spans="1:3" ht="16.5" thickBot="1" x14ac:dyDescent="0.3">
      <c r="A127" s="77"/>
      <c r="B127"/>
      <c r="C127"/>
    </row>
    <row r="128" spans="1:3" ht="15.75" thickBot="1" x14ac:dyDescent="0.3">
      <c r="A128" s="74" t="s">
        <v>226</v>
      </c>
      <c r="B128" s="75" t="s">
        <v>312</v>
      </c>
      <c r="C128" s="75" t="s">
        <v>313</v>
      </c>
    </row>
    <row r="129" spans="1:3" ht="15.75" thickBot="1" x14ac:dyDescent="0.3">
      <c r="A129" s="219" t="s">
        <v>60</v>
      </c>
      <c r="B129" s="219" t="s">
        <v>440</v>
      </c>
      <c r="C129" s="54" t="s">
        <v>441</v>
      </c>
    </row>
    <row r="130" spans="1:3" ht="15.75" thickBot="1" x14ac:dyDescent="0.3">
      <c r="A130" s="220"/>
      <c r="B130" s="220"/>
      <c r="C130" s="54" t="s">
        <v>442</v>
      </c>
    </row>
    <row r="131" spans="1:3" ht="15.75" thickBot="1" x14ac:dyDescent="0.3">
      <c r="A131" s="220"/>
      <c r="B131" s="220"/>
      <c r="C131" s="54" t="s">
        <v>443</v>
      </c>
    </row>
    <row r="132" spans="1:3" ht="15.75" thickBot="1" x14ac:dyDescent="0.3">
      <c r="A132" s="220"/>
      <c r="B132" s="220"/>
      <c r="C132" s="54" t="s">
        <v>444</v>
      </c>
    </row>
    <row r="133" spans="1:3" ht="30.75" thickBot="1" x14ac:dyDescent="0.3">
      <c r="A133" s="221"/>
      <c r="B133" s="221"/>
      <c r="C133" s="54" t="s">
        <v>445</v>
      </c>
    </row>
    <row r="134" spans="1:3" ht="15.75" thickBot="1" x14ac:dyDescent="0.3">
      <c r="A134" s="219" t="s">
        <v>62</v>
      </c>
      <c r="B134" s="219" t="s">
        <v>446</v>
      </c>
      <c r="C134" s="54" t="s">
        <v>447</v>
      </c>
    </row>
    <row r="135" spans="1:3" ht="15.75" thickBot="1" x14ac:dyDescent="0.3">
      <c r="A135" s="220"/>
      <c r="B135" s="220"/>
      <c r="C135" s="54" t="s">
        <v>448</v>
      </c>
    </row>
    <row r="136" spans="1:3" ht="15.75" thickBot="1" x14ac:dyDescent="0.3">
      <c r="A136" s="220"/>
      <c r="B136" s="220"/>
      <c r="C136" s="54" t="s">
        <v>449</v>
      </c>
    </row>
    <row r="137" spans="1:3" ht="15.75" thickBot="1" x14ac:dyDescent="0.3">
      <c r="A137" s="220"/>
      <c r="B137" s="220"/>
      <c r="C137" s="54" t="s">
        <v>450</v>
      </c>
    </row>
    <row r="138" spans="1:3" ht="15.75" thickBot="1" x14ac:dyDescent="0.3">
      <c r="A138" s="220"/>
      <c r="B138" s="220"/>
      <c r="C138" s="54" t="s">
        <v>451</v>
      </c>
    </row>
    <row r="139" spans="1:3" ht="15.75" thickBot="1" x14ac:dyDescent="0.3">
      <c r="A139" s="220"/>
      <c r="B139" s="220"/>
      <c r="C139" s="54" t="s">
        <v>452</v>
      </c>
    </row>
    <row r="140" spans="1:3" ht="15.75" thickBot="1" x14ac:dyDescent="0.3">
      <c r="A140" s="220"/>
      <c r="B140" s="220"/>
      <c r="C140" s="54" t="s">
        <v>453</v>
      </c>
    </row>
    <row r="141" spans="1:3" ht="15.75" thickBot="1" x14ac:dyDescent="0.3">
      <c r="A141" s="220"/>
      <c r="B141" s="220"/>
      <c r="C141" s="54" t="s">
        <v>454</v>
      </c>
    </row>
    <row r="142" spans="1:3" ht="15.75" thickBot="1" x14ac:dyDescent="0.3">
      <c r="A142" s="221"/>
      <c r="B142" s="221"/>
      <c r="C142" s="54" t="s">
        <v>455</v>
      </c>
    </row>
    <row r="143" spans="1:3" ht="15.75" thickBot="1" x14ac:dyDescent="0.3">
      <c r="A143" s="219" t="s">
        <v>63</v>
      </c>
      <c r="B143" s="219" t="s">
        <v>456</v>
      </c>
      <c r="C143" s="54" t="s">
        <v>457</v>
      </c>
    </row>
    <row r="144" spans="1:3" ht="15.75" thickBot="1" x14ac:dyDescent="0.3">
      <c r="A144" s="220"/>
      <c r="B144" s="220"/>
      <c r="C144" s="54" t="s">
        <v>458</v>
      </c>
    </row>
    <row r="145" spans="1:3" ht="15.75" thickBot="1" x14ac:dyDescent="0.3">
      <c r="A145" s="220"/>
      <c r="B145" s="220"/>
      <c r="C145" s="54" t="s">
        <v>459</v>
      </c>
    </row>
    <row r="146" spans="1:3" ht="15.75" thickBot="1" x14ac:dyDescent="0.3">
      <c r="A146" s="220"/>
      <c r="B146" s="220"/>
      <c r="C146" s="54" t="s">
        <v>460</v>
      </c>
    </row>
    <row r="147" spans="1:3" ht="15.75" thickBot="1" x14ac:dyDescent="0.3">
      <c r="A147" s="220"/>
      <c r="B147" s="220"/>
      <c r="C147" s="54" t="s">
        <v>461</v>
      </c>
    </row>
    <row r="148" spans="1:3" ht="15.75" thickBot="1" x14ac:dyDescent="0.3">
      <c r="A148" s="220"/>
      <c r="B148" s="220"/>
      <c r="C148" s="54" t="s">
        <v>462</v>
      </c>
    </row>
    <row r="149" spans="1:3" ht="15.75" thickBot="1" x14ac:dyDescent="0.3">
      <c r="A149" s="220"/>
      <c r="B149" s="220"/>
      <c r="C149" s="54" t="s">
        <v>463</v>
      </c>
    </row>
    <row r="150" spans="1:3" ht="15.75" thickBot="1" x14ac:dyDescent="0.3">
      <c r="A150" s="220"/>
      <c r="B150" s="220"/>
      <c r="C150" s="54" t="s">
        <v>464</v>
      </c>
    </row>
    <row r="151" spans="1:3" ht="15.75" thickBot="1" x14ac:dyDescent="0.3">
      <c r="A151" s="221"/>
      <c r="B151" s="221"/>
      <c r="C151" s="54" t="s">
        <v>40</v>
      </c>
    </row>
    <row r="152" spans="1:3" ht="15.75" thickBot="1" x14ac:dyDescent="0.3">
      <c r="A152" s="219" t="s">
        <v>59</v>
      </c>
      <c r="B152" s="219" t="s">
        <v>465</v>
      </c>
      <c r="C152" s="54" t="s">
        <v>466</v>
      </c>
    </row>
    <row r="153" spans="1:3" ht="15.75" thickBot="1" x14ac:dyDescent="0.3">
      <c r="A153" s="220"/>
      <c r="B153" s="220"/>
      <c r="C153" s="54" t="s">
        <v>467</v>
      </c>
    </row>
    <row r="154" spans="1:3" ht="15.75" thickBot="1" x14ac:dyDescent="0.3">
      <c r="A154" s="221"/>
      <c r="B154" s="221"/>
      <c r="C154" s="54" t="s">
        <v>468</v>
      </c>
    </row>
    <row r="155" spans="1:3" ht="15.75" thickBot="1" x14ac:dyDescent="0.3">
      <c r="A155" s="219" t="s">
        <v>61</v>
      </c>
      <c r="B155" s="219" t="s">
        <v>469</v>
      </c>
      <c r="C155" s="54" t="s">
        <v>470</v>
      </c>
    </row>
    <row r="156" spans="1:3" ht="15.75" thickBot="1" x14ac:dyDescent="0.3">
      <c r="A156" s="221"/>
      <c r="B156" s="221"/>
      <c r="C156" s="54" t="s">
        <v>471</v>
      </c>
    </row>
    <row r="157" spans="1:3" ht="30.75" thickBot="1" x14ac:dyDescent="0.3">
      <c r="A157" s="46" t="s">
        <v>58</v>
      </c>
      <c r="B157" s="54" t="s">
        <v>472</v>
      </c>
      <c r="C157" s="54" t="s">
        <v>58</v>
      </c>
    </row>
    <row r="158" spans="1:3" ht="15.75" thickBot="1" x14ac:dyDescent="0.3">
      <c r="A158" s="46" t="s">
        <v>12</v>
      </c>
      <c r="B158" s="54" t="s">
        <v>473</v>
      </c>
      <c r="C158" s="54" t="s">
        <v>12</v>
      </c>
    </row>
    <row r="159" spans="1:3" ht="15.75" x14ac:dyDescent="0.25">
      <c r="A159" s="77"/>
      <c r="B159"/>
      <c r="C159"/>
    </row>
    <row r="160" spans="1:3" ht="36.75" customHeight="1" x14ac:dyDescent="0.25">
      <c r="A160" s="225" t="s">
        <v>474</v>
      </c>
      <c r="B160" s="226"/>
      <c r="C160" s="226"/>
    </row>
    <row r="161" spans="1:3" ht="16.5" thickBot="1" x14ac:dyDescent="0.3">
      <c r="A161" s="77"/>
      <c r="B161"/>
      <c r="C161"/>
    </row>
    <row r="162" spans="1:3" ht="15.75" thickBot="1" x14ac:dyDescent="0.3">
      <c r="A162" s="74" t="s">
        <v>226</v>
      </c>
      <c r="B162" s="75" t="s">
        <v>312</v>
      </c>
      <c r="C162" s="75" t="s">
        <v>313</v>
      </c>
    </row>
    <row r="163" spans="1:3" ht="30.75" thickBot="1" x14ac:dyDescent="0.3">
      <c r="A163" s="46" t="s">
        <v>44</v>
      </c>
      <c r="B163" s="54" t="s">
        <v>475</v>
      </c>
      <c r="C163" s="54" t="s">
        <v>44</v>
      </c>
    </row>
    <row r="164" spans="1:3" ht="30.75" thickBot="1" x14ac:dyDescent="0.3">
      <c r="A164" s="46" t="s">
        <v>42</v>
      </c>
      <c r="B164" s="54" t="s">
        <v>476</v>
      </c>
      <c r="C164" s="54" t="s">
        <v>42</v>
      </c>
    </row>
    <row r="165" spans="1:3" ht="15.75" thickBot="1" x14ac:dyDescent="0.3">
      <c r="A165" s="46" t="s">
        <v>41</v>
      </c>
      <c r="B165" s="54" t="s">
        <v>477</v>
      </c>
      <c r="C165" s="54" t="s">
        <v>41</v>
      </c>
    </row>
    <row r="166" spans="1:3" ht="15.75" thickBot="1" x14ac:dyDescent="0.3">
      <c r="A166" s="46" t="s">
        <v>43</v>
      </c>
      <c r="B166" s="54" t="s">
        <v>478</v>
      </c>
      <c r="C166" s="54" t="s">
        <v>43</v>
      </c>
    </row>
    <row r="167" spans="1:3" ht="30.75" thickBot="1" x14ac:dyDescent="0.3">
      <c r="A167" s="46" t="s">
        <v>40</v>
      </c>
      <c r="B167" s="54" t="s">
        <v>479</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2015-06-25T18:41:06Z</cp:lastPrinted>
  <dcterms:created xsi:type="dcterms:W3CDTF">2015-03-19T18:31:05Z</dcterms:created>
  <dcterms:modified xsi:type="dcterms:W3CDTF">2015-07-02T15:02:03Z</dcterms:modified>
</cp:coreProperties>
</file>