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240" yWindow="60" windowWidth="15120" windowHeight="8265" tabRatio="928" activeTab="8"/>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sheetId="11"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'13'!$A$1:$C$12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Documentation'!$1:$20</definedName>
    <definedName name="_xlnm.Print_Area" localSheetId="8">Assessments!$A$1:$C$44</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5">'Off-Balance Sheet'!$A$1:$A$12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<sst xmlns="http://schemas.openxmlformats.org/spreadsheetml/2006/main" count="1396" uniqueCount="596">
  <si>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</si>
  <si>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</si>
  <si>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</si>
  <si>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</si>
  <si>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</si>
  <si>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</si>
  <si>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</si>
  <si>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</si>
  <si>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</si>
  <si>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</si>
  <si>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</si>
  <si>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</si>
  <si>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</si>
  <si>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</si>
  <si>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</si>
  <si>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</si>
  <si>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</si>
  <si>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</si>
  <si>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</si>
  <si>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</si>
  <si>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</si>
  <si>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</si>
  <si>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</si>
  <si>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</si>
  <si>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</si>
  <si>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</si>
  <si>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</si>
  <si>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</si>
  <si>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</si>
  <si>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</si>
  <si>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</si>
  <si>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</si>
  <si>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</si>
  <si>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</si>
  <si>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</si>
  <si>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</si>
  <si>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</si>
  <si>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</si>
  <si>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</si>
  <si>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</si>
  <si>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</si>
  <si>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</si>
  <si>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</si>
  <si>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</si>
  <si>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</si>
  <si>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</si>
  <si>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</si>
  <si>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</si>
  <si>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</si>
  <si>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</si>
  <si>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</si>
  <si>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</si>
  <si>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</si>
  <si>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</si>
  <si>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</si>
  <si>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</si>
  <si>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</si>
  <si>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</si>
  <si>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</si>
  <si>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</si>
  <si>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</si>
  <si>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</si>
  <si>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</si>
  <si>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</si>
  <si>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</si>
  <si>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</si>
  <si>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</si>
  <si>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</si>
  <si>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</si>
  <si>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</si>
  <si>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</si>
  <si>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</si>
  <si>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</si>
  <si>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</si>
  <si>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</si>
  <si>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</si>
  <si>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</si>
  <si>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</si>
  <si>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</si>
  <si>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</si>
  <si>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</si>
  <si>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</si>
  <si>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</si>
  <si>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</si>
  <si>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</si>
  <si>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</si>
  <si>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</si>
  <si>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</si>
  <si>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</si>
  <si>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</si>
  <si>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</si>
  <si>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</si>
  <si>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</si>
  <si>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</si>
  <si>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</si>
  <si>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</si>
  <si>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</si>
  <si>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</si>
  <si>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</si>
  <si>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</si>
  <si>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</si>
  <si>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</si>
  <si>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</si>
  <si>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</si>
  <si>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</si>
  <si>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</si>
  <si>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</si>
  <si>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</si>
  <si>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</si>
  <si>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</si>
  <si>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</si>
  <si>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</si>
  <si>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</si>
  <si>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</si>
  <si>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</si>
  <si>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</si>
  <si>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</si>
  <si>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</si>
  <si>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</si>
  <si>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</si>
  <si>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</si>
  <si>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</si>
  <si>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</si>
  <si>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</si>
  <si>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</si>
  <si>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</si>
  <si>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</si>
  <si>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</si>
  <si>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</si>
  <si>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</si>
  <si>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</si>
  <si>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</si>
  <si>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</si>
  <si>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</si>
  <si>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</si>
  <si>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</si>
  <si>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</si>
  <si>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</si>
  <si>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</si>
  <si>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</si>
  <si>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</si>
  <si>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</si>
  <si>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</si>
  <si>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</si>
  <si>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</si>
  <si>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</si>
  <si>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</si>
  <si>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</si>
  <si>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</si>
  <si>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</si>
  <si>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</si>
  <si>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</si>
  <si>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</si>
  <si>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</si>
  <si>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</si>
  <si>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</si>
  <si>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</si>
  <si>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</si>
  <si>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</si>
  <si>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</si>
  <si>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</si>
  <si>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</si>
  <si>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</si>
  <si>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</si>
  <si>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</si>
  <si>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</si>
  <si>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</si>
  <si>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</si>
  <si>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</si>
  <si>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</si>
  <si>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</si>
  <si>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</si>
  <si>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</si>
  <si>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</si>
  <si>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</si>
  <si>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</si>
  <si>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</si>
  <si>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</si>
  <si>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</si>
  <si>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</si>
  <si>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</si>
  <si>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</si>
  <si>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</si>
  <si>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</si>
  <si>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</si>
  <si>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</si>
  <si>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</si>
  <si>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</si>
  <si>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</si>
  <si>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</si>
  <si>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</si>
  <si>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</si>
  <si>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</si>
  <si>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</si>
  <si>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</si>
  <si>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</si>
  <si>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</si>
  <si>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</si>
  <si>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</si>
  <si>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</si>
  <si>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</si>
  <si>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</si>
  <si>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</si>
  <si>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</si>
  <si>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</si>
  <si>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</si>
  <si>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</si>
  <si>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</si>
  <si>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</si>
  <si>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</si>
  <si>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</si>
  <si>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</si>
  <si>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</si>
  <si>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</si>
  <si>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</si>
  <si>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</si>
  <si>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</si>
  <si>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</si>
  <si>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</si>
  <si>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</si>
  <si>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</si>
  <si>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</si>
  <si>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</si>
  <si>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</si>
  <si>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</si>
  <si>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</si>
  <si>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</si>
  <si>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</si>
  <si>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</si>
  <si>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</si>
  <si>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</si>
  <si>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</si>
  <si>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</si>
  <si>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</si>
  <si>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</si>
  <si>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</si>
  <si>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</si>
  <si>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</si>
  <si>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</si>
  <si>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</si>
  <si>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</si>
  <si>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</si>
  <si>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</si>
  <si>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</si>
  <si>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</si>
  <si>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</si>
  <si>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</si>
  <si>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</si>
  <si>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</si>
  <si>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</si>
  <si>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</si>
  <si>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</si>
  <si>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</si>
  <si>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</si>
  <si>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</si>
  <si>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</si>
  <si>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</si>
  <si>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</si>
  <si>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</si>
  <si>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</si>
  <si>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</si>
  <si>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</si>
  <si>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</si>
  <si>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</si>
  <si>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</si>
  <si>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</si>
  <si>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</si>
  <si>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</si>
  <si>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</si>
  <si>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</si>
  <si>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</si>
  <si>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</si>
  <si>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</si>
  <si>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</si>
  <si>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</si>
  <si>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</si>
  <si>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</si>
  <si>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</si>
  <si>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</si>
  <si>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</si>
  <si>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</si>
  <si>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</si>
  <si>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</si>
  <si>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</si>
  <si>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</si>
  <si>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</si>
  <si>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</si>
  <si>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</si>
  <si>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</si>
  <si>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</si>
  <si>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</si>
  <si>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</si>
  <si>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</si>
  <si>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</si>
  <si>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</si>
  <si>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</si>
  <si>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</si>
  <si>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</si>
  <si>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</si>
  <si>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</si>
  <si>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</si>
  <si>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</si>
  <si>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</si>
  <si>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</si>
  <si>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</si>
  <si>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</si>
  <si>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</si>
  <si>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</si>
  <si>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</si>
  <si>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</si>
  <si>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</si>
  <si>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</si>
  <si>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</si>
  <si>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</si>
  <si>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</si>
  <si>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</si>
  <si>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</si>
  <si>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</si>
  <si>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</si>
  <si>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</si>
  <si>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</si>
  <si>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</si>
  <si>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</si>
  <si>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</si>
  <si>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</si>
  <si>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</si>
  <si>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</si>
  <si>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</si>
  <si>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</si>
  <si>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</si>
  <si>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</si>
  <si>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</si>
  <si>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</si>
  <si>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</si>
  <si>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</si>
  <si>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</si>
  <si>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</si>
  <si>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</si>
  <si>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</si>
  <si>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</si>
  <si>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</si>
  <si>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</si>
  <si>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</si>
  <si>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</si>
  <si>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</si>
  <si>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</si>
  <si>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</si>
  <si>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</si>
  <si>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</si>
  <si>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</si>
  <si>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</si>
  <si>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</si>
  <si>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</si>
  <si>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</si>
  <si>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</si>
  <si>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</si>
  <si>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</si>
  <si>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</si>
  <si>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</si>
  <si>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</si>
  <si>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</si>
  <si>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</si>
  <si>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</si>
  <si>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</si>
  <si>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</si>
  <si>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</si>
  <si>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</si>
  <si>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</si>
  <si>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</si>
  <si>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</si>
  <si>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</si>
  <si>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</si>
  <si>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</si>
  <si>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</si>
  <si>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</si>
  <si>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</si>
  <si>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</si>
  <si>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</si>
  <si>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</si>
  <si>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</si>
  <si>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</si>
  <si>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</si>
  <si>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</si>
  <si>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</si>
  <si>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</si>
  <si>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</si>
  <si>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</si>
  <si>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</si>
  <si>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</si>
  <si>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</si>
  <si>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</si>
  <si>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</si>
  <si>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</si>
  <si>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</si>
  <si>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</si>
  <si>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</si>
  <si>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</si>
  <si>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</si>
  <si>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</si>
  <si>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</si>
  <si>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</si>
  <si>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</si>
  <si>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</si>
  <si>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</si>
  <si>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</si>
  <si>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</si>
  <si>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</si>
  <si>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</si>
  <si>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</si>
  <si>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</si>
  <si>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</si>
  <si>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</si>
  <si>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</si>
  <si>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</si>
  <si>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</si>
  <si>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</si>
  <si>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</si>
  <si>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</si>
  <si>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</si>
  <si>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</si>
  <si>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</si>
  <si>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</si>
  <si>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</si>
  <si>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</si>
  <si>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</si>
  <si>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</si>
  <si>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</si>
  <si>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</si>
  <si>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</si>
  <si>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</si>
  <si>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</si>
  <si>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</si>
  <si>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</si>
  <si>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</si>
  <si>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</si>
  <si>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</si>
  <si>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</si>
  <si>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</si>
  <si>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</si>
  <si>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</si>
  <si>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</si>
  <si>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</si>
  <si>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</si>
  <si>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</si>
  <si>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</si>
  <si>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</si>
  <si>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</si>
  <si>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</si>
  <si>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</si>
  <si>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</si>
  <si>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</si>
  <si>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</si>
  <si>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</si>
  <si>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</si>
  <si>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</si>
  <si>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</si>
  <si>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</si>
  <si>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</si>
  <si>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</si>
  <si>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</si>
  <si>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</si>
  <si>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</si>
  <si>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</si>
  <si>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</si>
  <si>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</si>
  <si>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</si>
  <si>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</si>
  <si>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</si>
  <si>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</si>
  <si>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</si>
  <si>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</si>
  <si>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</si>
  <si>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</si>
  <si>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</si>
  <si>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</si>
  <si>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</si>
  <si>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</si>
  <si>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</si>
  <si>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</si>
  <si>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</si>
  <si>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</si>
  <si>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</si>
  <si>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</si>
  <si>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</si>
  <si>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</si>
  <si>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</si>
  <si>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</si>
  <si>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</si>
  <si>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</si>
  <si>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</si>
  <si>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</si>
  <si>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</si>
  <si>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</si>
  <si>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</si>
  <si>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</si>
  <si>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</si>
  <si>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</si>
  <si>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</si>
  <si>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</si>
  <si>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</si>
  <si>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</si>
  <si>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</si>
  <si>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</si>
  <si>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</si>
  <si>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</si>
  <si>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</si>
  <si>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</si>
  <si>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</si>
  <si>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</si>
  <si>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</si>
  <si>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</si>
  <si>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</si>
  <si>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</si>
  <si>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</si>
  <si>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</si>
  <si>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</si>
  <si>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</si>
  <si>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</si>
  <si>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</si>
  <si>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</si>
  <si>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</si>
  <si>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</si>
  <si>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</si>
  <si>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</si>
  <si>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</si>
  <si>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</si>
  <si>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</si>
  <si>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</si>
  <si>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</si>
  <si>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</si>
  <si>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</si>
  <si>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</si>
  <si>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</si>
  <si>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</si>
  <si>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</si>
  <si>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10.8  Other</t>
  </si>
  <si>
    <t>Isaac Prada</t>
  </si>
  <si>
    <t>Executive Session  May 27, 2015
Training Session June 3, 2015
Material Risk Workshop - June 9, 2015</t>
  </si>
  <si>
    <t>GBM- Exchange Traded Derivatives: SIS</t>
  </si>
  <si>
    <t>GBM</t>
  </si>
  <si>
    <t>FCM - Exchange Traded Derivatives</t>
  </si>
  <si>
    <t xml:space="preserve">Near Term </t>
  </si>
  <si>
    <t>In Progress (expected report date June 30, 2015.</t>
  </si>
  <si>
    <t xml:space="preserve">Sign off December 2014.  </t>
  </si>
  <si>
    <t xml:space="preserve">SIS has not had a RCSA buisness assessment.  </t>
  </si>
  <si>
    <t>N/A: RCSA Assessment has not occurred.</t>
  </si>
  <si>
    <t>Isaac Prada, James Bathon</t>
  </si>
  <si>
    <t>There have not been any significant events or emerging events over the last 12 months and/or any which are in unpaide status.</t>
  </si>
  <si>
    <t>Open. Results anticipated June 30, 2015</t>
  </si>
  <si>
    <t>N/A</t>
  </si>
  <si>
    <t>As soon as approved</t>
  </si>
  <si>
    <t>New Product Committee, Risk Committee (TBD)</t>
  </si>
  <si>
    <t>Clearing Customers Outside the Omnibus Account</t>
  </si>
  <si>
    <t>OTC Clearing Interest Rate Swaps</t>
  </si>
  <si>
    <t>TBD</t>
  </si>
  <si>
    <t>Stress Test, Segregated Cash and Margin Requreiements Scenerario Analysis .( R. Grimsby Market Risk). Early Warning Indicators Report (R. Grimsby)</t>
  </si>
  <si>
    <t>% Change of Initial Margin used on a daily basis</t>
  </si>
  <si>
    <t>Compliance Assessment 4/15/2015</t>
  </si>
  <si>
    <t>Credit Risk Assessment 6/12/2015.  Evuation of limit for Initial margin established for Banco Santander S.A. and reuqest for intraday margin limit of $70M.</t>
  </si>
  <si>
    <t xml:space="preserve">No external data/loss data was utilized.
</t>
  </si>
  <si>
    <t>The fines to date have been minimilistic to SIS ~35K/Annual worse 1 in 10.  A material risk could occur if Madrid's systematic controls to ensure compliance with US regulations fail. US Regulators have increased scrunity to fines which are consisently arising from similiar violations.Enhacement of the local operations team (SIS) to provide heightened coordination and advide to SGBO is critical to mitigating this risk from occuring.</t>
  </si>
  <si>
    <t>SSI has controls  in place that provides oversight and advice to the Firm's futures activities.  A focus for the Firm's Futures activities is to enhance local operations team to provide daily coordination and advice to SGBO on the Firm’s futures activity.</t>
  </si>
  <si>
    <t>Counterparty Default</t>
  </si>
  <si>
    <t>Localized Economic Downturn (Specify Geography in risk description), Equity Prices (Down), Consumer Confidence (Down)</t>
  </si>
  <si>
    <t xml:space="preserve">SIS has controls in place to mitigate the counteparty risk.  Controls include requiring a $70MM intraday margin limit for Banco Santander, on a given day activity would be limited to an amount that would not result in a margin call greater than $70MM.  In addition SIS requires Banco Santander to continue to require $150MM in excess margin in both the house accoutn and customer account ($300MM in toal) to ensure ample liquidty and to protect the capital of SIS.  ASK DONNA:  In addition, if the counterparty (Banco Santander) should defalut, SIS can liquidate the counterparty's positions and any deficiency can be satisfied from the substantial excess margin and/or the liquid assests including cash and treasurey bills.  </t>
  </si>
  <si>
    <t xml:space="preserve">There are no off balance sheet assets or liabilities for exchange traded derivatives within Santander Investment Securities (Broker Dealer). As SIS is a member of FINRA, SIS is required to compose and submit FOCUS reports to FINRA pursuant to SEC Rule 17a-5 on a monthly, quarterly and annual basis per the FINRA scheduled filing dates.   The FOCUS Report consists of a balance sheet, an income statement, a statement of changes in ownership equity, and a complete net capital calculation.  FINRA reviews the FOCUS Report to monitor the broker-dealer's financial trends and to determine if the firm has maintained net capital compliance which allows the broker-dealer to continue business as usual without disruption.
</t>
  </si>
  <si>
    <t xml:space="preserve">Other:  Summary Results from the Risk Exposure Report 4th Qtr 2014.
The Report provides Firm management with a status of the various risks exposures the Firm faced during the fourth quarter 2014. Report was a critical input to the discussion during the material risk workshop.
Other:  Stress Test, Segregated  Cash and Margin Requirements for Futures Commission Merchant (FCM).  Report is generated daily.  Report uses scenerios including volatility, price up 1/3, price down 1/3, price up/down 2/3, priceu up/down 3/3 and deterines the Worst-Case Scenerio.  Worst-Case scenerio is compared to the amoutn of margin in excess of the Worst-Case Scenerio.  
Other: FINRA 2014 Examination.  Four findings citied in April 20
Other: Failed Trade Reports:  Report showing metrics which the firm supervises failed trades.  
Other:  Early Warning Indicators Report.  Metrics review the systemic and idiosyncratic indicators and reports on weekly and monthly variations.
</t>
  </si>
  <si>
    <t xml:space="preserve">SIS has been subject to minor fines over the last several years including the highest of $25K fine for Open Interest Reporting violations and a few fines less than $6K fine  for electronic audit trail violations.  These findings and assoicate fines were a result of a lack of incorporating changing U.S. regulation and/or a lack of understanding of the U.S. Futures Regulation by Madrid Operations. Operational duties are performed by by SBGOM in Madrid.  </t>
  </si>
  <si>
    <t>Lack of incorporating changing U.S. regulation and a lack of understanding of the U.S. Futures Regulation by Madrid Operations</t>
  </si>
  <si>
    <t>Donna Sheehan, Isaac Prada, Ron Grimsby, William Delaney, Sheehan, Donna Stephen O'Connell, Ernesto Culebras, Rita Walz-Cuccioli, Harpreet Khurana, Andrew Schwartz , Michelle Murphy</t>
  </si>
  <si>
    <t>Review in progress -Internal Audit Annual SIS Audit</t>
  </si>
  <si>
    <t>No significant failures or significant events over the last 12 months.  The most current Business Continuity test was on December 11, 2014.  The objectives were satisfactorily completed with one exception Straight Through Processing did not flow from front to back office.  This was due to the complexities of interfaces between front/middle/bak systems and the time needed to configure the whole process required a timeframe more than one day and therefore was out of scope for the test.  Suggested solution to be considered for next test would entail after the trades are input into the the front office system, they are printed and input into the back office systems manually until all processes are configures and operational.</t>
  </si>
  <si>
    <t xml:space="preserve">There were no material risks identified.  Santander Investment Securities,  specifically the exchange traded derivatives product,  has been subject to minor fines over the last several years including the highest of $25K fine for Open Interest Reporting violations and a few fines less than $6K fine  for electronic audit trail violations.  These findings and assoicate fines were a result of a lack of incorporating changing U.S. regulation and/or a lack of understanding of the U.S. Futures Regulation by Madrid Operations. Operational duties are performed by by SBGOM in Madrid.  
</t>
  </si>
  <si>
    <t>SIS engaged in a workshop approach for identification of Material Risks for each of the business segments including Cash Equities, Debt Underwriting, Equity Underwriting, Fixed Income/Bond Trading, Exchange Traded Derivatives, Fixed Income and Equity Research, Treasury and Technology and Operations.  The workshops took place between June 9, 2015 and June 16th 2015.  The workshops were led by the first line of defense point of contact for each business segment along with subject matter experts in the business line and representation from the risk areas including credit, market, operational, liquidity, along with compliance, legal, finance, HR and technology and operations.  Enrichment and aggregation of the Material Risks will occur following the workshops with guidance from the SIS and Branch Compliance Team.  The business segment material risk inventory will be delivered to SHUSA on June 30, 2015.  SIS will produce an aggregate list of Material Risks which will go through review and challenge in both July and August with the final deliverable to SHUSA on August 31, 2015.</t>
  </si>
  <si>
    <t>CME Electronic Trading Review</t>
  </si>
  <si>
    <t>CME Suspense Account Review</t>
  </si>
  <si>
    <t>CME Financial Audit</t>
  </si>
  <si>
    <t>In Progress (expected report date Septemeber 30, 2015.</t>
  </si>
  <si>
    <t>To start July 2015</t>
  </si>
  <si>
    <t>Last review had no findings</t>
  </si>
  <si>
    <t>Last review showed some missing mandatory fields and lacked the proper level of detail on time stamp</t>
  </si>
  <si>
    <t xml:space="preserve">SIS ETD group strategic plan is to provide Santander Group and its F.I.G &amp; Corporates clients access to execution and clearing on the CME Group and ICE exchanges.  SIS has been member of the exchanges since 2011 and the memberships allows the group, Santander SA and Santander NA to 
have access to 80% of the world relevant exchanges with strong American &amp; European presence.
We want to be dominant with our Institutional clients from Mexico, Chile &amp; Brazil and participate with our MRG Corporates Clients. Please see the attached powerpoint for more detail on the ETD Strategic Plan.
</t>
  </si>
  <si>
    <t xml:space="preserve">Top Position vs Market Open Interest </t>
  </si>
  <si>
    <t>Daily: Using 16mm daily limit out of 70mm total</t>
  </si>
  <si>
    <t>Quarterly</t>
  </si>
  <si>
    <t>Letter with findings</t>
  </si>
  <si>
    <t xml:space="preserve">History:
In early 2008, Santander Investment Securities (SIS) registered with the National Futures Association (“NFA”) as a futures commission merchant (”FCM”).  In late 2009, Banco Santander, S.A., the ultimate parent of the Firm, desired to take advantage of the Firm’s FCM registration in order to:  (i) utilize a U.S. futures exchange-based trading platform to offer futures transactional services to Group and Group subsidiary clients; and, (ii) have a U.S. futures trading platform complementary to the Group’s equity and fixed income businesses.  At Banco Santander’s request, in March 2010, the Firm approved the expansion of its futures activity to accommodate the Group’s objectives.  Attached at Exhibit B is the Exchange Traded Derivatives new product approval authorizing the extension of the Firm’s futures activity.  Thereafter, the Firm became a member of the two principal futures exchanges:  the Chicago Mercantile Exchange (“CME”) and the InterContinental Exchange (“ICE”).  Attached at Exhibit C is the Firm board’s resolution approving the exchange memberships.
An agreement dated September 15, 2010 between the Firm and Banco Santander, S.A. governs the execution and clearing by the Firm of exchange-traded futures and options contracts for the account and risk of Banco Santander, S.A.
Current:
The ETD group currently provides execution and clearing services on U.S. exchanges to:  clients of Banco Santander SA and all house activity of Grupo Santander.  The department is also approved to provide execution services on U.S. futures exchanges on a “give-up” basis to other FCMs.   The department currently has a staff of four located in the U.S. and has outsourced the back office and execution technology functions. The target client base is Latin American and European based clients trading on U.S. exchanges.  The near term objective is to expand to the Firm's Financial Institutional Group and Banking relationships in to futures services offering execution services.   
Santander Back-Office Globales Mayoristas, S.A. (“SBGM”), located at Parque Empresarial La Finca Edif. 4 planta baja, 28223 Pozuelo de Alarcón (Madrid), Spain, performs operational functions and maintains the books and records for the ETD group.
More specifically, SBGM, on behalf of the Firm:
• ensures all transaction activity of the Futures Division is timely and accurately recorded;
• performs position and cash reconciliations;
• prepares and files regulatory reports required by CME and ICE; and,
• effects cash movements to meet exchange margin requirements.
The New York Head of Information Technology/Operations is responsible for supervising and ensuring that SBGM timely and properly delivers the services provided for in the Service Level Agreement between Santander Investment Securities Inc. and Santander Back-Offices Globales Mayoristas, S.A. (“Service Agreement”) dated January 1, 2010.  
Born Capital, provides a managed hosted solution for execution technology.  They manage and monitor connectivity from the trader to the exchange, as well as directly servicing and supporting the customer software and core software.  This was the most cost efficient way to provide and support execution platforms to our global client base.   
Traders access the markets electronically through the following execution platforms:
Bloomberg Tradebook, a multi-broker futures execution platform, is currently being utilized by the U.S. and Brazilian traders.
NEMO, an in-house global futures execution platform, is utilized by the Madrid based execution staff.
</t>
  </si>
  <si>
    <t>[We use a model to stress the positions to ensure that the margin maintained is adequate to protect the Firm from losses.  Speak with Market Risk about whether the model needs to be validated.]</t>
  </si>
  <si>
    <r>
      <t xml:space="preserve">The Top positions vs Market Open Interest is review quarterly because  CFTC 1.73 we need to understand and value the cost of liquidating our client position. 
</t>
    </r>
    <r>
      <rPr>
        <sz val="11"/>
        <color rgb="FFFFFF00"/>
        <rFont val="Calibri"/>
        <family val="2"/>
        <scheme val="minor"/>
      </rPr>
      <t>[Market Risk also prepares daily a market risk analysis under normal and stress scenarios and compares the results to the margin maintained.  Please coordinate with Market Risk.]</t>
    </r>
  </si>
  <si>
    <r>
      <t>Over the Counter Clearing service will enhance the business function of SIS t</t>
    </r>
    <r>
      <rPr>
        <sz val="11"/>
        <rFont val="Calibri"/>
        <family val="2"/>
        <scheme val="minor"/>
      </rPr>
      <t xml:space="preserve">o access </t>
    </r>
    <r>
      <rPr>
        <sz val="11"/>
        <color theme="1"/>
        <rFont val="Calibri"/>
        <family val="2"/>
        <scheme val="minor"/>
      </rPr>
      <t xml:space="preserve">a counterparty.  SIS must meet the rules of the Chicago Merchantile Exchange (CME) which requires of $50MM in capital requirements.  </t>
    </r>
    <r>
      <rPr>
        <sz val="11"/>
        <rFont val="Calibri"/>
        <family val="2"/>
        <scheme val="minor"/>
      </rPr>
      <t>SIS needs approval from the New Product Committee, the Risk Committee and the Management Committee before providing clearing and settlement services to U.S. clients.  The requirements for CME clearing membership are contained in Chapter 9 of the CME rulebook. To become a clearing member for CME products, the clearing me</t>
    </r>
    <r>
      <rPr>
        <sz val="11"/>
        <color theme="1"/>
        <rFont val="Calibri"/>
        <family val="2"/>
        <scheme val="minor"/>
      </rPr>
      <t>mber must:
Demonstrate fiscal and moral integrity
Have sufficient financial capitalization to justify the risks assumed in clearing trades
Be a corporation (including C Corporations, Subchapter S Corporations and Limited Liability Companies), a partnership (including Limited Partnerships and General Partnerships) or a cooperative association
Guarantee and assume responsibility for all trading activity routed through it by members it qualifies or by any electronic trading system.
Be a CME clearing member
Must own or have assigned to it two CME memberships, two IMM memberships, two IOM memberships, one GEM membership.
One-half of the required Exchange Memberships (i.e. one CME, one IMM, one IOM and the GEM) must be owned by the clearing member or a person, including a parent company, with an acceptable proprietary interest in the clearing member (i.e. "firm owned"). The remaining Exchange Memberships (i.e. one CME, one IMM and one IOM) may be independently assigned.
The "firm owned" memberships owned or assigned to the clearing member may be held by the clearing member or an individual. The individual must be approved for CME individual membership.
Maintain capital requirements
Maintain capital (Adjusted Net Capital for non-Banks and Tier 1 Capital for Banks) at greatest of CFTC or SEC capital requirement or: 
For non-Banks: 
$5,000,000 if clearing only exchange-traded futures/options; or
$50,000,000 if clearing OTC products; or
20% of aggregate performance bond requirement for all customer and house accounts containing CME-cleared CDS and IRS positions.
For Banks: 
$5,000,000,000 if clearing exchange-traded futures/options; or,
$50,000,000 if clearing only OTC derivative products.; or
20% of aggregate performance bond requirement for all proprietary and affiliate accounts containing CME-cleared CDS and IRS positions.
Submit daily segregated, secured 30.7 and cleared swap customer statements through WinJammer system by 12:00 noon on following business day.
Submit bi-monthly segregated, secured 30.7 and cleared swap customer reports of CFTC 1.25(a) investments as of the 15th and last business day of the month by close of business the following business day.
If non-Bank: Submit monthly Form 1-FRs (for FCM-only firms) or FOCUS reports (for broker-dealers) including Exchange Supplemental Information, through the WinJammer system within 17 business days of month-end 
If Bank: Submit all financial reports required to be filed with its primary regulator – minimum quarterly basis- filed within 5 calendar days after such statements are filed with it primary banking regulator.
If non-Bank: Submit certified financial statements to CME Group’s Audit Department within 60 days of fiscal year-end
If Bank: Submit certified financial statement within 5 calendar days after such statements are filed with its primary banking regulator. 
Deposit a guaranty fund deposit with CME Clearing
If clearing exchange traded futures/options or OTC products (excluding IRS and CDS) Deposit must be the greater of the minimum requirement or the clearing member's proportionate share of the "Aggregate Guaranty Fund Deposit" ; and,
If clearing IRS, deposit is greater of $50,000,000 or proportionate share of theoretical two largest losses; and,
If clearing CDS, deposit is greater of $50,000,000 or proportionate share of theoretical two largest losses.
Provide parent guarantees
Parent guarantees cover all non-customer proprietary obligations, which include: 
Performance bond and settlement for non-customer and proprietary positions held and cleared;
Non-customer and proprietary trades executed by traders who are qualified by the clearing member, until accepted for clearing by another firm; and
Non-customer and proprietary trades executed and processed through give-up systems by the clearing member, until accepted for clearing by another firm.
Submit a parent guarantee for any person or entity which owns directly or indirectly five percent or more of the clearing member.
Guarantor is liable to CME Clearing for all non-customer and proprietary obligations of the clearing member
Exemptions from the parent guarantee
Clearing members may request an exemption from the parent guarantee requirements if: 
The clearing member maintains $300,000,000 or more in adjusted net capital;
The clearing member does not clear, execute and give up, or qualify individual traders who execute non-customer or proprietary trades; or
The clearing member meets certain criteria and is determined to have minimal activity in the house origin
C</t>
    </r>
    <r>
      <rPr>
        <b/>
        <sz val="11"/>
        <color theme="1"/>
        <rFont val="Calibri"/>
        <family val="2"/>
        <scheme val="minor"/>
      </rPr>
      <t>learing customers Outside of the Omnibus Accoun</t>
    </r>
    <r>
      <rPr>
        <sz val="11"/>
        <color theme="1"/>
        <rFont val="Calibri"/>
        <family val="2"/>
        <scheme val="minor"/>
      </rPr>
      <t xml:space="preserve">t will have impact on SIS support areas, Credit Risk, Legal &amp; Compliance, accounting and Operations.
The different task that our support areas performed today for one customer omnibus account will have to be extended to the other customers.  
</t>
    </r>
  </si>
  <si>
    <t>All significant risk events are reviewed at the monthly Risk Committee.  The meeting is chaired by the CRO. Areas reviewed monthly include  market risk metrics related to the ETD business, including a price sensitivity analysis of the positions held at CME; a review of the margin requirements and the amount of excess margin maintained by the customer; counterpart credit risk; liquidity risk and the liquidity buffer; operational risk and a review of operational errors and failure in processes;  a report from Information Technology and Operations (ITOPs) reviewing significant items and tolerance metrics; compliance matters including any  examination reviews and findings; and, legal matters including threatened and pending litigation.</t>
  </si>
  <si>
    <r>
      <t>Internal Audit is currently performing an audit of the Exchange Traded Derviatives business segment.   The Firm has received two summary fines from the CME relative to findings of inadequte compliance with CME Rule 536.B.2 (Electronic Audit Trail Requirements).  The CME found irregularties in operational processe</t>
    </r>
    <r>
      <rPr>
        <sz val="11"/>
        <rFont val="Calibri"/>
        <family val="2"/>
        <scheme val="minor"/>
      </rPr>
      <t>s which have been outsourced to SGBOM</t>
    </r>
    <r>
      <rPr>
        <sz val="11"/>
        <color theme="1"/>
        <rFont val="Calibri"/>
        <family val="2"/>
        <scheme val="minor"/>
      </rPr>
      <t xml:space="preserve">.  </t>
    </r>
    <r>
      <rPr>
        <sz val="11"/>
        <rFont val="Calibri"/>
        <family val="2"/>
        <scheme val="minor"/>
      </rPr>
      <t xml:space="preserve">The irregularities concern the accurate creation and retention of a regulatory compliant audit trail of each message entered inot GLOBEX (CME's Global Electronic Trading Platform for futurs </t>
    </r>
    <r>
      <rPr>
        <sz val="11"/>
        <color theme="1"/>
        <rFont val="Calibri"/>
        <family val="2"/>
        <scheme val="minor"/>
      </rPr>
      <t xml:space="preserve">and options). 
FINRA 2014 Examiantion included four findings (i) issues regarding risk maangement controls for broker dealers with market access; (ii) supervision issues concerning review of employee personal trading; (iii) issues ragerding the enhanced due diligence reveiw of certain foreign correspondent accounts; and, (iv) issues regarding the annual reveiw of certain client information forms.  Compliance and impacted product segments are addressing these issues.
</t>
    </r>
  </si>
  <si>
    <r>
      <t>Credit Risk Assessment on June 12, 2015: Credit Risk department evaluated the limit for initial margin established for Banco Santander S.A. a client for FCM (Futures Division) of Santander Investment Securities (SIS).  Factors which were given consideration included the financial condition of the counterparty; business need of the Futures Division; and the capital level of SIS.  Credit Risk assigned a credit rating of 7.1 comparable to an external rating of BBB+.  The Futures division requested an intraday margin limit of $70MM for Banco Santander, meaning that on any given day, activity would be limited to an amount that would not res</t>
    </r>
    <r>
      <rPr>
        <sz val="11"/>
        <rFont val="Calibri"/>
        <family val="2"/>
        <scheme val="minor"/>
      </rPr>
      <t xml:space="preserve">ult in an initial </t>
    </r>
    <r>
      <rPr>
        <sz val="11"/>
        <color theme="1"/>
        <rFont val="Calibri"/>
        <family val="2"/>
        <scheme val="minor"/>
      </rPr>
      <t xml:space="preserve">margin </t>
    </r>
    <r>
      <rPr>
        <sz val="11"/>
        <rFont val="Calibri"/>
        <family val="2"/>
        <scheme val="minor"/>
      </rPr>
      <t>demand greater than</t>
    </r>
    <r>
      <rPr>
        <sz val="11"/>
        <color theme="1"/>
        <rFont val="Calibri"/>
        <family val="2"/>
        <scheme val="minor"/>
      </rPr>
      <t xml:space="preserve"> $70MM.  SIS had $166.5MM in core capital as of April 30, 2015.  The $70MM limit requested represents 42% of core capital.  While  the risk rating of the counterparty indicates the probability of default of the counterparty is low, the $70MM represents a significant risk to the core capital of SIS. Therefore, SIS will  also require Banco Santander to continue to require $150MM in excess margin in both the house and customer account ($300MM in total) to ensure ample liquidity and to protect the capital of SIS.</t>
    </r>
  </si>
  <si>
    <t xml:space="preserve">Compliance Risk Assessment was completed on 4/15/15.  
The Risk Assessment performed on record retention rule/regulation compliance and the Firm’s ability to comply with industry regulations in this regard (particularly CME Rule 536.H) 
Since the inception of the exchanged-traded derivatives business, the Firm has received two summary fines from the CME relative to findings of inadequate compliance with CME Rule 536.B.2 (Electronic Audit Trail Requirements).  The CME found irregularities in Firm processes relative to the accurate creation and retention of a regulatory-compliant audit trail of each message entered into Globex (Globex is the CME’s global electronic trading platform for futures and options).
The Firm can expect increased fines from the CME in the event of future adverse findings.
To mitigate and reduce this risk, the Firm must enhance appropriate policies/procedures.  The enhanced policies/procedures should provide for a routine review of the (i) data collection process and (ii) the data itself to ensure accuracy.  Further, the policies and procedures must clearly address, from a rules compliance perspective, the issues of data formatting, retention and archiving/storage.  Policies and procedures must consider both internal and third party vendor systems.  Lastly, the Firm should provide appropriate training and guidance to appropriate personnel to communicate a clear understanding of the Firm’s responsibilities with respect to Rule 536.B.2 compliance.
</t>
  </si>
  <si>
    <t xml:space="preserve">An IT Risk Assessment is completed on a biannual basis. The assessment includes a review of the Information Securities policies and procedures. In addition, best practices for IT Risk are reviewed as compared with similar banks. Suggested updates to the procedures are documented and reviewed with the owners.  Procedures are updated as required. The IT Risk Assessment is currently in progress with a target completion of July 2015.
</t>
  </si>
  <si>
    <t xml:space="preserve">Currently, the Chief Operational Risk Officer is the executive primarily responsible for administering and maintaining the Vendor Management Policy. The Chief Operational Risk Officer, will review the accuracy and inclusion of a central repository database, maintained by Isban Branch US , of all technology vendors and their relationship with the Bank. At least two times per year a formal reconciliation of the invoices to the vendor list is completed by Isban US and provided to the Chief Operational Risk Officer to ensure that the vendor lists are current.  At the discretion of the Chief Operational Risk Officer, a project committee may be appointed, as needed, to implement and monitor requirements and goals of the policy. Determining compliance with the policy should be considered during audits of both information systems and business areas responsible for using vendors. Each vendor must have a designated bank officer who is accountable for the relationship (“Accountable Officer”) and compliance of that vendor with the policy with the assistance of Isban Branch US .  Other bank officers, employees and departments are assigned specific responsibilities within the policy.  Based on the risk rating and the judgment of both the accountable officer and the Chief Operational Risk Officer, the service level for certain vendors may be reported on a monthly basis to the Chief Operating Risk Officer. The Factories provide monthly service level information (consolidated from accountable officers) for the following vendors whose perceived risk rating has been judgmentally increased to “Higher” from Average: 1) Broadridge, 2) Produban, and 3) Iron Mountain. This information is included in the ISBAN Branch US – Monthly IT Report provided to the Chief Operational Risk Officer and Operational Risk Management group.
Rolfe and Nolan, a critial vendor for ETD, was audited by Produban in February 2015.  Produbanutilized a control framework recommende by ION a vendor. The internal audit included review of the controls in terms of logical access to the system, network access, physical access and facilities, processing and incident management, release management and data management at ION Trading.  The final results are pending.
</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</si>
</sst>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7" x14ac:knownFonts="1">
    <font>
      <sz val="11"/>
      <color theme="1"/>
      <name val="Calibri"/>
      <family val="2"/>
      <scheme val="minor"/>
    </font>
    <font>
      <sz val="10"/>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FF00"/>
      <name val="Calibri"/>
      <family val="2"/>
      <scheme val="minor"/>
    </font>
  </fonts>
  <fills count="37">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
      <patternFill patternType="solid">
        <fgColor rgb="FF92D050"/>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2"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12" borderId="0" applyNumberFormat="0" applyBorder="0" applyAlignment="0" applyProtection="0"/>
    <xf numFmtId="0" fontId="9" fillId="12"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20" borderId="0" applyNumberFormat="0" applyBorder="0" applyAlignment="0" applyProtection="0"/>
    <xf numFmtId="0" fontId="10" fillId="20"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3" borderId="0" applyNumberFormat="0" applyBorder="0" applyAlignment="0" applyProtection="0"/>
    <xf numFmtId="0" fontId="10" fillId="23"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10" fillId="24" borderId="0" applyNumberFormat="0" applyBorder="0" applyAlignment="0" applyProtection="0"/>
    <xf numFmtId="0" fontId="10" fillId="24" borderId="0" applyNumberFormat="0" applyBorder="0" applyAlignment="0" applyProtection="0"/>
    <xf numFmtId="0" fontId="10" fillId="24"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3" fillId="26" borderId="5" applyNumberFormat="0" applyAlignment="0" applyProtection="0"/>
    <xf numFmtId="0" fontId="13" fillId="26" borderId="5" applyNumberFormat="0" applyAlignment="0" applyProtection="0"/>
    <xf numFmtId="0" fontId="13" fillId="26" borderId="5" applyNumberFormat="0" applyAlignment="0" applyProtection="0"/>
    <xf numFmtId="0" fontId="13" fillId="26" borderId="5" applyNumberFormat="0" applyAlignment="0" applyProtection="0"/>
    <xf numFmtId="0" fontId="13" fillId="13" borderId="5" applyNumberFormat="0" applyAlignment="0" applyProtection="0"/>
    <xf numFmtId="0" fontId="13" fillId="13" borderId="5" applyNumberFormat="0" applyAlignment="0" applyProtection="0"/>
    <xf numFmtId="0" fontId="13" fillId="13" borderId="5" applyNumberFormat="0" applyAlignment="0" applyProtection="0"/>
    <xf numFmtId="0" fontId="13" fillId="13" borderId="5" applyNumberFormat="0" applyAlignment="0" applyProtection="0"/>
    <xf numFmtId="0" fontId="13" fillId="13" borderId="5" applyNumberFormat="0" applyAlignment="0" applyProtection="0"/>
    <xf numFmtId="0" fontId="13" fillId="13" borderId="5" applyNumberFormat="0" applyAlignment="0" applyProtection="0"/>
    <xf numFmtId="0" fontId="13" fillId="13" borderId="5" applyNumberFormat="0" applyAlignment="0" applyProtection="0"/>
    <xf numFmtId="0" fontId="13" fillId="13" borderId="5" applyNumberFormat="0" applyAlignment="0" applyProtection="0"/>
    <xf numFmtId="0" fontId="13" fillId="13" borderId="5" applyNumberFormat="0" applyAlignment="0" applyProtection="0"/>
    <xf numFmtId="0" fontId="13" fillId="13" borderId="5" applyNumberFormat="0" applyAlignment="0" applyProtection="0"/>
    <xf numFmtId="0" fontId="13" fillId="13" borderId="5" applyNumberFormat="0" applyAlignment="0" applyProtection="0"/>
    <xf numFmtId="0" fontId="13" fillId="13" borderId="5" applyNumberFormat="0" applyAlignment="0" applyProtection="0"/>
    <xf numFmtId="0" fontId="13" fillId="13" borderId="5" applyNumberFormat="0" applyAlignment="0" applyProtection="0"/>
    <xf numFmtId="0" fontId="13" fillId="13" borderId="5" applyNumberFormat="0" applyAlignment="0" applyProtection="0"/>
    <xf numFmtId="0" fontId="14" fillId="27" borderId="6" applyNumberFormat="0" applyAlignment="0" applyProtection="0"/>
    <xf numFmtId="0" fontId="14" fillId="27" borderId="6" applyNumberFormat="0" applyAlignment="0" applyProtection="0"/>
    <xf numFmtId="0" fontId="15" fillId="0" borderId="7" applyNumberFormat="0" applyFill="0" applyAlignment="0" applyProtection="0"/>
    <xf numFmtId="0" fontId="15" fillId="0" borderId="7" applyNumberFormat="0" applyFill="0" applyAlignment="0" applyProtection="0"/>
    <xf numFmtId="0" fontId="14" fillId="27" borderId="6" applyNumberFormat="0" applyAlignment="0" applyProtection="0"/>
    <xf numFmtId="0" fontId="14" fillId="27" borderId="6" applyNumberFormat="0" applyAlignment="0" applyProtection="0"/>
    <xf numFmtId="0" fontId="14" fillId="27" borderId="6" applyNumberFormat="0" applyAlignment="0" applyProtection="0"/>
    <xf numFmtId="0" fontId="14" fillId="27" borderId="6" applyNumberFormat="0" applyAlignment="0" applyProtection="0"/>
    <xf numFmtId="43" fontId="5" fillId="0" borderId="0" applyFont="0" applyFill="0" applyBorder="0" applyAlignment="0" applyProtection="0"/>
    <xf numFmtId="43" fontId="9" fillId="0" borderId="0" applyFont="0" applyFill="0" applyBorder="0" applyAlignment="0" applyProtection="0"/>
    <xf numFmtId="43" fontId="16" fillId="0" borderId="0" applyFont="0" applyFill="0" applyBorder="0" applyAlignment="0" applyProtection="0"/>
    <xf numFmtId="164" fontId="16"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43" fontId="18" fillId="0" borderId="0" applyFont="0" applyFill="0" applyBorder="0" applyAlignment="0" applyProtection="0"/>
    <xf numFmtId="165" fontId="16" fillId="0" borderId="0" applyFont="0" applyFill="0" applyBorder="0" applyAlignment="0" applyProtection="0"/>
    <xf numFmtId="165" fontId="16"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6" fontId="16" fillId="0" borderId="0" applyFont="0" applyFill="0" applyBorder="0" applyAlignment="0" applyProtection="0"/>
    <xf numFmtId="43" fontId="17" fillId="0" borderId="0" applyFont="0" applyFill="0" applyBorder="0" applyAlignment="0" applyProtection="0"/>
    <xf numFmtId="43" fontId="16" fillId="0" borderId="0" applyFont="0" applyFill="0" applyBorder="0" applyAlignment="0" applyProtection="0"/>
    <xf numFmtId="43" fontId="19" fillId="0" borderId="0" applyFont="0" applyFill="0" applyBorder="0" applyAlignment="0" applyProtection="0"/>
    <xf numFmtId="166" fontId="16"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43" fontId="16" fillId="0" borderId="0" applyFont="0" applyFill="0" applyBorder="0" applyAlignment="0" applyProtection="0"/>
    <xf numFmtId="43" fontId="5"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8"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6" fontId="16" fillId="0" borderId="0" applyFont="0" applyFill="0" applyBorder="0" applyAlignment="0" applyProtection="0"/>
    <xf numFmtId="43" fontId="18" fillId="0" borderId="0" applyFont="0" applyFill="0" applyBorder="0" applyAlignment="0" applyProtection="0"/>
    <xf numFmtId="166" fontId="16" fillId="0" borderId="0" applyFont="0" applyFill="0" applyBorder="0" applyAlignment="0" applyProtection="0"/>
    <xf numFmtId="43" fontId="20" fillId="0" borderId="0" applyFont="0" applyFill="0" applyBorder="0" applyAlignment="0" applyProtection="0"/>
    <xf numFmtId="166" fontId="16" fillId="0" borderId="0" applyFont="0" applyFill="0" applyBorder="0" applyAlignment="0" applyProtection="0"/>
    <xf numFmtId="43" fontId="18" fillId="0" borderId="0" applyFont="0" applyFill="0" applyBorder="0" applyAlignment="0" applyProtection="0"/>
    <xf numFmtId="3" fontId="4" fillId="0" borderId="0" applyFont="0" applyFill="0" applyBorder="0" applyAlignment="0" applyProtection="0"/>
    <xf numFmtId="44" fontId="16" fillId="0" borderId="0" applyFont="0" applyFill="0" applyBorder="0" applyAlignment="0" applyProtection="0"/>
    <xf numFmtId="44" fontId="17" fillId="0" borderId="0" applyFont="0" applyFill="0" applyBorder="0" applyAlignment="0" applyProtection="0"/>
    <xf numFmtId="44" fontId="16" fillId="0" borderId="0" applyFont="0" applyFill="0" applyBorder="0" applyAlignment="0" applyProtection="0"/>
    <xf numFmtId="44" fontId="18" fillId="0" borderId="0" applyFont="0" applyFill="0" applyBorder="0" applyAlignment="0" applyProtection="0"/>
    <xf numFmtId="167" fontId="16" fillId="0" borderId="0" applyFont="0" applyFill="0" applyBorder="0" applyAlignment="0" applyProtection="0"/>
    <xf numFmtId="167" fontId="16" fillId="0" borderId="0" applyFont="0" applyFill="0" applyBorder="0" applyAlignment="0" applyProtection="0"/>
    <xf numFmtId="44" fontId="17" fillId="0" borderId="0" applyFont="0" applyFill="0" applyBorder="0" applyAlignment="0" applyProtection="0"/>
    <xf numFmtId="44" fontId="17" fillId="0" borderId="0" applyFont="0" applyFill="0" applyBorder="0" applyAlignment="0" applyProtection="0"/>
    <xf numFmtId="44" fontId="16" fillId="0" borderId="0" applyFont="0" applyFill="0" applyBorder="0" applyAlignment="0" applyProtection="0"/>
    <xf numFmtId="44" fontId="17" fillId="0" borderId="0" applyFont="0" applyFill="0" applyBorder="0" applyAlignment="0" applyProtection="0"/>
    <xf numFmtId="44" fontId="16" fillId="0" borderId="0" applyFont="0" applyFill="0" applyBorder="0" applyAlignment="0" applyProtection="0"/>
    <xf numFmtId="44" fontId="18"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167" fontId="16" fillId="0" borderId="0" applyFont="0" applyFill="0" applyBorder="0" applyAlignment="0" applyProtection="0"/>
    <xf numFmtId="44" fontId="5" fillId="0" borderId="0" applyFont="0" applyFill="0" applyBorder="0" applyAlignment="0" applyProtection="0"/>
    <xf numFmtId="44" fontId="17" fillId="0" borderId="0" applyFont="0" applyFill="0" applyBorder="0" applyAlignment="0" applyProtection="0"/>
    <xf numFmtId="44" fontId="16" fillId="0" borderId="0" applyFont="0" applyFill="0" applyBorder="0" applyAlignment="0" applyProtection="0"/>
    <xf numFmtId="44" fontId="5" fillId="0" borderId="0" applyFont="0" applyFill="0" applyBorder="0" applyAlignment="0" applyProtection="0"/>
    <xf numFmtId="44" fontId="16" fillId="0" borderId="0" applyFont="0" applyFill="0" applyBorder="0" applyAlignment="0" applyProtection="0"/>
    <xf numFmtId="167" fontId="16" fillId="0" borderId="0" applyFont="0" applyFill="0" applyBorder="0" applyAlignment="0" applyProtection="0"/>
    <xf numFmtId="44" fontId="18" fillId="0" borderId="0" applyFont="0" applyFill="0" applyBorder="0" applyAlignment="0" applyProtection="0"/>
    <xf numFmtId="167" fontId="16" fillId="0" borderId="0" applyFont="0" applyFill="0" applyBorder="0" applyAlignment="0" applyProtection="0"/>
    <xf numFmtId="44" fontId="18" fillId="0" borderId="0" applyFont="0" applyFill="0" applyBorder="0" applyAlignment="0" applyProtection="0"/>
    <xf numFmtId="5" fontId="4" fillId="0" borderId="0" applyFont="0" applyFill="0" applyBorder="0" applyAlignment="0" applyProtection="0"/>
    <xf numFmtId="0" fontId="4" fillId="0" borderId="0" applyFon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3" borderId="0" applyNumberFormat="0" applyBorder="0" applyAlignment="0" applyProtection="0"/>
    <xf numFmtId="0" fontId="10" fillId="20" borderId="0" applyNumberFormat="0" applyBorder="0" applyAlignment="0" applyProtection="0"/>
    <xf numFmtId="0" fontId="10" fillId="20"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15" fontId="16" fillId="0" borderId="0"/>
    <xf numFmtId="15" fontId="16" fillId="0" borderId="0"/>
    <xf numFmtId="15" fontId="16" fillId="0" borderId="0"/>
    <xf numFmtId="15" fontId="16" fillId="0" borderId="0"/>
    <xf numFmtId="15" fontId="16" fillId="0" borderId="0"/>
    <xf numFmtId="15" fontId="16" fillId="0" borderId="0"/>
    <xf numFmtId="167" fontId="16" fillId="0" borderId="0" applyFont="0" applyFill="0" applyBorder="0" applyAlignment="0" applyProtection="0"/>
    <xf numFmtId="167" fontId="16" fillId="0" borderId="0" applyFont="0" applyFill="0" applyBorder="0" applyAlignment="0" applyProtection="0"/>
    <xf numFmtId="167" fontId="16" fillId="0" borderId="0" applyFont="0" applyFill="0" applyBorder="0" applyAlignment="0" applyProtection="0"/>
    <xf numFmtId="167" fontId="16" fillId="0" borderId="0" applyFont="0" applyFill="0" applyBorder="0" applyAlignment="0" applyProtection="0"/>
    <xf numFmtId="167" fontId="16" fillId="0" borderId="0" applyFont="0" applyFill="0" applyBorder="0" applyAlignment="0" applyProtection="0"/>
    <xf numFmtId="168" fontId="16" fillId="0" borderId="0" applyFont="0" applyFill="0" applyBorder="0" applyAlignment="0" applyProtection="0"/>
    <xf numFmtId="168" fontId="16" fillId="0" borderId="0" applyFont="0" applyFill="0" applyBorder="0" applyAlignment="0" applyProtection="0"/>
    <xf numFmtId="167" fontId="16" fillId="0" borderId="0" applyFont="0" applyFill="0" applyBorder="0" applyAlignment="0" applyProtection="0"/>
    <xf numFmtId="168" fontId="16" fillId="0" borderId="0" applyFon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2" fontId="4" fillId="0" borderId="0" applyFont="0" applyFill="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24" fillId="0" borderId="8" applyNumberFormat="0" applyFill="0" applyAlignment="0" applyProtection="0"/>
    <xf numFmtId="0" fontId="24" fillId="0" borderId="8" applyNumberFormat="0" applyFill="0" applyAlignment="0" applyProtection="0"/>
    <xf numFmtId="0" fontId="24" fillId="0" borderId="8" applyNumberFormat="0" applyFill="0" applyAlignment="0" applyProtection="0"/>
    <xf numFmtId="0" fontId="24" fillId="0" borderId="8" applyNumberFormat="0" applyFill="0" applyAlignment="0" applyProtection="0"/>
    <xf numFmtId="0" fontId="25" fillId="0" borderId="9" applyNumberFormat="0" applyFill="0" applyAlignment="0" applyProtection="0"/>
    <xf numFmtId="0" fontId="25" fillId="0" borderId="9" applyNumberFormat="0" applyFill="0" applyAlignment="0" applyProtection="0"/>
    <xf numFmtId="0" fontId="25" fillId="0" borderId="9" applyNumberFormat="0" applyFill="0" applyAlignment="0" applyProtection="0"/>
    <xf numFmtId="0" fontId="25" fillId="0" borderId="9" applyNumberFormat="0" applyFill="0" applyAlignment="0" applyProtection="0"/>
    <xf numFmtId="0" fontId="26" fillId="0" borderId="10" applyNumberFormat="0" applyFill="0" applyAlignment="0" applyProtection="0"/>
    <xf numFmtId="0" fontId="26" fillId="0" borderId="10" applyNumberFormat="0" applyFill="0" applyAlignment="0" applyProtection="0"/>
    <xf numFmtId="0" fontId="26" fillId="0" borderId="10" applyNumberFormat="0" applyFill="0" applyAlignment="0" applyProtection="0"/>
    <xf numFmtId="0" fontId="26" fillId="0" borderId="10" applyNumberFormat="0" applyFill="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11" fillId="10" borderId="0" applyNumberFormat="0" applyBorder="0" applyAlignment="0" applyProtection="0"/>
    <xf numFmtId="0" fontId="11" fillId="10" borderId="0" applyNumberFormat="0" applyBorder="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7" applyNumberFormat="0" applyFill="0" applyAlignment="0" applyProtection="0"/>
    <xf numFmtId="0" fontId="15" fillId="0" borderId="7" applyNumberFormat="0" applyFill="0" applyAlignment="0" applyProtection="0"/>
    <xf numFmtId="0" fontId="15" fillId="0" borderId="7" applyNumberFormat="0" applyFill="0" applyAlignment="0" applyProtection="0"/>
    <xf numFmtId="0" fontId="15" fillId="0" borderId="7" applyNumberFormat="0" applyFill="0" applyAlignment="0" applyProtection="0"/>
    <xf numFmtId="169" fontId="16" fillId="0" borderId="0" applyFont="0" applyFill="0" applyBorder="0" applyAlignment="0" applyProtection="0"/>
    <xf numFmtId="165" fontId="16" fillId="0" borderId="0" applyFont="0" applyFill="0" applyBorder="0" applyAlignment="0" applyProtection="0"/>
    <xf numFmtId="0" fontId="29" fillId="15" borderId="0" applyNumberFormat="0" applyBorder="0" applyAlignment="0" applyProtection="0"/>
    <xf numFmtId="0" fontId="29" fillId="15" borderId="0" applyNumberFormat="0" applyBorder="0" applyAlignment="0" applyProtection="0"/>
    <xf numFmtId="0" fontId="30" fillId="0" borderId="0"/>
    <xf numFmtId="0" fontId="5" fillId="0" borderId="0"/>
    <xf numFmtId="0" fontId="20" fillId="0" borderId="0"/>
    <xf numFmtId="0" fontId="16" fillId="0" borderId="0"/>
    <xf numFmtId="0" fontId="16" fillId="0" borderId="0"/>
    <xf numFmtId="0" fontId="16" fillId="0" borderId="0"/>
    <xf numFmtId="0" fontId="18" fillId="0" borderId="0"/>
    <xf numFmtId="0" fontId="31" fillId="0" borderId="0"/>
    <xf numFmtId="0" fontId="16" fillId="0" borderId="0"/>
    <xf numFmtId="0" fontId="5" fillId="0" borderId="0"/>
    <xf numFmtId="0" fontId="16" fillId="0" borderId="0"/>
    <xf numFmtId="0" fontId="17" fillId="0" borderId="0"/>
    <xf numFmtId="0" fontId="16" fillId="0" borderId="0"/>
    <xf numFmtId="0" fontId="16" fillId="0" borderId="0"/>
    <xf numFmtId="0" fontId="5" fillId="0" borderId="0"/>
    <xf numFmtId="0" fontId="16" fillId="0" borderId="0"/>
    <xf numFmtId="0" fontId="16" fillId="0" borderId="0"/>
    <xf numFmtId="0" fontId="17" fillId="0" borderId="0"/>
    <xf numFmtId="0" fontId="16" fillId="0" borderId="0"/>
    <xf numFmtId="0" fontId="16" fillId="0" borderId="0"/>
    <xf numFmtId="0" fontId="18" fillId="0" borderId="0"/>
    <xf numFmtId="0" fontId="16" fillId="0" borderId="0"/>
    <xf numFmtId="0" fontId="17" fillId="0" borderId="0"/>
    <xf numFmtId="0" fontId="17" fillId="0" borderId="0"/>
    <xf numFmtId="0" fontId="17" fillId="0" borderId="0"/>
    <xf numFmtId="0" fontId="17" fillId="0" borderId="0"/>
    <xf numFmtId="0" fontId="16" fillId="0" borderId="0"/>
    <xf numFmtId="0" fontId="17" fillId="0" borderId="0"/>
    <xf numFmtId="0" fontId="16" fillId="0" borderId="0"/>
    <xf numFmtId="0" fontId="5" fillId="0" borderId="0"/>
    <xf numFmtId="0" fontId="5" fillId="0" borderId="0"/>
    <xf numFmtId="0" fontId="17" fillId="0" borderId="0"/>
    <xf numFmtId="0" fontId="17" fillId="0" borderId="0"/>
    <xf numFmtId="0" fontId="17" fillId="0" borderId="0"/>
    <xf numFmtId="0" fontId="17" fillId="0" borderId="0"/>
    <xf numFmtId="0" fontId="32" fillId="0" borderId="0"/>
    <xf numFmtId="0" fontId="16" fillId="0" borderId="0"/>
    <xf numFmtId="0" fontId="16" fillId="0" borderId="0"/>
    <xf numFmtId="0" fontId="16" fillId="0" borderId="0"/>
    <xf numFmtId="0" fontId="16" fillId="0" borderId="0"/>
    <xf numFmtId="0" fontId="17" fillId="0" borderId="0"/>
    <xf numFmtId="0" fontId="16" fillId="0" borderId="0"/>
    <xf numFmtId="0" fontId="16" fillId="0" borderId="0"/>
    <xf numFmtId="0" fontId="16" fillId="0" borderId="0"/>
    <xf numFmtId="0" fontId="16" fillId="0" borderId="0"/>
    <xf numFmtId="0" fontId="18" fillId="0" borderId="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16" fillId="7" borderId="11" applyNumberFormat="0" applyFont="0" applyAlignment="0" applyProtection="0"/>
    <xf numFmtId="0" fontId="33" fillId="26" borderId="12" applyNumberFormat="0" applyAlignment="0" applyProtection="0"/>
    <xf numFmtId="0" fontId="33" fillId="26" borderId="12" applyNumberFormat="0" applyAlignment="0" applyProtection="0"/>
    <xf numFmtId="0" fontId="33" fillId="26" borderId="12" applyNumberFormat="0" applyAlignment="0" applyProtection="0"/>
    <xf numFmtId="0" fontId="33" fillId="26" borderId="12" applyNumberFormat="0" applyAlignment="0" applyProtection="0"/>
    <xf numFmtId="9" fontId="16" fillId="0" borderId="0" applyFont="0" applyFill="0" applyBorder="0" applyAlignment="0" applyProtection="0"/>
    <xf numFmtId="9" fontId="16" fillId="0" borderId="0" applyFont="0" applyFill="0" applyBorder="0" applyAlignment="0" applyProtection="0"/>
    <xf numFmtId="9" fontId="18"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18"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8"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20" fillId="0" borderId="0" applyFont="0" applyFill="0" applyBorder="0" applyAlignment="0" applyProtection="0"/>
    <xf numFmtId="9" fontId="16" fillId="0" borderId="0" applyFont="0" applyFill="0" applyBorder="0" applyAlignment="0" applyProtection="0"/>
    <xf numFmtId="9" fontId="18" fillId="0" borderId="0" applyFont="0" applyFill="0" applyBorder="0" applyAlignment="0" applyProtection="0"/>
    <xf numFmtId="0" fontId="33" fillId="13" borderId="12" applyNumberFormat="0" applyAlignment="0" applyProtection="0"/>
    <xf numFmtId="0" fontId="33" fillId="13" borderId="12" applyNumberFormat="0" applyAlignment="0" applyProtection="0"/>
    <xf numFmtId="0" fontId="33" fillId="13" borderId="12" applyNumberFormat="0" applyAlignment="0" applyProtection="0"/>
    <xf numFmtId="0" fontId="33" fillId="13" borderId="12" applyNumberFormat="0" applyAlignment="0" applyProtection="0"/>
    <xf numFmtId="0" fontId="33" fillId="13" borderId="12" applyNumberFormat="0" applyAlignment="0" applyProtection="0"/>
    <xf numFmtId="0" fontId="33" fillId="13" borderId="12" applyNumberFormat="0" applyAlignment="0" applyProtection="0"/>
    <xf numFmtId="0" fontId="33" fillId="13" borderId="12" applyNumberFormat="0" applyAlignment="0" applyProtection="0"/>
    <xf numFmtId="0" fontId="33" fillId="13" borderId="12" applyNumberFormat="0" applyAlignment="0" applyProtection="0"/>
    <xf numFmtId="0" fontId="33" fillId="13" borderId="12" applyNumberFormat="0" applyAlignment="0" applyProtection="0"/>
    <xf numFmtId="0" fontId="33" fillId="13" borderId="12" applyNumberFormat="0" applyAlignment="0" applyProtection="0"/>
    <xf numFmtId="0" fontId="33" fillId="13" borderId="12" applyNumberFormat="0" applyAlignment="0" applyProtection="0"/>
    <xf numFmtId="0" fontId="33" fillId="13" borderId="12" applyNumberFormat="0" applyAlignment="0" applyProtection="0"/>
    <xf numFmtId="0" fontId="33" fillId="13" borderId="12" applyNumberFormat="0" applyAlignment="0" applyProtection="0"/>
    <xf numFmtId="0" fontId="33" fillId="13" borderId="12" applyNumberFormat="0" applyAlignment="0" applyProtection="0"/>
    <xf numFmtId="0" fontId="16" fillId="0" borderId="0"/>
    <xf numFmtId="0" fontId="16" fillId="0" borderId="0">
      <alignment horizontal="left" wrapText="1"/>
    </xf>
    <xf numFmtId="15" fontId="16" fillId="0" borderId="0"/>
    <xf numFmtId="0" fontId="34" fillId="0" borderId="0" applyNumberFormat="0" applyFill="0" applyBorder="0" applyAlignment="0" applyProtection="0"/>
    <xf numFmtId="0" fontId="34"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7" fillId="0" borderId="13" applyNumberFormat="0" applyFill="0" applyAlignment="0" applyProtection="0"/>
    <xf numFmtId="0" fontId="37" fillId="0" borderId="13" applyNumberFormat="0" applyFill="0" applyAlignment="0" applyProtection="0"/>
    <xf numFmtId="0" fontId="38" fillId="0" borderId="9" applyNumberFormat="0" applyFill="0" applyAlignment="0" applyProtection="0"/>
    <xf numFmtId="0" fontId="38" fillId="0" borderId="9" applyNumberFormat="0" applyFill="0" applyAlignment="0" applyProtection="0"/>
    <xf numFmtId="0" fontId="21" fillId="0" borderId="14" applyNumberFormat="0" applyFill="0" applyAlignment="0" applyProtection="0"/>
    <xf numFmtId="0" fontId="21" fillId="0" borderId="14" applyNumberFormat="0" applyFill="0" applyAlignment="0" applyProtection="0"/>
    <xf numFmtId="0" fontId="36" fillId="0" borderId="0" applyNumberFormat="0" applyFill="0" applyBorder="0" applyAlignment="0" applyProtection="0"/>
    <xf numFmtId="0" fontId="39" fillId="0" borderId="15" applyNumberFormat="0" applyFill="0" applyAlignment="0" applyProtection="0"/>
    <xf numFmtId="0" fontId="39" fillId="0" borderId="15" applyNumberFormat="0" applyFill="0" applyAlignment="0" applyProtection="0"/>
    <xf numFmtId="0" fontId="39" fillId="0" borderId="15" applyNumberFormat="0" applyFill="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cellStyleXfs>
  <cellXfs count="225">
    <xf numFmtId="0" fontId="0" fillId="0" borderId="0" xfId="0"/>
    <xf numFmtId="0" fontId="3" fillId="2" borderId="2" xfId="0" applyFont="1" applyFill="1" applyBorder="1" applyAlignment="1">
      <alignment horizontal="center" vertical="center" wrapText="1"/>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3"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0" borderId="2" xfId="0" applyFont="1" applyBorder="1" applyAlignment="1" applyProtection="1">
      <alignment horizontal="center" vertical="center"/>
      <protection locked="0"/>
    </xf>
    <xf numFmtId="0" fontId="2" fillId="0" borderId="2" xfId="0" applyFont="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2" xfId="0" quotePrefix="1" applyFont="1" applyFill="1" applyBorder="1" applyAlignment="1" applyProtection="1">
      <alignment horizontal="left" vertical="top" wrapText="1"/>
      <protection locked="0"/>
    </xf>
    <xf numFmtId="0" fontId="2" fillId="0" borderId="2" xfId="0" applyFont="1" applyFill="1" applyBorder="1" applyAlignment="1" applyProtection="1">
      <alignment horizontal="center" vertical="center"/>
      <protection locked="0"/>
    </xf>
    <xf numFmtId="0" fontId="4" fillId="0" borderId="2" xfId="0" applyFont="1" applyFill="1" applyBorder="1" applyAlignment="1" applyProtection="1">
      <alignment horizontal="left" vertical="top" wrapText="1"/>
      <protection locked="0"/>
    </xf>
    <xf numFmtId="0" fontId="7" fillId="0" borderId="0" xfId="0" applyFont="1"/>
    <xf numFmtId="0" fontId="7" fillId="4" borderId="0" xfId="0" applyFont="1" applyFill="1"/>
    <xf numFmtId="0" fontId="0" fillId="4" borderId="0" xfId="0" applyFill="1"/>
    <xf numFmtId="0" fontId="0" fillId="0" borderId="0" xfId="0" applyAlignment="1">
      <alignment horizontal="left"/>
    </xf>
    <xf numFmtId="0" fontId="7"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8" fillId="29" borderId="0" xfId="0" applyFont="1" applyFill="1"/>
    <xf numFmtId="0" fontId="6" fillId="29" borderId="0" xfId="0" applyFont="1" applyFill="1"/>
    <xf numFmtId="0" fontId="40" fillId="0" borderId="0" xfId="0" applyFont="1" applyAlignment="1">
      <alignment horizontal="left" vertical="center" readingOrder="1"/>
    </xf>
    <xf numFmtId="0" fontId="2" fillId="3" borderId="2" xfId="0" applyFont="1" applyFill="1" applyBorder="1" applyAlignment="1">
      <alignment horizontal="left" vertical="center" wrapText="1"/>
    </xf>
    <xf numFmtId="0" fontId="40" fillId="0" borderId="0" xfId="0" applyFont="1" applyFill="1" applyBorder="1" applyAlignment="1">
      <alignment horizontal="left" vertical="center" readingOrder="1"/>
    </xf>
    <xf numFmtId="0" fontId="0" fillId="0" borderId="0" xfId="0" applyProtection="1">
      <protection locked="0"/>
    </xf>
    <xf numFmtId="0" fontId="41" fillId="30" borderId="16" xfId="0" applyFont="1" applyFill="1" applyBorder="1" applyAlignment="1">
      <alignment vertical="top" wrapText="1"/>
    </xf>
    <xf numFmtId="0" fontId="41" fillId="30" borderId="0" xfId="0" applyFont="1" applyFill="1" applyBorder="1" applyAlignment="1">
      <alignment vertical="top" wrapText="1"/>
    </xf>
    <xf numFmtId="0" fontId="0" fillId="30" borderId="16" xfId="0" applyFill="1" applyBorder="1" applyAlignment="1">
      <alignment vertical="top"/>
    </xf>
    <xf numFmtId="0" fontId="7" fillId="0" borderId="4" xfId="0" applyFont="1" applyBorder="1"/>
    <xf numFmtId="0" fontId="7" fillId="0" borderId="16" xfId="0" applyFont="1" applyBorder="1"/>
    <xf numFmtId="0" fontId="0" fillId="30" borderId="0" xfId="0" applyFill="1" applyBorder="1" applyAlignment="1">
      <alignment vertical="top"/>
    </xf>
    <xf numFmtId="0" fontId="7" fillId="4" borderId="4" xfId="0" applyFont="1" applyFill="1" applyBorder="1"/>
    <xf numFmtId="0" fontId="7" fillId="4" borderId="16" xfId="0" applyFont="1" applyFill="1" applyBorder="1"/>
    <xf numFmtId="0" fontId="0" fillId="0" borderId="0" xfId="0" applyAlignment="1"/>
    <xf numFmtId="0" fontId="2"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7"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3" fillId="0" borderId="0" xfId="0" applyFont="1" applyAlignment="1">
      <alignment vertical="center"/>
    </xf>
    <xf numFmtId="0" fontId="0" fillId="0" borderId="26" xfId="0" applyBorder="1" applyAlignment="1">
      <alignment vertical="center" wrapText="1"/>
    </xf>
    <xf numFmtId="0" fontId="7"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6" fillId="31" borderId="34" xfId="0" applyFont="1" applyFill="1" applyBorder="1"/>
    <xf numFmtId="0" fontId="0" fillId="30" borderId="0" xfId="0" applyFill="1" applyBorder="1" applyAlignment="1">
      <alignment vertical="top" wrapText="1"/>
    </xf>
    <xf numFmtId="0" fontId="20" fillId="0" borderId="2" xfId="0" applyFont="1" applyBorder="1" applyAlignment="1">
      <alignment vertical="center" wrapText="1"/>
    </xf>
    <xf numFmtId="0" fontId="20" fillId="0" borderId="3" xfId="0" applyFont="1" applyBorder="1" applyAlignment="1">
      <alignment vertical="center" wrapText="1"/>
    </xf>
    <xf numFmtId="0" fontId="45" fillId="35" borderId="2" xfId="0" applyFont="1" applyFill="1" applyBorder="1" applyAlignment="1">
      <alignment vertical="center" wrapText="1"/>
    </xf>
    <xf numFmtId="0" fontId="0" fillId="30" borderId="34" xfId="0" applyFill="1" applyBorder="1" applyAlignment="1">
      <alignment vertical="top"/>
    </xf>
    <xf numFmtId="0" fontId="47" fillId="31" borderId="37" xfId="0" applyFont="1" applyFill="1" applyBorder="1"/>
    <xf numFmtId="0" fontId="0" fillId="31" borderId="37" xfId="0" applyFill="1" applyBorder="1"/>
    <xf numFmtId="0" fontId="45" fillId="35" borderId="4" xfId="0" applyFont="1" applyFill="1" applyBorder="1" applyAlignment="1">
      <alignment horizontal="center" vertical="center" wrapText="1"/>
    </xf>
    <xf numFmtId="0" fontId="45" fillId="35" borderId="19" xfId="0" applyFont="1" applyFill="1" applyBorder="1" applyAlignment="1">
      <alignment horizontal="center" vertical="center" wrapText="1"/>
    </xf>
    <xf numFmtId="0" fontId="45" fillId="35" borderId="2" xfId="0" applyFont="1" applyFill="1" applyBorder="1" applyAlignment="1">
      <alignment horizontal="center" vertical="center" wrapText="1"/>
    </xf>
    <xf numFmtId="0" fontId="7" fillId="31" borderId="0" xfId="0" applyFont="1" applyFill="1"/>
    <xf numFmtId="0" fontId="51" fillId="0" borderId="26" xfId="0" applyFont="1" applyBorder="1" applyAlignment="1">
      <alignment vertical="center" wrapText="1"/>
    </xf>
    <xf numFmtId="0" fontId="32" fillId="32" borderId="4" xfId="0" applyFont="1" applyFill="1" applyBorder="1" applyAlignment="1" applyProtection="1">
      <alignment horizontal="center" vertical="center" wrapText="1"/>
      <protection locked="0"/>
    </xf>
    <xf numFmtId="0" fontId="32" fillId="32" borderId="4" xfId="0" applyFont="1" applyFill="1" applyBorder="1" applyAlignment="1" applyProtection="1">
      <alignment horizontal="center" vertical="top" wrapText="1"/>
      <protection locked="0"/>
    </xf>
    <xf numFmtId="0" fontId="46"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6" fillId="35" borderId="4" xfId="0" applyFont="1" applyFill="1" applyBorder="1" applyAlignment="1">
      <alignment vertical="center" wrapText="1"/>
    </xf>
    <xf numFmtId="0" fontId="56" fillId="35" borderId="19" xfId="0" applyFont="1" applyFill="1" applyBorder="1" applyAlignment="1">
      <alignment vertical="center" wrapText="1"/>
    </xf>
    <xf numFmtId="0" fontId="0" fillId="0" borderId="42" xfId="0" applyBorder="1" applyAlignment="1">
      <alignment vertical="center" wrapText="1"/>
    </xf>
    <xf numFmtId="0" fontId="51" fillId="0" borderId="0" xfId="0" applyFont="1" applyAlignment="1">
      <alignment vertical="center"/>
    </xf>
    <xf numFmtId="0" fontId="58"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2" fillId="32" borderId="43" xfId="0" applyFont="1" applyFill="1" applyBorder="1" applyAlignment="1" applyProtection="1">
      <alignment horizontal="center" vertical="center" wrapText="1"/>
      <protection locked="0"/>
    </xf>
    <xf numFmtId="0" fontId="32"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60" fillId="31" borderId="0" xfId="0" applyFont="1" applyFill="1"/>
    <xf numFmtId="0" fontId="7" fillId="31" borderId="0" xfId="0" applyFont="1" applyFill="1" applyAlignment="1">
      <alignment vertical="center"/>
    </xf>
    <xf numFmtId="0" fontId="32" fillId="32" borderId="26" xfId="0" applyFont="1" applyFill="1" applyBorder="1" applyAlignment="1" applyProtection="1">
      <alignment horizontal="center" vertical="center" wrapText="1"/>
      <protection locked="0"/>
    </xf>
    <xf numFmtId="0" fontId="32"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20"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20" fillId="0" borderId="26" xfId="0" applyFont="1" applyBorder="1" applyAlignment="1" applyProtection="1">
      <alignment vertical="center" wrapText="1"/>
      <protection locked="0"/>
    </xf>
    <xf numFmtId="0" fontId="44"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6"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6" fillId="0" borderId="34" xfId="0" applyFont="1" applyBorder="1" applyAlignment="1">
      <alignment horizontal="left" vertical="center"/>
    </xf>
    <xf numFmtId="0" fontId="46" fillId="31" borderId="0" xfId="0" applyFont="1" applyFill="1" applyAlignment="1">
      <alignment horizontal="left" vertical="center"/>
    </xf>
    <xf numFmtId="0" fontId="0" fillId="0" borderId="0" xfId="0" applyAlignment="1">
      <alignment vertical="top" wrapText="1"/>
    </xf>
    <xf numFmtId="0" fontId="20" fillId="0" borderId="2" xfId="0" applyFont="1" applyBorder="1" applyAlignment="1" applyProtection="1">
      <alignment vertical="center" wrapText="1"/>
      <protection locked="0"/>
    </xf>
    <xf numFmtId="0" fontId="50" fillId="0" borderId="2" xfId="0" applyFont="1" applyBorder="1" applyAlignment="1" applyProtection="1">
      <alignment vertical="center" wrapText="1"/>
      <protection locked="0"/>
    </xf>
    <xf numFmtId="0" fontId="20" fillId="33" borderId="19" xfId="0" applyFont="1" applyFill="1" applyBorder="1" applyAlignment="1" applyProtection="1">
      <alignment vertical="center" wrapText="1"/>
      <protection locked="0"/>
    </xf>
    <xf numFmtId="0" fontId="20" fillId="33" borderId="21" xfId="0" applyFont="1" applyFill="1" applyBorder="1" applyAlignment="1" applyProtection="1">
      <alignment vertical="center" wrapText="1"/>
      <protection locked="0"/>
    </xf>
    <xf numFmtId="0" fontId="46" fillId="31" borderId="0" xfId="0" applyFont="1" applyFill="1" applyAlignment="1"/>
    <xf numFmtId="0" fontId="48" fillId="31" borderId="0" xfId="0" applyFont="1" applyFill="1" applyAlignment="1">
      <alignment horizontal="left" vertical="center"/>
    </xf>
    <xf numFmtId="0" fontId="0" fillId="31" borderId="0" xfId="0" applyFill="1" applyAlignment="1">
      <alignment vertical="center"/>
    </xf>
    <xf numFmtId="0" fontId="46" fillId="31" borderId="34" xfId="0" applyFont="1" applyFill="1" applyBorder="1" applyAlignment="1">
      <alignment horizontal="left" vertical="center"/>
    </xf>
    <xf numFmtId="0" fontId="64" fillId="0" borderId="2" xfId="0" applyFont="1" applyBorder="1" applyAlignment="1" applyProtection="1">
      <alignment vertical="center" wrapText="1"/>
      <protection locked="0"/>
    </xf>
    <xf numFmtId="14" fontId="64" fillId="0" borderId="2" xfId="0" applyNumberFormat="1" applyFont="1" applyBorder="1" applyAlignment="1" applyProtection="1">
      <alignment vertical="center" wrapText="1"/>
      <protection locked="0"/>
    </xf>
    <xf numFmtId="6" fontId="64" fillId="0" borderId="2" xfId="0" applyNumberFormat="1" applyFont="1" applyBorder="1" applyAlignment="1" applyProtection="1">
      <alignment vertical="center" wrapText="1"/>
      <protection locked="0"/>
    </xf>
    <xf numFmtId="0" fontId="64" fillId="0" borderId="21" xfId="0" applyFont="1" applyBorder="1" applyAlignment="1" applyProtection="1">
      <alignment vertical="center" wrapText="1"/>
      <protection locked="0"/>
    </xf>
    <xf numFmtId="0" fontId="64" fillId="0" borderId="26" xfId="0" applyFont="1" applyBorder="1" applyAlignment="1" applyProtection="1">
      <alignment vertical="center" wrapText="1"/>
      <protection locked="0"/>
    </xf>
    <xf numFmtId="0" fontId="57" fillId="31" borderId="0" xfId="0" applyFont="1" applyFill="1"/>
    <xf numFmtId="0" fontId="0" fillId="0" borderId="0" xfId="0" applyAlignment="1">
      <alignment vertical="top"/>
    </xf>
    <xf numFmtId="0" fontId="0" fillId="31" borderId="0" xfId="0" applyFill="1" applyAlignment="1">
      <alignment vertical="top"/>
    </xf>
    <xf numFmtId="0" fontId="20" fillId="36" borderId="26" xfId="0" applyFont="1" applyFill="1" applyBorder="1" applyAlignment="1" applyProtection="1">
      <alignment vertical="center" wrapText="1"/>
      <protection locked="0"/>
    </xf>
    <xf numFmtId="0" fontId="1" fillId="0" borderId="2" xfId="0" applyFont="1" applyBorder="1" applyAlignment="1" applyProtection="1">
      <alignment vertical="center" wrapText="1"/>
      <protection locked="0"/>
    </xf>
    <xf numFmtId="0" fontId="1" fillId="0" borderId="21" xfId="0" applyFont="1" applyBorder="1" applyAlignment="1" applyProtection="1">
      <alignment vertical="center" wrapText="1"/>
      <protection locked="0"/>
    </xf>
    <xf numFmtId="0" fontId="1" fillId="33" borderId="21" xfId="0" applyFont="1" applyFill="1" applyBorder="1" applyAlignment="1" applyProtection="1">
      <alignment vertical="center" wrapText="1"/>
      <protection locked="0"/>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2" fillId="31" borderId="0" xfId="0" applyFont="1" applyFill="1" applyAlignment="1">
      <alignment horizontal="center" vertical="center" wrapText="1"/>
    </xf>
    <xf numFmtId="0" fontId="52" fillId="0" borderId="0" xfId="0" applyFont="1" applyAlignment="1">
      <alignment horizontal="center" vertical="center"/>
    </xf>
    <xf numFmtId="0" fontId="54" fillId="31" borderId="0" xfId="0" applyFont="1" applyFill="1" applyAlignment="1">
      <alignment horizontal="center" vertical="center" wrapText="1"/>
    </xf>
    <xf numFmtId="0" fontId="54" fillId="0" borderId="0" xfId="0" applyFont="1" applyAlignment="1">
      <alignment horizontal="center" vertical="center"/>
    </xf>
    <xf numFmtId="0" fontId="53" fillId="0" borderId="0" xfId="0" applyFont="1" applyAlignment="1">
      <alignment horizontal="center" vertical="center"/>
    </xf>
    <xf numFmtId="0" fontId="55" fillId="31" borderId="0" xfId="0" applyFont="1" applyFill="1" applyAlignment="1" applyProtection="1">
      <alignment horizontal="center" vertical="center"/>
      <protection locked="0"/>
    </xf>
    <xf numFmtId="0" fontId="55" fillId="0" borderId="0" xfId="0" applyFont="1" applyAlignment="1" applyProtection="1">
      <alignment horizontal="center" vertical="center"/>
      <protection locked="0"/>
    </xf>
    <xf numFmtId="0" fontId="42" fillId="0" borderId="18" xfId="0" applyFont="1" applyBorder="1" applyAlignment="1">
      <alignment vertical="top" wrapText="1"/>
    </xf>
    <xf numFmtId="0" fontId="0" fillId="0" borderId="19" xfId="0" applyBorder="1" applyAlignment="1">
      <alignment vertical="top" wrapText="1"/>
    </xf>
    <xf numFmtId="0" fontId="7"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64" fillId="0" borderId="30" xfId="0" applyFont="1" applyBorder="1" applyAlignment="1" applyProtection="1">
      <alignment vertical="center" wrapText="1"/>
      <protection locked="0"/>
    </xf>
    <xf numFmtId="0" fontId="65" fillId="0" borderId="31" xfId="0" applyFont="1" applyBorder="1" applyAlignment="1" applyProtection="1">
      <protection locked="0"/>
    </xf>
    <xf numFmtId="0" fontId="65" fillId="0" borderId="32" xfId="0" applyFont="1" applyBorder="1" applyAlignment="1" applyProtection="1">
      <protection locked="0"/>
    </xf>
    <xf numFmtId="0" fontId="64" fillId="0" borderId="35" xfId="0" applyFont="1" applyBorder="1" applyAlignment="1" applyProtection="1">
      <alignment vertical="center" wrapText="1"/>
      <protection locked="0"/>
    </xf>
    <xf numFmtId="0" fontId="65" fillId="0" borderId="36" xfId="0" applyFont="1" applyBorder="1" applyAlignment="1" applyProtection="1">
      <protection locked="0"/>
    </xf>
    <xf numFmtId="0" fontId="65" fillId="0" borderId="1" xfId="0" applyFont="1" applyBorder="1" applyAlignment="1" applyProtection="1">
      <protection locked="0"/>
    </xf>
    <xf numFmtId="0" fontId="65" fillId="34" borderId="35" xfId="0" applyFont="1" applyFill="1" applyBorder="1" applyAlignment="1" applyProtection="1">
      <alignment vertical="top" wrapText="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5" fillId="35" borderId="2" xfId="0" applyFont="1" applyFill="1" applyBorder="1" applyAlignment="1">
      <alignment horizontal="center" vertical="center" wrapText="1"/>
    </xf>
    <xf numFmtId="0" fontId="0" fillId="0" borderId="2" xfId="0" applyBorder="1" applyAlignment="1">
      <alignment horizontal="center"/>
    </xf>
    <xf numFmtId="0" fontId="64" fillId="0" borderId="2" xfId="0" applyFont="1" applyBorder="1" applyAlignment="1" applyProtection="1">
      <alignment vertical="center" wrapText="1"/>
      <protection locked="0"/>
    </xf>
    <xf numFmtId="0" fontId="65" fillId="0" borderId="2" xfId="0" applyFont="1" applyBorder="1" applyAlignment="1" applyProtection="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66" fillId="34" borderId="35" xfId="0" applyFont="1" applyFill="1" applyBorder="1" applyAlignment="1" applyProtection="1">
      <alignment vertical="top"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4" fillId="35" borderId="16" xfId="0" applyFont="1" applyFill="1" applyBorder="1" applyAlignment="1">
      <alignment horizontal="center" vertical="center" wrapText="1"/>
    </xf>
    <xf numFmtId="0" fontId="44" fillId="35" borderId="26" xfId="0" applyFont="1" applyFill="1" applyBorder="1" applyAlignment="1">
      <alignment horizontal="center" vertical="center" wrapText="1"/>
    </xf>
    <xf numFmtId="0" fontId="44" fillId="35" borderId="18" xfId="0" applyFont="1" applyFill="1" applyBorder="1" applyAlignment="1" applyProtection="1">
      <alignment horizontal="center" vertical="center" wrapText="1"/>
      <protection locked="0"/>
    </xf>
    <xf numFmtId="0" fontId="44" fillId="35" borderId="24" xfId="0" applyFont="1" applyFill="1" applyBorder="1" applyAlignment="1" applyProtection="1">
      <alignment horizontal="center" vertical="center" wrapText="1"/>
      <protection locked="0"/>
    </xf>
    <xf numFmtId="0" fontId="44" fillId="35" borderId="19" xfId="0" applyFont="1" applyFill="1" applyBorder="1" applyAlignment="1" applyProtection="1">
      <alignment horizontal="center" vertical="center" wrapText="1"/>
      <protection locked="0"/>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2" fillId="31" borderId="20" xfId="0" applyFont="1" applyFill="1" applyBorder="1" applyAlignment="1">
      <alignment vertical="top" wrapText="1"/>
    </xf>
    <xf numFmtId="0" fontId="0" fillId="0" borderId="21" xfId="0" applyBorder="1" applyAlignment="1">
      <alignment vertical="top" wrapText="1"/>
    </xf>
    <xf numFmtId="0" fontId="42" fillId="31" borderId="18" xfId="0" applyFont="1" applyFill="1" applyBorder="1" applyAlignment="1">
      <alignment vertical="top" wrapText="1"/>
    </xf>
    <xf numFmtId="0" fontId="0" fillId="0" borderId="19" xfId="0" applyBorder="1" applyAlignment="1" applyProtection="1">
      <alignment vertical="top" wrapText="1"/>
      <protection locked="0"/>
    </xf>
    <xf numFmtId="0" fontId="7" fillId="31" borderId="18" xfId="0" applyFont="1" applyFill="1" applyBorder="1" applyAlignment="1">
      <alignment vertical="top" wrapText="1"/>
    </xf>
    <xf numFmtId="0" fontId="7"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20" xfId="0" applyFill="1" applyBorder="1" applyAlignment="1">
      <alignment vertical="top" wrapText="1"/>
    </xf>
    <xf numFmtId="0" fontId="0" fillId="31" borderId="18" xfId="0" applyFill="1" applyBorder="1" applyAlignment="1">
      <alignment wrapText="1"/>
    </xf>
    <xf numFmtId="0" fontId="0" fillId="0" borderId="44" xfId="0" applyBorder="1" applyAlignment="1">
      <alignment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7" fillId="0" borderId="16" xfId="0" applyFont="1" applyBorder="1" applyAlignment="1">
      <alignment vertical="center" wrapText="1"/>
    </xf>
    <xf numFmtId="0" fontId="57" fillId="0" borderId="41" xfId="0" applyFont="1" applyBorder="1" applyAlignment="1">
      <alignment vertical="center" wrapText="1"/>
    </xf>
    <xf numFmtId="0" fontId="57" fillId="0" borderId="26" xfId="0" applyFont="1" applyBorder="1" applyAlignment="1">
      <alignment vertical="center" wrapText="1"/>
    </xf>
    <xf numFmtId="0" fontId="7" fillId="0" borderId="0" xfId="0" applyFont="1" applyBorder="1" applyAlignment="1">
      <alignment vertical="center" wrapText="1"/>
    </xf>
    <xf numFmtId="0" fontId="0" fillId="0" borderId="0" xfId="0" applyBorder="1" applyAlignment="1">
      <alignment wrapText="1"/>
    </xf>
    <xf numFmtId="0" fontId="7" fillId="0" borderId="33" xfId="0" applyFont="1" applyBorder="1" applyAlignment="1">
      <alignment vertical="center" wrapText="1"/>
    </xf>
    <xf numFmtId="0" fontId="0" fillId="0" borderId="33" xfId="0" applyBorder="1" applyAlignment="1">
      <alignment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view="pageLayout" zoomScaleNormal="90" workbookViewId="0"/>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520</v>
      </c>
      <c r="B1" s="43"/>
      <c r="C1" s="43"/>
      <c r="D1" s="43"/>
      <c r="E1" s="43"/>
      <c r="AA1" s="43">
        <v>0</v>
      </c>
    </row>
    <row r="2" spans="1:27" ht="15" x14ac:dyDescent="0.25">
      <c r="A2" s="43"/>
      <c r="B2" s="43"/>
      <c r="C2" s="43"/>
      <c r="D2" s="43"/>
      <c r="E2" s="117" t="s">
        <v>532</v>
      </c>
    </row>
    <row r="3" spans="1:27" ht="15" x14ac:dyDescent="0.25">
      <c r="A3" s="39"/>
      <c r="B3" s="39"/>
      <c r="C3" s="39"/>
      <c r="D3" s="39"/>
      <c r="E3" s="124" t="s">
        <v>514</v>
      </c>
      <c r="F3" s="125"/>
    </row>
    <row r="4" spans="1:27" ht="15" x14ac:dyDescent="0.25">
      <c r="A4" s="39"/>
      <c r="B4" s="39"/>
      <c r="C4" s="39"/>
      <c r="D4" s="39"/>
      <c r="E4" s="126"/>
      <c r="F4" s="127"/>
    </row>
    <row r="5" spans="1:27" ht="4.5" customHeight="1" x14ac:dyDescent="0.25">
      <c r="A5" s="39"/>
      <c r="B5" s="39"/>
      <c r="C5" s="39"/>
      <c r="D5" s="39"/>
      <c r="E5" s="126"/>
      <c r="F5" s="127"/>
    </row>
    <row r="6" spans="1:27" ht="4.5" customHeight="1" x14ac:dyDescent="0.25">
      <c r="A6" s="39"/>
      <c r="B6" s="39"/>
      <c r="C6" s="39"/>
      <c r="D6" s="39"/>
      <c r="E6" s="126"/>
      <c r="F6" s="127"/>
    </row>
    <row r="7" spans="1:27" ht="15" x14ac:dyDescent="0.25">
      <c r="A7" s="39"/>
      <c r="B7" s="39"/>
      <c r="C7" s="39"/>
      <c r="D7" s="39"/>
      <c r="E7" s="126"/>
      <c r="F7" s="127"/>
    </row>
    <row r="8" spans="1:27" ht="15" x14ac:dyDescent="0.25">
      <c r="A8" s="39"/>
      <c r="B8" s="39"/>
      <c r="C8" s="39"/>
      <c r="D8" s="39"/>
      <c r="E8" s="126"/>
      <c r="F8" s="127"/>
    </row>
    <row r="9" spans="1:27" ht="15" x14ac:dyDescent="0.25">
      <c r="A9" s="39"/>
      <c r="B9" s="39"/>
      <c r="C9" s="39"/>
      <c r="D9" s="39"/>
      <c r="E9" s="126"/>
      <c r="F9" s="127"/>
    </row>
    <row r="10" spans="1:27" ht="15" hidden="1" customHeight="1" x14ac:dyDescent="0.25">
      <c r="A10" s="39"/>
      <c r="B10" s="39"/>
      <c r="C10" s="39"/>
      <c r="D10" s="39"/>
      <c r="E10" s="126"/>
      <c r="F10" s="127"/>
    </row>
    <row r="11" spans="1:27" ht="15" hidden="1" customHeight="1" x14ac:dyDescent="0.25">
      <c r="A11" s="39"/>
      <c r="B11" s="39"/>
      <c r="C11" s="39"/>
      <c r="D11" s="39"/>
      <c r="E11" s="126"/>
      <c r="F11" s="127"/>
    </row>
    <row r="12" spans="1:27" ht="15" hidden="1" customHeight="1" x14ac:dyDescent="0.25">
      <c r="A12" s="108"/>
      <c r="B12" s="39"/>
      <c r="C12" s="39"/>
      <c r="D12" s="39"/>
      <c r="E12" s="126"/>
      <c r="F12" s="127"/>
    </row>
    <row r="13" spans="1:27" ht="15" x14ac:dyDescent="0.25">
      <c r="A13" s="39"/>
      <c r="B13" s="39"/>
      <c r="C13" s="39"/>
      <c r="D13" s="39"/>
      <c r="E13" s="126"/>
      <c r="F13" s="127"/>
    </row>
    <row r="14" spans="1:27" ht="15" customHeight="1" x14ac:dyDescent="0.25">
      <c r="A14" s="130" t="s">
        <v>524</v>
      </c>
      <c r="B14" s="131"/>
      <c r="C14" s="132"/>
      <c r="D14" s="132"/>
      <c r="E14" s="126"/>
      <c r="F14" s="127"/>
    </row>
    <row r="15" spans="1:27" ht="15" customHeight="1" x14ac:dyDescent="0.25">
      <c r="A15" s="133"/>
      <c r="B15" s="134"/>
      <c r="C15" s="135"/>
      <c r="D15" s="135"/>
      <c r="E15" s="126"/>
      <c r="F15" s="127"/>
    </row>
    <row r="16" spans="1:27" ht="15" customHeight="1" x14ac:dyDescent="0.25">
      <c r="A16" s="133"/>
      <c r="B16" s="134"/>
      <c r="C16" s="135"/>
      <c r="D16" s="135"/>
      <c r="E16" s="126"/>
      <c r="F16" s="127"/>
    </row>
    <row r="17" spans="1:6" ht="53.25" customHeight="1" x14ac:dyDescent="0.25">
      <c r="A17" s="133"/>
      <c r="B17" s="134"/>
      <c r="C17" s="135"/>
      <c r="D17" s="135"/>
      <c r="E17" s="126"/>
      <c r="F17" s="127"/>
    </row>
    <row r="18" spans="1:6" ht="15" x14ac:dyDescent="0.25">
      <c r="A18" s="133"/>
      <c r="B18" s="134"/>
      <c r="C18" s="135"/>
      <c r="D18" s="135"/>
      <c r="E18" s="126"/>
      <c r="F18" s="127"/>
    </row>
    <row r="19" spans="1:6" ht="15" x14ac:dyDescent="0.25">
      <c r="A19" s="133"/>
      <c r="B19" s="134"/>
      <c r="C19" s="135"/>
      <c r="D19" s="135"/>
      <c r="E19" s="126"/>
      <c r="F19" s="127"/>
    </row>
    <row r="20" spans="1:6" ht="15" x14ac:dyDescent="0.25">
      <c r="A20" s="133"/>
      <c r="B20" s="134"/>
      <c r="C20" s="135"/>
      <c r="D20" s="135"/>
      <c r="E20" s="126"/>
      <c r="F20" s="127"/>
    </row>
    <row r="21" spans="1:6" ht="15" x14ac:dyDescent="0.25">
      <c r="A21" s="133"/>
      <c r="B21" s="134"/>
      <c r="C21" s="135"/>
      <c r="D21" s="135"/>
      <c r="E21" s="126"/>
      <c r="F21" s="127"/>
    </row>
    <row r="22" spans="1:6" ht="15" x14ac:dyDescent="0.25">
      <c r="A22" s="133"/>
      <c r="B22" s="134"/>
      <c r="C22" s="135"/>
      <c r="D22" s="135"/>
      <c r="E22" s="126"/>
      <c r="F22" s="127"/>
    </row>
    <row r="23" spans="1:6" ht="15" x14ac:dyDescent="0.25">
      <c r="A23" s="133"/>
      <c r="B23" s="134"/>
      <c r="C23" s="135"/>
      <c r="D23" s="135"/>
      <c r="E23" s="126"/>
      <c r="F23" s="127"/>
    </row>
    <row r="24" spans="1:6" ht="15" customHeight="1" x14ac:dyDescent="0.25">
      <c r="A24" s="133"/>
      <c r="B24" s="134"/>
      <c r="C24" s="135"/>
      <c r="D24" s="135"/>
      <c r="E24" s="126"/>
      <c r="F24" s="127"/>
    </row>
    <row r="25" spans="1:6" ht="15" customHeight="1" x14ac:dyDescent="0.25">
      <c r="A25" s="133"/>
      <c r="B25" s="134"/>
      <c r="C25" s="135"/>
      <c r="D25" s="135"/>
      <c r="E25" s="126"/>
      <c r="F25" s="127"/>
    </row>
    <row r="26" spans="1:6" ht="15" customHeight="1" x14ac:dyDescent="0.25">
      <c r="A26" s="133"/>
      <c r="B26" s="134"/>
      <c r="C26" s="135"/>
      <c r="D26" s="135"/>
      <c r="E26" s="126"/>
      <c r="F26" s="127"/>
    </row>
    <row r="27" spans="1:6" ht="36" customHeight="1" x14ac:dyDescent="0.25">
      <c r="A27" s="133"/>
      <c r="B27" s="134"/>
      <c r="C27" s="135"/>
      <c r="D27" s="135"/>
      <c r="E27" s="126"/>
      <c r="F27" s="127"/>
    </row>
    <row r="28" spans="1:6" ht="36" customHeight="1" x14ac:dyDescent="0.25">
      <c r="A28" s="133"/>
      <c r="B28" s="134"/>
      <c r="C28" s="135"/>
      <c r="D28" s="135"/>
      <c r="E28" s="126"/>
      <c r="F28" s="127"/>
    </row>
    <row r="29" spans="1:6" ht="36" customHeight="1" x14ac:dyDescent="0.25">
      <c r="A29" s="133"/>
      <c r="B29" s="134"/>
      <c r="C29" s="135"/>
      <c r="D29" s="135"/>
      <c r="E29" s="126"/>
      <c r="F29" s="127"/>
    </row>
    <row r="30" spans="1:6" ht="36" customHeight="1" x14ac:dyDescent="0.25">
      <c r="A30" s="133"/>
      <c r="B30" s="134"/>
      <c r="C30" s="135"/>
      <c r="D30" s="135"/>
      <c r="E30" s="126"/>
      <c r="F30" s="127"/>
    </row>
    <row r="31" spans="1:6" ht="36" customHeight="1" x14ac:dyDescent="0.25">
      <c r="A31" s="133"/>
      <c r="B31" s="134"/>
      <c r="C31" s="135"/>
      <c r="D31" s="135"/>
      <c r="E31" s="126"/>
      <c r="F31" s="127"/>
    </row>
    <row r="32" spans="1:6" ht="15" x14ac:dyDescent="0.25">
      <c r="A32" s="133"/>
      <c r="B32" s="134"/>
      <c r="C32" s="135"/>
      <c r="D32" s="135"/>
      <c r="E32" s="126"/>
      <c r="F32" s="127"/>
    </row>
    <row r="33" spans="1:6" ht="15" customHeight="1" x14ac:dyDescent="0.25">
      <c r="A33" s="133"/>
      <c r="B33" s="134"/>
      <c r="C33" s="135"/>
      <c r="D33" s="135"/>
      <c r="E33" s="126"/>
      <c r="F33" s="127"/>
    </row>
    <row r="34" spans="1:6" ht="15" customHeight="1" x14ac:dyDescent="0.25">
      <c r="A34" s="133"/>
      <c r="B34" s="134"/>
      <c r="C34" s="135"/>
      <c r="D34" s="135"/>
      <c r="E34" s="126"/>
      <c r="F34" s="127"/>
    </row>
    <row r="35" spans="1:6" ht="15" x14ac:dyDescent="0.25">
      <c r="A35" s="133"/>
      <c r="B35" s="134"/>
      <c r="C35" s="135"/>
      <c r="D35" s="135"/>
      <c r="E35" s="126"/>
      <c r="F35" s="127"/>
    </row>
    <row r="36" spans="1:6" ht="31.5" customHeight="1" x14ac:dyDescent="0.25">
      <c r="A36" s="133"/>
      <c r="B36" s="134"/>
      <c r="C36" s="135"/>
      <c r="D36" s="135"/>
      <c r="E36" s="126"/>
      <c r="F36" s="127"/>
    </row>
    <row r="37" spans="1:6" ht="31.5" customHeight="1" x14ac:dyDescent="0.25">
      <c r="A37" s="133"/>
      <c r="B37" s="134"/>
      <c r="C37" s="135"/>
      <c r="D37" s="135"/>
      <c r="E37" s="126"/>
      <c r="F37" s="127"/>
    </row>
    <row r="38" spans="1:6" ht="31.5" customHeight="1" x14ac:dyDescent="0.25">
      <c r="A38" s="133"/>
      <c r="B38" s="134"/>
      <c r="C38" s="135"/>
      <c r="D38" s="135"/>
      <c r="E38" s="126"/>
      <c r="F38" s="127"/>
    </row>
    <row r="39" spans="1:6" ht="31.5" customHeight="1" x14ac:dyDescent="0.25">
      <c r="A39" s="133"/>
      <c r="B39" s="134"/>
      <c r="C39" s="135"/>
      <c r="D39" s="135"/>
      <c r="E39" s="126"/>
      <c r="F39" s="127"/>
    </row>
    <row r="40" spans="1:6" ht="15" x14ac:dyDescent="0.25">
      <c r="A40" s="136"/>
      <c r="B40" s="137"/>
      <c r="C40" s="138"/>
      <c r="D40" s="138"/>
      <c r="E40" s="128"/>
      <c r="F40" s="129"/>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14" zoomScaleNormal="100" zoomScaleSheetLayoutView="100" workbookViewId="0">
      <selection activeCell="K14" sqref="K14:O1048576"/>
    </sheetView>
  </sheetViews>
  <sheetFormatPr defaultColWidth="0" defaultRowHeight="15" zeroHeight="1" x14ac:dyDescent="0.25"/>
  <cols>
    <col min="1" max="8" width="9.140625" style="43" customWidth="1"/>
    <col min="9" max="10" width="7.7109375" style="43" customWidth="1"/>
    <col min="11" max="11" width="7.7109375" style="118" hidden="1" customWidth="1"/>
    <col min="12" max="15" width="3.85546875" style="118" hidden="1" customWidth="1"/>
    <col min="16" max="16384" width="0.85546875" style="43" hidden="1"/>
  </cols>
  <sheetData>
    <row r="1" spans="1:15 16383:16383" ht="21" x14ac:dyDescent="0.35">
      <c r="B1" s="88"/>
      <c r="L1" s="39"/>
      <c r="M1" s="39"/>
      <c r="N1" s="39"/>
      <c r="O1" s="39"/>
      <c r="XFC1" s="43" t="s">
        <v>494</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39" t="s">
        <v>310</v>
      </c>
      <c r="B14" s="140"/>
      <c r="C14" s="140"/>
      <c r="D14" s="140"/>
      <c r="E14" s="140"/>
      <c r="F14" s="140"/>
      <c r="G14" s="140"/>
      <c r="H14" s="140"/>
      <c r="I14" s="140"/>
      <c r="J14" s="140"/>
      <c r="K14" s="119"/>
    </row>
    <row r="15" spans="1:15 16383:16383" x14ac:dyDescent="0.25">
      <c r="A15" s="140"/>
      <c r="B15" s="140"/>
      <c r="C15" s="140"/>
      <c r="D15" s="140"/>
      <c r="E15" s="140"/>
      <c r="F15" s="140"/>
      <c r="G15" s="140"/>
      <c r="H15" s="140"/>
      <c r="I15" s="140"/>
      <c r="J15" s="140"/>
    </row>
    <row r="16" spans="1:15 16383:16383" x14ac:dyDescent="0.25">
      <c r="A16" s="140"/>
      <c r="B16" s="140"/>
      <c r="C16" s="140"/>
      <c r="D16" s="140"/>
      <c r="E16" s="140"/>
      <c r="F16" s="140"/>
      <c r="G16" s="140"/>
      <c r="H16" s="140"/>
      <c r="I16" s="140"/>
      <c r="J16" s="140"/>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1" t="s">
        <v>483</v>
      </c>
      <c r="B24" s="142"/>
      <c r="C24" s="142"/>
      <c r="D24" s="142"/>
      <c r="E24" s="142"/>
      <c r="F24" s="142"/>
      <c r="G24" s="142"/>
      <c r="H24" s="142"/>
      <c r="I24" s="142"/>
      <c r="J24" s="142"/>
    </row>
    <row r="25" spans="1:10" x14ac:dyDescent="0.25">
      <c r="A25" s="142"/>
      <c r="B25" s="142"/>
      <c r="C25" s="142"/>
      <c r="D25" s="142"/>
      <c r="E25" s="142"/>
      <c r="F25" s="142"/>
      <c r="G25" s="142"/>
      <c r="H25" s="142"/>
      <c r="I25" s="142"/>
      <c r="J25" s="142"/>
    </row>
    <row r="26" spans="1:10" x14ac:dyDescent="0.25">
      <c r="A26" s="142"/>
      <c r="B26" s="142"/>
      <c r="C26" s="142"/>
      <c r="D26" s="142"/>
      <c r="E26" s="142"/>
      <c r="F26" s="142"/>
      <c r="G26" s="142"/>
      <c r="H26" s="142"/>
      <c r="I26" s="142"/>
      <c r="J26" s="142"/>
    </row>
    <row r="27" spans="1:10" x14ac:dyDescent="0.25">
      <c r="A27" s="143"/>
      <c r="B27" s="143"/>
      <c r="C27" s="143"/>
      <c r="D27" s="143"/>
      <c r="E27" s="143"/>
      <c r="F27" s="143"/>
      <c r="G27" s="143"/>
      <c r="H27" s="143"/>
      <c r="I27" s="143"/>
      <c r="J27" s="143"/>
    </row>
    <row r="28" spans="1:10" x14ac:dyDescent="0.25">
      <c r="A28" s="143"/>
      <c r="B28" s="143"/>
      <c r="C28" s="143"/>
      <c r="D28" s="143"/>
      <c r="E28" s="143"/>
      <c r="F28" s="143"/>
      <c r="G28" s="143"/>
      <c r="H28" s="143"/>
      <c r="I28" s="143"/>
      <c r="J28" s="143"/>
    </row>
    <row r="29" spans="1:10" x14ac:dyDescent="0.25"/>
    <row r="30" spans="1:10" x14ac:dyDescent="0.25"/>
    <row r="31" spans="1:10" x14ac:dyDescent="0.25"/>
    <row r="32" spans="1:10" x14ac:dyDescent="0.25"/>
    <row r="33" spans="1:10" x14ac:dyDescent="0.25">
      <c r="A33" s="144" t="s">
        <v>538</v>
      </c>
      <c r="B33" s="145"/>
      <c r="C33" s="145"/>
      <c r="D33" s="145"/>
      <c r="E33" s="145"/>
      <c r="F33" s="145"/>
      <c r="G33" s="145"/>
      <c r="H33" s="145"/>
      <c r="I33" s="145"/>
      <c r="J33" s="145"/>
    </row>
    <row r="34" spans="1:10" x14ac:dyDescent="0.25">
      <c r="A34" s="145"/>
      <c r="B34" s="145"/>
      <c r="C34" s="145"/>
      <c r="D34" s="145"/>
      <c r="E34" s="145"/>
      <c r="F34" s="145"/>
      <c r="G34" s="145"/>
      <c r="H34" s="145"/>
      <c r="I34" s="145"/>
      <c r="J34" s="145"/>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topLeftCell="A7" zoomScaleNormal="100" workbookViewId="0">
      <selection activeCell="A12" sqref="A12:B12"/>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494</v>
      </c>
    </row>
    <row r="2" spans="1:27" ht="15.75" thickBot="1" x14ac:dyDescent="0.3"/>
    <row r="3" spans="1:27" ht="29.25" customHeight="1" thickBot="1" x14ac:dyDescent="0.3">
      <c r="A3" s="146" t="s">
        <v>257</v>
      </c>
      <c r="B3" s="147"/>
      <c r="C3" s="106"/>
    </row>
    <row r="4" spans="1:27" ht="33.75" customHeight="1" thickBot="1" x14ac:dyDescent="0.3">
      <c r="A4" s="146" t="s">
        <v>311</v>
      </c>
      <c r="B4" s="147"/>
      <c r="C4" s="107" t="s">
        <v>539</v>
      </c>
    </row>
    <row r="5" spans="1:27" ht="33.75" customHeight="1" thickBot="1" x14ac:dyDescent="0.3">
      <c r="A5" s="146" t="s">
        <v>312</v>
      </c>
      <c r="B5" s="147"/>
      <c r="C5" s="107" t="s">
        <v>536</v>
      </c>
    </row>
    <row r="6" spans="1:27" ht="33.75" customHeight="1" thickBot="1" x14ac:dyDescent="0.3">
      <c r="A6" s="146" t="s">
        <v>1</v>
      </c>
      <c r="B6" s="147"/>
      <c r="C6" s="107" t="s">
        <v>540</v>
      </c>
    </row>
    <row r="7" spans="1:27" ht="33.75" customHeight="1" thickBot="1" x14ac:dyDescent="0.3">
      <c r="A7" s="146" t="s">
        <v>258</v>
      </c>
      <c r="B7" s="147"/>
      <c r="C7" s="107" t="s">
        <v>536</v>
      </c>
    </row>
    <row r="8" spans="1:27" ht="33.75" customHeight="1" thickBot="1" x14ac:dyDescent="0.3">
      <c r="A8" s="146" t="s">
        <v>515</v>
      </c>
      <c r="B8" s="147"/>
      <c r="C8" s="107"/>
    </row>
    <row r="9" spans="1:27" ht="33.75" customHeight="1" thickBot="1" x14ac:dyDescent="0.3">
      <c r="A9" s="146" t="s">
        <v>516</v>
      </c>
      <c r="B9" s="147"/>
      <c r="C9" s="107"/>
    </row>
    <row r="10" spans="1:27" ht="33.75" customHeight="1" thickBot="1" x14ac:dyDescent="0.3">
      <c r="A10" s="146" t="s">
        <v>259</v>
      </c>
      <c r="B10" s="147"/>
      <c r="C10" s="107" t="s">
        <v>537</v>
      </c>
    </row>
    <row r="11" spans="1:27" ht="44.25" customHeight="1" thickBot="1" x14ac:dyDescent="0.3">
      <c r="A11" s="146" t="s">
        <v>260</v>
      </c>
      <c r="B11" s="147"/>
      <c r="C11" s="123" t="s">
        <v>569</v>
      </c>
    </row>
    <row r="12" spans="1:27" ht="33.75" customHeight="1" thickBot="1" x14ac:dyDescent="0.3">
      <c r="A12" s="146" t="s">
        <v>517</v>
      </c>
      <c r="B12" s="147"/>
      <c r="C12" s="107" t="s">
        <v>536</v>
      </c>
    </row>
    <row r="13" spans="1:27" ht="33.75" customHeight="1" thickBot="1" x14ac:dyDescent="0.3">
      <c r="A13" s="146" t="s">
        <v>261</v>
      </c>
      <c r="B13" s="147"/>
      <c r="C13" s="107" t="s">
        <v>546</v>
      </c>
    </row>
    <row r="14" spans="1:27" x14ac:dyDescent="0.25"/>
    <row r="15" spans="1:27" ht="15.75" thickBot="1" x14ac:dyDescent="0.3">
      <c r="A15" s="68" t="s">
        <v>493</v>
      </c>
      <c r="B15" s="148"/>
      <c r="C15" s="149"/>
    </row>
    <row r="16" spans="1:27" x14ac:dyDescent="0.25"/>
    <row r="17" spans="1:3" x14ac:dyDescent="0.25">
      <c r="A17" s="89" t="s">
        <v>518</v>
      </c>
      <c r="B17" s="47"/>
    </row>
    <row r="18" spans="1:3" x14ac:dyDescent="0.25"/>
    <row r="19" spans="1:3" x14ac:dyDescent="0.25">
      <c r="A19" s="48" t="s">
        <v>262</v>
      </c>
      <c r="B19" s="49"/>
      <c r="C19" s="50"/>
    </row>
    <row r="20" spans="1:3" ht="198.75" customHeight="1" x14ac:dyDescent="0.25">
      <c r="A20" s="150" t="s">
        <v>512</v>
      </c>
      <c r="B20" s="138"/>
      <c r="C20" s="151"/>
    </row>
  </sheetData>
  <sheetProtection password="CDE2" sheet="1" objects="1" scenarios="1" formatRows="0"/>
  <mergeCells count="13">
    <mergeCell ref="A11:B11"/>
    <mergeCell ref="A12:B12"/>
    <mergeCell ref="A13:B13"/>
    <mergeCell ref="B15:C15"/>
    <mergeCell ref="A20:C20"/>
    <mergeCell ref="A10:B10"/>
    <mergeCell ref="A3:B3"/>
    <mergeCell ref="A4:B4"/>
    <mergeCell ref="A5:B5"/>
    <mergeCell ref="A6:B6"/>
    <mergeCell ref="A7:B7"/>
    <mergeCell ref="A8:B8"/>
    <mergeCell ref="A9:B9"/>
  </mergeCells>
  <dataValidations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&amp;CExchange Traded Derivatives</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topLeftCell="A7" zoomScaleNormal="100" zoomScaleSheetLayoutView="100" workbookViewId="0">
      <selection activeCell="A9" sqref="A9"/>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266</v>
      </c>
      <c r="AA1" s="43" t="s">
        <v>495</v>
      </c>
    </row>
    <row r="2" spans="1:27" ht="30" x14ac:dyDescent="0.25">
      <c r="A2" s="42" t="s">
        <v>525</v>
      </c>
    </row>
    <row r="3" spans="1:27" ht="57" customHeight="1" x14ac:dyDescent="0.25">
      <c r="A3" s="98" t="s">
        <v>572</v>
      </c>
    </row>
    <row r="4" spans="1:27" ht="15.75" thickBot="1" x14ac:dyDescent="0.3">
      <c r="A4" s="72" t="s">
        <v>263</v>
      </c>
    </row>
    <row r="5" spans="1:27" ht="75" x14ac:dyDescent="0.25">
      <c r="A5" s="42" t="s">
        <v>526</v>
      </c>
    </row>
    <row r="6" spans="1:27" ht="409.5" x14ac:dyDescent="0.25">
      <c r="A6" s="98" t="s">
        <v>586</v>
      </c>
    </row>
    <row r="7" spans="1:27" ht="15.75" thickBot="1" x14ac:dyDescent="0.3">
      <c r="A7" s="72" t="s">
        <v>264</v>
      </c>
    </row>
    <row r="8" spans="1:27" ht="150" x14ac:dyDescent="0.25">
      <c r="A8" s="42" t="s">
        <v>481</v>
      </c>
    </row>
    <row r="9" spans="1:27" ht="120" x14ac:dyDescent="0.25">
      <c r="A9" s="98" t="s">
        <v>573</v>
      </c>
    </row>
    <row r="10" spans="1:27" ht="15.75" thickBot="1" x14ac:dyDescent="0.3">
      <c r="A10" s="72" t="s">
        <v>265</v>
      </c>
    </row>
    <row r="11" spans="1:27" ht="135" x14ac:dyDescent="0.25">
      <c r="A11" s="42" t="s">
        <v>482</v>
      </c>
    </row>
    <row r="12" spans="1:27" ht="120" x14ac:dyDescent="0.25">
      <c r="A12" s="98" t="s">
        <v>581</v>
      </c>
    </row>
  </sheetData>
  <sheetProtection password="CDE2" sheet="1" objects="1" scenarios="1" formatCells="0" formatColumns="0" formatRows="0"/>
  <pageMargins left="0.25" right="0.25" top="0.75" bottom="0.75" header="0.3" footer="0.3"/>
  <pageSetup scale="78" fitToHeight="5" orientation="portrait" r:id="rId1"/>
  <headerFooter>
    <oddHeader>&amp;CSIS: Exchange Traded Derivatives</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topLeftCell="A8" zoomScale="80" zoomScaleNormal="100" zoomScaleSheetLayoutView="100" zoomScalePageLayoutView="80" workbookViewId="0">
      <selection activeCell="A12" sqref="A12:E1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272</v>
      </c>
      <c r="B1" s="56"/>
      <c r="C1" s="56"/>
      <c r="D1" s="56"/>
      <c r="E1" s="56"/>
      <c r="AA1" s="43" t="s">
        <v>495</v>
      </c>
    </row>
    <row r="2" spans="1:27" x14ac:dyDescent="0.25">
      <c r="A2" s="152" t="s">
        <v>273</v>
      </c>
      <c r="B2" s="153"/>
      <c r="C2" s="153"/>
      <c r="D2" s="153"/>
      <c r="E2" s="153"/>
      <c r="F2" s="153"/>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26.25" thickBot="1" x14ac:dyDescent="0.3">
      <c r="A5" s="116" t="s">
        <v>552</v>
      </c>
      <c r="B5" s="115" t="s">
        <v>554</v>
      </c>
      <c r="C5" s="115">
        <v>2016</v>
      </c>
      <c r="D5" s="115" t="s">
        <v>541</v>
      </c>
      <c r="E5" s="115" t="s">
        <v>551</v>
      </c>
    </row>
    <row r="6" spans="1:27" ht="26.25" thickBot="1" x14ac:dyDescent="0.3">
      <c r="A6" s="116" t="s">
        <v>553</v>
      </c>
      <c r="B6" s="115" t="s">
        <v>554</v>
      </c>
      <c r="C6" s="115" t="s">
        <v>550</v>
      </c>
      <c r="D6" s="115" t="s">
        <v>541</v>
      </c>
      <c r="E6" s="115" t="s">
        <v>551</v>
      </c>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5" customHeight="1" x14ac:dyDescent="0.25">
      <c r="A11" s="152" t="s">
        <v>274</v>
      </c>
      <c r="B11" s="154"/>
      <c r="C11" s="154"/>
      <c r="D11" s="154"/>
      <c r="E11" s="154"/>
    </row>
    <row r="12" spans="1:27" ht="409.6" customHeight="1" x14ac:dyDescent="0.25">
      <c r="A12" s="155" t="s">
        <v>589</v>
      </c>
      <c r="B12" s="156"/>
      <c r="C12" s="156"/>
      <c r="D12" s="156"/>
      <c r="E12" s="157"/>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zoomScaleNormal="100" zoomScalePageLayoutView="80" workbookViewId="0">
      <selection activeCell="A3" sqref="A3"/>
    </sheetView>
  </sheetViews>
  <sheetFormatPr defaultColWidth="0" defaultRowHeight="15" zeroHeight="1" x14ac:dyDescent="0.25"/>
  <cols>
    <col min="1" max="1" width="146.7109375" style="92" customWidth="1"/>
    <col min="2" max="16384" width="2" style="43" hidden="1"/>
  </cols>
  <sheetData>
    <row r="1" spans="1:27" ht="21.75" customHeight="1" thickBot="1" x14ac:dyDescent="0.3">
      <c r="A1" s="72" t="s">
        <v>507</v>
      </c>
      <c r="AA1" s="43" t="s">
        <v>495</v>
      </c>
    </row>
    <row r="2" spans="1:27" ht="57" customHeight="1" x14ac:dyDescent="0.25">
      <c r="A2" s="42" t="s">
        <v>508</v>
      </c>
    </row>
    <row r="3" spans="1:27" ht="52.5" customHeight="1" x14ac:dyDescent="0.25">
      <c r="A3" s="98" t="s">
        <v>565</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21" zoomScaleNormal="100" workbookViewId="0">
      <selection activeCell="A12" sqref="A12:D12"/>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496</v>
      </c>
      <c r="B1" s="56"/>
      <c r="C1" s="56"/>
      <c r="D1" s="56"/>
      <c r="AA1" s="43" t="s">
        <v>495</v>
      </c>
    </row>
    <row r="2" spans="1:27" x14ac:dyDescent="0.25">
      <c r="A2" s="167" t="s">
        <v>280</v>
      </c>
      <c r="B2" s="168"/>
      <c r="C2" s="168"/>
      <c r="D2" s="168"/>
    </row>
    <row r="3" spans="1:27" x14ac:dyDescent="0.25"/>
    <row r="4" spans="1:27" x14ac:dyDescent="0.25">
      <c r="A4" s="61" t="s">
        <v>275</v>
      </c>
      <c r="B4" s="61" t="s">
        <v>276</v>
      </c>
      <c r="C4" s="61" t="s">
        <v>277</v>
      </c>
      <c r="D4" s="61" t="s">
        <v>278</v>
      </c>
    </row>
    <row r="5" spans="1:27" ht="63.75" x14ac:dyDescent="0.25">
      <c r="A5" s="112" t="s">
        <v>547</v>
      </c>
      <c r="B5" s="112" t="s">
        <v>549</v>
      </c>
      <c r="C5" s="112" t="s">
        <v>549</v>
      </c>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279</v>
      </c>
    </row>
    <row r="12" spans="1:27" ht="39.75" customHeight="1" x14ac:dyDescent="0.25">
      <c r="A12" s="164" t="s">
        <v>590</v>
      </c>
      <c r="B12" s="165"/>
      <c r="C12" s="165"/>
      <c r="D12" s="166"/>
    </row>
    <row r="13" spans="1:27" ht="20.25" customHeight="1" x14ac:dyDescent="0.25">
      <c r="A13" s="58"/>
      <c r="B13" s="33"/>
      <c r="C13" s="33"/>
      <c r="D13" s="33"/>
    </row>
    <row r="14" spans="1:27" ht="20.25" customHeight="1" thickBot="1" x14ac:dyDescent="0.3">
      <c r="A14" s="111" t="s">
        <v>497</v>
      </c>
      <c r="B14" s="62"/>
      <c r="C14" s="62"/>
      <c r="D14" s="62"/>
    </row>
    <row r="15" spans="1:27" x14ac:dyDescent="0.25">
      <c r="A15" s="63" t="s">
        <v>498</v>
      </c>
      <c r="B15" s="64"/>
      <c r="C15" s="64"/>
      <c r="D15" s="64"/>
    </row>
    <row r="16" spans="1:27" ht="49.5" customHeight="1" x14ac:dyDescent="0.25">
      <c r="A16" s="169" t="s">
        <v>281</v>
      </c>
      <c r="B16" s="135"/>
      <c r="C16" s="135"/>
      <c r="D16" s="135"/>
    </row>
    <row r="17" spans="1:4" x14ac:dyDescent="0.25">
      <c r="A17" s="61" t="s">
        <v>3</v>
      </c>
      <c r="B17" s="170" t="s">
        <v>282</v>
      </c>
      <c r="C17" s="171"/>
      <c r="D17" s="171"/>
    </row>
    <row r="18" spans="1:4" x14ac:dyDescent="0.25">
      <c r="A18" s="60" t="s">
        <v>31</v>
      </c>
      <c r="B18" s="158"/>
      <c r="C18" s="159"/>
      <c r="D18" s="160"/>
    </row>
    <row r="19" spans="1:4" ht="27" customHeight="1" x14ac:dyDescent="0.25">
      <c r="A19" s="59" t="s">
        <v>13</v>
      </c>
      <c r="B19" s="172" t="s">
        <v>555</v>
      </c>
      <c r="C19" s="173"/>
      <c r="D19" s="173"/>
    </row>
    <row r="20" spans="1:4" x14ac:dyDescent="0.25">
      <c r="A20" s="59" t="s">
        <v>15</v>
      </c>
      <c r="B20" s="172"/>
      <c r="C20" s="173"/>
      <c r="D20" s="173"/>
    </row>
    <row r="21" spans="1:4" x14ac:dyDescent="0.25">
      <c r="A21" s="59" t="s">
        <v>11</v>
      </c>
      <c r="B21" s="172" t="s">
        <v>557</v>
      </c>
      <c r="C21" s="173"/>
      <c r="D21" s="173"/>
    </row>
    <row r="22" spans="1:4" x14ac:dyDescent="0.25">
      <c r="A22" s="59" t="s">
        <v>283</v>
      </c>
      <c r="B22" s="172"/>
      <c r="C22" s="173"/>
      <c r="D22" s="173"/>
    </row>
    <row r="23" spans="1:4" x14ac:dyDescent="0.25">
      <c r="A23" s="59" t="s">
        <v>25</v>
      </c>
      <c r="B23" s="161"/>
      <c r="C23" s="162"/>
      <c r="D23" s="163"/>
    </row>
    <row r="24" spans="1:4" x14ac:dyDescent="0.25">
      <c r="A24" s="59" t="s">
        <v>17</v>
      </c>
      <c r="B24" s="172" t="s">
        <v>558</v>
      </c>
      <c r="C24" s="173"/>
      <c r="D24" s="173"/>
    </row>
    <row r="25" spans="1:4" x14ac:dyDescent="0.25">
      <c r="A25" s="59" t="s">
        <v>9</v>
      </c>
      <c r="B25" s="172"/>
      <c r="C25" s="173"/>
      <c r="D25" s="173"/>
    </row>
    <row r="26" spans="1:4" x14ac:dyDescent="0.25"/>
    <row r="27" spans="1:4" ht="15.75" x14ac:dyDescent="0.25">
      <c r="A27" s="109" t="s">
        <v>499</v>
      </c>
    </row>
    <row r="28" spans="1:4" x14ac:dyDescent="0.25">
      <c r="A28" s="110" t="s">
        <v>284</v>
      </c>
    </row>
    <row r="29" spans="1:4" ht="66.75" customHeight="1" x14ac:dyDescent="0.25">
      <c r="A29" s="174" t="s">
        <v>559</v>
      </c>
      <c r="B29" s="175"/>
      <c r="C29" s="175"/>
      <c r="D29" s="176"/>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78"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topLeftCell="A5" zoomScaleNormal="100" workbookViewId="0">
      <selection activeCell="A13" sqref="A13:F14"/>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495</v>
      </c>
    </row>
    <row r="2" spans="1:27" ht="15.75" thickBot="1" x14ac:dyDescent="0.3">
      <c r="A2" s="101" t="s">
        <v>509</v>
      </c>
      <c r="B2" s="56"/>
      <c r="C2" s="56"/>
      <c r="D2" s="56"/>
      <c r="E2" s="56"/>
      <c r="F2" s="56"/>
    </row>
    <row r="3" spans="1:27" x14ac:dyDescent="0.25">
      <c r="A3" s="43" t="s">
        <v>529</v>
      </c>
    </row>
    <row r="4" spans="1:27" x14ac:dyDescent="0.25">
      <c r="A4" s="67" t="s">
        <v>285</v>
      </c>
      <c r="B4" s="67" t="s">
        <v>286</v>
      </c>
      <c r="C4" s="67" t="s">
        <v>287</v>
      </c>
      <c r="D4" s="67" t="s">
        <v>288</v>
      </c>
      <c r="E4" s="67" t="s">
        <v>289</v>
      </c>
      <c r="F4" s="67" t="s">
        <v>270</v>
      </c>
    </row>
    <row r="5" spans="1:27" ht="38.25" x14ac:dyDescent="0.25">
      <c r="A5" s="104" t="s">
        <v>570</v>
      </c>
      <c r="B5" s="104" t="s">
        <v>548</v>
      </c>
      <c r="C5" s="104" t="s">
        <v>549</v>
      </c>
      <c r="D5" s="105" t="s">
        <v>549</v>
      </c>
      <c r="E5" s="105" t="s">
        <v>549</v>
      </c>
      <c r="F5" s="104" t="s">
        <v>542</v>
      </c>
    </row>
    <row r="6" spans="1:27" x14ac:dyDescent="0.25">
      <c r="A6" s="121" t="s">
        <v>576</v>
      </c>
      <c r="B6" s="121" t="s">
        <v>585</v>
      </c>
      <c r="C6" s="104"/>
      <c r="D6" s="105"/>
      <c r="E6" s="105"/>
      <c r="F6" s="104" t="s">
        <v>543</v>
      </c>
    </row>
    <row r="7" spans="1:27" ht="51" x14ac:dyDescent="0.25">
      <c r="A7" s="121" t="s">
        <v>574</v>
      </c>
      <c r="B7" s="121" t="s">
        <v>580</v>
      </c>
      <c r="C7" s="104"/>
      <c r="D7" s="105"/>
      <c r="E7" s="105"/>
      <c r="F7" s="121" t="s">
        <v>577</v>
      </c>
    </row>
    <row r="8" spans="1:27" ht="25.5" x14ac:dyDescent="0.25">
      <c r="A8" s="121" t="s">
        <v>575</v>
      </c>
      <c r="B8" s="121" t="s">
        <v>579</v>
      </c>
      <c r="C8" s="104"/>
      <c r="D8" s="105"/>
      <c r="E8" s="105"/>
      <c r="F8" s="121" t="s">
        <v>578</v>
      </c>
    </row>
    <row r="9" spans="1:27" x14ac:dyDescent="0.25">
      <c r="A9" s="104"/>
      <c r="B9" s="104"/>
      <c r="C9" s="104"/>
      <c r="D9" s="105"/>
      <c r="E9" s="105"/>
      <c r="F9" s="104"/>
    </row>
    <row r="10" spans="1:27" x14ac:dyDescent="0.25">
      <c r="A10" s="104"/>
      <c r="B10" s="104"/>
      <c r="C10" s="104"/>
      <c r="D10" s="105"/>
      <c r="E10" s="105"/>
      <c r="F10" s="104"/>
    </row>
    <row r="11" spans="1:27" x14ac:dyDescent="0.25">
      <c r="A11" s="93"/>
      <c r="B11" s="93"/>
      <c r="C11" s="93"/>
      <c r="D11" s="93"/>
      <c r="E11" s="93"/>
      <c r="F11" s="93"/>
    </row>
    <row r="12" spans="1:27" x14ac:dyDescent="0.25">
      <c r="A12" s="93" t="s">
        <v>521</v>
      </c>
      <c r="B12" s="93"/>
      <c r="C12" s="93"/>
      <c r="D12" s="93"/>
      <c r="E12" s="93"/>
      <c r="F12" s="93"/>
    </row>
    <row r="13" spans="1:27" ht="136.5" customHeight="1" x14ac:dyDescent="0.25">
      <c r="A13" s="177" t="s">
        <v>591</v>
      </c>
      <c r="B13" s="178"/>
      <c r="C13" s="178"/>
      <c r="D13" s="178"/>
      <c r="E13" s="179"/>
      <c r="F13" s="180"/>
    </row>
    <row r="14" spans="1:27" x14ac:dyDescent="0.25">
      <c r="A14" s="181"/>
      <c r="B14" s="182"/>
      <c r="C14" s="182"/>
      <c r="D14" s="182"/>
      <c r="E14" s="182"/>
      <c r="F14" s="183"/>
    </row>
    <row r="15" spans="1:27" x14ac:dyDescent="0.25">
      <c r="A15" s="93"/>
      <c r="B15" s="93"/>
      <c r="C15" s="93"/>
      <c r="D15" s="93"/>
      <c r="E15" s="93"/>
      <c r="F15" s="93"/>
    </row>
    <row r="16" spans="1:27" x14ac:dyDescent="0.25">
      <c r="A16" s="93"/>
      <c r="B16" s="93"/>
      <c r="C16" s="93"/>
      <c r="D16" s="93"/>
      <c r="E16" s="93"/>
      <c r="F16" s="93"/>
    </row>
    <row r="17" spans="1:6" x14ac:dyDescent="0.25">
      <c r="A17" s="93"/>
      <c r="B17" s="93"/>
      <c r="C17" s="93"/>
      <c r="D17" s="93"/>
      <c r="E17" s="93"/>
      <c r="F17" s="93"/>
    </row>
    <row r="18" spans="1:6" x14ac:dyDescent="0.25">
      <c r="A18" s="93"/>
      <c r="B18" s="93"/>
      <c r="C18" s="93"/>
      <c r="D18" s="93"/>
      <c r="E18" s="93"/>
      <c r="F18" s="93"/>
    </row>
    <row r="19" spans="1:6" x14ac:dyDescent="0.25">
      <c r="A19" s="93"/>
      <c r="B19" s="93"/>
      <c r="C19" s="93"/>
      <c r="D19" s="93"/>
      <c r="E19" s="93"/>
      <c r="F19" s="93"/>
    </row>
    <row r="20" spans="1:6" x14ac:dyDescent="0.25">
      <c r="A20" s="93"/>
      <c r="B20" s="93"/>
      <c r="C20" s="93"/>
      <c r="D20" s="93"/>
      <c r="E20" s="93"/>
      <c r="F20" s="93"/>
    </row>
    <row r="21" spans="1:6" x14ac:dyDescent="0.25">
      <c r="A21" s="93"/>
      <c r="B21" s="93"/>
      <c r="C21" s="93"/>
      <c r="D21" s="93"/>
      <c r="E21" s="93"/>
      <c r="F21" s="93"/>
    </row>
    <row r="22" spans="1:6" x14ac:dyDescent="0.25">
      <c r="A22" s="93"/>
      <c r="B22" s="93"/>
      <c r="C22" s="93"/>
      <c r="D22" s="93"/>
      <c r="E22" s="93"/>
      <c r="F22" s="93"/>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6"/>
  <sheetViews>
    <sheetView tabSelected="1" view="pageLayout" topLeftCell="A7" zoomScaleNormal="100" workbookViewId="0">
      <selection activeCell="A22" sqref="A22:C22"/>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510</v>
      </c>
      <c r="B1" s="56"/>
      <c r="C1" s="56"/>
      <c r="AA1" s="43" t="s">
        <v>495</v>
      </c>
    </row>
    <row r="2" spans="1:27" x14ac:dyDescent="0.25">
      <c r="A2" s="68" t="s">
        <v>500</v>
      </c>
    </row>
    <row r="3" spans="1:27" ht="51" customHeight="1" thickBot="1" x14ac:dyDescent="0.3">
      <c r="A3" s="187" t="s">
        <v>290</v>
      </c>
      <c r="B3" s="188"/>
      <c r="C3" s="188"/>
    </row>
    <row r="4" spans="1:27" ht="15.75" thickBot="1" x14ac:dyDescent="0.3">
      <c r="A4" s="65" t="s">
        <v>3</v>
      </c>
      <c r="B4" s="66" t="s">
        <v>291</v>
      </c>
      <c r="C4" s="66" t="s">
        <v>292</v>
      </c>
    </row>
    <row r="5" spans="1:27" ht="16.5" thickBot="1" x14ac:dyDescent="0.3">
      <c r="A5" s="69" t="s">
        <v>39</v>
      </c>
      <c r="B5" s="115" t="s">
        <v>545</v>
      </c>
      <c r="C5" s="115" t="s">
        <v>545</v>
      </c>
    </row>
    <row r="6" spans="1:27" ht="16.5" thickBot="1" x14ac:dyDescent="0.3">
      <c r="A6" s="69" t="s">
        <v>38</v>
      </c>
      <c r="B6" s="115" t="s">
        <v>545</v>
      </c>
      <c r="C6" s="115" t="s">
        <v>545</v>
      </c>
    </row>
    <row r="7" spans="1:27" ht="16.5" thickBot="1" x14ac:dyDescent="0.3">
      <c r="A7" s="69" t="s">
        <v>37</v>
      </c>
      <c r="B7" s="115" t="s">
        <v>545</v>
      </c>
      <c r="C7" s="115" t="s">
        <v>545</v>
      </c>
    </row>
    <row r="8" spans="1:27" ht="16.5" thickBot="1" x14ac:dyDescent="0.3">
      <c r="A8" s="69" t="s">
        <v>34</v>
      </c>
      <c r="B8" s="115" t="s">
        <v>545</v>
      </c>
      <c r="C8" s="115" t="s">
        <v>545</v>
      </c>
    </row>
    <row r="9" spans="1:27" ht="16.5" thickBot="1" x14ac:dyDescent="0.3">
      <c r="A9" s="69" t="s">
        <v>33</v>
      </c>
      <c r="B9" s="115" t="s">
        <v>545</v>
      </c>
      <c r="C9" s="115" t="s">
        <v>545</v>
      </c>
    </row>
    <row r="10" spans="1:27" ht="16.5" thickBot="1" x14ac:dyDescent="0.3">
      <c r="A10" s="69" t="s">
        <v>32</v>
      </c>
      <c r="B10" s="115" t="s">
        <v>545</v>
      </c>
      <c r="C10" s="115" t="s">
        <v>545</v>
      </c>
    </row>
    <row r="11" spans="1:27" ht="16.5" thickBot="1" x14ac:dyDescent="0.3">
      <c r="A11" s="69" t="s">
        <v>30</v>
      </c>
      <c r="B11" s="115" t="s">
        <v>545</v>
      </c>
      <c r="C11" s="115" t="s">
        <v>545</v>
      </c>
    </row>
    <row r="12" spans="1:27" x14ac:dyDescent="0.25"/>
    <row r="13" spans="1:27" x14ac:dyDescent="0.25">
      <c r="A13" s="43" t="s">
        <v>293</v>
      </c>
    </row>
    <row r="14" spans="1:27" ht="71.25" customHeight="1" x14ac:dyDescent="0.25">
      <c r="A14" s="155" t="s">
        <v>544</v>
      </c>
      <c r="B14" s="185"/>
      <c r="C14" s="186"/>
    </row>
    <row r="15" spans="1:27" x14ac:dyDescent="0.25"/>
    <row r="16" spans="1:27" x14ac:dyDescent="0.25">
      <c r="A16" s="68" t="s">
        <v>501</v>
      </c>
    </row>
    <row r="17" spans="1:3" x14ac:dyDescent="0.25">
      <c r="A17" s="43" t="s">
        <v>294</v>
      </c>
    </row>
    <row r="18" spans="1:3" ht="50.25" customHeight="1" x14ac:dyDescent="0.25">
      <c r="A18" s="155" t="s">
        <v>571</v>
      </c>
      <c r="B18" s="185"/>
      <c r="C18" s="186"/>
    </row>
    <row r="19" spans="1:3" x14ac:dyDescent="0.25"/>
    <row r="20" spans="1:3" x14ac:dyDescent="0.25">
      <c r="A20" s="68" t="s">
        <v>502</v>
      </c>
    </row>
    <row r="21" spans="1:3" x14ac:dyDescent="0.25">
      <c r="A21" s="43" t="s">
        <v>295</v>
      </c>
    </row>
    <row r="22" spans="1:3" ht="48.75" customHeight="1" x14ac:dyDescent="0.25">
      <c r="A22" s="155" t="s">
        <v>595</v>
      </c>
      <c r="B22" s="185"/>
      <c r="C22" s="186"/>
    </row>
    <row r="23" spans="1:3" x14ac:dyDescent="0.25"/>
    <row r="24" spans="1:3" x14ac:dyDescent="0.25">
      <c r="A24" s="68" t="s">
        <v>503</v>
      </c>
    </row>
    <row r="25" spans="1:3" x14ac:dyDescent="0.25">
      <c r="A25" s="43" t="s">
        <v>294</v>
      </c>
    </row>
    <row r="26" spans="1:3" ht="44.25" customHeight="1" x14ac:dyDescent="0.25">
      <c r="A26" s="155" t="s">
        <v>594</v>
      </c>
      <c r="B26" s="185"/>
      <c r="C26" s="186"/>
    </row>
    <row r="27" spans="1:3" x14ac:dyDescent="0.25"/>
    <row r="28" spans="1:3" x14ac:dyDescent="0.25">
      <c r="A28" s="68" t="s">
        <v>504</v>
      </c>
    </row>
    <row r="29" spans="1:3" x14ac:dyDescent="0.25">
      <c r="A29" s="43" t="s">
        <v>296</v>
      </c>
    </row>
    <row r="30" spans="1:3" ht="74.25" customHeight="1" x14ac:dyDescent="0.25">
      <c r="A30" s="155" t="s">
        <v>592</v>
      </c>
      <c r="B30" s="185"/>
      <c r="C30" s="186"/>
    </row>
    <row r="31" spans="1:3" x14ac:dyDescent="0.25"/>
    <row r="32" spans="1:3" x14ac:dyDescent="0.25">
      <c r="A32" s="68" t="s">
        <v>505</v>
      </c>
    </row>
    <row r="33" spans="1:3" x14ac:dyDescent="0.25">
      <c r="A33" s="43" t="s">
        <v>297</v>
      </c>
    </row>
    <row r="34" spans="1:3" ht="42.75" customHeight="1" x14ac:dyDescent="0.25">
      <c r="A34" s="184" t="s">
        <v>587</v>
      </c>
      <c r="B34" s="185"/>
      <c r="C34" s="186"/>
    </row>
    <row r="35" spans="1:3" x14ac:dyDescent="0.25"/>
    <row r="36" spans="1:3" x14ac:dyDescent="0.25">
      <c r="A36" s="68" t="s">
        <v>533</v>
      </c>
    </row>
    <row r="37" spans="1:3" x14ac:dyDescent="0.25">
      <c r="A37" s="43" t="s">
        <v>534</v>
      </c>
    </row>
    <row r="38" spans="1:3" ht="282.75" customHeight="1" x14ac:dyDescent="0.25">
      <c r="A38" s="155" t="s">
        <v>593</v>
      </c>
      <c r="B38" s="185"/>
      <c r="C38" s="186"/>
    </row>
    <row r="39" spans="1:3" ht="146.25" customHeight="1" x14ac:dyDescent="0.25"/>
    <row r="40" spans="1:3" x14ac:dyDescent="0.25">
      <c r="A40" s="68" t="s">
        <v>535</v>
      </c>
    </row>
    <row r="41" spans="1:3" x14ac:dyDescent="0.25">
      <c r="A41" s="43" t="s">
        <v>298</v>
      </c>
    </row>
    <row r="42" spans="1:3" ht="57.75" customHeight="1" x14ac:dyDescent="0.25">
      <c r="A42" s="155" t="s">
        <v>566</v>
      </c>
      <c r="B42" s="185"/>
      <c r="C42" s="186"/>
    </row>
    <row r="43" spans="1:3" x14ac:dyDescent="0.25">
      <c r="A43" s="93"/>
      <c r="B43" s="93"/>
      <c r="C43" s="93"/>
    </row>
    <row r="44" spans="1:3" x14ac:dyDescent="0.25">
      <c r="A44" s="93"/>
      <c r="B44" s="93"/>
      <c r="C44" s="93"/>
    </row>
    <row r="45" spans="1:3" x14ac:dyDescent="0.25">
      <c r="A45" s="93"/>
      <c r="B45" s="93"/>
      <c r="C45" s="93"/>
    </row>
    <row r="46" spans="1:3" x14ac:dyDescent="0.25">
      <c r="A46" s="93"/>
      <c r="B46" s="93"/>
      <c r="C46" s="93"/>
    </row>
  </sheetData>
  <sheetProtection password="CDE2" sheet="1" objects="1" scenarios="1" formatCells="0" formatColumns="0" formatRows="0"/>
  <mergeCells count="9">
    <mergeCell ref="A34:C34"/>
    <mergeCell ref="A42:C42"/>
    <mergeCell ref="A3:C3"/>
    <mergeCell ref="A14:C14"/>
    <mergeCell ref="A18:C18"/>
    <mergeCell ref="A22:C22"/>
    <mergeCell ref="A26:C26"/>
    <mergeCell ref="A30:C30"/>
    <mergeCell ref="A38:C38"/>
  </mergeCells>
  <pageMargins left="0.2" right="0.2" top="0.5" bottom="0.5" header="0.3" footer="0.3"/>
  <pageSetup scale="78"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zoomScaleNormal="100" workbookViewId="0">
      <selection activeCell="D18" sqref="D18"/>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495</v>
      </c>
    </row>
    <row r="2" spans="1:27" x14ac:dyDescent="0.25">
      <c r="A2" s="102" t="s">
        <v>511</v>
      </c>
    </row>
    <row r="3" spans="1:27" ht="15.75" thickBot="1" x14ac:dyDescent="0.3">
      <c r="A3" s="43" t="s">
        <v>299</v>
      </c>
    </row>
    <row r="4" spans="1:27" ht="22.5" customHeight="1" thickBot="1" x14ac:dyDescent="0.3">
      <c r="A4" s="189" t="s">
        <v>300</v>
      </c>
      <c r="B4" s="191" t="s">
        <v>301</v>
      </c>
      <c r="C4" s="192"/>
      <c r="D4" s="192"/>
      <c r="E4" s="193"/>
      <c r="F4" s="191" t="s">
        <v>302</v>
      </c>
      <c r="G4" s="193"/>
    </row>
    <row r="5" spans="1:27" ht="15.75" thickBot="1" x14ac:dyDescent="0.3">
      <c r="A5" s="190"/>
      <c r="B5" s="97" t="s">
        <v>303</v>
      </c>
      <c r="C5" s="97" t="s">
        <v>304</v>
      </c>
      <c r="D5" s="97" t="s">
        <v>305</v>
      </c>
      <c r="E5" s="97" t="s">
        <v>306</v>
      </c>
      <c r="F5" s="97" t="s">
        <v>307</v>
      </c>
      <c r="G5" s="97" t="s">
        <v>308</v>
      </c>
    </row>
    <row r="6" spans="1:27" ht="26.25" thickBot="1" x14ac:dyDescent="0.3">
      <c r="A6" s="120" t="s">
        <v>556</v>
      </c>
      <c r="B6" s="94"/>
      <c r="C6" s="94"/>
      <c r="D6" s="94"/>
      <c r="E6" s="94"/>
      <c r="F6" s="94"/>
      <c r="G6" s="94" t="s">
        <v>583</v>
      </c>
    </row>
    <row r="7" spans="1:27" ht="26.25" thickBot="1" x14ac:dyDescent="0.3">
      <c r="A7" s="120" t="s">
        <v>582</v>
      </c>
      <c r="B7" s="94"/>
      <c r="C7" s="94"/>
      <c r="D7" s="94"/>
      <c r="E7" s="94"/>
      <c r="F7" s="94"/>
      <c r="G7" s="122" t="s">
        <v>584</v>
      </c>
    </row>
    <row r="8" spans="1:27" ht="15.75" thickBot="1" x14ac:dyDescent="0.3">
      <c r="A8" s="96"/>
      <c r="B8" s="94"/>
      <c r="C8" s="94"/>
      <c r="D8" s="94"/>
      <c r="E8" s="94"/>
      <c r="F8" s="94"/>
      <c r="G8" s="94"/>
    </row>
    <row r="9" spans="1:27" ht="15.75" thickBot="1" x14ac:dyDescent="0.3">
      <c r="A9" s="96"/>
      <c r="B9" s="94"/>
      <c r="C9" s="94"/>
      <c r="D9" s="94"/>
      <c r="E9" s="94"/>
      <c r="F9" s="94"/>
      <c r="G9" s="94"/>
    </row>
    <row r="10" spans="1:27" ht="15.75" thickBot="1" x14ac:dyDescent="0.3">
      <c r="A10" s="96"/>
      <c r="B10" s="94"/>
      <c r="C10" s="94"/>
      <c r="D10" s="94"/>
      <c r="E10" s="94"/>
      <c r="F10" s="94"/>
      <c r="G10" s="94"/>
    </row>
    <row r="11" spans="1:27" x14ac:dyDescent="0.25"/>
    <row r="12" spans="1:27" x14ac:dyDescent="0.25">
      <c r="A12" s="43" t="s">
        <v>309</v>
      </c>
    </row>
    <row r="13" spans="1:27" ht="57.75" customHeight="1" x14ac:dyDescent="0.25">
      <c r="A13" s="155" t="s">
        <v>588</v>
      </c>
      <c r="B13" s="165"/>
      <c r="C13" s="165"/>
      <c r="D13" s="165"/>
      <c r="E13" s="165"/>
      <c r="F13" s="165"/>
      <c r="G13" s="166"/>
    </row>
    <row r="14" spans="1:27" x14ac:dyDescent="0.25">
      <c r="A14" s="93"/>
      <c r="B14" s="93"/>
      <c r="C14" s="93"/>
      <c r="D14" s="93"/>
      <c r="E14" s="93"/>
      <c r="F14" s="93"/>
      <c r="G14" s="93"/>
    </row>
    <row r="15" spans="1:27" x14ac:dyDescent="0.25">
      <c r="A15" s="93"/>
      <c r="B15" s="93"/>
      <c r="C15" s="93"/>
      <c r="D15" s="93"/>
      <c r="E15" s="93"/>
      <c r="F15" s="93"/>
      <c r="G15" s="93"/>
    </row>
    <row r="16" spans="1:27" x14ac:dyDescent="0.25">
      <c r="A16" s="93"/>
      <c r="B16" s="93"/>
      <c r="C16" s="93"/>
      <c r="D16" s="93"/>
      <c r="E16" s="93"/>
      <c r="F16" s="93"/>
      <c r="G16" s="93"/>
    </row>
    <row r="17" spans="1:7" x14ac:dyDescent="0.25">
      <c r="A17" s="93"/>
      <c r="B17" s="93"/>
      <c r="C17" s="93"/>
      <c r="D17" s="93"/>
      <c r="E17" s="93"/>
      <c r="F17" s="93"/>
      <c r="G17" s="93"/>
    </row>
    <row r="18" spans="1:7" x14ac:dyDescent="0.25">
      <c r="A18" s="93"/>
      <c r="B18" s="93"/>
      <c r="C18" s="93"/>
      <c r="D18" s="95"/>
      <c r="E18" s="93"/>
      <c r="F18" s="93"/>
      <c r="G18" s="93"/>
    </row>
    <row r="19" spans="1:7" x14ac:dyDescent="0.25">
      <c r="A19" s="93"/>
      <c r="B19" s="93"/>
      <c r="C19" s="93"/>
      <c r="D19" s="93"/>
      <c r="E19" s="93"/>
      <c r="F19" s="93"/>
      <c r="G19" s="93"/>
    </row>
    <row r="20" spans="1:7" x14ac:dyDescent="0.25">
      <c r="A20" s="93"/>
      <c r="B20" s="93"/>
      <c r="C20" s="93"/>
      <c r="D20" s="93"/>
      <c r="E20" s="93"/>
      <c r="F20" s="93"/>
      <c r="G20" s="93"/>
    </row>
    <row r="21" spans="1:7" x14ac:dyDescent="0.25">
      <c r="A21" s="93"/>
      <c r="B21" s="93"/>
      <c r="C21" s="93"/>
      <c r="D21" s="93"/>
      <c r="E21" s="93"/>
      <c r="F21" s="93"/>
      <c r="G21" s="93"/>
    </row>
    <row r="22" spans="1:7" x14ac:dyDescent="0.25">
      <c r="A22" s="93"/>
      <c r="B22" s="93"/>
      <c r="C22" s="93"/>
      <c r="D22" s="93"/>
      <c r="E22" s="93"/>
      <c r="F22" s="93"/>
      <c r="G22" s="93"/>
    </row>
    <row r="23" spans="1:7" x14ac:dyDescent="0.25">
      <c r="A23" s="93"/>
      <c r="B23" s="93"/>
      <c r="C23" s="93"/>
      <c r="D23" s="93"/>
      <c r="E23" s="93"/>
      <c r="F23" s="93"/>
      <c r="G23" s="93"/>
    </row>
    <row r="24" spans="1:7" x14ac:dyDescent="0.25">
      <c r="A24" s="93"/>
      <c r="B24" s="93"/>
      <c r="C24" s="93"/>
      <c r="D24" s="93"/>
      <c r="E24" s="93"/>
      <c r="F24" s="93"/>
      <c r="G24" s="93"/>
    </row>
    <row r="25" spans="1:7" x14ac:dyDescent="0.25">
      <c r="A25" s="93"/>
      <c r="B25" s="93"/>
      <c r="C25" s="93"/>
      <c r="D25" s="93"/>
      <c r="E25" s="93"/>
      <c r="F25" s="93"/>
      <c r="G25" s="93"/>
    </row>
    <row r="26" spans="1:7" x14ac:dyDescent="0.25">
      <c r="A26" s="93"/>
      <c r="B26" s="93"/>
      <c r="C26" s="93"/>
      <c r="D26" s="93"/>
      <c r="E26" s="93"/>
      <c r="F26" s="93"/>
      <c r="G26" s="93"/>
    </row>
    <row r="27" spans="1:7" x14ac:dyDescent="0.25">
      <c r="A27" s="93"/>
      <c r="B27" s="93"/>
      <c r="C27" s="93"/>
      <c r="D27" s="93"/>
      <c r="E27" s="93"/>
      <c r="F27" s="93"/>
      <c r="G27" s="93"/>
    </row>
    <row r="28" spans="1:7" x14ac:dyDescent="0.25">
      <c r="A28" s="93"/>
      <c r="B28" s="93"/>
      <c r="C28" s="93"/>
      <c r="D28" s="93"/>
      <c r="E28" s="93"/>
      <c r="F28" s="93"/>
      <c r="G28" s="93"/>
    </row>
    <row r="29" spans="1:7" x14ac:dyDescent="0.25">
      <c r="A29" s="93"/>
      <c r="B29" s="93"/>
      <c r="C29" s="93"/>
      <c r="D29" s="93"/>
      <c r="E29" s="93"/>
      <c r="F29" s="93"/>
      <c r="G29" s="93"/>
    </row>
    <row r="30" spans="1:7" x14ac:dyDescent="0.25">
      <c r="A30" s="93"/>
      <c r="B30" s="93"/>
      <c r="C30" s="93"/>
      <c r="D30" s="93"/>
      <c r="E30" s="93"/>
      <c r="F30" s="93"/>
      <c r="G30" s="93"/>
    </row>
    <row r="31" spans="1:7" x14ac:dyDescent="0.25">
      <c r="A31" s="93"/>
      <c r="B31" s="93"/>
      <c r="C31" s="93"/>
      <c r="D31" s="93"/>
      <c r="E31" s="93"/>
      <c r="F31" s="93"/>
      <c r="G31" s="93"/>
    </row>
    <row r="32" spans="1:7" x14ac:dyDescent="0.25">
      <c r="A32" s="93"/>
      <c r="B32" s="93"/>
      <c r="C32" s="93"/>
      <c r="D32" s="93"/>
      <c r="E32" s="93"/>
      <c r="F32" s="93"/>
      <c r="G32" s="93"/>
    </row>
    <row r="33" spans="1:7" x14ac:dyDescent="0.25">
      <c r="A33" s="93"/>
      <c r="B33" s="93"/>
      <c r="C33" s="93"/>
      <c r="D33" s="93"/>
      <c r="E33" s="93"/>
      <c r="F33" s="93"/>
      <c r="G33" s="93"/>
    </row>
    <row r="34" spans="1:7" x14ac:dyDescent="0.25">
      <c r="A34" s="93"/>
      <c r="B34" s="93"/>
      <c r="C34" s="93"/>
      <c r="D34" s="93"/>
      <c r="E34" s="93"/>
      <c r="F34" s="93"/>
      <c r="G34" s="93"/>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522</v>
      </c>
    </row>
    <row r="88" spans="1:4" x14ac:dyDescent="0.25">
      <c r="A88" t="s">
        <v>31</v>
      </c>
      <c r="B88" s="13" t="s">
        <v>183</v>
      </c>
    </row>
    <row r="89" spans="1:4" x14ac:dyDescent="0.25">
      <c r="A89" t="s">
        <v>31</v>
      </c>
      <c r="B89" s="13" t="s">
        <v>523</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311</v>
      </c>
      <c r="C1" s="1" t="s">
        <v>1</v>
      </c>
      <c r="D1" s="2" t="s">
        <v>2</v>
      </c>
      <c r="E1" s="3" t="s">
        <v>3</v>
      </c>
      <c r="F1" s="2" t="s">
        <v>226</v>
      </c>
      <c r="G1" s="2" t="s">
        <v>76</v>
      </c>
      <c r="H1" s="4" t="s">
        <v>6</v>
      </c>
      <c r="I1" s="2" t="s">
        <v>65</v>
      </c>
      <c r="J1" s="1" t="s">
        <v>4</v>
      </c>
      <c r="K1" s="4" t="s">
        <v>224</v>
      </c>
      <c r="L1" s="4" t="s">
        <v>110</v>
      </c>
      <c r="M1" s="1" t="s">
        <v>5</v>
      </c>
      <c r="N1" s="4" t="s">
        <v>506</v>
      </c>
      <c r="O1" s="4" t="s">
        <v>484</v>
      </c>
    </row>
    <row r="2" spans="1:15" ht="105.75" customHeight="1" x14ac:dyDescent="0.25">
      <c r="A2" s="5" t="s">
        <v>0</v>
      </c>
      <c r="B2" s="5" t="s">
        <v>519</v>
      </c>
      <c r="C2" s="5" t="s">
        <v>66</v>
      </c>
      <c r="D2" s="5" t="s">
        <v>7</v>
      </c>
      <c r="E2" s="6" t="s">
        <v>229</v>
      </c>
      <c r="F2" s="5" t="s">
        <v>228</v>
      </c>
      <c r="G2" s="5" t="s">
        <v>230</v>
      </c>
      <c r="H2" s="25" t="s">
        <v>223</v>
      </c>
      <c r="I2" s="5" t="s">
        <v>111</v>
      </c>
      <c r="J2" s="25" t="s">
        <v>231</v>
      </c>
      <c r="K2" s="5" t="s">
        <v>225</v>
      </c>
      <c r="L2" s="5" t="s">
        <v>227</v>
      </c>
      <c r="M2" s="5" t="s">
        <v>250</v>
      </c>
      <c r="N2" s="37" t="s">
        <v>513</v>
      </c>
      <c r="O2" s="37" t="s">
        <v>485</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487</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488</v>
      </c>
      <c r="E2" s="5" t="s">
        <v>7</v>
      </c>
      <c r="F2" s="6" t="s">
        <v>229</v>
      </c>
      <c r="G2" s="5" t="s">
        <v>228</v>
      </c>
      <c r="H2" s="5" t="s">
        <v>230</v>
      </c>
      <c r="I2" s="25" t="s">
        <v>223</v>
      </c>
      <c r="J2" s="5" t="s">
        <v>111</v>
      </c>
      <c r="K2" s="25" t="s">
        <v>231</v>
      </c>
      <c r="L2" s="5" t="s">
        <v>225</v>
      </c>
      <c r="M2" s="5" t="s">
        <v>227</v>
      </c>
      <c r="N2" s="5" t="s">
        <v>250</v>
      </c>
      <c r="O2" s="37" t="s">
        <v>247</v>
      </c>
    </row>
    <row r="3" spans="1:15" ht="135" x14ac:dyDescent="0.25">
      <c r="B3" s="7" t="str">
        <f>'Approval and Documentation'!C$4</f>
        <v>GBM</v>
      </c>
      <c r="C3" s="7" t="str">
        <f>'Approval and Documentation'!C$6</f>
        <v>FCM - Exchange Traded Derivatives</v>
      </c>
      <c r="D3" s="8">
        <f>'1'!$C$1</f>
        <v>0</v>
      </c>
      <c r="E3" s="7">
        <v>1</v>
      </c>
      <c r="F3" s="8" t="str">
        <f>'1'!$C$2</f>
        <v>Operational</v>
      </c>
      <c r="G3" s="8" t="str">
        <f>'1'!$C$3</f>
        <v>Clients, Products and Business Practices - Non-Compliance with Taxation law and regulation</v>
      </c>
      <c r="H3" s="8" t="str">
        <f>'1'!$C$4</f>
        <v>Lack of incorporating changing U.S. regulation and a lack of understanding of the U.S. Futures Regulation by Madrid Operations</v>
      </c>
      <c r="I3" s="8" t="str">
        <f>'1'!$A$12</f>
        <v xml:space="preserve">SIS has been subject to minor fines over the last several years including the highest of $25K fine for Open Interest Reporting violations and a few fines less than $6K fine  for electronic audit trail violations.  These findings and assoicate fines were a result of a lack of incorporating changing U.S. regulation and/or a lack of understanding of the U.S. Futures Regulation by Madrid Operations. Operational duties are performed by by SBGOM in Madrid.  </v>
      </c>
      <c r="J3" s="8">
        <f>'1'!$C$5</f>
        <v>0</v>
      </c>
      <c r="K3" s="8" t="str">
        <f>'1'!$A$9</f>
        <v>SSI has controls  in place that provides oversight and advice to the Firm's futures activities.  A focus for the Firm's Futures activities is to enhance local operations team to provide daily coordination and advice to SGBO on the Firm’s futures activity.</v>
      </c>
      <c r="L3" s="8" t="str">
        <f>'1'!$C$6</f>
        <v>$1 - $5 M</v>
      </c>
      <c r="M3" s="8" t="str">
        <f>'1'!$C$7</f>
        <v>$1 - $5 M</v>
      </c>
      <c r="N3" s="8" t="str">
        <f>'1'!$B$10</f>
        <v>The fines to date have been minimilistic to SIS ~35K/Annual worse 1 in 10.  A material risk could occur if Madrid's systematic controls to ensure compliance with US regulations fail. US Regulators have increased scrunity to fines which are consisently arising from similiar violations.Enhacement of the local operations team (SIS) to provide heightened coordination and advide to SGBO is critical to mitigating this risk from occuring.</v>
      </c>
      <c r="O3" s="10"/>
    </row>
    <row r="4" spans="1:15" ht="195" x14ac:dyDescent="0.25">
      <c r="A4" s="7"/>
      <c r="B4" s="7" t="str">
        <f>'Approval and Documentation'!C$4</f>
        <v>GBM</v>
      </c>
      <c r="C4" s="7" t="str">
        <f>'Approval and Documentation'!C$6</f>
        <v>FCM - Exchange Traded Derivatives</v>
      </c>
      <c r="D4" s="8">
        <f>'2'!$C$1</f>
        <v>0</v>
      </c>
      <c r="E4" s="11">
        <v>2</v>
      </c>
      <c r="F4" s="8" t="str">
        <f>'2'!$C$2</f>
        <v>Credit</v>
      </c>
      <c r="G4" s="8" t="str">
        <f>'2'!$C$3</f>
        <v>Counterparty</v>
      </c>
      <c r="H4" s="8" t="str">
        <f>'2'!$C$4</f>
        <v>Counterparty Default</v>
      </c>
      <c r="I4" s="8">
        <f>'2'!$A$12</f>
        <v>0</v>
      </c>
      <c r="J4" s="8" t="str">
        <f>'2'!$C$5</f>
        <v>Localized Economic Downturn (Specify Geography in risk description), Equity Prices (Down), Consumer Confidence (Down)</v>
      </c>
      <c r="K4" s="8" t="str">
        <f>'2'!$A$9</f>
        <v xml:space="preserve">SIS has controls in place to mitigate the counteparty risk.  Controls include requiring a $70MM intraday margin limit for Banco Santander, on a given day activity would be limited to an amount that would not result in a margin call greater than $70MM.  In addition SIS requires Banco Santander to continue to require $150MM in excess margin in both the house accoutn and customer account ($300MM in toal) to ensure ample liquidty and to protect the capital of SIS.  ASK DONNA:  In addition, if the counterparty (Banco Santander) should defalut, SIS can liquidate the counterparty's positions and any deficiency can be satisfied from the substantial excess margin and/or the liquid assests including cash and treasurey bills.  </v>
      </c>
      <c r="L4" s="8">
        <f>'2'!$C$6</f>
        <v>0</v>
      </c>
      <c r="M4" s="8">
        <f>'2'!$C$7</f>
        <v>0</v>
      </c>
      <c r="N4" s="8">
        <f>'2'!$B$10</f>
        <v>0</v>
      </c>
      <c r="O4" s="10"/>
    </row>
    <row r="5" spans="1:15" x14ac:dyDescent="0.25">
      <c r="A5" s="7"/>
      <c r="B5" s="7" t="str">
        <f>'Approval and Documentation'!C$4</f>
        <v>GBM</v>
      </c>
      <c r="C5" s="7" t="str">
        <f>'Approval and Documentation'!C$6</f>
        <v>FCM - Exchange Traded Derivatives</v>
      </c>
      <c r="D5" s="8">
        <f>'3'!$C$1</f>
        <v>0</v>
      </c>
      <c r="E5" s="7">
        <v>3</v>
      </c>
      <c r="F5" s="8">
        <f>'3'!$C$2</f>
        <v>0</v>
      </c>
      <c r="G5" s="8">
        <f>'3'!$C$3</f>
        <v>0</v>
      </c>
      <c r="H5" s="8">
        <f>'3'!$C$4</f>
        <v>0</v>
      </c>
      <c r="I5" s="8">
        <f>'3'!$A$12</f>
        <v>0</v>
      </c>
      <c r="J5" s="8">
        <f>'3'!$C$5</f>
        <v>0</v>
      </c>
      <c r="K5" s="8">
        <f>'3'!$A$9</f>
        <v>0</v>
      </c>
      <c r="L5" s="8">
        <f>'3'!$C$6</f>
        <v>0</v>
      </c>
      <c r="M5" s="8">
        <f>'3'!$C$7</f>
        <v>0</v>
      </c>
      <c r="N5" s="8">
        <f>'3'!$B$10</f>
        <v>0</v>
      </c>
      <c r="O5" s="10"/>
    </row>
    <row r="6" spans="1:15" x14ac:dyDescent="0.25">
      <c r="A6" s="7"/>
      <c r="B6" s="7" t="str">
        <f>'Approval and Documentation'!C$4</f>
        <v>GBM</v>
      </c>
      <c r="C6" s="7" t="str">
        <f>'Approval and Documentation'!C$6</f>
        <v>FCM - Exchange Traded Derivatives</v>
      </c>
      <c r="D6" s="8">
        <f>'4'!$C$1</f>
        <v>0</v>
      </c>
      <c r="E6" s="11">
        <v>4</v>
      </c>
      <c r="F6" s="8">
        <f>'4'!$C$2</f>
        <v>0</v>
      </c>
      <c r="G6" s="8">
        <f>'4'!$C$3</f>
        <v>0</v>
      </c>
      <c r="H6" s="8">
        <f>'4'!$C$4</f>
        <v>0</v>
      </c>
      <c r="I6" s="8">
        <f>'4'!$A$12</f>
        <v>0</v>
      </c>
      <c r="J6" s="8">
        <f>'4'!$C$5</f>
        <v>0</v>
      </c>
      <c r="K6" s="8">
        <f>'4'!$A$9</f>
        <v>0</v>
      </c>
      <c r="L6" s="8">
        <f>'4'!$C$6</f>
        <v>0</v>
      </c>
      <c r="M6" s="8">
        <f>'4'!$C$7</f>
        <v>0</v>
      </c>
      <c r="N6" s="8">
        <f>'4'!$B$10</f>
        <v>0</v>
      </c>
      <c r="O6" s="10"/>
    </row>
    <row r="7" spans="1:15" x14ac:dyDescent="0.25">
      <c r="A7" s="7"/>
      <c r="B7" s="7" t="str">
        <f>'Approval and Documentation'!C$4</f>
        <v>GBM</v>
      </c>
      <c r="C7" s="7" t="str">
        <f>'Approval and Documentation'!C$6</f>
        <v>FCM - Exchange Traded Derivatives</v>
      </c>
      <c r="D7" s="8">
        <f>'5'!$C$1</f>
        <v>0</v>
      </c>
      <c r="E7" s="7">
        <v>5</v>
      </c>
      <c r="F7" s="8">
        <f>'5'!$C$2</f>
        <v>0</v>
      </c>
      <c r="G7" s="8">
        <f>'5'!$C$3</f>
        <v>0</v>
      </c>
      <c r="H7" s="8">
        <f>'5'!$C$4</f>
        <v>0</v>
      </c>
      <c r="I7" s="8">
        <f>'5'!$A$12</f>
        <v>0</v>
      </c>
      <c r="J7" s="8">
        <f>'5'!$C$5</f>
        <v>0</v>
      </c>
      <c r="K7" s="8">
        <f>'5'!$A$9</f>
        <v>0</v>
      </c>
      <c r="L7" s="8">
        <f>'5'!$C$6</f>
        <v>0</v>
      </c>
      <c r="M7" s="8">
        <f>'5'!$C$7</f>
        <v>0</v>
      </c>
      <c r="N7" s="8">
        <f>'5'!$B$10</f>
        <v>0</v>
      </c>
      <c r="O7" s="10"/>
    </row>
    <row r="8" spans="1:15" x14ac:dyDescent="0.25">
      <c r="A8" s="7"/>
      <c r="B8" s="7" t="str">
        <f>'Approval and Documentation'!C$4</f>
        <v>GBM</v>
      </c>
      <c r="C8" s="7" t="str">
        <f>'Approval and Documentation'!C$6</f>
        <v>FCM - Exchange Traded Derivatives</v>
      </c>
      <c r="D8" s="8">
        <f>'6'!$C$1</f>
        <v>0</v>
      </c>
      <c r="E8" s="11">
        <v>6</v>
      </c>
      <c r="F8" s="8">
        <f>'6'!$C$2</f>
        <v>0</v>
      </c>
      <c r="G8" s="8">
        <f>'6'!$C$3</f>
        <v>0</v>
      </c>
      <c r="H8" s="8">
        <f>'6'!$C$4</f>
        <v>0</v>
      </c>
      <c r="I8" s="8">
        <f>'6'!$A$12</f>
        <v>0</v>
      </c>
      <c r="J8" s="8">
        <f>'6'!$C$5</f>
        <v>0</v>
      </c>
      <c r="K8" s="8">
        <f>'6'!$A$9</f>
        <v>0</v>
      </c>
      <c r="L8" s="8">
        <f>'6'!$C$6</f>
        <v>0</v>
      </c>
      <c r="M8" s="8">
        <f>'6'!$C$7</f>
        <v>0</v>
      </c>
      <c r="N8" s="8">
        <f>'6'!$B$10</f>
        <v>0</v>
      </c>
      <c r="O8" s="10"/>
    </row>
    <row r="9" spans="1:15" x14ac:dyDescent="0.25">
      <c r="A9" s="7"/>
      <c r="B9" s="7" t="str">
        <f>'Approval and Documentation'!C$4</f>
        <v>GBM</v>
      </c>
      <c r="C9" s="7" t="str">
        <f>'Approval and Documentation'!C$6</f>
        <v>FCM - Exchange Traded Derivatives</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t="str">
        <f>'Approval and Documentation'!C$4</f>
        <v>GBM</v>
      </c>
      <c r="C10" s="7" t="str">
        <f>'Approval and Documentation'!C$6</f>
        <v>FCM - Exchange Traded Derivatives</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t="str">
        <f>'Approval and Documentation'!C$4</f>
        <v>GBM</v>
      </c>
      <c r="C11" s="7" t="str">
        <f>'Approval and Documentation'!C$6</f>
        <v>FCM - Exchange Traded Derivatives</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t="str">
        <f>'Approval and Documentation'!C$4</f>
        <v>GBM</v>
      </c>
      <c r="C12" s="7" t="str">
        <f>'Approval and Documentation'!C$6</f>
        <v>FCM - Exchange Traded Derivatives</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t="str">
        <f>'Approval and Documentation'!C$4</f>
        <v>GBM</v>
      </c>
      <c r="C13" s="7" t="str">
        <f>'Approval and Documentation'!C$6</f>
        <v>FCM - Exchange Traded Derivatives</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t="str">
        <f>'Approval and Documentation'!C$4</f>
        <v>GBM</v>
      </c>
      <c r="C14" s="7" t="str">
        <f>'Approval and Documentation'!C$6</f>
        <v>FCM - Exchange Traded Derivatives</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t="str">
        <f>'Approval and Documentation'!C$4</f>
        <v>GBM</v>
      </c>
      <c r="C15" s="7" t="str">
        <f>'Approval and Documentation'!C$6</f>
        <v>FCM - Exchange Traded Derivatives</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t="str">
        <f>'Approval and Documentation'!C$4</f>
        <v>GBM</v>
      </c>
      <c r="C16" s="7" t="str">
        <f>'Approval and Documentation'!C$6</f>
        <v>FCM - Exchange Traded Derivatives</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t="str">
        <f>'Approval and Documentation'!C$4</f>
        <v>GBM</v>
      </c>
      <c r="C17" s="7" t="str">
        <f>'Approval and Documentation'!C$6</f>
        <v>FCM - Exchange Traded Derivatives</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t="str">
        <f>'Approval and Documentation'!C$4</f>
        <v>GBM</v>
      </c>
      <c r="C18" s="7" t="str">
        <f>'Approval and Documentation'!C$6</f>
        <v>FCM - Exchange Traded Derivatives</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t="str">
        <f>'Approval and Documentation'!C$4</f>
        <v>GBM</v>
      </c>
      <c r="C19" s="7" t="str">
        <f>'Approval and Documentation'!C$6</f>
        <v>FCM - Exchange Traded Derivatives</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t="str">
        <f>'Approval and Documentation'!C$4</f>
        <v>GBM</v>
      </c>
      <c r="C20" s="7" t="str">
        <f>'Approval and Documentation'!C$6</f>
        <v>FCM - Exchange Traded Derivatives</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t="str">
        <f>'Approval and Documentation'!C$4</f>
        <v>GBM</v>
      </c>
      <c r="C21" s="7" t="str">
        <f>'Approval and Documentation'!C$6</f>
        <v>FCM - Exchange Traded Derivatives</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t="str">
        <f>'Approval and Documentation'!C$4</f>
        <v>GBM</v>
      </c>
      <c r="C22" s="7" t="str">
        <f>'Approval and Documentation'!C$6</f>
        <v>FCM - Exchange Traded Derivatives</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t="str">
        <f>'Approval and Documentation'!C$4</f>
        <v>GBM</v>
      </c>
      <c r="C23" s="7" t="str">
        <f>'Approval and Documentation'!C$6</f>
        <v>FCM - Exchange Traded Derivatives</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t="str">
        <f>'Approval and Documentation'!C$4</f>
        <v>GBM</v>
      </c>
      <c r="C24" s="7" t="str">
        <f>'Approval and Documentation'!C$6</f>
        <v>FCM - Exchange Traded Derivatives</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t="str">
        <f>'Approval and Documentation'!C$4</f>
        <v>GBM</v>
      </c>
      <c r="C25" s="7" t="str">
        <f>'Approval and Documentation'!C$6</f>
        <v>FCM - Exchange Traded Derivatives</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t="str">
        <f>'Approval and Documentation'!C$4</f>
        <v>GBM</v>
      </c>
      <c r="C26" s="7" t="str">
        <f>'Approval and Documentation'!C$6</f>
        <v>FCM - Exchange Traded Derivatives</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t="str">
        <f>'Approval and Documentation'!C$4</f>
        <v>GBM</v>
      </c>
      <c r="C27" s="7" t="str">
        <f>'Approval and Documentation'!C$6</f>
        <v>FCM - Exchange Traded Derivatives</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t="str">
        <f>'Approval and Documentation'!C$4</f>
        <v>GBM</v>
      </c>
      <c r="C28" s="7" t="str">
        <f>'Approval and Documentation'!C$6</f>
        <v>FCM - Exchange Traded Derivatives</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t="str">
        <f>'Approval and Documentation'!C$4</f>
        <v>GBM</v>
      </c>
      <c r="C29" s="7" t="str">
        <f>'Approval and Documentation'!C$6</f>
        <v>FCM - Exchange Traded Derivatives</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t="str">
        <f>'Approval and Documentation'!C$4</f>
        <v>GBM</v>
      </c>
      <c r="C30" s="7" t="str">
        <f>'Approval and Documentation'!C$6</f>
        <v>FCM - Exchange Traded Derivatives</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t="str">
        <f>'Approval and Documentation'!C$4</f>
        <v>GBM</v>
      </c>
      <c r="C31" s="7" t="str">
        <f>'Approval and Documentation'!C$6</f>
        <v>FCM - Exchange Traded Derivatives</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t="str">
        <f>'Approval and Documentation'!C$4</f>
        <v>GBM</v>
      </c>
      <c r="C32" s="7" t="str">
        <f>'Approval and Documentation'!C$6</f>
        <v>FCM - Exchange Traded Derivatives</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t="str">
        <f>'Approval and Documentation'!C$4</f>
        <v>GBM</v>
      </c>
      <c r="C33" s="7" t="str">
        <f>'Approval and Documentation'!C$6</f>
        <v>FCM - Exchange Traded Derivatives</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t="str">
        <f>'Approval and Documentation'!C$4</f>
        <v>GBM</v>
      </c>
      <c r="C34" s="7" t="str">
        <f>'Approval and Documentation'!C$6</f>
        <v>FCM - Exchange Traded Derivatives</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t="str">
        <f>'Approval and Documentation'!C$4</f>
        <v>GBM</v>
      </c>
      <c r="C35" s="7" t="str">
        <f>'Approval and Documentation'!C$6</f>
        <v>FCM - Exchange Traded Derivatives</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t="str">
        <f>'Approval and Documentation'!C$4</f>
        <v>GBM</v>
      </c>
      <c r="C36" s="7" t="str">
        <f>'Approval and Documentation'!C$6</f>
        <v>FCM - Exchange Traded Derivatives</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t="str">
        <f>'Approval and Documentation'!C$4</f>
        <v>GBM</v>
      </c>
      <c r="C37" s="7" t="str">
        <f>'Approval and Documentation'!C$6</f>
        <v>FCM - Exchange Traded Derivatives</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t="str">
        <f>'Approval and Documentation'!C$4</f>
        <v>GBM</v>
      </c>
      <c r="C38" s="7" t="str">
        <f>'Approval and Documentation'!C$6</f>
        <v>FCM - Exchange Traded Derivatives</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t="str">
        <f>'Approval and Documentation'!C$4</f>
        <v>GBM</v>
      </c>
      <c r="C39" s="7" t="str">
        <f>'Approval and Documentation'!C$6</f>
        <v>FCM - Exchange Traded Derivatives</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t="str">
        <f>'Approval and Documentation'!C$4</f>
        <v>GBM</v>
      </c>
      <c r="C40" s="7" t="str">
        <f>'Approval and Documentation'!C$6</f>
        <v>FCM - Exchange Traded Derivatives</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t="str">
        <f>'Approval and Documentation'!C$4</f>
        <v>GBM</v>
      </c>
      <c r="C41" s="7" t="str">
        <f>'Approval and Documentation'!C$6</f>
        <v>FCM - Exchange Traded Derivatives</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t="str">
        <f>'Approval and Documentation'!C$4</f>
        <v>GBM</v>
      </c>
      <c r="C42" s="7" t="str">
        <f>'Approval and Documentation'!C$6</f>
        <v>FCM - Exchange Traded Derivatives</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topLeftCell="A1048576" zoomScale="90" zoomScaleNormal="100" zoomScalePageLayoutView="9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490</v>
      </c>
      <c r="B1" s="147"/>
      <c r="C1" s="73"/>
      <c r="Q1" s="81"/>
      <c r="R1" s="81"/>
      <c r="AA1" s="39" t="str">
        <f>C2</f>
        <v>Operational</v>
      </c>
    </row>
    <row r="2" spans="1:27" ht="30.75" customHeight="1" thickBot="1" x14ac:dyDescent="0.3">
      <c r="A2" s="207" t="s">
        <v>255</v>
      </c>
      <c r="B2" s="198"/>
      <c r="C2" s="90" t="s">
        <v>31</v>
      </c>
      <c r="R2" s="42" t="str">
        <f t="shared" ref="R2:R7" si="0">A2</f>
        <v>Risk Type  - The Risk Type from the SHUSA ERM Risk Taxonomy</v>
      </c>
    </row>
    <row r="3" spans="1:27" ht="24" customHeight="1" thickBot="1" x14ac:dyDescent="0.3">
      <c r="A3" s="199" t="s">
        <v>251</v>
      </c>
      <c r="B3" s="147"/>
      <c r="C3" s="70" t="s">
        <v>181</v>
      </c>
      <c r="R3" s="42" t="str">
        <f t="shared" si="0"/>
        <v>Risk Sub Type  - The Risk Sub-Category from the SHUSA ERM Risk Taxonomy</v>
      </c>
    </row>
    <row r="4" spans="1:27" ht="58.5" customHeight="1" thickBot="1" x14ac:dyDescent="0.3">
      <c r="A4" s="199" t="s">
        <v>252</v>
      </c>
      <c r="B4" s="147"/>
      <c r="C4" s="73" t="s">
        <v>568</v>
      </c>
      <c r="R4" s="42" t="str">
        <f t="shared" si="0"/>
        <v>Risk Name - The name of the risk which helps define it and differentiate it from other risks in other Business Lines with a similar Risk Category</v>
      </c>
    </row>
    <row r="5" spans="1:27" ht="39" customHeight="1" thickBot="1" x14ac:dyDescent="0.3">
      <c r="A5" s="199" t="s">
        <v>527</v>
      </c>
      <c r="B5" s="147"/>
      <c r="C5" s="71"/>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199" t="s">
        <v>531</v>
      </c>
      <c r="B6" s="147"/>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197" t="s">
        <v>530</v>
      </c>
      <c r="B7" s="198"/>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6.25" customHeight="1" thickBot="1" x14ac:dyDescent="0.3">
      <c r="A9" s="204" t="s">
        <v>561</v>
      </c>
      <c r="B9" s="205"/>
      <c r="C9" s="206"/>
      <c r="Q9" s="38" t="str">
        <f>A9</f>
        <v>SSI has controls  in place that provides oversight and advice to the Firm's futures activities.  A focus for the Firm's Futures activities is to enhance local operations team to provide daily coordination and advice to SGBO on the Firm’s futures activity.</v>
      </c>
    </row>
    <row r="10" spans="1:27" ht="94.5" customHeight="1" thickBot="1" x14ac:dyDescent="0.3">
      <c r="A10" s="41" t="s">
        <v>491</v>
      </c>
      <c r="B10" s="194" t="s">
        <v>560</v>
      </c>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t="s">
        <v>567</v>
      </c>
      <c r="B12" s="195"/>
      <c r="C12" s="196"/>
      <c r="Q12" s="38" t="str">
        <f>A12</f>
        <v xml:space="preserve">SIS has been subject to minor fines over the last several years including the highest of $25K fine for Open Interest Reporting violations and a few fines less than $6K fine  for electronic audit trail violations.  These findings and assoicate fines were a result of a lack of incorporating changing U.S. regulation and/or a lack of understanding of the U.S. Futures Regulation by Madrid Operations. Operational duties are performed by by SBGOM in Madrid.  </v>
      </c>
    </row>
  </sheetData>
  <sheetProtection password="CDE2" sheet="1" objects="1" scenarios="1"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topLeftCell="A1048576" zoomScale="78" zoomScaleNormal="100" zoomScalePageLayoutView="78"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8" t="s">
        <v>490</v>
      </c>
      <c r="B1" s="209"/>
      <c r="C1" s="82"/>
      <c r="Q1" s="81"/>
      <c r="R1" s="81"/>
      <c r="AA1" s="39" t="str">
        <f>C2</f>
        <v>Credit</v>
      </c>
    </row>
    <row r="2" spans="1:27" ht="30.75" customHeight="1" thickBot="1" x14ac:dyDescent="0.3">
      <c r="A2" s="207" t="s">
        <v>255</v>
      </c>
      <c r="B2" s="198"/>
      <c r="C2" s="90" t="s">
        <v>17</v>
      </c>
      <c r="R2" s="42" t="str">
        <f t="shared" ref="R2:R7" si="0">A2</f>
        <v>Risk Type  - The Risk Type from the SHUSA ERM Risk Taxonomy</v>
      </c>
    </row>
    <row r="3" spans="1:27" ht="24" customHeight="1" thickBot="1" x14ac:dyDescent="0.3">
      <c r="A3" s="199" t="s">
        <v>251</v>
      </c>
      <c r="B3" s="147"/>
      <c r="C3" s="70" t="s">
        <v>56</v>
      </c>
      <c r="R3" s="42" t="str">
        <f t="shared" si="0"/>
        <v>Risk Sub Type  - The Risk Sub-Category from the SHUSA ERM Risk Taxonomy</v>
      </c>
    </row>
    <row r="4" spans="1:27" ht="31.5" customHeight="1" thickBot="1" x14ac:dyDescent="0.3">
      <c r="A4" s="199" t="s">
        <v>252</v>
      </c>
      <c r="B4" s="147"/>
      <c r="C4" s="73" t="s">
        <v>562</v>
      </c>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t="s">
        <v>563</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t="s">
        <v>564</v>
      </c>
      <c r="B9" s="205"/>
      <c r="C9" s="206"/>
      <c r="Q9" s="38" t="str">
        <f>A9</f>
        <v xml:space="preserve">SIS has controls in place to mitigate the counteparty risk.  Controls include requiring a $70MM intraday margin limit for Banco Santander, on a given day activity would be limited to an amount that would not result in a margin call greater than $70MM.  In addition SIS requires Banco Santander to continue to require $150MM in excess margin in both the house accoutn and customer account ($300MM in toal) to ensure ample liquidty and to protect the capital of SIS.  ASK DONNA:  In addition, if the counterparty (Banco Santander) should defalut, SIS can liquidate the counterparty's positions and any deficiency can be satisfied from the substantial excess margin and/or the liquid assests including cash and treasurey bills.  </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27"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topLeftCell="A7"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4" t="s">
        <v>489</v>
      </c>
      <c r="B1" s="147"/>
      <c r="C1" s="73"/>
      <c r="Q1" s="81"/>
      <c r="R1" s="81"/>
      <c r="AA1" s="39">
        <f>C2</f>
        <v>0</v>
      </c>
    </row>
    <row r="2" spans="1:27" ht="30.75" customHeight="1" thickBot="1" x14ac:dyDescent="0.3">
      <c r="A2" s="207" t="s">
        <v>255</v>
      </c>
      <c r="B2" s="198"/>
      <c r="C2" s="91"/>
      <c r="R2" s="42" t="str">
        <f t="shared" ref="R2:R7" si="0">A2</f>
        <v>Risk Type  - The Risk Type from the SHUSA ERM Risk Taxonomy</v>
      </c>
    </row>
    <row r="3" spans="1:27" ht="24" customHeight="1" thickBot="1" x14ac:dyDescent="0.3">
      <c r="A3" s="199" t="s">
        <v>251</v>
      </c>
      <c r="B3" s="147"/>
      <c r="C3" s="84"/>
      <c r="R3" s="42" t="str">
        <f t="shared" si="0"/>
        <v>Risk Sub Type  - The Risk Sub-Category from the SHUSA ERM Risk Taxonomy</v>
      </c>
    </row>
    <row r="4" spans="1:27" ht="31.5" customHeight="1" thickBot="1" x14ac:dyDescent="0.3">
      <c r="A4" s="199" t="s">
        <v>252</v>
      </c>
      <c r="B4" s="147"/>
      <c r="C4" s="8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85"/>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84"/>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84"/>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11"/>
      <c r="Q9" s="38">
        <f>A9</f>
        <v>0</v>
      </c>
    </row>
    <row r="10" spans="1:27" ht="81.75" customHeight="1" thickBot="1" x14ac:dyDescent="0.3">
      <c r="A10" s="41" t="s">
        <v>492</v>
      </c>
      <c r="B10" s="194"/>
      <c r="C10" s="212"/>
    </row>
    <row r="11" spans="1:27" ht="31.5" customHeight="1" thickBot="1" x14ac:dyDescent="0.3">
      <c r="A11" s="201" t="s">
        <v>254</v>
      </c>
      <c r="B11" s="202"/>
      <c r="C11" s="21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213"/>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486</v>
      </c>
      <c r="B1" s="147"/>
      <c r="C1" s="73"/>
      <c r="Q1" s="81"/>
      <c r="R1" s="81"/>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38">
        <f>A9</f>
        <v>0</v>
      </c>
    </row>
    <row r="10" spans="1:27" ht="81.75" customHeight="1" thickBot="1" x14ac:dyDescent="0.3">
      <c r="A10" s="41" t="s">
        <v>492</v>
      </c>
      <c r="B10" s="194"/>
      <c r="C10" s="200"/>
    </row>
    <row r="11" spans="1:27" ht="31.5" customHeight="1" thickBot="1" x14ac:dyDescent="0.3">
      <c r="A11" s="201" t="s">
        <v>254</v>
      </c>
      <c r="B11" s="202"/>
      <c r="C11" s="20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1" t="s">
        <v>486</v>
      </c>
      <c r="B1" s="147"/>
      <c r="C1" s="73"/>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86">
        <f>A9</f>
        <v>0</v>
      </c>
    </row>
    <row r="10" spans="1:27" ht="81.75" customHeight="1" thickBot="1" x14ac:dyDescent="0.3">
      <c r="A10" s="41" t="s">
        <v>491</v>
      </c>
      <c r="B10" s="194"/>
      <c r="C10" s="200"/>
    </row>
    <row r="11" spans="1:27" ht="31.5" customHeight="1" thickBot="1" x14ac:dyDescent="0.3">
      <c r="A11" s="201" t="s">
        <v>254</v>
      </c>
      <c r="B11" s="202"/>
      <c r="C11" s="20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1" t="s">
        <v>486</v>
      </c>
      <c r="B1" s="147"/>
      <c r="C1" s="73"/>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86">
        <f>A9</f>
        <v>0</v>
      </c>
    </row>
    <row r="10" spans="1:27" ht="81.75" customHeight="1" thickBot="1" x14ac:dyDescent="0.3">
      <c r="A10" s="41" t="s">
        <v>491</v>
      </c>
      <c r="B10" s="194"/>
      <c r="C10" s="200"/>
    </row>
    <row r="11" spans="1:27" ht="31.5" customHeight="1" thickBot="1" x14ac:dyDescent="0.3">
      <c r="A11" s="201" t="s">
        <v>254</v>
      </c>
      <c r="B11" s="202"/>
      <c r="C11" s="20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1" t="s">
        <v>486</v>
      </c>
      <c r="B1" s="147"/>
      <c r="C1" s="73"/>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86">
        <f>A9</f>
        <v>0</v>
      </c>
    </row>
    <row r="10" spans="1:27" ht="81.75" customHeight="1" thickBot="1" x14ac:dyDescent="0.3">
      <c r="A10" s="41" t="s">
        <v>491</v>
      </c>
      <c r="B10" s="194"/>
      <c r="C10" s="200"/>
    </row>
    <row r="11" spans="1:27" ht="31.5" customHeight="1" thickBot="1" x14ac:dyDescent="0.3">
      <c r="A11" s="201" t="s">
        <v>254</v>
      </c>
      <c r="B11" s="202"/>
      <c r="C11" s="20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1" t="s">
        <v>486</v>
      </c>
      <c r="B1" s="147"/>
      <c r="C1" s="73"/>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86">
        <f>A9</f>
        <v>0</v>
      </c>
    </row>
    <row r="10" spans="1:27" ht="81.75" customHeight="1" thickBot="1" x14ac:dyDescent="0.3">
      <c r="A10" s="41" t="s">
        <v>491</v>
      </c>
      <c r="B10" s="194"/>
      <c r="C10" s="200"/>
    </row>
    <row r="11" spans="1:27" ht="31.5" customHeight="1" thickBot="1" x14ac:dyDescent="0.3">
      <c r="A11" s="201" t="s">
        <v>254</v>
      </c>
      <c r="B11" s="202"/>
      <c r="C11" s="20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1" t="s">
        <v>486</v>
      </c>
      <c r="B1" s="147"/>
      <c r="C1" s="73"/>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86">
        <f>A9</f>
        <v>0</v>
      </c>
    </row>
    <row r="10" spans="1:27" ht="81.75" customHeight="1" thickBot="1" x14ac:dyDescent="0.3">
      <c r="A10" s="41" t="s">
        <v>491</v>
      </c>
      <c r="B10" s="194"/>
      <c r="C10" s="200"/>
    </row>
    <row r="11" spans="1:27" ht="31.5" customHeight="1" thickBot="1" x14ac:dyDescent="0.3">
      <c r="A11" s="201" t="s">
        <v>254</v>
      </c>
      <c r="B11" s="202"/>
      <c r="C11" s="20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1" t="s">
        <v>486</v>
      </c>
      <c r="B1" s="147"/>
      <c r="C1" s="73"/>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86">
        <f>A9</f>
        <v>0</v>
      </c>
    </row>
    <row r="10" spans="1:27" ht="81.75" customHeight="1" thickBot="1" x14ac:dyDescent="0.3">
      <c r="A10" s="41" t="s">
        <v>491</v>
      </c>
      <c r="B10" s="194"/>
      <c r="C10" s="200"/>
    </row>
    <row r="11" spans="1:27" ht="31.5" customHeight="1" thickBot="1" x14ac:dyDescent="0.3">
      <c r="A11" s="201" t="s">
        <v>254</v>
      </c>
      <c r="B11" s="202"/>
      <c r="C11" s="20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1" t="s">
        <v>486</v>
      </c>
      <c r="B1" s="147"/>
      <c r="C1" s="73"/>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86">
        <f>A9</f>
        <v>0</v>
      </c>
    </row>
    <row r="10" spans="1:27" ht="81.75" customHeight="1" thickBot="1" x14ac:dyDescent="0.3">
      <c r="A10" s="41" t="s">
        <v>491</v>
      </c>
      <c r="B10" s="194"/>
      <c r="C10" s="200"/>
    </row>
    <row r="11" spans="1:27" ht="31.5" customHeight="1" thickBot="1" x14ac:dyDescent="0.3">
      <c r="A11" s="201" t="s">
        <v>254</v>
      </c>
      <c r="B11" s="202"/>
      <c r="C11" s="20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1" t="s">
        <v>486</v>
      </c>
      <c r="B1" s="147"/>
      <c r="C1" s="73"/>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86">
        <f>A9</f>
        <v>0</v>
      </c>
    </row>
    <row r="10" spans="1:27" ht="81.75" customHeight="1" thickBot="1" x14ac:dyDescent="0.3">
      <c r="A10" s="41" t="s">
        <v>491</v>
      </c>
      <c r="B10" s="194"/>
      <c r="C10" s="200"/>
    </row>
    <row r="11" spans="1:27" ht="31.5" customHeight="1" thickBot="1" x14ac:dyDescent="0.3">
      <c r="A11" s="201" t="s">
        <v>254</v>
      </c>
      <c r="B11" s="202"/>
      <c r="C11" s="20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1" t="s">
        <v>486</v>
      </c>
      <c r="B1" s="147"/>
      <c r="C1" s="73"/>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86">
        <f>A9</f>
        <v>0</v>
      </c>
    </row>
    <row r="10" spans="1:27" ht="81.75" customHeight="1" thickBot="1" x14ac:dyDescent="0.3">
      <c r="A10" s="41" t="s">
        <v>491</v>
      </c>
      <c r="B10" s="194"/>
      <c r="C10" s="200"/>
    </row>
    <row r="11" spans="1:27" ht="31.5" customHeight="1" thickBot="1" x14ac:dyDescent="0.3">
      <c r="A11" s="201" t="s">
        <v>254</v>
      </c>
      <c r="B11" s="202"/>
      <c r="C11" s="20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01" t="s">
        <v>486</v>
      </c>
      <c r="B1" s="147"/>
      <c r="C1" s="73"/>
      <c r="AA1" s="39">
        <f>C2</f>
        <v>0</v>
      </c>
    </row>
    <row r="2" spans="1:27" ht="30.75" customHeight="1" thickBot="1" x14ac:dyDescent="0.3">
      <c r="A2" s="207" t="s">
        <v>255</v>
      </c>
      <c r="B2" s="198"/>
      <c r="C2" s="90"/>
      <c r="R2" s="42" t="str">
        <f t="shared" ref="R2:R7" si="0">A2</f>
        <v>Risk Type  - The Risk Type from the SHUSA ERM Risk Taxonomy</v>
      </c>
    </row>
    <row r="3" spans="1:27" ht="24" customHeight="1" thickBot="1" x14ac:dyDescent="0.3">
      <c r="A3" s="199" t="s">
        <v>251</v>
      </c>
      <c r="B3" s="147"/>
      <c r="C3" s="70"/>
      <c r="R3" s="42" t="str">
        <f t="shared" si="0"/>
        <v>Risk Sub Type  - The Risk Sub-Category from the SHUSA ERM Risk Taxonomy</v>
      </c>
    </row>
    <row r="4" spans="1:27" ht="31.5" customHeight="1" thickBot="1" x14ac:dyDescent="0.3">
      <c r="A4" s="199"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199" t="s">
        <v>528</v>
      </c>
      <c r="B5" s="147"/>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9" t="s">
        <v>531</v>
      </c>
      <c r="B6" s="147"/>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530</v>
      </c>
      <c r="B7" s="198"/>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1" t="s">
        <v>253</v>
      </c>
      <c r="B8" s="202"/>
      <c r="C8" s="20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4"/>
      <c r="B9" s="205"/>
      <c r="C9" s="206"/>
      <c r="Q9" s="86">
        <f>A9</f>
        <v>0</v>
      </c>
    </row>
    <row r="10" spans="1:27" ht="81.75" customHeight="1" thickBot="1" x14ac:dyDescent="0.3">
      <c r="A10" s="41" t="s">
        <v>491</v>
      </c>
      <c r="B10" s="194"/>
      <c r="C10" s="200"/>
    </row>
    <row r="11" spans="1:27" ht="31.5" customHeight="1" thickBot="1" x14ac:dyDescent="0.3">
      <c r="A11" s="201" t="s">
        <v>254</v>
      </c>
      <c r="B11" s="202"/>
      <c r="C11" s="20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C15" sqref="C15"/>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23" t="s">
        <v>336</v>
      </c>
      <c r="B1" s="224"/>
      <c r="C1" s="224"/>
    </row>
    <row r="2" spans="1:3" ht="15.75" thickBot="1" x14ac:dyDescent="0.3">
      <c r="A2" s="74" t="s">
        <v>226</v>
      </c>
      <c r="B2" s="75" t="s">
        <v>313</v>
      </c>
      <c r="C2" s="75" t="s">
        <v>314</v>
      </c>
    </row>
    <row r="3" spans="1:3" ht="15.75" thickBot="1" x14ac:dyDescent="0.3">
      <c r="A3" s="215" t="s">
        <v>146</v>
      </c>
      <c r="B3" s="215" t="s">
        <v>315</v>
      </c>
      <c r="C3" s="54" t="s">
        <v>316</v>
      </c>
    </row>
    <row r="4" spans="1:3" ht="15.75" thickBot="1" x14ac:dyDescent="0.3">
      <c r="A4" s="216"/>
      <c r="B4" s="216"/>
      <c r="C4" s="54" t="s">
        <v>317</v>
      </c>
    </row>
    <row r="5" spans="1:3" ht="15.75" thickBot="1" x14ac:dyDescent="0.3">
      <c r="A5" s="216"/>
      <c r="B5" s="216"/>
      <c r="C5" s="54" t="s">
        <v>318</v>
      </c>
    </row>
    <row r="6" spans="1:3" ht="15.75" thickBot="1" x14ac:dyDescent="0.3">
      <c r="A6" s="216"/>
      <c r="B6" s="216"/>
      <c r="C6" s="54" t="s">
        <v>319</v>
      </c>
    </row>
    <row r="7" spans="1:3" ht="15.75" thickBot="1" x14ac:dyDescent="0.3">
      <c r="A7" s="216"/>
      <c r="B7" s="216"/>
      <c r="C7" s="54" t="s">
        <v>320</v>
      </c>
    </row>
    <row r="8" spans="1:3" ht="15.75" thickBot="1" x14ac:dyDescent="0.3">
      <c r="A8" s="217"/>
      <c r="B8" s="217"/>
      <c r="C8" s="54" t="s">
        <v>321</v>
      </c>
    </row>
    <row r="9" spans="1:3" ht="15.75" thickBot="1" x14ac:dyDescent="0.3">
      <c r="A9" s="215" t="s">
        <v>23</v>
      </c>
      <c r="B9" s="215" t="s">
        <v>322</v>
      </c>
      <c r="C9" s="54" t="s">
        <v>323</v>
      </c>
    </row>
    <row r="10" spans="1:3" ht="15.75" thickBot="1" x14ac:dyDescent="0.3">
      <c r="A10" s="216"/>
      <c r="B10" s="216"/>
      <c r="C10" s="54" t="s">
        <v>324</v>
      </c>
    </row>
    <row r="11" spans="1:3" ht="15.75" thickBot="1" x14ac:dyDescent="0.3">
      <c r="A11" s="216"/>
      <c r="B11" s="216"/>
      <c r="C11" s="54" t="s">
        <v>325</v>
      </c>
    </row>
    <row r="12" spans="1:3" ht="15.75" thickBot="1" x14ac:dyDescent="0.3">
      <c r="A12" s="217"/>
      <c r="B12" s="217"/>
      <c r="C12" s="54" t="s">
        <v>326</v>
      </c>
    </row>
    <row r="13" spans="1:3" ht="30.75" thickBot="1" x14ac:dyDescent="0.3">
      <c r="A13" s="46" t="s">
        <v>213</v>
      </c>
      <c r="B13" s="54" t="s">
        <v>213</v>
      </c>
      <c r="C13" s="54" t="s">
        <v>213</v>
      </c>
    </row>
    <row r="14" spans="1:3" ht="15.75" thickBot="1" x14ac:dyDescent="0.3">
      <c r="A14" s="215" t="s">
        <v>10</v>
      </c>
      <c r="B14" s="215" t="s">
        <v>337</v>
      </c>
      <c r="C14" s="54" t="s">
        <v>327</v>
      </c>
    </row>
    <row r="15" spans="1:3" ht="15.75" thickBot="1" x14ac:dyDescent="0.3">
      <c r="A15" s="216"/>
      <c r="B15" s="216"/>
      <c r="C15" s="54" t="s">
        <v>328</v>
      </c>
    </row>
    <row r="16" spans="1:3" ht="15.75" thickBot="1" x14ac:dyDescent="0.3">
      <c r="A16" s="216"/>
      <c r="B16" s="216"/>
      <c r="C16" s="54" t="s">
        <v>329</v>
      </c>
    </row>
    <row r="17" spans="1:3" ht="15.75" thickBot="1" x14ac:dyDescent="0.3">
      <c r="A17" s="217"/>
      <c r="B17" s="217"/>
      <c r="C17" s="54" t="s">
        <v>330</v>
      </c>
    </row>
    <row r="18" spans="1:3" ht="15.75" thickBot="1" x14ac:dyDescent="0.3">
      <c r="A18" s="215" t="s">
        <v>22</v>
      </c>
      <c r="B18" s="215" t="s">
        <v>331</v>
      </c>
      <c r="C18" s="54" t="s">
        <v>332</v>
      </c>
    </row>
    <row r="19" spans="1:3" ht="15.75" thickBot="1" x14ac:dyDescent="0.3">
      <c r="A19" s="216"/>
      <c r="B19" s="216"/>
      <c r="C19" s="54" t="s">
        <v>333</v>
      </c>
    </row>
    <row r="20" spans="1:3" ht="15.75" thickBot="1" x14ac:dyDescent="0.3">
      <c r="A20" s="216"/>
      <c r="B20" s="216"/>
      <c r="C20" s="54" t="s">
        <v>334</v>
      </c>
    </row>
    <row r="21" spans="1:3" ht="15.75" thickBot="1" x14ac:dyDescent="0.3">
      <c r="A21" s="217"/>
      <c r="B21" s="217"/>
      <c r="C21" s="54" t="s">
        <v>338</v>
      </c>
    </row>
    <row r="22" spans="1:3" ht="15.75" thickBot="1" x14ac:dyDescent="0.3">
      <c r="A22" s="46" t="s">
        <v>222</v>
      </c>
      <c r="B22" s="54" t="s">
        <v>335</v>
      </c>
      <c r="C22" s="54" t="s">
        <v>222</v>
      </c>
    </row>
    <row r="23" spans="1:3" x14ac:dyDescent="0.25">
      <c r="A23" s="80"/>
      <c r="B23" s="80"/>
      <c r="C23" s="80"/>
    </row>
    <row r="24" spans="1:3" ht="45.75" customHeight="1" x14ac:dyDescent="0.25">
      <c r="A24" s="221" t="s">
        <v>339</v>
      </c>
      <c r="B24" s="222"/>
      <c r="C24" s="222"/>
    </row>
    <row r="25" spans="1:3" ht="16.5" thickBot="1" x14ac:dyDescent="0.3">
      <c r="A25" s="77"/>
      <c r="B25"/>
      <c r="C25"/>
    </row>
    <row r="26" spans="1:3" ht="15.75" thickBot="1" x14ac:dyDescent="0.3">
      <c r="A26" s="74" t="s">
        <v>226</v>
      </c>
      <c r="B26" s="75" t="s">
        <v>313</v>
      </c>
      <c r="C26" s="75" t="s">
        <v>314</v>
      </c>
    </row>
    <row r="27" spans="1:3" ht="15.75" thickBot="1" x14ac:dyDescent="0.3">
      <c r="A27" s="215" t="s">
        <v>145</v>
      </c>
      <c r="B27" s="215" t="s">
        <v>340</v>
      </c>
      <c r="C27" s="54" t="s">
        <v>341</v>
      </c>
    </row>
    <row r="28" spans="1:3" ht="15.75" thickBot="1" x14ac:dyDescent="0.3">
      <c r="A28" s="216"/>
      <c r="B28" s="216"/>
      <c r="C28" s="54" t="s">
        <v>342</v>
      </c>
    </row>
    <row r="29" spans="1:3" ht="15.75" thickBot="1" x14ac:dyDescent="0.3">
      <c r="A29" s="216"/>
      <c r="B29" s="216"/>
      <c r="C29" s="54" t="s">
        <v>343</v>
      </c>
    </row>
    <row r="30" spans="1:3" ht="15.75" thickBot="1" x14ac:dyDescent="0.3">
      <c r="A30" s="216"/>
      <c r="B30" s="216"/>
      <c r="C30" s="54" t="s">
        <v>28</v>
      </c>
    </row>
    <row r="31" spans="1:3" ht="15.75" thickBot="1" x14ac:dyDescent="0.3">
      <c r="A31" s="216"/>
      <c r="B31" s="216"/>
      <c r="C31" s="54" t="s">
        <v>26</v>
      </c>
    </row>
    <row r="32" spans="1:3" ht="15.75" thickBot="1" x14ac:dyDescent="0.3">
      <c r="A32" s="217"/>
      <c r="B32" s="217"/>
      <c r="C32" s="54" t="s">
        <v>344</v>
      </c>
    </row>
    <row r="33" spans="1:3" ht="15.75" x14ac:dyDescent="0.25">
      <c r="A33" s="77"/>
      <c r="B33"/>
      <c r="C33"/>
    </row>
    <row r="34" spans="1:3" ht="42" customHeight="1" x14ac:dyDescent="0.25">
      <c r="A34" s="221" t="s">
        <v>345</v>
      </c>
      <c r="B34" s="222"/>
      <c r="C34" s="222"/>
    </row>
    <row r="35" spans="1:3" ht="15.75" thickBot="1" x14ac:dyDescent="0.3">
      <c r="A35" s="44"/>
      <c r="B35"/>
      <c r="C35"/>
    </row>
    <row r="36" spans="1:3" ht="15.75" thickBot="1" x14ac:dyDescent="0.3">
      <c r="A36" s="74" t="s">
        <v>226</v>
      </c>
      <c r="B36" s="75" t="s">
        <v>313</v>
      </c>
      <c r="C36" s="75" t="s">
        <v>314</v>
      </c>
    </row>
    <row r="37" spans="1:3" ht="30.75" thickBot="1" x14ac:dyDescent="0.3">
      <c r="A37" s="46" t="s">
        <v>53</v>
      </c>
      <c r="B37" s="54" t="s">
        <v>346</v>
      </c>
      <c r="C37" s="54" t="s">
        <v>53</v>
      </c>
    </row>
    <row r="38" spans="1:3" ht="75" x14ac:dyDescent="0.25">
      <c r="A38" s="215" t="s">
        <v>64</v>
      </c>
      <c r="B38" s="76" t="s">
        <v>347</v>
      </c>
      <c r="C38" s="215" t="s">
        <v>64</v>
      </c>
    </row>
    <row r="39" spans="1:3" ht="30" x14ac:dyDescent="0.25">
      <c r="A39" s="216"/>
      <c r="B39" s="76" t="s">
        <v>348</v>
      </c>
      <c r="C39" s="216"/>
    </row>
    <row r="40" spans="1:3" ht="30" x14ac:dyDescent="0.25">
      <c r="A40" s="216"/>
      <c r="B40" s="76" t="s">
        <v>349</v>
      </c>
      <c r="C40" s="216"/>
    </row>
    <row r="41" spans="1:3" x14ac:dyDescent="0.25">
      <c r="A41" s="216"/>
      <c r="B41" s="76" t="s">
        <v>350</v>
      </c>
      <c r="C41" s="216"/>
    </row>
    <row r="42" spans="1:3" ht="15.75" thickBot="1" x14ac:dyDescent="0.3">
      <c r="A42" s="217"/>
      <c r="B42" s="54" t="s">
        <v>351</v>
      </c>
      <c r="C42" s="217"/>
    </row>
    <row r="43" spans="1:3" ht="135.75" thickBot="1" x14ac:dyDescent="0.3">
      <c r="A43" s="46" t="s">
        <v>56</v>
      </c>
      <c r="B43" s="54" t="s">
        <v>352</v>
      </c>
      <c r="C43" s="54" t="s">
        <v>56</v>
      </c>
    </row>
    <row r="44" spans="1:3" ht="75.75" thickBot="1" x14ac:dyDescent="0.3">
      <c r="A44" s="46" t="s">
        <v>138</v>
      </c>
      <c r="B44" s="54" t="s">
        <v>353</v>
      </c>
      <c r="C44" s="54" t="s">
        <v>138</v>
      </c>
    </row>
    <row r="45" spans="1:3" ht="15.75" thickBot="1" x14ac:dyDescent="0.3">
      <c r="A45" s="215" t="s">
        <v>57</v>
      </c>
      <c r="B45" s="215" t="s">
        <v>354</v>
      </c>
      <c r="C45" s="54" t="s">
        <v>355</v>
      </c>
    </row>
    <row r="46" spans="1:3" ht="15.75" thickBot="1" x14ac:dyDescent="0.3">
      <c r="A46" s="216"/>
      <c r="B46" s="216"/>
      <c r="C46" s="54" t="s">
        <v>328</v>
      </c>
    </row>
    <row r="47" spans="1:3" ht="15.75" thickBot="1" x14ac:dyDescent="0.3">
      <c r="A47" s="216"/>
      <c r="B47" s="216"/>
      <c r="C47" s="54" t="s">
        <v>323</v>
      </c>
    </row>
    <row r="48" spans="1:3" ht="15.75" thickBot="1" x14ac:dyDescent="0.3">
      <c r="A48" s="216"/>
      <c r="B48" s="216"/>
      <c r="C48" s="54" t="s">
        <v>356</v>
      </c>
    </row>
    <row r="49" spans="1:3" ht="15.75" thickBot="1" x14ac:dyDescent="0.3">
      <c r="A49" s="217"/>
      <c r="B49" s="217"/>
      <c r="C49" s="54" t="s">
        <v>357</v>
      </c>
    </row>
    <row r="50" spans="1:3" ht="60.75" thickBot="1" x14ac:dyDescent="0.3">
      <c r="A50" s="46" t="s">
        <v>55</v>
      </c>
      <c r="B50" s="54" t="s">
        <v>358</v>
      </c>
      <c r="C50" s="54" t="s">
        <v>55</v>
      </c>
    </row>
    <row r="51" spans="1:3" ht="30" x14ac:dyDescent="0.25">
      <c r="A51" s="215" t="s">
        <v>52</v>
      </c>
      <c r="B51" s="76" t="s">
        <v>359</v>
      </c>
      <c r="C51" s="215" t="s">
        <v>52</v>
      </c>
    </row>
    <row r="52" spans="1:3" ht="45.75" thickBot="1" x14ac:dyDescent="0.3">
      <c r="A52" s="217"/>
      <c r="B52" s="54" t="s">
        <v>360</v>
      </c>
      <c r="C52" s="217"/>
    </row>
    <row r="53" spans="1:3" ht="45.75" thickBot="1" x14ac:dyDescent="0.3">
      <c r="A53" s="46" t="s">
        <v>18</v>
      </c>
      <c r="B53" s="54" t="s">
        <v>361</v>
      </c>
      <c r="C53" s="54" t="s">
        <v>18</v>
      </c>
    </row>
    <row r="54" spans="1:3" ht="30.75" thickBot="1" x14ac:dyDescent="0.3">
      <c r="A54" s="46" t="s">
        <v>144</v>
      </c>
      <c r="B54" s="54" t="s">
        <v>362</v>
      </c>
      <c r="C54" s="54" t="s">
        <v>363</v>
      </c>
    </row>
    <row r="55" spans="1:3" ht="15.75" x14ac:dyDescent="0.25">
      <c r="A55" s="77"/>
      <c r="B55"/>
      <c r="C55"/>
    </row>
    <row r="56" spans="1:3" ht="39" customHeight="1" x14ac:dyDescent="0.25">
      <c r="A56" s="221" t="s">
        <v>364</v>
      </c>
      <c r="B56" s="222"/>
      <c r="C56" s="222"/>
    </row>
    <row r="57" spans="1:3" ht="16.5" thickBot="1" x14ac:dyDescent="0.3">
      <c r="A57" s="77"/>
      <c r="B57"/>
      <c r="C57"/>
    </row>
    <row r="58" spans="1:3" ht="15.75" thickBot="1" x14ac:dyDescent="0.3">
      <c r="A58" s="74" t="s">
        <v>226</v>
      </c>
      <c r="B58" s="75" t="s">
        <v>313</v>
      </c>
      <c r="C58" s="75" t="s">
        <v>314</v>
      </c>
    </row>
    <row r="59" spans="1:3" ht="15.75" thickBot="1" x14ac:dyDescent="0.3">
      <c r="A59" s="46" t="s">
        <v>158</v>
      </c>
      <c r="B59" s="54" t="s">
        <v>365</v>
      </c>
      <c r="C59" s="54" t="s">
        <v>366</v>
      </c>
    </row>
    <row r="60" spans="1:3" ht="30" x14ac:dyDescent="0.25">
      <c r="A60" s="215" t="s">
        <v>45</v>
      </c>
      <c r="B60" s="76" t="s">
        <v>367</v>
      </c>
      <c r="C60" s="215" t="s">
        <v>374</v>
      </c>
    </row>
    <row r="61" spans="1:3" x14ac:dyDescent="0.25">
      <c r="A61" s="216"/>
      <c r="B61" s="76" t="s">
        <v>368</v>
      </c>
      <c r="C61" s="216"/>
    </row>
    <row r="62" spans="1:3" x14ac:dyDescent="0.25">
      <c r="A62" s="216"/>
      <c r="B62" s="76" t="s">
        <v>369</v>
      </c>
      <c r="C62" s="216"/>
    </row>
    <row r="63" spans="1:3" ht="15.75" thickBot="1" x14ac:dyDescent="0.3">
      <c r="A63" s="216"/>
      <c r="B63" s="76" t="s">
        <v>370</v>
      </c>
      <c r="C63" s="217"/>
    </row>
    <row r="64" spans="1:3" ht="15.75" thickBot="1" x14ac:dyDescent="0.3">
      <c r="A64" s="216"/>
      <c r="B64" s="76" t="s">
        <v>371</v>
      </c>
      <c r="C64" s="54" t="s">
        <v>375</v>
      </c>
    </row>
    <row r="65" spans="1:3" ht="30.75" thickBot="1" x14ac:dyDescent="0.3">
      <c r="A65" s="216"/>
      <c r="B65" s="76" t="s">
        <v>372</v>
      </c>
      <c r="C65" s="54" t="s">
        <v>376</v>
      </c>
    </row>
    <row r="66" spans="1:3" ht="75.75" thickBot="1" x14ac:dyDescent="0.3">
      <c r="A66" s="217"/>
      <c r="B66" s="54" t="s">
        <v>373</v>
      </c>
      <c r="C66" s="54" t="s">
        <v>377</v>
      </c>
    </row>
    <row r="67" spans="1:3" ht="90.75" thickBot="1" x14ac:dyDescent="0.3">
      <c r="A67" s="46" t="s">
        <v>48</v>
      </c>
      <c r="B67" s="54" t="s">
        <v>378</v>
      </c>
      <c r="C67" s="54" t="s">
        <v>48</v>
      </c>
    </row>
    <row r="68" spans="1:3" ht="30.75" thickBot="1" x14ac:dyDescent="0.3">
      <c r="A68" s="46" t="s">
        <v>163</v>
      </c>
      <c r="B68" s="54" t="s">
        <v>379</v>
      </c>
      <c r="C68" s="54" t="s">
        <v>163</v>
      </c>
    </row>
    <row r="69" spans="1:3" ht="15.75" thickBot="1" x14ac:dyDescent="0.3">
      <c r="A69" s="215" t="s">
        <v>46</v>
      </c>
      <c r="B69" s="76" t="s">
        <v>380</v>
      </c>
      <c r="C69" s="54" t="s">
        <v>382</v>
      </c>
    </row>
    <row r="70" spans="1:3" ht="90.75" thickBot="1" x14ac:dyDescent="0.3">
      <c r="A70" s="217"/>
      <c r="B70" s="54" t="s">
        <v>381</v>
      </c>
      <c r="C70" s="54" t="s">
        <v>383</v>
      </c>
    </row>
    <row r="71" spans="1:3" ht="15.75" x14ac:dyDescent="0.25">
      <c r="A71" s="77"/>
      <c r="B71"/>
      <c r="C71"/>
    </row>
    <row r="72" spans="1:3" ht="53.25" customHeight="1" x14ac:dyDescent="0.25">
      <c r="A72" s="221" t="s">
        <v>384</v>
      </c>
      <c r="B72" s="222"/>
      <c r="C72" s="222"/>
    </row>
    <row r="73" spans="1:3" ht="16.5" thickBot="1" x14ac:dyDescent="0.3">
      <c r="A73" s="77"/>
      <c r="B73"/>
      <c r="C73"/>
    </row>
    <row r="74" spans="1:3" ht="15.75" thickBot="1" x14ac:dyDescent="0.3">
      <c r="A74" s="74" t="s">
        <v>226</v>
      </c>
      <c r="B74" s="78" t="s">
        <v>313</v>
      </c>
      <c r="C74" s="75" t="s">
        <v>314</v>
      </c>
    </row>
    <row r="75" spans="1:3" ht="15.75" thickBot="1" x14ac:dyDescent="0.3">
      <c r="A75" s="215" t="s">
        <v>49</v>
      </c>
      <c r="B75" s="218" t="s">
        <v>385</v>
      </c>
      <c r="C75" s="54" t="s">
        <v>386</v>
      </c>
    </row>
    <row r="76" spans="1:3" ht="15.75" thickBot="1" x14ac:dyDescent="0.3">
      <c r="A76" s="216"/>
      <c r="B76" s="219"/>
      <c r="C76" s="54" t="s">
        <v>387</v>
      </c>
    </row>
    <row r="77" spans="1:3" ht="15.75" thickBot="1" x14ac:dyDescent="0.3">
      <c r="A77" s="216"/>
      <c r="B77" s="219"/>
      <c r="C77" s="54" t="s">
        <v>10</v>
      </c>
    </row>
    <row r="78" spans="1:3" ht="15.75" thickBot="1" x14ac:dyDescent="0.3">
      <c r="A78" s="217"/>
      <c r="B78" s="220"/>
      <c r="C78" s="54" t="s">
        <v>388</v>
      </c>
    </row>
    <row r="79" spans="1:3" ht="15.75" thickBot="1" x14ac:dyDescent="0.3">
      <c r="A79" s="215" t="s">
        <v>50</v>
      </c>
      <c r="B79" s="218" t="s">
        <v>389</v>
      </c>
      <c r="C79" s="54" t="s">
        <v>390</v>
      </c>
    </row>
    <row r="80" spans="1:3" ht="15.75" thickBot="1" x14ac:dyDescent="0.3">
      <c r="A80" s="216"/>
      <c r="B80" s="219"/>
      <c r="C80" s="54" t="s">
        <v>391</v>
      </c>
    </row>
    <row r="81" spans="1:3" ht="15.75" thickBot="1" x14ac:dyDescent="0.3">
      <c r="A81" s="217"/>
      <c r="B81" s="220"/>
      <c r="C81" s="54" t="s">
        <v>319</v>
      </c>
    </row>
    <row r="82" spans="1:3" ht="15.75" thickBot="1" x14ac:dyDescent="0.3">
      <c r="A82" s="215" t="s">
        <v>16</v>
      </c>
      <c r="B82" s="218" t="s">
        <v>392</v>
      </c>
      <c r="C82" s="54" t="s">
        <v>393</v>
      </c>
    </row>
    <row r="83" spans="1:3" ht="15.75" thickBot="1" x14ac:dyDescent="0.3">
      <c r="A83" s="216"/>
      <c r="B83" s="219"/>
      <c r="C83" s="54" t="s">
        <v>394</v>
      </c>
    </row>
    <row r="84" spans="1:3" ht="15.75" thickBot="1" x14ac:dyDescent="0.3">
      <c r="A84" s="216"/>
      <c r="B84" s="219"/>
      <c r="C84" s="54" t="s">
        <v>395</v>
      </c>
    </row>
    <row r="85" spans="1:3" ht="15.75" thickBot="1" x14ac:dyDescent="0.3">
      <c r="A85" s="217"/>
      <c r="B85" s="220"/>
      <c r="C85" s="54" t="s">
        <v>396</v>
      </c>
    </row>
    <row r="86" spans="1:3" ht="15.75" x14ac:dyDescent="0.25">
      <c r="A86" s="77"/>
      <c r="B86"/>
      <c r="C86"/>
    </row>
    <row r="87" spans="1:3" ht="22.5" customHeight="1" x14ac:dyDescent="0.25">
      <c r="A87" s="221" t="s">
        <v>397</v>
      </c>
      <c r="B87" s="222"/>
      <c r="C87" s="222"/>
    </row>
    <row r="88" spans="1:3" ht="16.5" thickBot="1" x14ac:dyDescent="0.3">
      <c r="A88" s="77"/>
      <c r="B88"/>
      <c r="C88"/>
    </row>
    <row r="89" spans="1:3" ht="15.75" thickBot="1" x14ac:dyDescent="0.3">
      <c r="A89" s="74" t="s">
        <v>226</v>
      </c>
      <c r="B89" s="75" t="s">
        <v>313</v>
      </c>
      <c r="C89" s="75" t="s">
        <v>314</v>
      </c>
    </row>
    <row r="90" spans="1:3" ht="30.75" thickBot="1" x14ac:dyDescent="0.3">
      <c r="A90" s="215" t="s">
        <v>30</v>
      </c>
      <c r="B90" s="215" t="s">
        <v>398</v>
      </c>
      <c r="C90" s="54" t="s">
        <v>399</v>
      </c>
    </row>
    <row r="91" spans="1:3" ht="15.75" thickBot="1" x14ac:dyDescent="0.3">
      <c r="A91" s="216"/>
      <c r="B91" s="216"/>
      <c r="C91" s="54" t="s">
        <v>400</v>
      </c>
    </row>
    <row r="92" spans="1:3" ht="15.75" thickBot="1" x14ac:dyDescent="0.3">
      <c r="A92" s="216"/>
      <c r="B92" s="216"/>
      <c r="C92" s="54" t="s">
        <v>401</v>
      </c>
    </row>
    <row r="93" spans="1:3" ht="15.75" thickBot="1" x14ac:dyDescent="0.3">
      <c r="A93" s="216"/>
      <c r="B93" s="216"/>
      <c r="C93" s="54" t="s">
        <v>402</v>
      </c>
    </row>
    <row r="94" spans="1:3" ht="15.75" thickBot="1" x14ac:dyDescent="0.3">
      <c r="A94" s="217"/>
      <c r="B94" s="217"/>
      <c r="C94" s="54" t="s">
        <v>403</v>
      </c>
    </row>
    <row r="95" spans="1:3" ht="15.75" thickBot="1" x14ac:dyDescent="0.3">
      <c r="A95" s="215" t="s">
        <v>32</v>
      </c>
      <c r="B95" s="215" t="s">
        <v>404</v>
      </c>
      <c r="C95" s="54" t="s">
        <v>405</v>
      </c>
    </row>
    <row r="96" spans="1:3" ht="15.75" thickBot="1" x14ac:dyDescent="0.3">
      <c r="A96" s="216"/>
      <c r="B96" s="216"/>
      <c r="C96" s="54" t="s">
        <v>406</v>
      </c>
    </row>
    <row r="97" spans="1:3" ht="15.75" thickBot="1" x14ac:dyDescent="0.3">
      <c r="A97" s="216"/>
      <c r="B97" s="216"/>
      <c r="C97" s="79" t="s">
        <v>407</v>
      </c>
    </row>
    <row r="98" spans="1:3" ht="15.75" thickBot="1" x14ac:dyDescent="0.3">
      <c r="A98" s="217"/>
      <c r="B98" s="217"/>
      <c r="C98" s="54" t="s">
        <v>408</v>
      </c>
    </row>
    <row r="99" spans="1:3" ht="15.75" thickBot="1" x14ac:dyDescent="0.3">
      <c r="A99" s="215" t="s">
        <v>34</v>
      </c>
      <c r="B99" s="215" t="s">
        <v>409</v>
      </c>
      <c r="C99" s="54" t="s">
        <v>410</v>
      </c>
    </row>
    <row r="100" spans="1:3" ht="27" customHeight="1" thickBot="1" x14ac:dyDescent="0.3">
      <c r="A100" s="216"/>
      <c r="B100" s="216"/>
      <c r="C100" s="54" t="s">
        <v>411</v>
      </c>
    </row>
    <row r="101" spans="1:3" ht="40.5" customHeight="1" thickBot="1" x14ac:dyDescent="0.3">
      <c r="A101" s="217"/>
      <c r="B101" s="217"/>
      <c r="C101" s="54" t="s">
        <v>412</v>
      </c>
    </row>
    <row r="102" spans="1:3" ht="45.75" thickBot="1" x14ac:dyDescent="0.3">
      <c r="A102" s="215" t="s">
        <v>38</v>
      </c>
      <c r="B102" s="215" t="s">
        <v>413</v>
      </c>
      <c r="C102" s="54" t="s">
        <v>414</v>
      </c>
    </row>
    <row r="103" spans="1:3" ht="15.75" thickBot="1" x14ac:dyDescent="0.3">
      <c r="A103" s="216"/>
      <c r="B103" s="216"/>
      <c r="C103" s="54" t="s">
        <v>415</v>
      </c>
    </row>
    <row r="104" spans="1:3" ht="30.75" thickBot="1" x14ac:dyDescent="0.3">
      <c r="A104" s="216"/>
      <c r="B104" s="216"/>
      <c r="C104" s="54" t="s">
        <v>416</v>
      </c>
    </row>
    <row r="105" spans="1:3" ht="15.75" thickBot="1" x14ac:dyDescent="0.3">
      <c r="A105" s="216"/>
      <c r="B105" s="216"/>
      <c r="C105" s="54" t="s">
        <v>417</v>
      </c>
    </row>
    <row r="106" spans="1:3" ht="15.75" thickBot="1" x14ac:dyDescent="0.3">
      <c r="A106" s="216"/>
      <c r="B106" s="216"/>
      <c r="C106" s="54" t="s">
        <v>418</v>
      </c>
    </row>
    <row r="107" spans="1:3" ht="15.75" thickBot="1" x14ac:dyDescent="0.3">
      <c r="A107" s="216"/>
      <c r="B107" s="216"/>
      <c r="C107" s="54" t="s">
        <v>419</v>
      </c>
    </row>
    <row r="108" spans="1:3" ht="15.75" thickBot="1" x14ac:dyDescent="0.3">
      <c r="A108" s="216"/>
      <c r="B108" s="216"/>
      <c r="C108" s="54" t="s">
        <v>420</v>
      </c>
    </row>
    <row r="109" spans="1:3" ht="30.75" thickBot="1" x14ac:dyDescent="0.3">
      <c r="A109" s="217"/>
      <c r="B109" s="217"/>
      <c r="C109" s="54" t="s">
        <v>421</v>
      </c>
    </row>
    <row r="110" spans="1:3" ht="15.75" thickBot="1" x14ac:dyDescent="0.3">
      <c r="A110" s="215" t="s">
        <v>37</v>
      </c>
      <c r="B110" s="215" t="s">
        <v>422</v>
      </c>
      <c r="C110" s="54" t="s">
        <v>423</v>
      </c>
    </row>
    <row r="111" spans="1:3" ht="15.75" thickBot="1" x14ac:dyDescent="0.3">
      <c r="A111" s="216"/>
      <c r="B111" s="216"/>
      <c r="C111" s="54" t="s">
        <v>424</v>
      </c>
    </row>
    <row r="112" spans="1:3" ht="15.75" thickBot="1" x14ac:dyDescent="0.3">
      <c r="A112" s="217"/>
      <c r="B112" s="217"/>
      <c r="C112" s="54" t="s">
        <v>425</v>
      </c>
    </row>
    <row r="113" spans="1:3" ht="15.75" thickBot="1" x14ac:dyDescent="0.3">
      <c r="A113" s="215" t="s">
        <v>39</v>
      </c>
      <c r="B113" s="215" t="s">
        <v>426</v>
      </c>
      <c r="C113" s="54" t="s">
        <v>427</v>
      </c>
    </row>
    <row r="114" spans="1:3" ht="15.75" thickBot="1" x14ac:dyDescent="0.3">
      <c r="A114" s="216"/>
      <c r="B114" s="216"/>
      <c r="C114" s="54" t="s">
        <v>428</v>
      </c>
    </row>
    <row r="115" spans="1:3" ht="15.75" thickBot="1" x14ac:dyDescent="0.3">
      <c r="A115" s="216"/>
      <c r="B115" s="216"/>
      <c r="C115" s="54" t="s">
        <v>429</v>
      </c>
    </row>
    <row r="116" spans="1:3" ht="15.75" thickBot="1" x14ac:dyDescent="0.3">
      <c r="A116" s="217"/>
      <c r="B116" s="217"/>
      <c r="C116" s="54" t="s">
        <v>430</v>
      </c>
    </row>
    <row r="117" spans="1:3" ht="15.75" thickBot="1" x14ac:dyDescent="0.3">
      <c r="A117" s="215" t="s">
        <v>33</v>
      </c>
      <c r="B117" s="215" t="s">
        <v>431</v>
      </c>
      <c r="C117" s="54" t="s">
        <v>432</v>
      </c>
    </row>
    <row r="118" spans="1:3" ht="15.75" thickBot="1" x14ac:dyDescent="0.3">
      <c r="A118" s="216"/>
      <c r="B118" s="216"/>
      <c r="C118" s="54" t="s">
        <v>433</v>
      </c>
    </row>
    <row r="119" spans="1:3" ht="15.75" thickBot="1" x14ac:dyDescent="0.3">
      <c r="A119" s="216"/>
      <c r="B119" s="216"/>
      <c r="C119" s="54" t="s">
        <v>434</v>
      </c>
    </row>
    <row r="120" spans="1:3" ht="15.75" thickBot="1" x14ac:dyDescent="0.3">
      <c r="A120" s="216"/>
      <c r="B120" s="216"/>
      <c r="C120" s="54" t="s">
        <v>435</v>
      </c>
    </row>
    <row r="121" spans="1:3" ht="15.75" thickBot="1" x14ac:dyDescent="0.3">
      <c r="A121" s="216"/>
      <c r="B121" s="216"/>
      <c r="C121" s="54" t="s">
        <v>436</v>
      </c>
    </row>
    <row r="122" spans="1:3" x14ac:dyDescent="0.25">
      <c r="A122" s="216"/>
      <c r="B122" s="216"/>
      <c r="C122" s="76" t="s">
        <v>437</v>
      </c>
    </row>
    <row r="123" spans="1:3" ht="15.75" thickBot="1" x14ac:dyDescent="0.3">
      <c r="A123" s="216"/>
      <c r="B123" s="216"/>
      <c r="C123" s="54" t="s">
        <v>438</v>
      </c>
    </row>
    <row r="124" spans="1:3" ht="15.75" thickBot="1" x14ac:dyDescent="0.3">
      <c r="A124" s="217"/>
      <c r="B124" s="217"/>
      <c r="C124" s="54" t="s">
        <v>439</v>
      </c>
    </row>
    <row r="125" spans="1:3" x14ac:dyDescent="0.25">
      <c r="A125" s="80"/>
      <c r="B125" s="80"/>
      <c r="C125" s="80"/>
    </row>
    <row r="126" spans="1:3" ht="50.25" customHeight="1" x14ac:dyDescent="0.25">
      <c r="A126" s="221" t="s">
        <v>440</v>
      </c>
      <c r="B126" s="222"/>
      <c r="C126" s="222"/>
    </row>
    <row r="127" spans="1:3" ht="16.5" thickBot="1" x14ac:dyDescent="0.3">
      <c r="A127" s="77"/>
      <c r="B127"/>
      <c r="C127"/>
    </row>
    <row r="128" spans="1:3" ht="15.75" thickBot="1" x14ac:dyDescent="0.3">
      <c r="A128" s="74" t="s">
        <v>226</v>
      </c>
      <c r="B128" s="75" t="s">
        <v>313</v>
      </c>
      <c r="C128" s="75" t="s">
        <v>314</v>
      </c>
    </row>
    <row r="129" spans="1:3" ht="15.75" thickBot="1" x14ac:dyDescent="0.3">
      <c r="A129" s="215" t="s">
        <v>60</v>
      </c>
      <c r="B129" s="215" t="s">
        <v>441</v>
      </c>
      <c r="C129" s="54" t="s">
        <v>442</v>
      </c>
    </row>
    <row r="130" spans="1:3" ht="15.75" thickBot="1" x14ac:dyDescent="0.3">
      <c r="A130" s="216"/>
      <c r="B130" s="216"/>
      <c r="C130" s="54" t="s">
        <v>443</v>
      </c>
    </row>
    <row r="131" spans="1:3" ht="15.75" thickBot="1" x14ac:dyDescent="0.3">
      <c r="A131" s="216"/>
      <c r="B131" s="216"/>
      <c r="C131" s="54" t="s">
        <v>444</v>
      </c>
    </row>
    <row r="132" spans="1:3" ht="15.75" thickBot="1" x14ac:dyDescent="0.3">
      <c r="A132" s="216"/>
      <c r="B132" s="216"/>
      <c r="C132" s="54" t="s">
        <v>445</v>
      </c>
    </row>
    <row r="133" spans="1:3" ht="30.75" thickBot="1" x14ac:dyDescent="0.3">
      <c r="A133" s="217"/>
      <c r="B133" s="217"/>
      <c r="C133" s="54" t="s">
        <v>446</v>
      </c>
    </row>
    <row r="134" spans="1:3" ht="15.75" thickBot="1" x14ac:dyDescent="0.3">
      <c r="A134" s="215" t="s">
        <v>62</v>
      </c>
      <c r="B134" s="215" t="s">
        <v>447</v>
      </c>
      <c r="C134" s="54" t="s">
        <v>448</v>
      </c>
    </row>
    <row r="135" spans="1:3" ht="15.75" thickBot="1" x14ac:dyDescent="0.3">
      <c r="A135" s="216"/>
      <c r="B135" s="216"/>
      <c r="C135" s="54" t="s">
        <v>449</v>
      </c>
    </row>
    <row r="136" spans="1:3" ht="15.75" thickBot="1" x14ac:dyDescent="0.3">
      <c r="A136" s="216"/>
      <c r="B136" s="216"/>
      <c r="C136" s="54" t="s">
        <v>450</v>
      </c>
    </row>
    <row r="137" spans="1:3" ht="15.75" thickBot="1" x14ac:dyDescent="0.3">
      <c r="A137" s="216"/>
      <c r="B137" s="216"/>
      <c r="C137" s="54" t="s">
        <v>451</v>
      </c>
    </row>
    <row r="138" spans="1:3" ht="15.75" thickBot="1" x14ac:dyDescent="0.3">
      <c r="A138" s="216"/>
      <c r="B138" s="216"/>
      <c r="C138" s="54" t="s">
        <v>452</v>
      </c>
    </row>
    <row r="139" spans="1:3" ht="15.75" thickBot="1" x14ac:dyDescent="0.3">
      <c r="A139" s="216"/>
      <c r="B139" s="216"/>
      <c r="C139" s="54" t="s">
        <v>453</v>
      </c>
    </row>
    <row r="140" spans="1:3" ht="15.75" thickBot="1" x14ac:dyDescent="0.3">
      <c r="A140" s="216"/>
      <c r="B140" s="216"/>
      <c r="C140" s="54" t="s">
        <v>454</v>
      </c>
    </row>
    <row r="141" spans="1:3" ht="15.75" thickBot="1" x14ac:dyDescent="0.3">
      <c r="A141" s="216"/>
      <c r="B141" s="216"/>
      <c r="C141" s="54" t="s">
        <v>455</v>
      </c>
    </row>
    <row r="142" spans="1:3" ht="15.75" thickBot="1" x14ac:dyDescent="0.3">
      <c r="A142" s="217"/>
      <c r="B142" s="217"/>
      <c r="C142" s="54" t="s">
        <v>456</v>
      </c>
    </row>
    <row r="143" spans="1:3" ht="15.75" thickBot="1" x14ac:dyDescent="0.3">
      <c r="A143" s="215" t="s">
        <v>63</v>
      </c>
      <c r="B143" s="215" t="s">
        <v>457</v>
      </c>
      <c r="C143" s="54" t="s">
        <v>458</v>
      </c>
    </row>
    <row r="144" spans="1:3" ht="15.75" thickBot="1" x14ac:dyDescent="0.3">
      <c r="A144" s="216"/>
      <c r="B144" s="216"/>
      <c r="C144" s="54" t="s">
        <v>459</v>
      </c>
    </row>
    <row r="145" spans="1:3" ht="15.75" thickBot="1" x14ac:dyDescent="0.3">
      <c r="A145" s="216"/>
      <c r="B145" s="216"/>
      <c r="C145" s="54" t="s">
        <v>460</v>
      </c>
    </row>
    <row r="146" spans="1:3" ht="15.75" thickBot="1" x14ac:dyDescent="0.3">
      <c r="A146" s="216"/>
      <c r="B146" s="216"/>
      <c r="C146" s="54" t="s">
        <v>461</v>
      </c>
    </row>
    <row r="147" spans="1:3" ht="15.75" thickBot="1" x14ac:dyDescent="0.3">
      <c r="A147" s="216"/>
      <c r="B147" s="216"/>
      <c r="C147" s="54" t="s">
        <v>462</v>
      </c>
    </row>
    <row r="148" spans="1:3" ht="15.75" thickBot="1" x14ac:dyDescent="0.3">
      <c r="A148" s="216"/>
      <c r="B148" s="216"/>
      <c r="C148" s="54" t="s">
        <v>463</v>
      </c>
    </row>
    <row r="149" spans="1:3" ht="15.75" thickBot="1" x14ac:dyDescent="0.3">
      <c r="A149" s="216"/>
      <c r="B149" s="216"/>
      <c r="C149" s="54" t="s">
        <v>464</v>
      </c>
    </row>
    <row r="150" spans="1:3" ht="15.75" thickBot="1" x14ac:dyDescent="0.3">
      <c r="A150" s="216"/>
      <c r="B150" s="216"/>
      <c r="C150" s="54" t="s">
        <v>465</v>
      </c>
    </row>
    <row r="151" spans="1:3" ht="15.75" thickBot="1" x14ac:dyDescent="0.3">
      <c r="A151" s="217"/>
      <c r="B151" s="217"/>
      <c r="C151" s="54" t="s">
        <v>40</v>
      </c>
    </row>
    <row r="152" spans="1:3" ht="15.75" thickBot="1" x14ac:dyDescent="0.3">
      <c r="A152" s="215" t="s">
        <v>59</v>
      </c>
      <c r="B152" s="215" t="s">
        <v>466</v>
      </c>
      <c r="C152" s="54" t="s">
        <v>467</v>
      </c>
    </row>
    <row r="153" spans="1:3" ht="15.75" thickBot="1" x14ac:dyDescent="0.3">
      <c r="A153" s="216"/>
      <c r="B153" s="216"/>
      <c r="C153" s="54" t="s">
        <v>468</v>
      </c>
    </row>
    <row r="154" spans="1:3" ht="15.75" thickBot="1" x14ac:dyDescent="0.3">
      <c r="A154" s="217"/>
      <c r="B154" s="217"/>
      <c r="C154" s="54" t="s">
        <v>469</v>
      </c>
    </row>
    <row r="155" spans="1:3" ht="15.75" thickBot="1" x14ac:dyDescent="0.3">
      <c r="A155" s="215" t="s">
        <v>61</v>
      </c>
      <c r="B155" s="215" t="s">
        <v>470</v>
      </c>
      <c r="C155" s="54" t="s">
        <v>471</v>
      </c>
    </row>
    <row r="156" spans="1:3" ht="15.75" thickBot="1" x14ac:dyDescent="0.3">
      <c r="A156" s="217"/>
      <c r="B156" s="217"/>
      <c r="C156" s="54" t="s">
        <v>472</v>
      </c>
    </row>
    <row r="157" spans="1:3" ht="30.75" thickBot="1" x14ac:dyDescent="0.3">
      <c r="A157" s="46" t="s">
        <v>58</v>
      </c>
      <c r="B157" s="54" t="s">
        <v>473</v>
      </c>
      <c r="C157" s="54" t="s">
        <v>58</v>
      </c>
    </row>
    <row r="158" spans="1:3" ht="15.75" thickBot="1" x14ac:dyDescent="0.3">
      <c r="A158" s="46" t="s">
        <v>12</v>
      </c>
      <c r="B158" s="54" t="s">
        <v>474</v>
      </c>
      <c r="C158" s="54" t="s">
        <v>12</v>
      </c>
    </row>
    <row r="159" spans="1:3" ht="15.75" x14ac:dyDescent="0.25">
      <c r="A159" s="77"/>
      <c r="B159"/>
      <c r="C159"/>
    </row>
    <row r="160" spans="1:3" ht="36.75" customHeight="1" x14ac:dyDescent="0.25">
      <c r="A160" s="221" t="s">
        <v>475</v>
      </c>
      <c r="B160" s="222"/>
      <c r="C160" s="222"/>
    </row>
    <row r="161" spans="1:3" ht="16.5" thickBot="1" x14ac:dyDescent="0.3">
      <c r="A161" s="77"/>
      <c r="B161"/>
      <c r="C161"/>
    </row>
    <row r="162" spans="1:3" ht="15.75" thickBot="1" x14ac:dyDescent="0.3">
      <c r="A162" s="74" t="s">
        <v>226</v>
      </c>
      <c r="B162" s="75" t="s">
        <v>313</v>
      </c>
      <c r="C162" s="75" t="s">
        <v>314</v>
      </c>
    </row>
    <row r="163" spans="1:3" ht="30.75" thickBot="1" x14ac:dyDescent="0.3">
      <c r="A163" s="46" t="s">
        <v>44</v>
      </c>
      <c r="B163" s="54" t="s">
        <v>476</v>
      </c>
      <c r="C163" s="54" t="s">
        <v>44</v>
      </c>
    </row>
    <row r="164" spans="1:3" ht="30.75" thickBot="1" x14ac:dyDescent="0.3">
      <c r="A164" s="46" t="s">
        <v>42</v>
      </c>
      <c r="B164" s="54" t="s">
        <v>477</v>
      </c>
      <c r="C164" s="54" t="s">
        <v>42</v>
      </c>
    </row>
    <row r="165" spans="1:3" ht="15.75" thickBot="1" x14ac:dyDescent="0.3">
      <c r="A165" s="46" t="s">
        <v>41</v>
      </c>
      <c r="B165" s="54" t="s">
        <v>478</v>
      </c>
      <c r="C165" s="54" t="s">
        <v>41</v>
      </c>
    </row>
    <row r="166" spans="1:3" ht="15.75" thickBot="1" x14ac:dyDescent="0.3">
      <c r="A166" s="46" t="s">
        <v>43</v>
      </c>
      <c r="B166" s="54" t="s">
        <v>479</v>
      </c>
      <c r="C166" s="54" t="s">
        <v>43</v>
      </c>
    </row>
    <row r="167" spans="1:3" ht="30.75" thickBot="1" x14ac:dyDescent="0.3">
      <c r="A167" s="46" t="s">
        <v>40</v>
      </c>
      <c r="B167" s="54" t="s">
        <v>480</v>
      </c>
      <c r="C167" s="54" t="s">
        <v>40</v>
      </c>
    </row>
  </sheetData>
  <sheetProtection password="CDE2" sheet="1" objects="1" scenarios="1"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55</vt:i4>
      </vt:variant>
      <vt:variant>
        <vt:lpstr>Named Ranges</vt:lpstr>
      </vt:variant>
      <vt:variant>
        <vt:i4>58</vt:i4>
      </vt:variant>
    </vt:vector>
  </HeadingPairs>
  <TitlesOfParts>
    <vt:vector size="113"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Murphy, Michelle</cp:lastModifiedBy>
  <cp:lastPrinted>2015-06-12T12:04:53Z</cp:lastPrinted>
  <dcterms:created xsi:type="dcterms:W3CDTF">2015-03-19T18:31:05Z</dcterms:created>
  <dcterms:modified xsi:type="dcterms:W3CDTF">2015-06-25T15:31:02Z</dcterms:modified>
</cp:coreProperties>
</file>