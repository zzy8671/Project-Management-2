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15" yWindow="8295" windowWidth="20610" windowHeight="4185" tabRatio="928" firstSheet="2" activeTab="16"/>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<sst xmlns="http://schemas.openxmlformats.org/spreadsheetml/2006/main" count="1582" uniqueCount="619">
  <si>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</si>
  <si>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</si>
  <si>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</si>
  <si>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</si>
  <si>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</si>
  <si>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</si>
  <si>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</si>
  <si>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</si>
  <si>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</si>
  <si>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</si>
  <si>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</si>
  <si>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</si>
  <si>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</si>
  <si>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</si>
  <si>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</si>
  <si>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</si>
  <si>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</si>
  <si>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</si>
  <si>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</si>
  <si>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</si>
  <si>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</si>
  <si>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</si>
  <si>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</si>
  <si>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</si>
  <si>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</si>
  <si>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</si>
  <si>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</si>
  <si>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</si>
  <si>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</si>
  <si>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</si>
  <si>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</si>
  <si>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</si>
  <si>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</si>
  <si>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</si>
  <si>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</si>
  <si>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</si>
  <si>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</si>
  <si>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</si>
  <si>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</si>
  <si>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</si>
  <si>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</si>
  <si>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</si>
  <si>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</si>
  <si>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</si>
  <si>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</si>
  <si>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</si>
  <si>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</si>
  <si>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</si>
  <si>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</si>
  <si>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</si>
  <si>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</si>
  <si>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</si>
  <si>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</si>
  <si>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</si>
  <si>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</si>
  <si>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</si>
  <si>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</si>
  <si>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</si>
  <si>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</si>
  <si>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</si>
  <si>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</si>
  <si>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</si>
  <si>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</si>
  <si>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</si>
  <si>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</si>
  <si>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</si>
  <si>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</si>
  <si>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</si>
  <si>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</si>
  <si>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</si>
  <si>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</si>
  <si>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</si>
  <si>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</si>
  <si>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</si>
  <si>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</si>
  <si>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</si>
  <si>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</si>
  <si>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</si>
  <si>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</si>
  <si>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</si>
  <si>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</si>
  <si>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</si>
  <si>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</si>
  <si>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</si>
  <si>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</si>
  <si>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</si>
  <si>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</si>
  <si>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</si>
  <si>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</si>
  <si>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</si>
  <si>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</si>
  <si>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</si>
  <si>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</si>
  <si>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</si>
  <si>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</si>
  <si>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</si>
  <si>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</si>
  <si>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</si>
  <si>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</si>
  <si>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</si>
  <si>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</si>
  <si>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</si>
  <si>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</si>
  <si>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</si>
  <si>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</si>
  <si>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</si>
  <si>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</si>
  <si>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</si>
  <si>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</si>
  <si>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</si>
  <si>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</si>
  <si>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</si>
  <si>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</si>
  <si>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</si>
  <si>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</si>
  <si>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</si>
  <si>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</si>
  <si>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</si>
  <si>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</si>
  <si>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</si>
  <si>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</si>
  <si>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</si>
  <si>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</si>
  <si>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</si>
  <si>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</si>
  <si>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</si>
  <si>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</si>
  <si>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</si>
  <si>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</si>
  <si>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</si>
  <si>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</si>
  <si>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</si>
  <si>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</si>
  <si>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</si>
  <si>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</si>
  <si>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</si>
  <si>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</si>
  <si>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</si>
  <si>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</si>
  <si>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</si>
  <si>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</si>
  <si>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</si>
  <si>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</si>
  <si>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</si>
  <si>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</si>
  <si>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</si>
  <si>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</si>
  <si>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</si>
  <si>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</si>
  <si>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</si>
  <si>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</si>
  <si>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</si>
  <si>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</si>
  <si>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</si>
  <si>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</si>
  <si>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</si>
  <si>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</si>
  <si>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</si>
  <si>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</si>
  <si>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</si>
  <si>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</si>
  <si>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</si>
  <si>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</si>
  <si>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</si>
  <si>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</si>
  <si>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</si>
  <si>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</si>
  <si>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</si>
  <si>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</si>
  <si>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</si>
  <si>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</si>
  <si>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</si>
  <si>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</si>
  <si>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</si>
  <si>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</si>
  <si>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</si>
  <si>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</si>
  <si>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</si>
  <si>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</si>
  <si>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</si>
  <si>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</si>
  <si>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</si>
  <si>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</si>
  <si>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</si>
  <si>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</si>
  <si>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</si>
  <si>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</si>
  <si>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</si>
  <si>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</si>
  <si>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</si>
  <si>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</si>
  <si>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</si>
  <si>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</si>
  <si>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</si>
  <si>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</si>
  <si>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</si>
  <si>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</si>
  <si>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</si>
  <si>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</si>
  <si>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</si>
  <si>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</si>
  <si>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</si>
  <si>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</si>
  <si>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</si>
  <si>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</si>
  <si>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</si>
  <si>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</si>
  <si>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</si>
  <si>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</si>
  <si>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</si>
  <si>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</si>
  <si>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</si>
  <si>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</si>
  <si>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</si>
  <si>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</si>
  <si>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</si>
  <si>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</si>
  <si>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</si>
  <si>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</si>
  <si>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</si>
  <si>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</si>
  <si>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</si>
  <si>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</si>
  <si>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</si>
  <si>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</si>
  <si>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</si>
  <si>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</si>
  <si>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</si>
  <si>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</si>
  <si>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</si>
  <si>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</si>
  <si>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</si>
  <si>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</si>
  <si>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</si>
  <si>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</si>
  <si>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</si>
  <si>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</si>
  <si>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</si>
  <si>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</si>
  <si>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</si>
  <si>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</si>
  <si>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</si>
  <si>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</si>
  <si>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</si>
  <si>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</si>
  <si>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</si>
  <si>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</si>
  <si>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</si>
  <si>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</si>
  <si>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</si>
  <si>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</si>
  <si>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</si>
  <si>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</si>
  <si>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</si>
  <si>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</si>
  <si>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</si>
  <si>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</si>
  <si>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</si>
  <si>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</si>
  <si>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</si>
  <si>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</si>
  <si>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</si>
  <si>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</si>
  <si>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</si>
  <si>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</si>
  <si>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</si>
  <si>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</si>
  <si>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</si>
  <si>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</si>
  <si>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</si>
  <si>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</si>
  <si>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</si>
  <si>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</si>
  <si>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</si>
  <si>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</si>
  <si>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</si>
  <si>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</si>
  <si>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</si>
  <si>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</si>
  <si>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</si>
  <si>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</si>
  <si>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</si>
  <si>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</si>
  <si>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</si>
  <si>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</si>
  <si>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</si>
  <si>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</si>
  <si>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</si>
  <si>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</si>
  <si>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</si>
  <si>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</si>
  <si>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</si>
  <si>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</si>
  <si>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</si>
  <si>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</si>
  <si>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</si>
  <si>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</si>
  <si>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</si>
  <si>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</si>
  <si>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</si>
  <si>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</si>
  <si>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</si>
  <si>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</si>
  <si>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</si>
  <si>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</si>
  <si>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</si>
  <si>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</si>
  <si>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</si>
  <si>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</si>
  <si>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</si>
  <si>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</si>
  <si>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</si>
  <si>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</si>
  <si>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</si>
  <si>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</si>
  <si>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</si>
  <si>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</si>
  <si>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</si>
  <si>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</si>
  <si>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</si>
  <si>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</si>
  <si>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</si>
  <si>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</si>
  <si>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</si>
  <si>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</si>
  <si>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</si>
  <si>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</si>
  <si>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</si>
  <si>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</si>
  <si>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</si>
  <si>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</si>
  <si>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</si>
  <si>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</si>
  <si>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</si>
  <si>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</si>
  <si>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</si>
  <si>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</si>
  <si>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</si>
  <si>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</si>
  <si>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</si>
  <si>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</si>
  <si>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</si>
  <si>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</si>
  <si>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</si>
  <si>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</si>
  <si>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</si>
  <si>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</si>
  <si>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</si>
  <si>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</si>
  <si>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</si>
  <si>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</si>
  <si>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</si>
  <si>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</si>
  <si>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</si>
  <si>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</si>
  <si>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</si>
  <si>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</si>
  <si>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</si>
  <si>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</si>
  <si>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</si>
  <si>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</si>
  <si>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</si>
  <si>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</si>
  <si>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</si>
  <si>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</si>
  <si>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</si>
  <si>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</si>
  <si>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</si>
  <si>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</si>
  <si>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</si>
  <si>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</si>
  <si>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</si>
  <si>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</si>
  <si>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</si>
  <si>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</si>
  <si>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</si>
  <si>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</si>
  <si>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</si>
  <si>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</si>
  <si>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</si>
  <si>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</si>
  <si>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</si>
  <si>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</si>
  <si>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</si>
  <si>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</si>
  <si>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</si>
  <si>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</si>
  <si>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</si>
  <si>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</si>
  <si>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</si>
  <si>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</si>
  <si>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</si>
  <si>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</si>
  <si>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</si>
  <si>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</si>
  <si>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</si>
  <si>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</si>
  <si>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</si>
  <si>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</si>
  <si>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</si>
  <si>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</si>
  <si>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</si>
  <si>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</si>
  <si>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</si>
  <si>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</si>
  <si>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</si>
  <si>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</si>
  <si>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</si>
  <si>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</si>
  <si>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</si>
  <si>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</si>
  <si>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</si>
  <si>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</si>
  <si>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</si>
  <si>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</si>
  <si>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</si>
  <si>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</si>
  <si>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</si>
  <si>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</si>
  <si>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</si>
  <si>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</si>
  <si>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</si>
  <si>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</si>
  <si>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</si>
  <si>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</si>
  <si>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</si>
  <si>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</si>
  <si>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</si>
  <si>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</si>
  <si>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</si>
  <si>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</si>
  <si>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</si>
  <si>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</si>
  <si>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</si>
  <si>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</si>
  <si>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</si>
  <si>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</si>
  <si>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</si>
  <si>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</si>
  <si>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</si>
  <si>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</si>
  <si>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</si>
  <si>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</si>
  <si>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</si>
  <si>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</si>
  <si>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</si>
  <si>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</si>
  <si>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</si>
  <si>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</si>
  <si>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</si>
  <si>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</si>
  <si>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</si>
  <si>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</si>
  <si>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</si>
  <si>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</si>
  <si>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</si>
  <si>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</si>
  <si>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</si>
  <si>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</si>
  <si>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</si>
  <si>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</si>
  <si>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</si>
  <si>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</si>
  <si>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</si>
  <si>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</si>
  <si>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</si>
  <si>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</si>
  <si>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</si>
  <si>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</si>
  <si>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</si>
  <si>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</si>
  <si>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</si>
  <si>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</si>
  <si>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</si>
  <si>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</si>
  <si>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</si>
  <si>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</si>
  <si>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</si>
  <si>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</si>
  <si>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</si>
  <si>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</si>
  <si>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</si>
  <si>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</si>
  <si>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</si>
  <si>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</si>
  <si>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</si>
  <si>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</si>
  <si>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</si>
  <si>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</si>
  <si>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</si>
  <si>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</si>
  <si>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</si>
  <si>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</si>
  <si>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</si>
  <si>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</si>
  <si>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</si>
  <si>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</si>
  <si>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</si>
  <si>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</si>
  <si>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</si>
  <si>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</si>
  <si>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</si>
  <si>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</si>
  <si>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</si>
  <si>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</si>
  <si>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</si>
  <si>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</si>
  <si>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</si>
  <si>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</si>
  <si>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</si>
  <si>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</si>
  <si>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</si>
  <si>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</si>
  <si>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</si>
  <si>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</si>
  <si>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</si>
  <si>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</si>
  <si>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</si>
  <si>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</si>
  <si>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</si>
  <si>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</si>
  <si>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</si>
  <si>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</si>
  <si>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</si>
  <si>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</si>
  <si>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</si>
  <si>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</si>
  <si>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</si>
  <si>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</si>
  <si>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</si>
  <si>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</si>
  <si>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</si>
  <si>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</si>
  <si>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</si>
  <si>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</si>
  <si>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Executive Session  May 27, 2015
Training Session June 3, 2015
Material Risk Workshop - June 9, 2015</t>
  </si>
  <si>
    <t>N/A: RCSA Assessment has not occurred.</t>
  </si>
  <si>
    <t>N/A</t>
  </si>
  <si>
    <t>Juan de Dios Davila</t>
  </si>
  <si>
    <t>Tech and Operations</t>
  </si>
  <si>
    <t xml:space="preserve">Santander Investment Securities Inc/New York Branch </t>
  </si>
  <si>
    <t xml:space="preserve"> Francia Jaramillo,  Maria Moreta, Andrew Schwartz</t>
  </si>
  <si>
    <t>Michelle Murphy, Andrew Schwartz, Stephen O'Connell, James Bathon, Francia Jaramillo, Juan de Dios Davila, William Delaney, Leslie Arias, Perez, Raymil, Javier Delgado, Iorio, Neil, Jennifer Omaechevarria, Arnold Kaufman, Claudia Gotanegra</t>
  </si>
  <si>
    <t>USD 161 million</t>
  </si>
  <si>
    <t>Yes</t>
  </si>
  <si>
    <t>Acero: cancellations/modifications of the trades and ficticious counterparties</t>
  </si>
  <si>
    <t>eValue: T&amp;O indicators (volumes, settlements, confirmations, brokerage, costs, HCs, information security, incidents, audit recommendations, etc.</t>
  </si>
  <si>
    <t>Internal Control metrics: volumes, confirmations, cash reconciliations, information security, etc.</t>
  </si>
  <si>
    <t>Operational Risk Report: 15 points of control, monthly information and trend analysis for Market Risk, HR, Equities, etc.</t>
  </si>
  <si>
    <t>Information Security Monthly Report</t>
  </si>
  <si>
    <t>Operational Incidents Report</t>
  </si>
  <si>
    <t>Providers Report</t>
  </si>
  <si>
    <t>Headcount Report</t>
  </si>
  <si>
    <t>SHUSA Incidents report: material and significant incidents</t>
  </si>
  <si>
    <t>Level Service Committee Report: incidents, volumes, KPIs from Produban and Isban, KPIs from SBGM, KPIs from Information Security, etc.</t>
  </si>
  <si>
    <t>Project Committee Report: the status of the projects and new initiatives</t>
  </si>
  <si>
    <t>CAP Report: costs of investments projects (regulatory and globalization projects)</t>
  </si>
  <si>
    <t>Costs Report: analysis of costs based on the T&amp;O budget (source of information SCC)</t>
  </si>
  <si>
    <t>Cost Ratios Report: analysis of trend of BAU cost in relation to volumes, HCs, etc. for Operations and IT</t>
  </si>
  <si>
    <t>SHUSA Dashboard: critical systems availability, operational losses, IT incidents in production, relevant regulatory projects in red, etc.</t>
  </si>
  <si>
    <t>Operations Cost Reporting: operations costs, HC and cost by operational provider</t>
  </si>
  <si>
    <t>PTS Report: technological costs</t>
  </si>
  <si>
    <t>Global Operations Template: audit recommendations, HCs and expenses</t>
  </si>
  <si>
    <t>Produban SLA Report: availability of critical systems, devices scanned, incidents, status of batch processes, etc.</t>
  </si>
  <si>
    <t xml:space="preserve">Isban SLA Report: technological incidents and systems impacted </t>
  </si>
  <si>
    <t>Daily Dashboard: end of day summary to management on incidents impacting the main controls</t>
  </si>
  <si>
    <t>Spain Corporate PMO Report for RDA Project</t>
  </si>
  <si>
    <t>USA Corporate PMO Report for RDA Project</t>
  </si>
  <si>
    <t>Systems and Processes Committee Report: status of the all projects (milestones, dates, responsibles, etc.)</t>
  </si>
  <si>
    <t>Duplication of payments during transition to the new GBO OI (Madrid based Back Office system).  The total amount was recovered, with the last payment of USD 13,000 received June 12th.</t>
  </si>
  <si>
    <t>The Technology and Operations group advises and supports the GBM business (NYB and SIS) in the development of their activity, executing technological projects and providing the operational functions required based on: defined business strategy, daily business activities and the execution of services in response to their needs.
On the Information Technology side, the bank in accordance with the group model has created two wholly owned subsidiaries ISBAN and PRODUBAN who provide information technology related professional services to Santander's New York Branch and Santander Investment Securities.  ISBAN is responsible for IT development and application support and PRODUBAN is responsible for IT production.  PRODUBAN US manages a communication, networking and computing infrastructure that serves as a foundation for all information technology processing at the New York Office.  
The main objective of the Operations group is to provide an accurate operating support to the Equity, Rates, Credit, and Treasury Business under an adequate internal control framework, ensuring the compliance with Regulatory and Grupo Santander's requirements.  The main processes executed and/or participated in for the life cycle of a transaction are: Registry, Confirmation, Events Management, Settlement, Accounting, Reconciliations, Reporting, Monitoring and Claims/Requests.
The other units within Technology and Operations: Operational and Technological Risk, Systems and Processes and Governance and Control, provide control functions over the execution units (IT and Operations) amongst other functions.</t>
  </si>
  <si>
    <t>Technology &amp; Operations participates in the New Product Committee with the objective to assess if the proposed new product/service has impact on the systems, operational processes and capacity and express any risks/contraints.</t>
  </si>
  <si>
    <t xml:space="preserve">On May 19th we suffered a material incident under particular circumstances.  81 payments were duplicated during the decommissioning of the GBO NY Back Office system.  On this day, we were operating with two systems in parallel (GBO NY, the system that has been decommissioned and GBO OI which is the system we migrated to).  At this time, when we put the new system (GBO OI) in production, we sent the payments to E-Gifts (payment system) through the new system but we kept the old system (GBO NY) as a Plan B in case the new system did not work well.  Ten minutes before the closing of the day the Back Office Team did not have confirmation that the payments had been processed.  In order to avoid defaulting to our clients it was decided with the appropriate authority to activate Plan B, sending the payment through GBO NY.  The options were either to wait for the confirmation of the payment through the new system (note we only had 10 minutes befroe the close of the day) or launching the payments through the old system assuming that we might duplicate the payments.  It was considered that the worst case would be not paying our customers because if you pay twice the rules in the market place protect you in order to recover, in this case duplicated payments.  It resulted that the payments released from the new system were successful thus the production of the  duplication.   
The following were the mitigating actions taken: First of, SBOGM immediately contacted the counterparties to return funds. $96 million was returned the same day. As a control measure, Treasury covered the DBTCA (Deutsche Bank Trust Company Americas) account "As of" for $60m instead of incurring any overdraft costs for May 19th.  The total amount has been recovered with the last payment owed of USD 13,000 received on June 12th.  This example shows how important effective Change Management is to our group. 
All significant risk events are reviewed and discussed either at the local T&amp;O Project or Level of Service committee meeting as well as at the respective Risk Committee meeting.  At these meetings, ITOPs report metrics and dashboard reviews of any significant items and tolerance metrics, compliance matters including any examination reviews and findings, along with  legal matters including threatened and pending litigation.
 </t>
  </si>
  <si>
    <t>The main sources used for SIS are Pershing, ADP, Bloomberg, Broadridge, Opics and for BSNY Murex, GBO, Opics</t>
  </si>
  <si>
    <t xml:space="preserve">Business metrics focus on providing results and trend analysis on business activity such as volumes, amendments, confirmations, settlements and fails, costs and overall on main controls, Key Risk Indicators (KRIs), and Key Performance Indicators (KPIs) with varying frequency basis: weekly, monthly, quarterly etc... in order to identify and mitigate risks.    </t>
  </si>
  <si>
    <t>Cyber attack - Malware causing a main trading platform or payment system to be unavailable</t>
  </si>
  <si>
    <t>Change Management</t>
  </si>
  <si>
    <t>Complexity of all factors to be considered in implementing projects</t>
  </si>
  <si>
    <t>This can vary depending on the initiative being worked on.  If timely delivery of the implementation of a system or enhancement is not met this can lead to loss of business or regulatory fines all which can vary.</t>
  </si>
  <si>
    <t>Lack of Vendor Management reviews</t>
  </si>
  <si>
    <t xml:space="preserve">If trading systems (Murex, GBO) were to go down or our payment system E-gifts hindered, there is a potential for settlement  failures leading to cost of funds.  Since we have products that allow for T+2 settlement, currently, the risk is considered minimal as we would have impact on book and records only but if system unavailability persisted for more than 2-3 days, the bank is exposed to having a material impact due to settlements of historical trades which is considered "rolling".  For SIS currently we have about 1,700-2,000 items settling over a two day period.        </t>
  </si>
  <si>
    <t>Daily trade amendment process from Murex and GBO systems, monthly control over error accounts (reconciliation process) from Pershing and ADP systems; daily due diligences with regards to outstanding payments or discrepancies from the Paying &amp;Receiving/Investigation department (within Operations); daily  analysis of incidents to determine any economical impact.</t>
  </si>
  <si>
    <t>Currently in the event settlement systems are impacted we rely on no new busines policy and the use of business continuity plan and disaster recovery site.  For SIS business, at this point Chilean equities settle T+2, other countries are T+3.  Most Fixed Income corporates are T+3, Gov’t are T+1 to T+3, and we mostly do Spain, UK and Mexico.  Since settlement is rolling there are items that are bound to be coming due when in the event a system breaks down.  All trades are confirmed with market on T+1 and instructed to the various market between T+0 and T+2 (sd-1).  Post controls in place are
fail reports which are reviewed every day and intra-day if information available.  SIS settlements are usually instructed 1 to 2 days before Settlement Day, so a disruption would  affect only next day or late amended trades.  Timing of the break down comes into place with regards to contingency.  If a system breaks down current measures call for the relocation of critical trading and operations staff to the disaster recovery site.  If this occurs relatively close to the end of the day the issue becomes that critical staff will not make it to the site in time and thus we can fail to meet settlement deadlines for old deals that are maturing.  This would have a minor affect on settlement instructions but a major affect on settlement entries and reconciliations. For one day it would be manageable, but not clear on degree of regulatory impact if system availability is not resolved after 2-3 days.  With regards to payment, if e-gifts were down, for SIS manual input of payments to the DB cash system by Paying &amp; Receiving by passing e-gifts filter and for BSNY, manual input of payments through the DB cash system by P&amp;R bypassing e-gifts filter and/or SWIFT. This would not be possible for all payments, we would have to prioritize the most important payments.  For NYB, all trades are confirmed with counterparties and post controls performed are Reconciliations-FO/BO, IDOM for GL vs GBO, and Nostro.</t>
  </si>
  <si>
    <t xml:space="preserve">Currently a hot topic in our industry is cyber attacks.  Specifically, the financial services industry is a primary target for malware-enabled cyber attacks.  Malware an abbreviation of the words malicious and software refers to software programs designed to damage or do other unwanted actions on a computer system.  Malware are easy to deploy remotely and tracking the source is hard.  As a result, we as well as the financial services industry is a primary target  because financial institutions operate software that tracks ownership of monetary assets.  
A material event could occur if Information Technology Risk's controls fail to ensure the penetration of any type of malware and this causing an infection at the server level where trading platforms and the payment system reside.  Hackers target possession of login credentials, bank account numbers and computer software.  Since malware may take as many forms as software and disable information security protection mechanisms such as desktop firewalls and anti-virus programs it is considered a Material risk.  US Regulators have increased scrunity over information security programs and this now is a main focus when examining financial services firms.  As a result we are working on an internal control assessment project where we are reviewing our current controls to identify any gaps with the aim of stregthening our overall Information Security program.  Project findings will be presented to the Management Committee end of July/beginning of August.    </t>
  </si>
  <si>
    <t xml:space="preserve">Losses dependant on how long we are unable to perform settlements which would entail cost of funds due to interest that may be charged.  All this is with variation depending on differential and worst case scenario contemplated.    </t>
  </si>
  <si>
    <t>Impacts can be significant as we have a reliance on vendors.  Data analysis of the vendors is very crucial as this data is used to determine/select vendors.</t>
  </si>
  <si>
    <t xml:space="preserve">When there are technological projects, one of the main risks is change management.  Usually, the objective of the technological projects is to develop new tools or modify/update the current tools or provide system enhancements.  These developments have direct impact in the systems and the working processes.  If the change in those systems is not managed correctly the risk is that the users have problems to execute their tasks (e.g. unknown use of the new systems or working processes) and in turn cause disruptions to daily operations and put regulatory reporting at risk.  </t>
  </si>
  <si>
    <t>DFA External Business Conduct Rules</t>
  </si>
  <si>
    <t>The External Business Conduct Rules require swap dealers to provide disclosure concerning, among other things, a transaction’s risks and characteristics, as well as the swap dealers conflicts of interest in connection with a transaction.</t>
  </si>
  <si>
    <t>Failure to provide proper disclosure for non-swap dealers can result in fines or the branch having to pay restitution to the counterparty.</t>
  </si>
  <si>
    <t xml:space="preserve">Potential Flood on RT RADITZ (vendor hosts our servers, mainframe).  Customer information and process information stored at Iron Mountain.  If vendor had a breach, or physical damage (i.e. truck explosion /fire from 2 weeks ago).  Regulators can request physical documentation and they wouldn't be available.  Leak of physical documentation from vendor to street. Generator caught fire that has impacted the building operations.  Control:  Periodic maintenance. </t>
  </si>
  <si>
    <t>There are certain events which are difficult to quantify, however the computer room is in a secure building with state of the art fire prevention.  A material event can occur if the building's sprinkler system was to activate and damage the infrastructure in place.</t>
  </si>
  <si>
    <t>Damage to the bank's system would result in the worst case scenario.</t>
  </si>
  <si>
    <t xml:space="preserve">N/A
</t>
  </si>
  <si>
    <t>Business Continuity Plan Limitations</t>
  </si>
  <si>
    <t xml:space="preserve"> The current mandate of "no new business" can lead to losses as we close risk and restrict BAU activity.  Losses could result from loss of business and the longer the outage the greater the loss.  Additionally if an outage should occur after 4:00 PM getting payment staff to the DR sight would not be possible to complete the EOD payment cycle.  The business areas have to turn away business until the situation normalizes.  
</t>
  </si>
  <si>
    <t>Stress is dependent on the length of the outage.  The potential of losing business and clients would exist if NY could not restore BAU.</t>
  </si>
  <si>
    <t>A Business Impact Analysis is conducted every two years and recommendations are made to management regarding any necessary upgrades to the site.  Management has accepted the risks by not upgrading.</t>
  </si>
  <si>
    <t>There are eight material risks identified which for Technology and Operations cross both Santander Investment Securities and the New York Branch.  The material risks identified stem from the complexity of managing and implementing projects where many internal and external factors come into play while meeting evolving regulatory and business requirements given operational capacity and budgetary contraints. 
 IT is currently managing 44 regulatory projects which take precedence over other existing and planned for projects.  With this comes budget and approval pressures, the need for clearly defined business requirements in order to build and enhance, sufficient User Acceptance Testing, appropriate levels of resourcing and a robust control structure.</t>
  </si>
  <si>
    <t>10.4 IT Risk Assessments</t>
  </si>
  <si>
    <t xml:space="preserve">None
</t>
  </si>
  <si>
    <t xml:space="preserve">Despite the fact that we have a Change Management policy in place and a rigorous process where users are required to review, comment, fill out and sign technical and functional specifications (DDP, DDR, &amp; DDS), we run the risk of its proper execution for SIS and BSNY.  First of all, we run the risk that business/users and support units' do not specify their requirements fully or accurately resulting in existing and contemplated production environments not analyzed correctly.  Another risk we run is that not all implicated parties are included in the communication of related information.  User Acceptance Testing is a change management control but may not be as strong and may be skipped.  Availability of users to execute the tests (UAT phase) is limited leading the business to settle for manual workarounds.  In some cases certain changes are made by the business without consulting IT, which in turn cause ramifications on us.  Mitigating factors are to define a change plan to identify all the changes in the project taking into account the current situation vs. the new situation.  We need to identify a change management leader to ensure that all changes are covered, give training to the users to teach them about the new tool and the new processes and execute pre-tests in the testing environment ensuring users are executing the tasks and checking that the tasks/processes are executed correctly.
</t>
  </si>
  <si>
    <r>
      <t xml:space="preserve">Technology and Operations
</t>
    </r>
    <r>
      <rPr>
        <b/>
        <sz val="16"/>
        <color theme="1"/>
        <rFont val="Calibri"/>
        <family val="2"/>
        <scheme val="minor"/>
      </rPr>
      <t>Santander Investment Securities, Inc. &amp; Banco Santander NY Branch</t>
    </r>
  </si>
  <si>
    <t xml:space="preserve">Credit &amp; Counterparty Credit Risk New York Branch: We are currently conducting an audit of the Branch’s loan portfolio and counterparty activities with other financial institutions, in terms of on-boarding new clients, monitoring credit activities against limits, metrics used in reporting and other components or SR11-10.  Relevant issues raised will be reported to management in due course (mid-to-late July).
SIS Regulatory Compliance, including Futures Commission Merchant regulations:  We are currently conducting an audit of various business lines compliance with critical rules established by FINRA and CFTC.  Relevant issues raised will be reported to management in due course (mid-to-late July).
</t>
  </si>
  <si>
    <t>An IT Risk Assessment is completed on a bi-annual basis. The assessment includes a review of the Information Securities policies and procedures.  In addition, best practices for IT Risk are reviewed as compared with similar banks. Suggested updates to the procedures are documented and reviewed with the owners.  Procedures are updated as required. The IT Risk Assessment is currently in progress with a target completion of July 2015.</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</si>
  <si>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Produban Branch US – Monthly IT Report provided to the Chief Operational Risk Officer, Head of ISBAN SGBM US, and the Operational Risk Management group.
</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</si>
  <si>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Produban Branch US – Monthly IT Report provided to the Chief Operational Risk Officer, Head of ISBAN SGBM US, and Operational Risk Management group. 
Given the number of vendors we deal with and the amount of information that needs to be analyzed we are looking at engaging Vendor Management SCHUSA group to perform for us the reviews on the IT entities.   </t>
  </si>
  <si>
    <t>Ineffective change management can lead to incidents in the processes; do not execute tasks on time and/or execute the tasks with mistakes etc…which can have a varying magnitude with regards to financial impacts.  One example, is the lack of a clear and fully understood product list, detailed to the currency pairs, which was in place a couple of years ago but Middle Office stopped maintaining.</t>
  </si>
  <si>
    <t>SIS and BSNY engaged in a workshop approach for identification of Material Risks for each of the business segments including Cash Equities, Debt Underwriting, Equity Underwriting, Fixed Income/Bond Trading, Futures Brokerage Activity,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and BSNY will produce an aggregate list of Material Risks which will go through review and challenge in both July and August with the final deliverable to SHUSA on August 31, 2015.</t>
  </si>
  <si>
    <t>Technology and Operations' strategic plan is to ensure data quality in order to strengthen controls and guarantee that the information to the regulators is accuarate.  Focus placed on: the planification of technological projects to ensure that the teams are adequately resourced and staffed, technological initiatives that improve and/or automate the operational procesess, and infrastructure renovation.  On the control side, we strive to establish governance models that work more efficiently with the business units in order to understand their needs and requirements.  Lastly, based on the current scruntiny by regulators on IT Risk and Cybersecurity programs in the banking industry, Technology and Operations is focusing on strengthening Information Security controls.</t>
  </si>
  <si>
    <t xml:space="preserve">The Branch maintains in its off-balance sheet the various trading related notional balances by counterparty for various products in which it engages in trading activity, i.e. swaps, options, foreign exchange, caps/floors, swaptions, etc.  In addition, the Branch also captures non-trading activity related to commitments to lend, standby letters of credit and guarantees.  Technology and Operations do settle all off-balance sheet balances. 
</t>
  </si>
  <si>
    <t>Key to mitigating this kind of risk falls on effective project plan control and in the reviewing of the status of the tasks and the responsible.  It is important to define and run business cases where you take into consideration the budget and all the resources that will be involved in the project.  It is imperative to have clearly identified the sponsor and ownership for the projects, clear roles for the rest of participants (involved from the beginning), assuring the proper governance and maintain them aligned with the entity's goals.  Necessary to have, are Steering Committees with the sponsorship to manage the plan, anticipate and prevent risks, as well as working groups with the users, to make them responsible for the deliverables too, during different phases.  Cross training becomes essential to alleviate resourcing during times of priorities.  Critical, is the escalation to the Steering Committee of problems and risks.  All this considering the complexity of the usual projects that we run, with governance models with dependancy on third parties (HHOO, Boston, etc..).</t>
  </si>
  <si>
    <t xml:space="preserve">SIS &amp; BSNY have not had a RCSA business assessment.  </t>
  </si>
  <si>
    <t xml:space="preserve"> 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would be:  after the trades are input into the the front office system, they be printed and input into the back office systems manually until all processes are configured and operational.</t>
  </si>
  <si>
    <t xml:space="preserve">Common examples of malware include viruses, worms, trojan horses and spyware.  Viruses can cause damage on a computer's hard drive by deleting files or directory information, while spyware can gather data from a user's system without  a user knowing.  To prevent these anti-virus and anti-spware utilities are deployed on computer hard drives that will seek and destroy malicious programs.  Santander New York has deployed McAfee anti malware solution to prevent infections.  In the event a machine becomes infected it is immediately taken offline and rebased.  Of this kind we have had about 10.  However, if an infection should occur at the server level then here is where systems in particular our trading platforms (Murex, Bloomberg, GBO) and the payment system (E-Gifts) would be impacted and go down.  As a mitigating factor redundancy strategies are employed, where if a server on which a trading platform or payment system resides goes down then these are switched/fall onto another server.  In the event, Murex, our front offfice system is infected, since Murex is administered from Spain, the Madrid Incident Response team, responsible for the systems, will advise Santander NY of the incident and provide directions on emergeny contingency plans.  To prevent our payment system being at risk of a malware attack, first of all, it resides on its own physical server, there is a double layer of authorization required in order to be able to effectuate payments, and there is the capability to recall a payment upto 24hrs.  However, there is still the risk that the physical machines for the users who connect to the system become infected with a malware and the application they use to connect to the E-gifts system becomes compromised by an unauthorized person who gains access to the payment system in this manner.  We have a project planned for the virtualization of our e-gifts system.  This entails having users of e-gifts connect to virtual machines for the use of the application.         
As part of our Information Security program controls, Information Security has to review:
*that all workstations connected to the network must have Santander – NY supported antivirus and anti-spyware/malware software correctly installed, configured, activated, and updated with the latest version of virus definitions
*that all servers connected to the network must have the anti-virus software installed
* that all web servers and all development servers connected to the network must have Santander – NY supported anti-virus software installed, configured and activated laptops shall have Santander – NY supported desktop firewall installed, configured and activated
Furthermore, Information Security has to review that all virus definitions are updated daily (automatically updated) and review that all files are scanned weekly (automatically updated).  Related to the servers connected to the network InfoSec has to review that they must have antivirus SW installed: select servers may have it disabled at the discretion of the IT owner and with the approval of Information Security.  With regards to the scan task, certain system files on servers may be excluded from these scans at the discretion of the IT owner and with the approval of Information Security.  In this case the exceptions will be documented as per the Exception Policy.  
  </t>
  </si>
  <si>
    <t xml:space="preserve">If there is a break down in our systems as a consequence of malware, we are exposed to loss of business, failing to make payments on time and non compliance with regulatory reporting resulting in fines. This goes across both entities BSNY and SIS.  Systems that come into play for regulatory reporting are Dynamics and all trading platforms.  Oasis for all ACT and trade reporting on the SIS side.  With regards to payments we can employ Business Continuity plan and have key personnel go to Stamford and proceed from there.  You can also call and fax with some banks and Fed On Line can be employed as well.  But in this is timing risk if such an event should occur close to the end of the day.  Here we could have a loss .         </t>
  </si>
  <si>
    <t xml:space="preserve">For Technology and Operations one of the main material risks is the complexity of all factors to be considered in implementing projects which puts us at risk of not delivering on time.  The environment that has to be contemplated is one in which there is a high volume of projects driven by a wide audience; the business, users, Head Office direction of meeting a goal or changes in regulation which all can be of high priority of course precedence given to regulatory ones, which shift our other priorities often.  As a consequnce, one of the main risks we face in the project management is we do not have enough economic resources and headcounts to start projects.  Often this is due to preapproved budgets for which it is difficult to obtain additional funding/resources in the event a project entails more than expected.  This has direct impact in the deadlines because the project can start with delays.  This has the most impact when the project is regulatory because the regulators give deadlines to implement them.  Another risk we face is we do not identify all the requirements from users.  This process is very important.  If all the requirements are not identified on time, this can impact in the execution plan of the project causing delay in the execution of the tasks and lead to having more costs.  Additionally, another risk to take into account is the Governance Model.  If the responsible are not identified correctly and the roles are not clear, it has a direct impact in the execution of the tasks.  Another risk related to this is if we do not have the appropriate committees to make decisions to solve the problems.  All of this could cause delays in the execution of the project.
</t>
  </si>
  <si>
    <t xml:space="preserve">Highly important to Technology and Operations is the need to know our vendors well and keep abreast of their situations in order to ensure our working  environment and infrastructure will be operative.  Nonetheless, regulators and related enforcement bodies are becoming more aggressive with regards to Vendor Risk Management programs another main reason we have to focus on this.  As financial decision makers for technology initiatives, we need to manage our vendors in order to control costs and ensure a high quality of goods and services.  We need to be able to determine overpricing, poor performance and other enterprise risks.  A single bad vendor can have a catastrophic impact on our business.  In our particular case, we need to make sure, our "internal IT vendors", ISBAN, PRODUBAN, SGBOM, GEOBAN are reviewed.  We not only need to have a sound vendor risk management framework but ongoing monitoring of vendors, including proof of vendor oversight, audits, surveys and close management of all of a company's large and small vendors.  As a result of all that a comprehensive vendor risk management program entails we need to ensure we have the right technology.  Manual processes and Excel spreadsheets are inadequate.  We need to either adapt the tools to business needs, design internal systems for VRM or leverage third party experitse.          </t>
  </si>
  <si>
    <t xml:space="preserve">Although this is a risk for both the Business/Front Office and Compliance, the T&amp;O DFA risk is failure to report.  While there are controls in place when conducting business with counterparties, it is the desk's responsibility to issue the necessary disclosures when entering into transactions with non-swap dealers.  Proper training can reduce the risk, and the Compliance department has reviewed the rules with the sales force.  
In connection with the CFTC/NFA regulations applicable to swaps dealers, the New York Branch must perform an assessment of the  compliance work program, specifically the entity level requirements.   Currently, the New York Branch has three controls related to the entity level requirements (an approved customer list by type, a periodic exception report to ensure non-approved counterparties are not engaging in swaps and a periodic trade reconstruction to review the transaction from beginning to end).     Due to turnover in the regulatory compliance position and manual processes involved for the controls plus projects that take priority, this assessment has not been completed and the controls are not performed consistently.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</si>
</sst>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b/>
      <sz val="26"/>
      <color theme="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vertical="center" wrapText="1"/>
      <protection locked="0"/>
    </xf>
    <xf numFmtId="0" fontId="0" fillId="34" borderId="2" xfId="0" quotePrefix="1" applyFill="1" applyBorder="1" applyAlignment="1" applyProtection="1">
      <alignment horizontal="left" vertical="top" wrapText="1"/>
      <protection locked="0"/>
    </xf>
    <xf numFmtId="14" fontId="62" fillId="0" borderId="2" xfId="0" applyNumberFormat="1" applyFont="1" applyBorder="1" applyAlignment="1" applyProtection="1">
      <alignment horizontal="left" vertical="center" wrapText="1"/>
      <protection locked="0"/>
    </xf>
    <xf numFmtId="0" fontId="19" fillId="0" borderId="21" xfId="0" applyFont="1" applyBorder="1" applyAlignment="1" applyProtection="1">
      <alignment horizontal="center"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64" fillId="31" borderId="0" xfId="0" applyFont="1" applyFill="1" applyAlignment="1" applyProtection="1">
      <alignment horizontal="center" vertical="center" wrapText="1"/>
      <protection locked="0"/>
    </xf>
    <xf numFmtId="0" fontId="6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quotePrefix="1"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2" borderId="22"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1" customWidth="1"/>
    <col min="2" max="2" width="9.140625" style="101" customWidth="1"/>
    <col min="3" max="3" width="13" style="101" customWidth="1"/>
    <col min="4" max="4" width="13.140625" style="101" customWidth="1"/>
    <col min="5" max="5" width="47.7109375" style="101"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519</v>
      </c>
      <c r="B1" s="43"/>
      <c r="C1" s="43"/>
      <c r="D1" s="43"/>
      <c r="E1" s="43"/>
      <c r="AA1" s="43">
        <v>0</v>
      </c>
    </row>
    <row r="2" spans="1:27" ht="15" x14ac:dyDescent="0.25">
      <c r="A2" s="43"/>
      <c r="B2" s="43"/>
      <c r="C2" s="43"/>
      <c r="D2" s="43"/>
      <c r="E2" s="116" t="s">
        <v>531</v>
      </c>
    </row>
    <row r="3" spans="1:27" ht="15" x14ac:dyDescent="0.25">
      <c r="A3" s="39"/>
      <c r="B3" s="39"/>
      <c r="C3" s="39"/>
      <c r="D3" s="39"/>
      <c r="E3" s="123" t="s">
        <v>513</v>
      </c>
      <c r="F3" s="124"/>
    </row>
    <row r="4" spans="1:27" ht="15" x14ac:dyDescent="0.25">
      <c r="A4" s="39"/>
      <c r="B4" s="39"/>
      <c r="C4" s="39"/>
      <c r="D4" s="39"/>
      <c r="E4" s="125"/>
      <c r="F4" s="126"/>
    </row>
    <row r="5" spans="1:27" ht="4.5" customHeight="1" x14ac:dyDescent="0.25">
      <c r="A5" s="39"/>
      <c r="B5" s="39"/>
      <c r="C5" s="39"/>
      <c r="D5" s="39"/>
      <c r="E5" s="125"/>
      <c r="F5" s="126"/>
    </row>
    <row r="6" spans="1:27" ht="4.5" customHeight="1" x14ac:dyDescent="0.25">
      <c r="A6" s="39"/>
      <c r="B6" s="39"/>
      <c r="C6" s="39"/>
      <c r="D6" s="39"/>
      <c r="E6" s="125"/>
      <c r="F6" s="126"/>
    </row>
    <row r="7" spans="1:27" ht="15" x14ac:dyDescent="0.25">
      <c r="A7" s="39"/>
      <c r="B7" s="39"/>
      <c r="C7" s="39"/>
      <c r="D7" s="39"/>
      <c r="E7" s="125"/>
      <c r="F7" s="126"/>
    </row>
    <row r="8" spans="1:27" ht="15" x14ac:dyDescent="0.25">
      <c r="A8" s="39"/>
      <c r="B8" s="39"/>
      <c r="C8" s="39"/>
      <c r="D8" s="39"/>
      <c r="E8" s="125"/>
      <c r="F8" s="126"/>
    </row>
    <row r="9" spans="1:27" ht="15" x14ac:dyDescent="0.25">
      <c r="A9" s="39"/>
      <c r="B9" s="39"/>
      <c r="C9" s="39"/>
      <c r="D9" s="39"/>
      <c r="E9" s="125"/>
      <c r="F9" s="126"/>
    </row>
    <row r="10" spans="1:27" ht="15" hidden="1" customHeight="1" x14ac:dyDescent="0.25">
      <c r="A10" s="39"/>
      <c r="B10" s="39"/>
      <c r="C10" s="39"/>
      <c r="D10" s="39"/>
      <c r="E10" s="125"/>
      <c r="F10" s="126"/>
    </row>
    <row r="11" spans="1:27" ht="15" hidden="1" customHeight="1" x14ac:dyDescent="0.25">
      <c r="A11" s="39"/>
      <c r="B11" s="39"/>
      <c r="C11" s="39"/>
      <c r="D11" s="39"/>
      <c r="E11" s="125"/>
      <c r="F11" s="126"/>
    </row>
    <row r="12" spans="1:27" ht="15" hidden="1" customHeight="1" x14ac:dyDescent="0.25">
      <c r="A12" s="106"/>
      <c r="B12" s="39"/>
      <c r="C12" s="39"/>
      <c r="D12" s="39"/>
      <c r="E12" s="125"/>
      <c r="F12" s="126"/>
    </row>
    <row r="13" spans="1:27" ht="15" x14ac:dyDescent="0.25">
      <c r="A13" s="39"/>
      <c r="B13" s="39"/>
      <c r="C13" s="39"/>
      <c r="D13" s="39"/>
      <c r="E13" s="125"/>
      <c r="F13" s="126"/>
    </row>
    <row r="14" spans="1:27" ht="15" customHeight="1" x14ac:dyDescent="0.25">
      <c r="A14" s="129" t="s">
        <v>523</v>
      </c>
      <c r="B14" s="130"/>
      <c r="C14" s="131"/>
      <c r="D14" s="131"/>
      <c r="E14" s="125"/>
      <c r="F14" s="126"/>
    </row>
    <row r="15" spans="1:27" ht="15" customHeight="1" x14ac:dyDescent="0.25">
      <c r="A15" s="132"/>
      <c r="B15" s="133"/>
      <c r="C15" s="134"/>
      <c r="D15" s="134"/>
      <c r="E15" s="125"/>
      <c r="F15" s="126"/>
    </row>
    <row r="16" spans="1:27" ht="15" customHeight="1" x14ac:dyDescent="0.25">
      <c r="A16" s="132"/>
      <c r="B16" s="133"/>
      <c r="C16" s="134"/>
      <c r="D16" s="134"/>
      <c r="E16" s="125"/>
      <c r="F16" s="126"/>
    </row>
    <row r="17" spans="1:6" ht="53.25" customHeight="1" x14ac:dyDescent="0.25">
      <c r="A17" s="132"/>
      <c r="B17" s="133"/>
      <c r="C17" s="134"/>
      <c r="D17" s="134"/>
      <c r="E17" s="125"/>
      <c r="F17" s="126"/>
    </row>
    <row r="18" spans="1:6" ht="15" x14ac:dyDescent="0.25">
      <c r="A18" s="132"/>
      <c r="B18" s="133"/>
      <c r="C18" s="134"/>
      <c r="D18" s="134"/>
      <c r="E18" s="125"/>
      <c r="F18" s="126"/>
    </row>
    <row r="19" spans="1:6" ht="15" x14ac:dyDescent="0.25">
      <c r="A19" s="132"/>
      <c r="B19" s="133"/>
      <c r="C19" s="134"/>
      <c r="D19" s="134"/>
      <c r="E19" s="125"/>
      <c r="F19" s="126"/>
    </row>
    <row r="20" spans="1:6" ht="15" x14ac:dyDescent="0.25">
      <c r="A20" s="132"/>
      <c r="B20" s="133"/>
      <c r="C20" s="134"/>
      <c r="D20" s="134"/>
      <c r="E20" s="125"/>
      <c r="F20" s="126"/>
    </row>
    <row r="21" spans="1:6" ht="15" x14ac:dyDescent="0.25">
      <c r="A21" s="132"/>
      <c r="B21" s="133"/>
      <c r="C21" s="134"/>
      <c r="D21" s="134"/>
      <c r="E21" s="125"/>
      <c r="F21" s="126"/>
    </row>
    <row r="22" spans="1:6" ht="15" x14ac:dyDescent="0.25">
      <c r="A22" s="132"/>
      <c r="B22" s="133"/>
      <c r="C22" s="134"/>
      <c r="D22" s="134"/>
      <c r="E22" s="125"/>
      <c r="F22" s="126"/>
    </row>
    <row r="23" spans="1:6" ht="15" x14ac:dyDescent="0.25">
      <c r="A23" s="132"/>
      <c r="B23" s="133"/>
      <c r="C23" s="134"/>
      <c r="D23" s="134"/>
      <c r="E23" s="125"/>
      <c r="F23" s="126"/>
    </row>
    <row r="24" spans="1:6" ht="15" customHeight="1" x14ac:dyDescent="0.25">
      <c r="A24" s="132"/>
      <c r="B24" s="133"/>
      <c r="C24" s="134"/>
      <c r="D24" s="134"/>
      <c r="E24" s="125"/>
      <c r="F24" s="126"/>
    </row>
    <row r="25" spans="1:6" ht="15" customHeight="1" x14ac:dyDescent="0.25">
      <c r="A25" s="132"/>
      <c r="B25" s="133"/>
      <c r="C25" s="134"/>
      <c r="D25" s="134"/>
      <c r="E25" s="125"/>
      <c r="F25" s="126"/>
    </row>
    <row r="26" spans="1:6" ht="15" customHeight="1" x14ac:dyDescent="0.25">
      <c r="A26" s="132"/>
      <c r="B26" s="133"/>
      <c r="C26" s="134"/>
      <c r="D26" s="134"/>
      <c r="E26" s="125"/>
      <c r="F26" s="126"/>
    </row>
    <row r="27" spans="1:6" ht="36" customHeight="1" x14ac:dyDescent="0.25">
      <c r="A27" s="132"/>
      <c r="B27" s="133"/>
      <c r="C27" s="134"/>
      <c r="D27" s="134"/>
      <c r="E27" s="125"/>
      <c r="F27" s="126"/>
    </row>
    <row r="28" spans="1:6" ht="36" customHeight="1" x14ac:dyDescent="0.25">
      <c r="A28" s="132"/>
      <c r="B28" s="133"/>
      <c r="C28" s="134"/>
      <c r="D28" s="134"/>
      <c r="E28" s="125"/>
      <c r="F28" s="126"/>
    </row>
    <row r="29" spans="1:6" ht="36" customHeight="1" x14ac:dyDescent="0.25">
      <c r="A29" s="132"/>
      <c r="B29" s="133"/>
      <c r="C29" s="134"/>
      <c r="D29" s="134"/>
      <c r="E29" s="125"/>
      <c r="F29" s="126"/>
    </row>
    <row r="30" spans="1:6" ht="36" customHeight="1" x14ac:dyDescent="0.25">
      <c r="A30" s="132"/>
      <c r="B30" s="133"/>
      <c r="C30" s="134"/>
      <c r="D30" s="134"/>
      <c r="E30" s="125"/>
      <c r="F30" s="126"/>
    </row>
    <row r="31" spans="1:6" ht="36" customHeight="1" x14ac:dyDescent="0.25">
      <c r="A31" s="132"/>
      <c r="B31" s="133"/>
      <c r="C31" s="134"/>
      <c r="D31" s="134"/>
      <c r="E31" s="125"/>
      <c r="F31" s="126"/>
    </row>
    <row r="32" spans="1:6" ht="15" x14ac:dyDescent="0.25">
      <c r="A32" s="132"/>
      <c r="B32" s="133"/>
      <c r="C32" s="134"/>
      <c r="D32" s="134"/>
      <c r="E32" s="125"/>
      <c r="F32" s="126"/>
    </row>
    <row r="33" spans="1:6" ht="15" customHeight="1" x14ac:dyDescent="0.25">
      <c r="A33" s="132"/>
      <c r="B33" s="133"/>
      <c r="C33" s="134"/>
      <c r="D33" s="134"/>
      <c r="E33" s="125"/>
      <c r="F33" s="126"/>
    </row>
    <row r="34" spans="1:6" ht="15" customHeight="1" x14ac:dyDescent="0.25">
      <c r="A34" s="132"/>
      <c r="B34" s="133"/>
      <c r="C34" s="134"/>
      <c r="D34" s="134"/>
      <c r="E34" s="125"/>
      <c r="F34" s="126"/>
    </row>
    <row r="35" spans="1:6" ht="15" x14ac:dyDescent="0.25">
      <c r="A35" s="132"/>
      <c r="B35" s="133"/>
      <c r="C35" s="134"/>
      <c r="D35" s="134"/>
      <c r="E35" s="125"/>
      <c r="F35" s="126"/>
    </row>
    <row r="36" spans="1:6" ht="31.5" customHeight="1" x14ac:dyDescent="0.25">
      <c r="A36" s="132"/>
      <c r="B36" s="133"/>
      <c r="C36" s="134"/>
      <c r="D36" s="134"/>
      <c r="E36" s="125"/>
      <c r="F36" s="126"/>
    </row>
    <row r="37" spans="1:6" ht="31.5" customHeight="1" x14ac:dyDescent="0.25">
      <c r="A37" s="132"/>
      <c r="B37" s="133"/>
      <c r="C37" s="134"/>
      <c r="D37" s="134"/>
      <c r="E37" s="125"/>
      <c r="F37" s="126"/>
    </row>
    <row r="38" spans="1:6" ht="31.5" customHeight="1" x14ac:dyDescent="0.25">
      <c r="A38" s="132"/>
      <c r="B38" s="133"/>
      <c r="C38" s="134"/>
      <c r="D38" s="134"/>
      <c r="E38" s="125"/>
      <c r="F38" s="126"/>
    </row>
    <row r="39" spans="1:6" ht="31.5" customHeight="1" x14ac:dyDescent="0.25">
      <c r="A39" s="132"/>
      <c r="B39" s="133"/>
      <c r="C39" s="134"/>
      <c r="D39" s="134"/>
      <c r="E39" s="125"/>
      <c r="F39" s="126"/>
    </row>
    <row r="40" spans="1:6" ht="15" x14ac:dyDescent="0.25">
      <c r="A40" s="135"/>
      <c r="B40" s="136"/>
      <c r="C40" s="137"/>
      <c r="D40" s="137"/>
      <c r="E40" s="127"/>
      <c r="F40" s="128"/>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3" zoomScaleNormal="100" zoomScaleSheetLayoutView="100"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7" hidden="1" customWidth="1"/>
    <col min="12" max="15" width="3.85546875" style="117" hidden="1" customWidth="1"/>
    <col min="16" max="16384" width="0.85546875" style="43" hidden="1"/>
  </cols>
  <sheetData>
    <row r="1" spans="1:15 16383:16383" ht="21" x14ac:dyDescent="0.35">
      <c r="B1" s="88"/>
      <c r="L1" s="39"/>
      <c r="M1" s="39"/>
      <c r="N1" s="39"/>
      <c r="O1" s="39"/>
      <c r="XFC1" s="43" t="s">
        <v>494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6"/>
      <c r="L12" s="36"/>
      <c r="M12" s="36"/>
      <c r="N12" s="36"/>
      <c r="O12" s="36"/>
    </row>
    <row r="13" spans="1:15 16383:16383" x14ac:dyDescent="0.25">
      <c r="K13" s="36"/>
      <c r="L13" s="36"/>
      <c r="M13" s="36"/>
      <c r="N13" s="36"/>
      <c r="O13" s="36"/>
    </row>
    <row r="14" spans="1:15 16383:16383" x14ac:dyDescent="0.25">
      <c r="A14" s="138" t="s">
        <v>310</v>
      </c>
      <c r="B14" s="139"/>
      <c r="C14" s="139"/>
      <c r="D14" s="139"/>
      <c r="E14" s="139"/>
      <c r="F14" s="139"/>
      <c r="G14" s="139"/>
      <c r="H14" s="139"/>
      <c r="I14" s="139"/>
      <c r="J14" s="139"/>
      <c r="K14" s="118"/>
    </row>
    <row r="15" spans="1:15 16383:16383" x14ac:dyDescent="0.25">
      <c r="A15" s="139"/>
      <c r="B15" s="139"/>
      <c r="C15" s="139"/>
      <c r="D15" s="139"/>
      <c r="E15" s="139"/>
      <c r="F15" s="139"/>
      <c r="G15" s="139"/>
      <c r="H15" s="139"/>
      <c r="I15" s="139"/>
      <c r="J15" s="139"/>
    </row>
    <row r="16" spans="1:15 16383:16383" x14ac:dyDescent="0.25">
      <c r="A16" s="139"/>
      <c r="B16" s="139"/>
      <c r="C16" s="139"/>
      <c r="D16" s="139"/>
      <c r="E16" s="139"/>
      <c r="F16" s="139"/>
      <c r="G16" s="139"/>
      <c r="H16" s="139"/>
      <c r="I16" s="139"/>
      <c r="J16" s="139"/>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0" t="s">
        <v>483</v>
      </c>
      <c r="B24" s="141"/>
      <c r="C24" s="141"/>
      <c r="D24" s="141"/>
      <c r="E24" s="141"/>
      <c r="F24" s="141"/>
      <c r="G24" s="141"/>
      <c r="H24" s="141"/>
      <c r="I24" s="141"/>
      <c r="J24" s="141"/>
    </row>
    <row r="25" spans="1:10" x14ac:dyDescent="0.25">
      <c r="A25" s="141"/>
      <c r="B25" s="141"/>
      <c r="C25" s="141"/>
      <c r="D25" s="141"/>
      <c r="E25" s="141"/>
      <c r="F25" s="141"/>
      <c r="G25" s="141"/>
      <c r="H25" s="141"/>
      <c r="I25" s="141"/>
      <c r="J25" s="141"/>
    </row>
    <row r="26" spans="1:10" x14ac:dyDescent="0.25">
      <c r="A26" s="141"/>
      <c r="B26" s="141"/>
      <c r="C26" s="141"/>
      <c r="D26" s="141"/>
      <c r="E26" s="141"/>
      <c r="F26" s="141"/>
      <c r="G26" s="141"/>
      <c r="H26" s="141"/>
      <c r="I26" s="141"/>
      <c r="J26" s="141"/>
    </row>
    <row r="27" spans="1:10" x14ac:dyDescent="0.25">
      <c r="A27" s="142"/>
      <c r="B27" s="142"/>
      <c r="C27" s="142"/>
      <c r="D27" s="142"/>
      <c r="E27" s="142"/>
      <c r="F27" s="142"/>
      <c r="G27" s="142"/>
      <c r="H27" s="142"/>
      <c r="I27" s="142"/>
      <c r="J27" s="142"/>
    </row>
    <row r="28" spans="1:10" x14ac:dyDescent="0.25">
      <c r="A28" s="142"/>
      <c r="B28" s="142"/>
      <c r="C28" s="142"/>
      <c r="D28" s="142"/>
      <c r="E28" s="142"/>
      <c r="F28" s="142"/>
      <c r="G28" s="142"/>
      <c r="H28" s="142"/>
      <c r="I28" s="142"/>
      <c r="J28" s="142"/>
    </row>
    <row r="29" spans="1:10" x14ac:dyDescent="0.25"/>
    <row r="30" spans="1:10" x14ac:dyDescent="0.25"/>
    <row r="31" spans="1:10" ht="15" customHeight="1" x14ac:dyDescent="0.25"/>
    <row r="32" spans="1:10" ht="5.25" customHeight="1" x14ac:dyDescent="0.25"/>
    <row r="33" spans="1:10" ht="42" customHeight="1" x14ac:dyDescent="0.25">
      <c r="A33" s="143" t="s">
        <v>602</v>
      </c>
      <c r="B33" s="144"/>
      <c r="C33" s="144"/>
      <c r="D33" s="144"/>
      <c r="E33" s="144"/>
      <c r="F33" s="144"/>
      <c r="G33" s="144"/>
      <c r="H33" s="144"/>
      <c r="I33" s="144"/>
      <c r="J33" s="144"/>
    </row>
    <row r="34" spans="1:10" x14ac:dyDescent="0.25">
      <c r="A34" s="144"/>
      <c r="B34" s="144"/>
      <c r="C34" s="144"/>
      <c r="D34" s="144"/>
      <c r="E34" s="144"/>
      <c r="F34" s="144"/>
      <c r="G34" s="144"/>
      <c r="H34" s="144"/>
      <c r="I34" s="144"/>
      <c r="J34" s="144"/>
    </row>
    <row r="35" spans="1:10" ht="15" customHeight="1" x14ac:dyDescent="0.25"/>
    <row r="36" spans="1:10" ht="15" customHeight="1"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A33" sqref="A33:J34"/>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494</v>
      </c>
    </row>
    <row r="2" spans="1:27" ht="15.75" thickBot="1" x14ac:dyDescent="0.3"/>
    <row r="3" spans="1:27" ht="29.25" customHeight="1" thickBot="1" x14ac:dyDescent="0.3">
      <c r="A3" s="145" t="s">
        <v>257</v>
      </c>
      <c r="B3" s="146"/>
      <c r="C3" s="104"/>
    </row>
    <row r="4" spans="1:27" ht="33.75" customHeight="1" thickBot="1" x14ac:dyDescent="0.3">
      <c r="A4" s="145" t="s">
        <v>311</v>
      </c>
      <c r="B4" s="146"/>
      <c r="C4" s="105" t="s">
        <v>540</v>
      </c>
    </row>
    <row r="5" spans="1:27" ht="33.75" customHeight="1" thickBot="1" x14ac:dyDescent="0.3">
      <c r="A5" s="145" t="s">
        <v>312</v>
      </c>
      <c r="B5" s="146"/>
      <c r="C5" s="105" t="s">
        <v>538</v>
      </c>
    </row>
    <row r="6" spans="1:27" ht="33.75" customHeight="1" thickBot="1" x14ac:dyDescent="0.3">
      <c r="A6" s="145" t="s">
        <v>1</v>
      </c>
      <c r="B6" s="146"/>
      <c r="C6" s="105" t="s">
        <v>539</v>
      </c>
    </row>
    <row r="7" spans="1:27" ht="33.75" customHeight="1" thickBot="1" x14ac:dyDescent="0.3">
      <c r="A7" s="145" t="s">
        <v>258</v>
      </c>
      <c r="B7" s="146"/>
      <c r="C7" s="105"/>
    </row>
    <row r="8" spans="1:27" ht="33.75" customHeight="1" thickBot="1" x14ac:dyDescent="0.3">
      <c r="A8" s="145" t="s">
        <v>514</v>
      </c>
      <c r="B8" s="146"/>
      <c r="C8" s="105"/>
    </row>
    <row r="9" spans="1:27" ht="33.75" customHeight="1" thickBot="1" x14ac:dyDescent="0.3">
      <c r="A9" s="145" t="s">
        <v>515</v>
      </c>
      <c r="B9" s="146"/>
      <c r="C9" s="105"/>
    </row>
    <row r="10" spans="1:27" ht="50.25" customHeight="1" thickBot="1" x14ac:dyDescent="0.3">
      <c r="A10" s="145" t="s">
        <v>259</v>
      </c>
      <c r="B10" s="146"/>
      <c r="C10" s="105" t="s">
        <v>535</v>
      </c>
    </row>
    <row r="11" spans="1:27" ht="56.25" customHeight="1" thickBot="1" x14ac:dyDescent="0.3">
      <c r="A11" s="145" t="s">
        <v>260</v>
      </c>
      <c r="B11" s="146"/>
      <c r="C11" s="105" t="s">
        <v>542</v>
      </c>
    </row>
    <row r="12" spans="1:27" ht="33.75" customHeight="1" thickBot="1" x14ac:dyDescent="0.3">
      <c r="A12" s="145" t="s">
        <v>516</v>
      </c>
      <c r="B12" s="146"/>
      <c r="C12" s="105" t="s">
        <v>541</v>
      </c>
    </row>
    <row r="13" spans="1:27" ht="33.75" customHeight="1" thickBot="1" x14ac:dyDescent="0.3">
      <c r="A13" s="145" t="s">
        <v>261</v>
      </c>
      <c r="B13" s="146"/>
      <c r="C13" s="105" t="s">
        <v>538</v>
      </c>
    </row>
    <row r="14" spans="1:27" x14ac:dyDescent="0.25"/>
    <row r="15" spans="1:27" ht="15.75" thickBot="1" x14ac:dyDescent="0.3">
      <c r="A15" s="68" t="s">
        <v>493</v>
      </c>
      <c r="B15" s="147"/>
      <c r="C15" s="148"/>
    </row>
    <row r="16" spans="1:27" x14ac:dyDescent="0.25"/>
    <row r="17" spans="1:3" x14ac:dyDescent="0.25">
      <c r="A17" s="89" t="s">
        <v>517</v>
      </c>
      <c r="B17" s="47"/>
    </row>
    <row r="18" spans="1:3" x14ac:dyDescent="0.25"/>
    <row r="19" spans="1:3" x14ac:dyDescent="0.25">
      <c r="A19" s="48" t="s">
        <v>262</v>
      </c>
      <c r="B19" s="49"/>
      <c r="C19" s="50"/>
    </row>
    <row r="20" spans="1:3" ht="198.75" customHeight="1" x14ac:dyDescent="0.25">
      <c r="A20" s="149" t="s">
        <v>511</v>
      </c>
      <c r="B20" s="137"/>
      <c r="C20" s="150"/>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0" zoomScaleNormal="100" zoomScaleSheetLayoutView="100" workbookViewId="0">
      <selection activeCell="A12" sqref="A1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495</v>
      </c>
    </row>
    <row r="2" spans="1:27" ht="30" x14ac:dyDescent="0.25">
      <c r="A2" s="42" t="s">
        <v>524</v>
      </c>
    </row>
    <row r="3" spans="1:27" ht="114.75" customHeight="1" x14ac:dyDescent="0.25">
      <c r="A3" s="96" t="s">
        <v>598</v>
      </c>
    </row>
    <row r="4" spans="1:27" ht="15.75" thickBot="1" x14ac:dyDescent="0.3">
      <c r="A4" s="72" t="s">
        <v>263</v>
      </c>
    </row>
    <row r="5" spans="1:27" ht="75" x14ac:dyDescent="0.25">
      <c r="A5" s="42" t="s">
        <v>525</v>
      </c>
    </row>
    <row r="6" spans="1:27" ht="221.25" customHeight="1" x14ac:dyDescent="0.25">
      <c r="A6" s="96" t="s">
        <v>570</v>
      </c>
    </row>
    <row r="7" spans="1:27" ht="15.75" thickBot="1" x14ac:dyDescent="0.3">
      <c r="A7" s="72" t="s">
        <v>264</v>
      </c>
    </row>
    <row r="8" spans="1:27" ht="150" x14ac:dyDescent="0.25">
      <c r="A8" s="42" t="s">
        <v>481</v>
      </c>
    </row>
    <row r="9" spans="1:27" ht="129.75" customHeight="1" x14ac:dyDescent="0.25">
      <c r="A9" s="96" t="s">
        <v>608</v>
      </c>
    </row>
    <row r="10" spans="1:27" ht="15.75" thickBot="1" x14ac:dyDescent="0.3">
      <c r="A10" s="72" t="s">
        <v>265</v>
      </c>
    </row>
    <row r="11" spans="1:27" ht="135" x14ac:dyDescent="0.25">
      <c r="A11" s="42" t="s">
        <v>482</v>
      </c>
    </row>
    <row r="12" spans="1:27" ht="99.75" customHeight="1" x14ac:dyDescent="0.25">
      <c r="A12" s="120" t="s">
        <v>609</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33" sqref="A33:J34"/>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495</v>
      </c>
    </row>
    <row r="2" spans="1:27" x14ac:dyDescent="0.25">
      <c r="A2" s="151" t="s">
        <v>273</v>
      </c>
      <c r="B2" s="152"/>
      <c r="C2" s="152"/>
      <c r="D2" s="152"/>
      <c r="E2" s="152"/>
      <c r="F2" s="152"/>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4"/>
      <c r="B5" s="113"/>
      <c r="C5" s="115"/>
      <c r="D5" s="113"/>
      <c r="E5" s="113"/>
    </row>
    <row r="6" spans="1:27" ht="15.75" thickBot="1" x14ac:dyDescent="0.3">
      <c r="A6" s="114"/>
      <c r="B6" s="113"/>
      <c r="C6" s="113"/>
      <c r="D6" s="113"/>
      <c r="E6" s="113"/>
    </row>
    <row r="7" spans="1:27" ht="15.75" thickBot="1" x14ac:dyDescent="0.3">
      <c r="A7" s="114"/>
      <c r="B7" s="113"/>
      <c r="C7" s="113"/>
      <c r="D7" s="113"/>
      <c r="E7" s="113"/>
    </row>
    <row r="8" spans="1:27" ht="15.75" thickBot="1" x14ac:dyDescent="0.3">
      <c r="A8" s="114"/>
      <c r="B8" s="113"/>
      <c r="C8" s="113"/>
      <c r="D8" s="113"/>
      <c r="E8" s="113"/>
    </row>
    <row r="9" spans="1:27" ht="15.75" thickBot="1" x14ac:dyDescent="0.3">
      <c r="A9" s="114"/>
      <c r="B9" s="113"/>
      <c r="C9" s="113"/>
      <c r="D9" s="113"/>
      <c r="E9" s="113"/>
    </row>
    <row r="10" spans="1:27" x14ac:dyDescent="0.25">
      <c r="A10" s="44"/>
      <c r="B10"/>
      <c r="C10"/>
      <c r="D10"/>
      <c r="E10"/>
    </row>
    <row r="11" spans="1:27" ht="48.75" customHeight="1" x14ac:dyDescent="0.25">
      <c r="A11" s="151" t="s">
        <v>274</v>
      </c>
      <c r="B11" s="153"/>
      <c r="C11" s="153"/>
      <c r="D11" s="153"/>
      <c r="E11" s="153"/>
    </row>
    <row r="12" spans="1:27" ht="61.5" customHeight="1" x14ac:dyDescent="0.25">
      <c r="A12" s="154" t="s">
        <v>571</v>
      </c>
      <c r="B12" s="155"/>
      <c r="C12" s="155"/>
      <c r="D12" s="155"/>
      <c r="E12" s="156"/>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33" sqref="A33:J34"/>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506</v>
      </c>
      <c r="AA1" s="43" t="s">
        <v>495</v>
      </c>
    </row>
    <row r="2" spans="1:27" ht="57" customHeight="1" x14ac:dyDescent="0.25">
      <c r="A2" s="42" t="s">
        <v>507</v>
      </c>
    </row>
    <row r="3" spans="1:27" ht="52.5" customHeight="1" x14ac:dyDescent="0.25">
      <c r="A3" s="96" t="s">
        <v>610</v>
      </c>
    </row>
    <row r="4" spans="1:27" ht="24.75" customHeight="1" x14ac:dyDescent="0.25">
      <c r="A4" s="97"/>
    </row>
    <row r="5" spans="1:27" x14ac:dyDescent="0.25">
      <c r="A5" s="98"/>
    </row>
    <row r="6" spans="1:27" x14ac:dyDescent="0.25">
      <c r="A6" s="98"/>
    </row>
    <row r="7" spans="1:27" ht="27.75" customHeight="1" x14ac:dyDescent="0.25">
      <c r="A7" s="97"/>
    </row>
    <row r="8" spans="1:27" ht="21.75" customHeight="1" x14ac:dyDescent="0.25">
      <c r="A8" s="98"/>
    </row>
    <row r="9" spans="1:27" ht="20.25" customHeight="1" x14ac:dyDescent="0.25">
      <c r="A9" s="98"/>
    </row>
    <row r="10" spans="1:27" ht="24.75" customHeight="1" x14ac:dyDescent="0.25">
      <c r="A10" s="97"/>
    </row>
    <row r="11" spans="1:27" ht="22.5" customHeight="1" x14ac:dyDescent="0.25">
      <c r="A11" s="98"/>
    </row>
    <row r="12" spans="1:27" ht="20.25" customHeight="1" x14ac:dyDescent="0.25">
      <c r="A12" s="98"/>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3" zoomScaleNormal="100" workbookViewId="0">
      <selection activeCell="A33" sqref="A33:J34"/>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496</v>
      </c>
      <c r="B1" s="56"/>
      <c r="C1" s="56"/>
      <c r="D1" s="56"/>
      <c r="AA1" s="43" t="s">
        <v>495</v>
      </c>
    </row>
    <row r="2" spans="1:27" x14ac:dyDescent="0.25">
      <c r="A2" s="170" t="s">
        <v>280</v>
      </c>
      <c r="B2" s="171"/>
      <c r="C2" s="171"/>
      <c r="D2" s="171"/>
    </row>
    <row r="3" spans="1:27" x14ac:dyDescent="0.25"/>
    <row r="4" spans="1:27" x14ac:dyDescent="0.25">
      <c r="A4" s="61" t="s">
        <v>275</v>
      </c>
      <c r="B4" s="61" t="s">
        <v>276</v>
      </c>
      <c r="C4" s="61" t="s">
        <v>277</v>
      </c>
      <c r="D4" s="61" t="s">
        <v>278</v>
      </c>
    </row>
    <row r="5" spans="1:27" ht="51" x14ac:dyDescent="0.25">
      <c r="A5" s="121">
        <v>42143</v>
      </c>
      <c r="B5" s="121">
        <v>42167</v>
      </c>
      <c r="C5" s="110" t="s">
        <v>543</v>
      </c>
      <c r="D5" s="110" t="s">
        <v>569</v>
      </c>
    </row>
    <row r="6" spans="1:27" x14ac:dyDescent="0.25">
      <c r="A6" s="110"/>
      <c r="B6" s="110"/>
      <c r="C6" s="110"/>
      <c r="D6" s="110"/>
    </row>
    <row r="7" spans="1:27" x14ac:dyDescent="0.25">
      <c r="A7" s="111"/>
      <c r="B7" s="111"/>
      <c r="C7" s="112"/>
      <c r="D7" s="110"/>
    </row>
    <row r="8" spans="1:27" x14ac:dyDescent="0.25">
      <c r="A8" s="110"/>
      <c r="B8" s="110"/>
      <c r="C8" s="110"/>
      <c r="D8" s="110"/>
    </row>
    <row r="9" spans="1:27" x14ac:dyDescent="0.25">
      <c r="A9" s="110"/>
      <c r="B9" s="110"/>
      <c r="C9" s="110"/>
      <c r="D9" s="110"/>
    </row>
    <row r="10" spans="1:27" x14ac:dyDescent="0.25"/>
    <row r="11" spans="1:27" x14ac:dyDescent="0.25">
      <c r="A11" s="43" t="s">
        <v>279</v>
      </c>
    </row>
    <row r="12" spans="1:27" ht="280.5" customHeight="1" x14ac:dyDescent="0.25">
      <c r="A12" s="154" t="s">
        <v>572</v>
      </c>
      <c r="B12" s="168"/>
      <c r="C12" s="168"/>
      <c r="D12" s="169"/>
    </row>
    <row r="13" spans="1:27" ht="20.25" customHeight="1" x14ac:dyDescent="0.25">
      <c r="A13" s="58"/>
      <c r="B13" s="33"/>
      <c r="C13" s="33"/>
      <c r="D13" s="33"/>
    </row>
    <row r="14" spans="1:27" ht="20.25" customHeight="1" thickBot="1" x14ac:dyDescent="0.3">
      <c r="A14" s="109" t="s">
        <v>497</v>
      </c>
      <c r="B14" s="62"/>
      <c r="C14" s="62"/>
      <c r="D14" s="62"/>
    </row>
    <row r="15" spans="1:27" x14ac:dyDescent="0.25">
      <c r="A15" s="63" t="s">
        <v>498</v>
      </c>
      <c r="B15" s="64"/>
      <c r="C15" s="64"/>
      <c r="D15" s="64"/>
    </row>
    <row r="16" spans="1:27" ht="49.5" customHeight="1" x14ac:dyDescent="0.25">
      <c r="A16" s="172" t="s">
        <v>281</v>
      </c>
      <c r="B16" s="134"/>
      <c r="C16" s="134"/>
      <c r="D16" s="134"/>
    </row>
    <row r="17" spans="1:4" x14ac:dyDescent="0.25">
      <c r="A17" s="61" t="s">
        <v>3</v>
      </c>
      <c r="B17" s="173" t="s">
        <v>282</v>
      </c>
      <c r="C17" s="174"/>
      <c r="D17" s="174"/>
    </row>
    <row r="18" spans="1:4" ht="46.5" customHeight="1" x14ac:dyDescent="0.25">
      <c r="A18" s="60" t="s">
        <v>31</v>
      </c>
      <c r="B18" s="162" t="s">
        <v>581</v>
      </c>
      <c r="C18" s="163"/>
      <c r="D18" s="164"/>
    </row>
    <row r="19" spans="1:4" x14ac:dyDescent="0.25">
      <c r="A19" s="59" t="s">
        <v>13</v>
      </c>
      <c r="B19" s="160"/>
      <c r="C19" s="161"/>
      <c r="D19" s="161"/>
    </row>
    <row r="20" spans="1:4" x14ac:dyDescent="0.25">
      <c r="A20" s="59" t="s">
        <v>15</v>
      </c>
      <c r="B20" s="160"/>
      <c r="C20" s="161"/>
      <c r="D20" s="161"/>
    </row>
    <row r="21" spans="1:4" x14ac:dyDescent="0.25">
      <c r="A21" s="59" t="s">
        <v>11</v>
      </c>
      <c r="B21" s="160"/>
      <c r="C21" s="161"/>
      <c r="D21" s="161"/>
    </row>
    <row r="22" spans="1:4" x14ac:dyDescent="0.25">
      <c r="A22" s="59" t="s">
        <v>283</v>
      </c>
      <c r="B22" s="160"/>
      <c r="C22" s="161"/>
      <c r="D22" s="161"/>
    </row>
    <row r="23" spans="1:4" x14ac:dyDescent="0.25">
      <c r="A23" s="59" t="s">
        <v>25</v>
      </c>
      <c r="B23" s="165"/>
      <c r="C23" s="166"/>
      <c r="D23" s="167"/>
    </row>
    <row r="24" spans="1:4" x14ac:dyDescent="0.25">
      <c r="A24" s="59" t="s">
        <v>17</v>
      </c>
      <c r="B24" s="160"/>
      <c r="C24" s="161"/>
      <c r="D24" s="161"/>
    </row>
    <row r="25" spans="1:4" x14ac:dyDescent="0.25">
      <c r="A25" s="59" t="s">
        <v>9</v>
      </c>
      <c r="B25" s="160"/>
      <c r="C25" s="161"/>
      <c r="D25" s="161"/>
    </row>
    <row r="26" spans="1:4" x14ac:dyDescent="0.25"/>
    <row r="27" spans="1:4" ht="15.75" x14ac:dyDescent="0.25">
      <c r="A27" s="107" t="s">
        <v>499</v>
      </c>
    </row>
    <row r="28" spans="1:4" x14ac:dyDescent="0.25">
      <c r="A28" s="108" t="s">
        <v>284</v>
      </c>
    </row>
    <row r="29" spans="1:4" ht="66.75" customHeight="1" x14ac:dyDescent="0.25">
      <c r="A29" s="157" t="s">
        <v>573</v>
      </c>
      <c r="B29" s="158"/>
      <c r="C29" s="158"/>
      <c r="D29" s="159"/>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topLeftCell="A4" zoomScaleNormal="100" workbookViewId="0">
      <selection activeCell="A33" sqref="A33:J34"/>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495</v>
      </c>
    </row>
    <row r="2" spans="1:27" ht="15.75" thickBot="1" x14ac:dyDescent="0.3">
      <c r="A2" s="99" t="s">
        <v>508</v>
      </c>
      <c r="B2" s="56"/>
      <c r="C2" s="56"/>
      <c r="D2" s="56"/>
      <c r="E2" s="56"/>
      <c r="F2" s="56"/>
    </row>
    <row r="3" spans="1:27" x14ac:dyDescent="0.25">
      <c r="A3" s="43" t="s">
        <v>528</v>
      </c>
    </row>
    <row r="4" spans="1:27" x14ac:dyDescent="0.25">
      <c r="A4" s="67" t="s">
        <v>285</v>
      </c>
      <c r="B4" s="67" t="s">
        <v>286</v>
      </c>
      <c r="C4" s="67" t="s">
        <v>287</v>
      </c>
      <c r="D4" s="67" t="s">
        <v>288</v>
      </c>
      <c r="E4" s="67" t="s">
        <v>289</v>
      </c>
      <c r="F4" s="67" t="s">
        <v>270</v>
      </c>
    </row>
    <row r="5" spans="1:27" x14ac:dyDescent="0.25">
      <c r="A5" s="102"/>
      <c r="B5" s="102"/>
      <c r="C5" s="102"/>
      <c r="D5" s="119"/>
      <c r="E5" s="119"/>
      <c r="F5" s="102"/>
    </row>
    <row r="6" spans="1:27" x14ac:dyDescent="0.25">
      <c r="A6" s="102"/>
      <c r="B6" s="102"/>
      <c r="C6" s="102"/>
      <c r="D6" s="103"/>
      <c r="E6" s="103"/>
      <c r="F6" s="102"/>
    </row>
    <row r="7" spans="1:27" x14ac:dyDescent="0.25">
      <c r="A7" s="102"/>
      <c r="B7" s="102"/>
      <c r="C7" s="102"/>
      <c r="D7" s="103"/>
      <c r="E7" s="103"/>
      <c r="F7" s="102"/>
    </row>
    <row r="8" spans="1:27" x14ac:dyDescent="0.25">
      <c r="A8" s="102"/>
      <c r="B8" s="102"/>
      <c r="C8" s="102"/>
      <c r="D8" s="103"/>
      <c r="E8" s="103"/>
      <c r="F8" s="102"/>
    </row>
    <row r="9" spans="1:27" x14ac:dyDescent="0.25">
      <c r="A9" s="102"/>
      <c r="B9" s="102"/>
      <c r="C9" s="102"/>
      <c r="D9" s="103"/>
      <c r="E9" s="103"/>
      <c r="F9" s="102"/>
    </row>
    <row r="10" spans="1:27" x14ac:dyDescent="0.25">
      <c r="A10" s="102"/>
      <c r="B10" s="102"/>
      <c r="C10" s="102"/>
      <c r="D10" s="103"/>
      <c r="E10" s="103"/>
      <c r="F10" s="102"/>
    </row>
    <row r="11" spans="1:27" x14ac:dyDescent="0.25">
      <c r="A11" s="93"/>
      <c r="B11" s="93"/>
      <c r="C11" s="93"/>
      <c r="D11" s="93"/>
      <c r="E11" s="93"/>
      <c r="F11" s="93"/>
    </row>
    <row r="12" spans="1:27" x14ac:dyDescent="0.25">
      <c r="A12" s="93" t="s">
        <v>520</v>
      </c>
      <c r="B12" s="93"/>
      <c r="C12" s="93"/>
      <c r="D12" s="93"/>
      <c r="E12" s="93"/>
      <c r="F12" s="93"/>
    </row>
    <row r="13" spans="1:27" x14ac:dyDescent="0.25">
      <c r="A13" s="175" t="s">
        <v>603</v>
      </c>
      <c r="B13" s="176"/>
      <c r="C13" s="176"/>
      <c r="D13" s="176"/>
      <c r="E13" s="177"/>
      <c r="F13" s="178"/>
    </row>
    <row r="14" spans="1:27" ht="117" customHeight="1" x14ac:dyDescent="0.25">
      <c r="A14" s="179"/>
      <c r="B14" s="180"/>
      <c r="C14" s="180"/>
      <c r="D14" s="180"/>
      <c r="E14" s="180"/>
      <c r="F14" s="181"/>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zoomScaleNormal="100" workbookViewId="0">
      <selection activeCell="A18" sqref="A18:C18"/>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9" t="s">
        <v>509</v>
      </c>
      <c r="B1" s="56"/>
      <c r="C1" s="56"/>
      <c r="AA1" s="43" t="s">
        <v>495</v>
      </c>
    </row>
    <row r="2" spans="1:27" x14ac:dyDescent="0.25">
      <c r="A2" s="68" t="s">
        <v>500</v>
      </c>
    </row>
    <row r="3" spans="1:27" ht="51" customHeight="1" thickBot="1" x14ac:dyDescent="0.3">
      <c r="A3" s="184" t="s">
        <v>290</v>
      </c>
      <c r="B3" s="185"/>
      <c r="C3" s="185"/>
    </row>
    <row r="4" spans="1:27" ht="15.75" thickBot="1" x14ac:dyDescent="0.3">
      <c r="A4" s="65" t="s">
        <v>3</v>
      </c>
      <c r="B4" s="66" t="s">
        <v>291</v>
      </c>
      <c r="C4" s="66" t="s">
        <v>292</v>
      </c>
    </row>
    <row r="5" spans="1:27" ht="16.5" thickBot="1" x14ac:dyDescent="0.3">
      <c r="A5" s="69" t="s">
        <v>39</v>
      </c>
      <c r="B5" s="113" t="s">
        <v>536</v>
      </c>
      <c r="C5" s="113" t="s">
        <v>536</v>
      </c>
    </row>
    <row r="6" spans="1:27" ht="16.5" thickBot="1" x14ac:dyDescent="0.3">
      <c r="A6" s="69" t="s">
        <v>38</v>
      </c>
      <c r="B6" s="113" t="s">
        <v>536</v>
      </c>
      <c r="C6" s="113" t="s">
        <v>536</v>
      </c>
    </row>
    <row r="7" spans="1:27" ht="16.5" thickBot="1" x14ac:dyDescent="0.3">
      <c r="A7" s="69" t="s">
        <v>37</v>
      </c>
      <c r="B7" s="113" t="s">
        <v>536</v>
      </c>
      <c r="C7" s="113" t="s">
        <v>536</v>
      </c>
    </row>
    <row r="8" spans="1:27" ht="16.5" thickBot="1" x14ac:dyDescent="0.3">
      <c r="A8" s="69" t="s">
        <v>34</v>
      </c>
      <c r="B8" s="113" t="s">
        <v>536</v>
      </c>
      <c r="C8" s="113" t="s">
        <v>536</v>
      </c>
    </row>
    <row r="9" spans="1:27" ht="16.5" thickBot="1" x14ac:dyDescent="0.3">
      <c r="A9" s="69" t="s">
        <v>33</v>
      </c>
      <c r="B9" s="113" t="s">
        <v>536</v>
      </c>
      <c r="C9" s="113" t="s">
        <v>536</v>
      </c>
    </row>
    <row r="10" spans="1:27" ht="16.5" thickBot="1" x14ac:dyDescent="0.3">
      <c r="A10" s="69" t="s">
        <v>32</v>
      </c>
      <c r="B10" s="113" t="s">
        <v>536</v>
      </c>
      <c r="C10" s="113" t="s">
        <v>536</v>
      </c>
    </row>
    <row r="11" spans="1:27" ht="16.5" thickBot="1" x14ac:dyDescent="0.3">
      <c r="A11" s="69" t="s">
        <v>30</v>
      </c>
      <c r="B11" s="113" t="s">
        <v>536</v>
      </c>
      <c r="C11" s="113" t="s">
        <v>536</v>
      </c>
    </row>
    <row r="12" spans="1:27" x14ac:dyDescent="0.25"/>
    <row r="13" spans="1:27" x14ac:dyDescent="0.25">
      <c r="A13" s="43" t="s">
        <v>293</v>
      </c>
    </row>
    <row r="14" spans="1:27" ht="71.25" customHeight="1" x14ac:dyDescent="0.25">
      <c r="A14" s="154" t="s">
        <v>612</v>
      </c>
      <c r="B14" s="182"/>
      <c r="C14" s="183"/>
    </row>
    <row r="15" spans="1:27" x14ac:dyDescent="0.25"/>
    <row r="16" spans="1:27" x14ac:dyDescent="0.25">
      <c r="A16" s="68" t="s">
        <v>501</v>
      </c>
    </row>
    <row r="17" spans="1:3" x14ac:dyDescent="0.25">
      <c r="A17" s="43" t="s">
        <v>294</v>
      </c>
    </row>
    <row r="18" spans="1:3" ht="102.75" customHeight="1" x14ac:dyDescent="0.25">
      <c r="A18" s="154" t="s">
        <v>613</v>
      </c>
      <c r="B18" s="182"/>
      <c r="C18" s="183"/>
    </row>
    <row r="19" spans="1:3" x14ac:dyDescent="0.25"/>
    <row r="20" spans="1:3" x14ac:dyDescent="0.25">
      <c r="A20" s="68" t="s">
        <v>502</v>
      </c>
    </row>
    <row r="21" spans="1:3" x14ac:dyDescent="0.25">
      <c r="A21" s="43" t="s">
        <v>295</v>
      </c>
    </row>
    <row r="22" spans="1:3" ht="219.75" customHeight="1" x14ac:dyDescent="0.25">
      <c r="A22" s="154" t="s">
        <v>605</v>
      </c>
      <c r="B22" s="182"/>
      <c r="C22" s="183"/>
    </row>
    <row r="23" spans="1:3" x14ac:dyDescent="0.25"/>
    <row r="24" spans="1:3" x14ac:dyDescent="0.25">
      <c r="A24" s="68" t="s">
        <v>599</v>
      </c>
    </row>
    <row r="25" spans="1:3" x14ac:dyDescent="0.25">
      <c r="A25" s="43" t="s">
        <v>294</v>
      </c>
    </row>
    <row r="26" spans="1:3" ht="67.5" customHeight="1" x14ac:dyDescent="0.25">
      <c r="A26" s="154" t="s">
        <v>604</v>
      </c>
      <c r="B26" s="182"/>
      <c r="C26" s="183"/>
    </row>
    <row r="27" spans="1:3" x14ac:dyDescent="0.25"/>
    <row r="28" spans="1:3" x14ac:dyDescent="0.25">
      <c r="A28" s="68" t="s">
        <v>503</v>
      </c>
    </row>
    <row r="29" spans="1:3" x14ac:dyDescent="0.25">
      <c r="A29" s="43" t="s">
        <v>296</v>
      </c>
    </row>
    <row r="30" spans="1:3" ht="38.25" customHeight="1" x14ac:dyDescent="0.25">
      <c r="A30" s="154" t="s">
        <v>593</v>
      </c>
      <c r="B30" s="182"/>
      <c r="C30" s="183"/>
    </row>
    <row r="31" spans="1:3" x14ac:dyDescent="0.25"/>
    <row r="32" spans="1:3" x14ac:dyDescent="0.25">
      <c r="A32" s="68" t="s">
        <v>504</v>
      </c>
    </row>
    <row r="33" spans="1:3" x14ac:dyDescent="0.25">
      <c r="A33" s="43" t="s">
        <v>297</v>
      </c>
    </row>
    <row r="34" spans="1:3" ht="42.75" customHeight="1" x14ac:dyDescent="0.25">
      <c r="A34" s="154" t="s">
        <v>593</v>
      </c>
      <c r="B34" s="182"/>
      <c r="C34" s="183"/>
    </row>
    <row r="35" spans="1:3" x14ac:dyDescent="0.25"/>
    <row r="36" spans="1:3" x14ac:dyDescent="0.25">
      <c r="A36" s="68" t="s">
        <v>532</v>
      </c>
    </row>
    <row r="37" spans="1:3" x14ac:dyDescent="0.25">
      <c r="A37" s="43" t="s">
        <v>533</v>
      </c>
    </row>
    <row r="38" spans="1:3" ht="57.75" customHeight="1" x14ac:dyDescent="0.25">
      <c r="A38" s="154" t="s">
        <v>600</v>
      </c>
      <c r="B38" s="182"/>
      <c r="C38" s="183"/>
    </row>
    <row r="39" spans="1:3" x14ac:dyDescent="0.25"/>
    <row r="40" spans="1:3" x14ac:dyDescent="0.25">
      <c r="A40" s="68" t="s">
        <v>534</v>
      </c>
    </row>
    <row r="41" spans="1:3" x14ac:dyDescent="0.25">
      <c r="A41" s="43" t="s">
        <v>298</v>
      </c>
    </row>
    <row r="42" spans="1:3" ht="57.75" customHeight="1" x14ac:dyDescent="0.25">
      <c r="A42" s="154" t="s">
        <v>600</v>
      </c>
      <c r="B42" s="182"/>
      <c r="C42" s="183"/>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topLeftCell="A13" zoomScaleNormal="100" workbookViewId="0">
      <selection activeCell="A33" sqref="A33:J34"/>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495</v>
      </c>
    </row>
    <row r="2" spans="1:27" x14ac:dyDescent="0.25">
      <c r="A2" s="100" t="s">
        <v>510</v>
      </c>
    </row>
    <row r="3" spans="1:27" ht="15.75" thickBot="1" x14ac:dyDescent="0.3">
      <c r="A3" s="43" t="s">
        <v>299</v>
      </c>
    </row>
    <row r="4" spans="1:27" ht="22.5" customHeight="1" thickBot="1" x14ac:dyDescent="0.3">
      <c r="A4" s="186" t="s">
        <v>300</v>
      </c>
      <c r="B4" s="188" t="s">
        <v>301</v>
      </c>
      <c r="C4" s="189"/>
      <c r="D4" s="189"/>
      <c r="E4" s="190"/>
      <c r="F4" s="188" t="s">
        <v>302</v>
      </c>
      <c r="G4" s="190"/>
    </row>
    <row r="5" spans="1:27" ht="15.75" thickBot="1" x14ac:dyDescent="0.3">
      <c r="A5" s="187"/>
      <c r="B5" s="95" t="s">
        <v>303</v>
      </c>
      <c r="C5" s="95" t="s">
        <v>304</v>
      </c>
      <c r="D5" s="95" t="s">
        <v>305</v>
      </c>
      <c r="E5" s="95" t="s">
        <v>306</v>
      </c>
      <c r="F5" s="95" t="s">
        <v>307</v>
      </c>
      <c r="G5" s="95" t="s">
        <v>308</v>
      </c>
    </row>
    <row r="6" spans="1:27" ht="77.25" thickBot="1" x14ac:dyDescent="0.3">
      <c r="A6" s="94" t="s">
        <v>546</v>
      </c>
      <c r="B6" s="122" t="s">
        <v>537</v>
      </c>
      <c r="C6" s="122" t="s">
        <v>537</v>
      </c>
      <c r="D6" s="122" t="s">
        <v>537</v>
      </c>
      <c r="E6" s="122" t="s">
        <v>544</v>
      </c>
      <c r="F6" s="122" t="s">
        <v>544</v>
      </c>
      <c r="G6" s="122" t="s">
        <v>544</v>
      </c>
    </row>
    <row r="7" spans="1:27" ht="51.75" thickBot="1" x14ac:dyDescent="0.3">
      <c r="A7" s="94" t="s">
        <v>545</v>
      </c>
      <c r="B7" s="122" t="s">
        <v>544</v>
      </c>
      <c r="C7" s="122" t="s">
        <v>544</v>
      </c>
      <c r="D7" s="122" t="s">
        <v>544</v>
      </c>
      <c r="E7" s="122" t="s">
        <v>544</v>
      </c>
      <c r="F7" s="122" t="s">
        <v>544</v>
      </c>
      <c r="G7" s="122" t="s">
        <v>544</v>
      </c>
    </row>
    <row r="8" spans="1:27" ht="51.75" thickBot="1" x14ac:dyDescent="0.3">
      <c r="A8" s="94" t="s">
        <v>547</v>
      </c>
      <c r="B8" s="122" t="s">
        <v>544</v>
      </c>
      <c r="C8" s="122" t="s">
        <v>544</v>
      </c>
      <c r="D8" s="122" t="s">
        <v>544</v>
      </c>
      <c r="E8" s="122" t="s">
        <v>544</v>
      </c>
      <c r="F8" s="122" t="s">
        <v>544</v>
      </c>
      <c r="G8" s="122" t="s">
        <v>544</v>
      </c>
    </row>
    <row r="9" spans="1:27" ht="64.5" thickBot="1" x14ac:dyDescent="0.3">
      <c r="A9" s="94" t="s">
        <v>548</v>
      </c>
      <c r="B9" s="122" t="s">
        <v>544</v>
      </c>
      <c r="C9" s="122" t="s">
        <v>544</v>
      </c>
      <c r="D9" s="122" t="s">
        <v>544</v>
      </c>
      <c r="E9" s="122" t="s">
        <v>544</v>
      </c>
      <c r="F9" s="122" t="s">
        <v>544</v>
      </c>
      <c r="G9" s="122" t="s">
        <v>544</v>
      </c>
    </row>
    <row r="10" spans="1:27" ht="26.25" thickBot="1" x14ac:dyDescent="0.3">
      <c r="A10" s="94" t="s">
        <v>549</v>
      </c>
      <c r="B10" s="122" t="s">
        <v>544</v>
      </c>
      <c r="C10" s="122" t="s">
        <v>544</v>
      </c>
      <c r="D10" s="122" t="s">
        <v>544</v>
      </c>
      <c r="E10" s="122" t="s">
        <v>544</v>
      </c>
      <c r="F10" s="122" t="s">
        <v>544</v>
      </c>
      <c r="G10" s="122" t="s">
        <v>544</v>
      </c>
    </row>
    <row r="11" spans="1:27" x14ac:dyDescent="0.25"/>
    <row r="12" spans="1:27" x14ac:dyDescent="0.25">
      <c r="A12" s="43" t="s">
        <v>309</v>
      </c>
    </row>
    <row r="13" spans="1:27" ht="57.75" customHeight="1" x14ac:dyDescent="0.25">
      <c r="A13" s="154" t="s">
        <v>574</v>
      </c>
      <c r="B13" s="168"/>
      <c r="C13" s="168"/>
      <c r="D13" s="168"/>
      <c r="E13" s="168"/>
      <c r="F13" s="168"/>
      <c r="G13" s="169"/>
    </row>
    <row r="14" spans="1:27" x14ac:dyDescent="0.25">
      <c r="A14" s="93"/>
      <c r="B14" s="93"/>
      <c r="C14" s="93"/>
      <c r="D14" s="93"/>
      <c r="E14" s="93"/>
      <c r="F14" s="93"/>
      <c r="G14" s="93"/>
    </row>
    <row r="15" spans="1:27" ht="39" thickBot="1" x14ac:dyDescent="0.3">
      <c r="A15" s="94" t="s">
        <v>553</v>
      </c>
      <c r="B15" s="122" t="s">
        <v>537</v>
      </c>
      <c r="C15" s="122" t="s">
        <v>537</v>
      </c>
      <c r="D15" s="122" t="s">
        <v>537</v>
      </c>
      <c r="E15" s="122" t="s">
        <v>537</v>
      </c>
      <c r="F15" s="122" t="s">
        <v>537</v>
      </c>
      <c r="G15" s="122" t="s">
        <v>544</v>
      </c>
    </row>
    <row r="16" spans="1:27" ht="26.25" thickBot="1" x14ac:dyDescent="0.3">
      <c r="A16" s="94" t="s">
        <v>550</v>
      </c>
      <c r="B16" s="122" t="s">
        <v>544</v>
      </c>
      <c r="C16" s="122" t="s">
        <v>544</v>
      </c>
      <c r="D16" s="122" t="s">
        <v>544</v>
      </c>
      <c r="E16" s="122" t="s">
        <v>544</v>
      </c>
      <c r="F16" s="122" t="s">
        <v>544</v>
      </c>
      <c r="G16" s="122" t="s">
        <v>544</v>
      </c>
    </row>
    <row r="17" spans="1:7" ht="15.75" thickBot="1" x14ac:dyDescent="0.3">
      <c r="A17" s="94" t="s">
        <v>551</v>
      </c>
      <c r="B17" s="122" t="s">
        <v>544</v>
      </c>
      <c r="C17" s="122" t="s">
        <v>544</v>
      </c>
      <c r="D17" s="122" t="s">
        <v>544</v>
      </c>
      <c r="E17" s="122" t="s">
        <v>544</v>
      </c>
      <c r="F17" s="122" t="s">
        <v>544</v>
      </c>
      <c r="G17" s="122" t="s">
        <v>544</v>
      </c>
    </row>
    <row r="18" spans="1:7" ht="39" thickBot="1" x14ac:dyDescent="0.3">
      <c r="A18" s="94" t="s">
        <v>555</v>
      </c>
      <c r="B18" s="122" t="s">
        <v>544</v>
      </c>
      <c r="C18" s="122" t="s">
        <v>544</v>
      </c>
      <c r="D18" s="122" t="s">
        <v>544</v>
      </c>
      <c r="E18" s="122" t="s">
        <v>544</v>
      </c>
      <c r="F18" s="122" t="s">
        <v>544</v>
      </c>
      <c r="G18" s="122" t="s">
        <v>544</v>
      </c>
    </row>
    <row r="19" spans="1:7" ht="77.25" thickBot="1" x14ac:dyDescent="0.3">
      <c r="A19" s="94" t="s">
        <v>554</v>
      </c>
      <c r="B19" s="122" t="s">
        <v>544</v>
      </c>
      <c r="C19" s="122" t="s">
        <v>544</v>
      </c>
      <c r="D19" s="122" t="s">
        <v>544</v>
      </c>
      <c r="E19" s="122" t="s">
        <v>544</v>
      </c>
      <c r="F19" s="122" t="s">
        <v>544</v>
      </c>
      <c r="G19" s="122" t="s">
        <v>544</v>
      </c>
    </row>
    <row r="20" spans="1:7" ht="15.75" thickBot="1" x14ac:dyDescent="0.3">
      <c r="A20" s="94" t="s">
        <v>552</v>
      </c>
      <c r="B20" s="122" t="s">
        <v>544</v>
      </c>
      <c r="C20" s="122" t="s">
        <v>544</v>
      </c>
      <c r="D20" s="122" t="s">
        <v>544</v>
      </c>
      <c r="E20" s="122" t="s">
        <v>544</v>
      </c>
      <c r="F20" s="122" t="s">
        <v>544</v>
      </c>
      <c r="G20" s="122" t="s">
        <v>544</v>
      </c>
    </row>
    <row r="21" spans="1:7" ht="51.75" thickBot="1" x14ac:dyDescent="0.3">
      <c r="A21" s="94" t="s">
        <v>556</v>
      </c>
      <c r="B21" s="122" t="s">
        <v>544</v>
      </c>
      <c r="C21" s="122" t="s">
        <v>544</v>
      </c>
      <c r="D21" s="122" t="s">
        <v>544</v>
      </c>
      <c r="E21" s="122" t="s">
        <v>544</v>
      </c>
      <c r="F21" s="122" t="s">
        <v>544</v>
      </c>
      <c r="G21" s="122" t="s">
        <v>544</v>
      </c>
    </row>
    <row r="22" spans="1:7" ht="51.75" thickBot="1" x14ac:dyDescent="0.3">
      <c r="A22" s="94" t="s">
        <v>557</v>
      </c>
      <c r="B22" s="122" t="s">
        <v>544</v>
      </c>
      <c r="C22" s="122" t="s">
        <v>544</v>
      </c>
      <c r="D22" s="122" t="s">
        <v>544</v>
      </c>
      <c r="E22" s="122" t="s">
        <v>544</v>
      </c>
      <c r="F22" s="122" t="s">
        <v>544</v>
      </c>
      <c r="G22" s="122" t="s">
        <v>544</v>
      </c>
    </row>
    <row r="23" spans="1:7" ht="51.75" thickBot="1" x14ac:dyDescent="0.3">
      <c r="A23" s="94" t="s">
        <v>558</v>
      </c>
      <c r="B23" s="122" t="s">
        <v>544</v>
      </c>
      <c r="C23" s="122" t="s">
        <v>544</v>
      </c>
      <c r="D23" s="122" t="s">
        <v>544</v>
      </c>
      <c r="E23" s="122" t="s">
        <v>544</v>
      </c>
      <c r="F23" s="122" t="s">
        <v>544</v>
      </c>
      <c r="G23" s="122" t="s">
        <v>544</v>
      </c>
    </row>
    <row r="24" spans="1:7" ht="77.25" thickBot="1" x14ac:dyDescent="0.3">
      <c r="A24" s="94" t="s">
        <v>559</v>
      </c>
      <c r="B24" s="122" t="s">
        <v>544</v>
      </c>
      <c r="C24" s="122" t="s">
        <v>544</v>
      </c>
      <c r="D24" s="122" t="s">
        <v>544</v>
      </c>
      <c r="E24" s="122" t="s">
        <v>544</v>
      </c>
      <c r="F24" s="122" t="s">
        <v>544</v>
      </c>
      <c r="G24" s="122" t="s">
        <v>544</v>
      </c>
    </row>
    <row r="25" spans="1:7" ht="51.75" thickBot="1" x14ac:dyDescent="0.3">
      <c r="A25" s="94" t="s">
        <v>560</v>
      </c>
      <c r="B25" s="122" t="s">
        <v>544</v>
      </c>
      <c r="C25" s="122" t="s">
        <v>544</v>
      </c>
      <c r="D25" s="122" t="s">
        <v>544</v>
      </c>
      <c r="E25" s="122" t="s">
        <v>544</v>
      </c>
      <c r="F25" s="122" t="s">
        <v>544</v>
      </c>
      <c r="G25" s="122" t="s">
        <v>544</v>
      </c>
    </row>
    <row r="26" spans="1:7" ht="26.25" thickBot="1" x14ac:dyDescent="0.3">
      <c r="A26" s="94" t="s">
        <v>561</v>
      </c>
      <c r="B26" s="122" t="s">
        <v>544</v>
      </c>
      <c r="C26" s="122" t="s">
        <v>544</v>
      </c>
      <c r="D26" s="122" t="s">
        <v>544</v>
      </c>
      <c r="E26" s="122" t="s">
        <v>544</v>
      </c>
      <c r="F26" s="122" t="s">
        <v>544</v>
      </c>
      <c r="G26" s="122" t="s">
        <v>544</v>
      </c>
    </row>
    <row r="27" spans="1:7" ht="51.75" thickBot="1" x14ac:dyDescent="0.3">
      <c r="A27" s="94" t="s">
        <v>562</v>
      </c>
      <c r="B27" s="122" t="s">
        <v>544</v>
      </c>
      <c r="C27" s="122" t="s">
        <v>544</v>
      </c>
      <c r="D27" s="122" t="s">
        <v>544</v>
      </c>
      <c r="E27" s="122" t="s">
        <v>544</v>
      </c>
      <c r="F27" s="122" t="s">
        <v>544</v>
      </c>
      <c r="G27" s="122" t="s">
        <v>544</v>
      </c>
    </row>
    <row r="28" spans="1:7" ht="64.5" thickBot="1" x14ac:dyDescent="0.3">
      <c r="A28" s="94" t="s">
        <v>563</v>
      </c>
      <c r="B28" s="122" t="s">
        <v>544</v>
      </c>
      <c r="C28" s="122" t="s">
        <v>544</v>
      </c>
      <c r="D28" s="122" t="s">
        <v>544</v>
      </c>
      <c r="E28" s="122" t="s">
        <v>544</v>
      </c>
      <c r="F28" s="122" t="s">
        <v>544</v>
      </c>
      <c r="G28" s="122" t="s">
        <v>544</v>
      </c>
    </row>
    <row r="29" spans="1:7" ht="39" thickBot="1" x14ac:dyDescent="0.3">
      <c r="A29" s="94" t="s">
        <v>564</v>
      </c>
      <c r="B29" s="122" t="s">
        <v>544</v>
      </c>
      <c r="C29" s="122" t="s">
        <v>544</v>
      </c>
      <c r="D29" s="122" t="s">
        <v>544</v>
      </c>
      <c r="E29" s="122" t="s">
        <v>544</v>
      </c>
      <c r="F29" s="122" t="s">
        <v>544</v>
      </c>
      <c r="G29" s="122" t="s">
        <v>544</v>
      </c>
    </row>
    <row r="30" spans="1:7" ht="51.75" thickBot="1" x14ac:dyDescent="0.3">
      <c r="A30" s="94" t="s">
        <v>565</v>
      </c>
      <c r="B30" s="122" t="s">
        <v>544</v>
      </c>
      <c r="C30" s="122" t="s">
        <v>544</v>
      </c>
      <c r="D30" s="122" t="s">
        <v>544</v>
      </c>
      <c r="E30" s="122" t="s">
        <v>544</v>
      </c>
      <c r="F30" s="122" t="s">
        <v>544</v>
      </c>
      <c r="G30" s="122" t="s">
        <v>544</v>
      </c>
    </row>
    <row r="31" spans="1:7" ht="26.25" thickBot="1" x14ac:dyDescent="0.3">
      <c r="A31" s="94" t="s">
        <v>566</v>
      </c>
      <c r="B31" s="122" t="s">
        <v>537</v>
      </c>
      <c r="C31" s="122" t="s">
        <v>544</v>
      </c>
      <c r="D31" s="122" t="s">
        <v>544</v>
      </c>
      <c r="E31" s="122" t="s">
        <v>544</v>
      </c>
      <c r="F31" s="122" t="s">
        <v>544</v>
      </c>
      <c r="G31" s="122" t="s">
        <v>544</v>
      </c>
    </row>
    <row r="32" spans="1:7" ht="26.25" thickBot="1" x14ac:dyDescent="0.3">
      <c r="A32" s="94" t="s">
        <v>567</v>
      </c>
      <c r="B32" s="122" t="s">
        <v>537</v>
      </c>
      <c r="C32" s="122" t="s">
        <v>544</v>
      </c>
      <c r="D32" s="122" t="s">
        <v>544</v>
      </c>
      <c r="E32" s="122" t="s">
        <v>544</v>
      </c>
      <c r="F32" s="122" t="s">
        <v>544</v>
      </c>
      <c r="G32" s="122" t="s">
        <v>544</v>
      </c>
    </row>
    <row r="33" spans="1:7" ht="51.75" thickBot="1" x14ac:dyDescent="0.3">
      <c r="A33" s="94" t="s">
        <v>568</v>
      </c>
      <c r="B33" s="122" t="s">
        <v>537</v>
      </c>
      <c r="C33" s="122" t="s">
        <v>544</v>
      </c>
      <c r="D33" s="122" t="s">
        <v>544</v>
      </c>
      <c r="E33" s="122" t="s">
        <v>544</v>
      </c>
      <c r="F33" s="122" t="s">
        <v>544</v>
      </c>
      <c r="G33" s="122" t="s">
        <v>544</v>
      </c>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521</v>
      </c>
    </row>
    <row r="88" spans="1:4" x14ac:dyDescent="0.25">
      <c r="A88" t="s">
        <v>31</v>
      </c>
      <c r="B88" s="13" t="s">
        <v>183</v>
      </c>
    </row>
    <row r="89" spans="1:4" x14ac:dyDescent="0.25">
      <c r="A89" t="s">
        <v>31</v>
      </c>
      <c r="B89" s="13" t="s">
        <v>522</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311</v>
      </c>
      <c r="C1" s="1" t="s">
        <v>1</v>
      </c>
      <c r="D1" s="2" t="s">
        <v>2</v>
      </c>
      <c r="E1" s="3" t="s">
        <v>3</v>
      </c>
      <c r="F1" s="2" t="s">
        <v>226</v>
      </c>
      <c r="G1" s="2" t="s">
        <v>76</v>
      </c>
      <c r="H1" s="4" t="s">
        <v>6</v>
      </c>
      <c r="I1" s="2" t="s">
        <v>65</v>
      </c>
      <c r="J1" s="1" t="s">
        <v>4</v>
      </c>
      <c r="K1" s="4" t="s">
        <v>224</v>
      </c>
      <c r="L1" s="4" t="s">
        <v>110</v>
      </c>
      <c r="M1" s="1" t="s">
        <v>5</v>
      </c>
      <c r="N1" s="4" t="s">
        <v>505</v>
      </c>
      <c r="O1" s="4" t="s">
        <v>484</v>
      </c>
    </row>
    <row r="2" spans="1:15" ht="105.75" customHeight="1" x14ac:dyDescent="0.25">
      <c r="A2" s="5" t="s">
        <v>0</v>
      </c>
      <c r="B2" s="5" t="s">
        <v>518</v>
      </c>
      <c r="C2" s="5" t="s">
        <v>66</v>
      </c>
      <c r="D2" s="5" t="s">
        <v>7</v>
      </c>
      <c r="E2" s="6" t="s">
        <v>229</v>
      </c>
      <c r="F2" s="5" t="s">
        <v>228</v>
      </c>
      <c r="G2" s="5" t="s">
        <v>230</v>
      </c>
      <c r="H2" s="25" t="s">
        <v>223</v>
      </c>
      <c r="I2" s="5" t="s">
        <v>111</v>
      </c>
      <c r="J2" s="25" t="s">
        <v>231</v>
      </c>
      <c r="K2" s="5" t="s">
        <v>225</v>
      </c>
      <c r="L2" s="5" t="s">
        <v>227</v>
      </c>
      <c r="M2" s="5" t="s">
        <v>250</v>
      </c>
      <c r="N2" s="37" t="s">
        <v>512</v>
      </c>
      <c r="O2" s="37" t="s">
        <v>485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488</v>
      </c>
      <c r="E2" s="5" t="s">
        <v>7</v>
      </c>
      <c r="F2" s="6" t="s">
        <v>229</v>
      </c>
      <c r="G2" s="5" t="s">
        <v>228</v>
      </c>
      <c r="H2" s="5" t="s">
        <v>230</v>
      </c>
      <c r="I2" s="25" t="s">
        <v>223</v>
      </c>
      <c r="J2" s="5" t="s">
        <v>111</v>
      </c>
      <c r="K2" s="25" t="s">
        <v>231</v>
      </c>
      <c r="L2" s="5" t="s">
        <v>225</v>
      </c>
      <c r="M2" s="5" t="s">
        <v>227</v>
      </c>
      <c r="N2" s="5" t="s">
        <v>250</v>
      </c>
      <c r="O2" s="37" t="s">
        <v>247</v>
      </c>
    </row>
    <row r="3" spans="1:15" ht="409.5" x14ac:dyDescent="0.25">
      <c r="B3" s="7" t="str">
        <f>'Approval and Documentation'!C$4</f>
        <v xml:space="preserve">Santander Investment Securities Inc/New York Branch </v>
      </c>
      <c r="C3" s="7" t="str">
        <f>'Approval and Documentation'!C$6</f>
        <v>Tech and Operations</v>
      </c>
      <c r="D3" s="8">
        <f>'1'!$C$1</f>
        <v>0</v>
      </c>
      <c r="E3" s="7">
        <v>1</v>
      </c>
      <c r="F3" s="8" t="str">
        <f>'1'!$C$2</f>
        <v>Operational</v>
      </c>
      <c r="G3" s="8" t="str">
        <f>'1'!$C$3</f>
        <v>External Fraud</v>
      </c>
      <c r="H3" s="8" t="str">
        <f>'1'!$C$4</f>
        <v>Cyber attack - Malware causing a main trading platform or payment system to be unavailable</v>
      </c>
      <c r="I3" s="8" t="str">
        <f>'1'!$A$12</f>
        <v xml:space="preserve">Currently a hot topic in our industry is cyber attacks.  Specifically, the financial services industry is a primary target for malware-enabled cyber attacks.  Malware an abbreviation of the words malicious and software refers to software programs designed to damage or do other unwanted actions on a computer system.  Malware are easy to deploy remotely and tracking the source is hard.  As a result, we as well as the financial services industry is a primary target  because financial institutions operate software that tracks ownership of monetary assets.  
A material event could occur if Information Technology Risk's controls fail to ensure the penetration of any type of malware and this causing an infection at the server level where trading platforms and the payment system reside.  Hackers target possession of login credentials, bank account numbers and computer software.  Since malware may take as many forms as software and disable information security protection mechanisms such as desktop firewalls and anti-virus programs it is considered a Material risk.  US Regulators have increased scrunity over information security programs and this now is a main focus when examining financial services firms.  As a result we are working on an internal control assessment project where we are reviewing our current controls to identify any gaps with the aim of stregthening our overall Information Security program.  Project findings will be presented to the Management Committee end of July/beginning of August.    </v>
      </c>
      <c r="J3" s="8">
        <f>'1'!$C$5</f>
        <v>0</v>
      </c>
      <c r="K3" s="8" t="str">
        <f>'1'!$A$9</f>
        <v xml:space="preserve">Common examples of malware include viruses, worms, trojan horses and spyware.  Viruses can cause damage on a computer's hard drive by deleting files or directory information, while spyware can gather data from a user's system without  a user knowing.  To prevent these anti-virus and anti-spware utilities are deployed on computer hard drives that will seek and destroy malicious programs.  Santander New York has deployed McAfee anti malware solution to prevent infections.  In the event a machine becomes infected it is immediately taken offline and rebased.  Of this kind we have had about 10.  However, if an infection should occur at the server level then here is where systems in particular our trading platforms (Murex, Bloomberg, GBO) and the payment system (E-Gifts) would be impacted and go down.  As a mitigating factor redundancy strategies are employed, where if a server on which a trading platform or payment system resides goes down then these are switched/fall onto another server.  In the event, Murex, our front offfice system is infected, since Murex is administered from Spain, the Madrid Incident Response team, responsible for the systems, will advise Santander NY of the incident and provide directions on emergeny contingency plans.  To prevent our payment system being at risk of a malware attack, first of all, it resides on its own physical server, there is a double layer of authorization required in order to be able to effectuate payments, and there is the capability to recall a payment upto 24hrs.  However, there is still the risk that the physical machines for the users who connect to the system become infected with a malware and the application they use to connect to the E-gifts system becomes compromised by an unauthorized person who gains access to the payment system in this manner.  We have a project planned for the virtualization of our e-gifts system.  This entails having users of e-gifts connect to virtual machines for the use of the application.         
As part of our Information Security program controls, Information Security has to review:
*that all workstations connected to the network must have Santander – NY supported antivirus and anti-spyware/malware software correctly installed, configured, activated, and updated with the latest version of virus definitions
*that all servers connected to the network must have the anti-virus software installed
* that all web servers and all development servers connected to the network must have Santander – NY supported anti-virus software installed, configured and activated laptops shall have Santander – NY supported desktop firewall installed, configured and activated
Furthermore, Information Security has to review that all virus definitions are updated daily (automatically updated) and review that all files are scanned weekly (automatically updated).  Related to the servers connected to the network InfoSec has to review that they must have antivirus SW installed: select servers may have it disabled at the discretion of the IT owner and with the approval of Information Security.  With regards to the scan task, certain system files on servers may be excluded from these scans at the discretion of the IT owner and with the approval of Information Security.  In this case the exceptions will be documented as per the Exception Policy.  
  </v>
      </c>
      <c r="L3" s="8" t="str">
        <f>'1'!$C$6</f>
        <v>$50 M - $250 M</v>
      </c>
      <c r="M3" s="8" t="str">
        <f>'1'!$C$7</f>
        <v>$250 M - $500 M</v>
      </c>
      <c r="N3" s="8" t="str">
        <f>'1'!$B$10</f>
        <v xml:space="preserve">If there is a break down in our systems as a consequence of malware, we are exposed to loss of business, failing to make payments on time and non compliance with regulatory reporting resulting in fines. This goes across both entities BSNY and SIS.  Systems that come into play for regulatory reporting are Dynamics and all trading platforms.  Oasis for all ACT and trade reporting on the SIS side.  With regards to payments we can employ Business Continuity plan and have key personnel go to Stamford and proceed from there.  You can also call and fax with some banks and Fed On Line can be employed as well.  But in this is timing risk if such an event should occur close to the end of the day.  Here we could have a loss .         </v>
      </c>
      <c r="O3" s="10"/>
    </row>
    <row r="4" spans="1:15" ht="409.5" x14ac:dyDescent="0.25">
      <c r="A4" s="7"/>
      <c r="B4" s="7" t="str">
        <f>'Approval and Documentation'!C$4</f>
        <v xml:space="preserve">Santander Investment Securities Inc/New York Branch </v>
      </c>
      <c r="C4" s="7" t="str">
        <f>'Approval and Documentation'!C$6</f>
        <v>Tech and Operations</v>
      </c>
      <c r="D4" s="8">
        <f>'2'!$C$1</f>
        <v>0</v>
      </c>
      <c r="E4" s="11">
        <v>2</v>
      </c>
      <c r="F4" s="8" t="str">
        <f>'2'!$C$2</f>
        <v>Credit</v>
      </c>
      <c r="G4" s="8" t="str">
        <f>'2'!$C$3</f>
        <v>Settlement</v>
      </c>
      <c r="H4" s="8" t="str">
        <f>'2'!$C$4</f>
        <v>Settlement</v>
      </c>
      <c r="I4" s="8" t="str">
        <f>'2'!$A$12</f>
        <v xml:space="preserve">If trading systems (Murex, GBO) were to go down or our payment system E-gifts hindered, there is a potential for settlement  failures leading to cost of funds.  Since we have products that allow for T+2 settlement, currently, the risk is considered minimal as we would have impact on book and records only but if system unavailability persisted for more than 2-3 days, the bank is exposed to having a material impact due to settlements of historical trades which is considered "rolling".  For SIS currently we have about 1,700-2,000 items settling over a two day period.        </v>
      </c>
      <c r="J4" s="8">
        <f>'2'!$C$5</f>
        <v>0</v>
      </c>
      <c r="K4" s="8" t="str">
        <f>'2'!$A$9</f>
        <v>Currently in the event settlement systems are impacted we rely on no new busines policy and the use of business continuity plan and disaster recovery site.  For SIS business, at this point Chilean equities settle T+2, other countries are T+3.  Most Fixed Income corporates are T+3, Gov’t are T+1 to T+3, and we mostly do Spain, UK and Mexico.  Since settlement is rolling there are items that are bound to be coming due when in the event a system breaks down.  All trades are confirmed with market on T+1 and instructed to the various market between T+0 and T+2 (sd-1).  Post controls in place are
fail reports which are reviewed every day and intra-day if information available.  SIS settlements are usually instructed 1 to 2 days before Settlement Day, so a disruption would  affect only next day or late amended trades.  Timing of the break down comes into place with regards to contingency.  If a system breaks down current measures call for the relocation of critical trading and operations staff to the disaster recovery site.  If this occurs relatively close to the end of the day the issue becomes that critical staff will not make it to the site in time and thus we can fail to meet settlement deadlines for old deals that are maturing.  This would have a minor affect on settlement instructions but a major affect on settlement entries and reconciliations. For one day it would be manageable, but not clear on degree of regulatory impact if system availability is not resolved after 2-3 days.  With regards to payment, if e-gifts were down, for SIS manual input of payments to the DB cash system by Paying &amp; Receiving by passing e-gifts filter and for BSNY, manual input of payments through the DB cash system by P&amp;R bypassing e-gifts filter and/or SWIFT. This would not be possible for all payments, we would have to prioritize the most important payments.  For NYB, all trades are confirmed with counterparties and post controls performed are Reconciliations-FO/BO, IDOM for GL vs GBO, and Nostro.</v>
      </c>
      <c r="L4" s="8" t="str">
        <f>'2'!$C$6</f>
        <v>$1 - $5 M</v>
      </c>
      <c r="M4" s="8" t="str">
        <f>'2'!$C$7</f>
        <v>$1 - $5 M</v>
      </c>
      <c r="N4" s="8" t="str">
        <f>'2'!$B$10</f>
        <v xml:space="preserve">Losses dependant on how long we are unable to perform settlements which would entail cost of funds due to interest that may be charged.  All this is with variation depending on differential and worst case scenario contemplated.    </v>
      </c>
      <c r="O4" s="10"/>
    </row>
    <row r="5" spans="1:15" ht="409.5" x14ac:dyDescent="0.25">
      <c r="A5" s="7"/>
      <c r="B5" s="7" t="str">
        <f>'Approval and Documentation'!C$4</f>
        <v xml:space="preserve">Santander Investment Securities Inc/New York Branch </v>
      </c>
      <c r="C5" s="7" t="str">
        <f>'Approval and Documentation'!C$6</f>
        <v>Tech and Operations</v>
      </c>
      <c r="D5" s="8">
        <f>'3'!$C$1</f>
        <v>0</v>
      </c>
      <c r="E5" s="7">
        <v>3</v>
      </c>
      <c r="F5" s="8" t="str">
        <f>'3'!$C$2</f>
        <v xml:space="preserve">Strategic </v>
      </c>
      <c r="G5" s="8" t="str">
        <f>'3'!$C$3</f>
        <v>Strategic Planning</v>
      </c>
      <c r="H5" s="8" t="str">
        <f>'3'!$C$4</f>
        <v>Complexity of all factors to be considered in implementing projects</v>
      </c>
      <c r="I5" s="8" t="str">
        <f>'3'!$A$12</f>
        <v xml:space="preserve">For Technology and Operations one of the main material risks is the complexity of all factors to be considered in implementing projects which puts us at risk of not delivering on time.  The environment that has to be contemplated is one in which there is a high volume of projects driven by a wide audience; the business, users, Head Office direction of meeting a goal or changes in regulation which all can be of high priority of course precedence given to regulatory ones, which shift our other priorities often.  As a consequnce, one of the main risks we face in the project management is we do not have enough economic resources and headcounts to start projects.  Often this is due to preapproved budgets for which it is difficult to obtain additional funding/resources in the event a project entails more than expected.  This has direct impact in the deadlines because the project can start with delays.  This has the most impact when the project is regulatory because the regulators give deadlines to implement them.  Another risk we face is we do not identify all the requirements from users.  This process is very important.  If all the requirements are not identified on time, this can impact in the execution plan of the project causing delay in the execution of the tasks and lead to having more costs.  Additionally, another risk to take into account is the Governance Model.  If the responsible are not identified correctly and the roles are not clear, it has a direct impact in the execution of the tasks.  Another risk related to this is if we do not have the appropriate committees to make decisions to solve the problems.  All of this could cause delays in the execution of the project.
</v>
      </c>
      <c r="J5" s="8">
        <f>'3'!$C$5</f>
        <v>0</v>
      </c>
      <c r="K5" s="8" t="str">
        <f>'3'!$A$9</f>
        <v>Key to mitigating this kind of risk falls on effective project plan control and in the reviewing of the status of the tasks and the responsible.  It is important to define and run business cases where you take into consideration the budget and all the resources that will be involved in the project.  It is imperative to have clearly identified the sponsor and ownership for the projects, clear roles for the rest of participants (involved from the beginning), assuring the proper governance and maintain them aligned with the entity's goals.  Necessary to have, are Steering Committees with the sponsorship to manage the plan, anticipate and prevent risks, as well as working groups with the users, to make them responsible for the deliverables too, during different phases.  Cross training becomes essential to alleviate resourcing during times of priorities.  Critical, is the escalation to the Steering Committee of problems and risks.  All this considering the complexity of the usual projects that we run, with governance models with dependancy on third parties (HHOO, Boston, etc..).</v>
      </c>
      <c r="L5" s="8" t="str">
        <f>'3'!$C$6</f>
        <v>$50 M - $250 M</v>
      </c>
      <c r="M5" s="8" t="str">
        <f>'3'!$C$7</f>
        <v>$250 M - $500 M</v>
      </c>
      <c r="N5" s="8" t="str">
        <f>'3'!$B$10</f>
        <v>This can vary depending on the initiative being worked on.  If timely delivery of the implementation of a system or enhancement is not met this can lead to loss of business or regulatory fines all which can vary.</v>
      </c>
      <c r="O5" s="10"/>
    </row>
    <row r="6" spans="1:15" ht="409.5" x14ac:dyDescent="0.25">
      <c r="A6" s="7"/>
      <c r="B6" s="7" t="str">
        <f>'Approval and Documentation'!C$4</f>
        <v xml:space="preserve">Santander Investment Securities Inc/New York Branch </v>
      </c>
      <c r="C6" s="7" t="str">
        <f>'Approval and Documentation'!C$6</f>
        <v>Tech and Operations</v>
      </c>
      <c r="D6" s="8">
        <f>'4'!$C$1</f>
        <v>0</v>
      </c>
      <c r="E6" s="11">
        <v>4</v>
      </c>
      <c r="F6" s="8" t="str">
        <f>'4'!$C$2</f>
        <v>Operational</v>
      </c>
      <c r="G6" s="8" t="str">
        <f>'4'!$C$3</f>
        <v>Execution, Delivery and Process Management - Inadequate Management of Suppliers/Vendors</v>
      </c>
      <c r="H6" s="8" t="str">
        <f>'4'!$C$4</f>
        <v>Lack of Vendor Management reviews</v>
      </c>
      <c r="I6" s="8" t="str">
        <f>'4'!$A$12</f>
        <v xml:space="preserve">Highly important to Technology and Operations is the need to know our vendors well and keep abreast of their situations in order to ensure our working  environment and infrastructure will be operative.  Nonetheless, regulators and related enforcement bodies are becoming more aggressive with regards to Vendor Risk Management programs another main reason we have to focus on this.  As financial decision makers for technology initiatives, we need to manage our vendors in order to control costs and ensure a high quality of goods and services.  We need to be able to determine overpricing, poor performance and other enterprise risks.  A single bad vendor can have a catastrophic impact on our business.  In our particular case, we need to make sure, our "internal IT vendors", ISBAN, PRODUBAN, SGBOM, GEOBAN are reviewed.  We not only need to have a sound vendor risk management framework but ongoing monitoring of vendors, including proof of vendor oversight, audits, surveys and close management of all of a company's large and small vendors.  As a result of all that a comprehensive vendor risk management program entails we need to ensure we have the right technology.  Manual processes and Excel spreadsheets are inadequate.  We need to either adapt the tools to business needs, design internal systems for VRM or leverage third party experitse.          </v>
      </c>
      <c r="J6" s="8">
        <f>'4'!$C$5</f>
        <v>0</v>
      </c>
      <c r="K6" s="8" t="str">
        <f>'4'!$A$9</f>
        <v xml:space="preserve">Currently, the Chief Operational Risk Officer is the executive primarily responsible for administering and maintaining the Vendor Management Policy. The Chief Operational Risk Officer, will review the accuracy and inclusion of a central repository database,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Produban Branch US – Monthly IT Report provided to the Chief Operational Risk Officer, Head of ISBAN SGBM US, and Operational Risk Management group. 
Given the number of vendors we deal with and the amount of information that needs to be analyzed we are looking at engaging Vendor Management SCHUSA group to perform for us the reviews on the IT entities.   </v>
      </c>
      <c r="L6" s="8" t="str">
        <f>'4'!$C$6</f>
        <v>$50 M - $250 M</v>
      </c>
      <c r="M6" s="8" t="str">
        <f>'4'!$C$7</f>
        <v>$250 M - $500 M</v>
      </c>
      <c r="N6" s="8" t="str">
        <f>'4'!$B$10</f>
        <v>Impacts can be significant as we have a reliance on vendors.  Data analysis of the vendors is very crucial as this data is used to determine/select vendors.</v>
      </c>
      <c r="O6" s="10"/>
    </row>
    <row r="7" spans="1:15" ht="390" x14ac:dyDescent="0.25">
      <c r="A7" s="7"/>
      <c r="B7" s="7" t="str">
        <f>'Approval and Documentation'!C$4</f>
        <v xml:space="preserve">Santander Investment Securities Inc/New York Branch </v>
      </c>
      <c r="C7" s="7" t="str">
        <f>'Approval and Documentation'!C$6</f>
        <v>Tech and Operations</v>
      </c>
      <c r="D7" s="8">
        <f>'5'!$C$1</f>
        <v>0</v>
      </c>
      <c r="E7" s="7">
        <v>5</v>
      </c>
      <c r="F7" s="8" t="str">
        <f>'5'!$C$2</f>
        <v>Operational</v>
      </c>
      <c r="G7" s="8" t="str">
        <f>'5'!$C$3</f>
        <v>Business Disruption and System Failures - Ineffective management of Change</v>
      </c>
      <c r="H7" s="8" t="str">
        <f>'5'!$C$4</f>
        <v>Change Management</v>
      </c>
      <c r="I7" s="8" t="str">
        <f>'5'!$A$12</f>
        <v xml:space="preserve">When there are technological projects, one of the main risks is change management.  Usually, the objective of the technological projects is to develop new tools or modify/update the current tools or provide system enhancements.  These developments have direct impact in the systems and the working processes.  If the change in those systems is not managed correctly the risk is that the users have problems to execute their tasks (e.g. unknown use of the new systems or working processes) and in turn cause disruptions to daily operations and put regulatory reporting at risk.  </v>
      </c>
      <c r="J7" s="8">
        <f>'5'!$C$5</f>
        <v>0</v>
      </c>
      <c r="K7" s="8" t="str">
        <f>'5'!$A$9</f>
        <v xml:space="preserve">Despite the fact that we have a Change Management policy in place and a rigorous process where users are required to review, comment, fill out and sign technical and functional specifications (DDP, DDR, &amp; DDS), we run the risk of its proper execution for SIS and BSNY.  First of all, we run the risk that business/users and support units' do not specify their requirements fully or accurately resulting in existing and contemplated production environments not analyzed correctly.  Another risk we run is that not all implicated parties are included in the communication of related information.  User Acceptance Testing is a change management control but may not be as strong and may be skipped.  Availability of users to execute the tests (UAT phase) is limited leading the business to settle for manual workarounds.  In some cases certain changes are made by the business without consulting IT, which in turn cause ramifications on us.  Mitigating factors are to define a change plan to identify all the changes in the project taking into account the current situation vs. the new situation.  We need to identify a change management leader to ensure that all changes are covered, give training to the users to teach them about the new tool and the new processes and execute pre-tests in the testing environment ensuring users are executing the tasks and checking that the tasks/processes are executed correctly.
</v>
      </c>
      <c r="L7" s="8" t="str">
        <f>'5'!$C$6</f>
        <v>$50 M - $250 M</v>
      </c>
      <c r="M7" s="8" t="str">
        <f>'5'!$C$7</f>
        <v>$250 M - $500 M</v>
      </c>
      <c r="N7" s="8" t="str">
        <f>'5'!$B$10</f>
        <v>Ineffective change management can lead to incidents in the processes; do not execute tasks on time and/or execute the tasks with mistakes etc…which can have a varying magnitude with regards to financial impacts.  One example, is the lack of a clear and fully understood product list, detailed to the currency pairs, which was in place a couple of years ago but Middle Office stopped maintaining.</v>
      </c>
      <c r="O7" s="10"/>
    </row>
    <row r="8" spans="1:15" ht="330" x14ac:dyDescent="0.25">
      <c r="A8" s="7"/>
      <c r="B8" s="7" t="str">
        <f>'Approval and Documentation'!C$4</f>
        <v xml:space="preserve">Santander Investment Securities Inc/New York Branch </v>
      </c>
      <c r="C8" s="7" t="str">
        <f>'Approval and Documentation'!C$6</f>
        <v>Tech and Operations</v>
      </c>
      <c r="D8" s="8">
        <f>'6'!$C$1</f>
        <v>0</v>
      </c>
      <c r="E8" s="11">
        <v>6</v>
      </c>
      <c r="F8" s="8" t="str">
        <f>'6'!$C$2</f>
        <v>Operational</v>
      </c>
      <c r="G8" s="8" t="str">
        <f>'6'!$C$3</f>
        <v>Clients, Products and Business Practices</v>
      </c>
      <c r="H8" s="8" t="str">
        <f>'6'!$C$4</f>
        <v>DFA External Business Conduct Rules</v>
      </c>
      <c r="I8" s="8" t="str">
        <f>'6'!$A$12</f>
        <v xml:space="preserve">Although this is a risk for both the Business/Front Office and Compliance, the T&amp;O DFA risk is failure to report.  While there are controls in place when conducting business with counterparties, it is the desk's responsibility to issue the necessary disclosures when entering into transactions with non-swap dealers.  Proper training can reduce the risk, and the Compliance department has reviewed the rules with the sales force.  
In connection with the CFTC/NFA regulations applicable to swaps dealers, the New York Branch must perform an assessment of the  compliance work program, specifically the entity level requirements.   Currently, the New York Branch has three controls related to the entity level requirements (an approved customer list by type, a periodic exception report to ensure non-approved counterparties are not engaging in swaps and a periodic trade reconstruction to review the transaction from beginning to end).     Due to turnover in the regulatory compliance position and manual processes involved for the controls plus projects that take priority, this assessment has not been completed and the controls are not performed consistently.  
</v>
      </c>
      <c r="J8" s="8">
        <f>'6'!$C$5</f>
        <v>0</v>
      </c>
      <c r="K8" s="8" t="str">
        <f>'6'!$A$9</f>
        <v>The External Business Conduct Rules require swap dealers to provide disclosure concerning, among other things, a transaction’s risks and characteristics, as well as the swap dealers conflicts of interest in connection with a transaction.</v>
      </c>
      <c r="L8" s="8" t="str">
        <f>'6'!$C$6</f>
        <v>$1 - $5 M</v>
      </c>
      <c r="M8" s="8" t="str">
        <f>'6'!$C$7</f>
        <v>$5 M - $50 M</v>
      </c>
      <c r="N8" s="8" t="str">
        <f>'6'!$B$10</f>
        <v>Failure to provide proper disclosure for non-swap dealers can result in fines or the branch having to pay restitution to the counterparty.</v>
      </c>
      <c r="O8" s="10"/>
    </row>
    <row r="9" spans="1:15" ht="120" x14ac:dyDescent="0.25">
      <c r="A9" s="7"/>
      <c r="B9" s="7" t="str">
        <f>'Approval and Documentation'!C$4</f>
        <v xml:space="preserve">Santander Investment Securities Inc/New York Branch </v>
      </c>
      <c r="C9" s="7" t="str">
        <f>'Approval and Documentation'!C$6</f>
        <v>Tech and Operations</v>
      </c>
      <c r="D9" s="8">
        <f>'7'!$C$1</f>
        <v>0</v>
      </c>
      <c r="E9" s="7">
        <v>7</v>
      </c>
      <c r="F9" s="8" t="str">
        <f>'7'!$C$2</f>
        <v>Operational</v>
      </c>
      <c r="G9" s="8" t="str">
        <f>'7'!$C$3</f>
        <v>Damage to Physical Assets</v>
      </c>
      <c r="H9" s="8">
        <f>'7'!$C$4</f>
        <v>0</v>
      </c>
      <c r="I9" s="8" t="str">
        <f>'7'!$A$12</f>
        <v>Damage to the bank's system would result in the worst case scenario.</v>
      </c>
      <c r="J9" s="8">
        <f>'7'!$C$5</f>
        <v>0</v>
      </c>
      <c r="K9" s="8" t="str">
        <f>'7'!$A$9</f>
        <v xml:space="preserve">Potential Flood on RT RADITZ (vendor hosts our servers, mainframe).  Customer information and process information stored at Iron Mountain.  If vendor had a breach, or physical damage (i.e. truck explosion /fire from 2 weeks ago).  Regulators can request physical documentation and they wouldn't be available.  Leak of physical documentation from vendor to street. Generator caught fire that has impacted the building operations.  Control:  Periodic maintenance. </v>
      </c>
      <c r="L9" s="8" t="str">
        <f>'7'!$C$6</f>
        <v>$5 M - $50 M</v>
      </c>
      <c r="M9" s="8" t="str">
        <f>'7'!$C$7</f>
        <v>$50 M - $250 M</v>
      </c>
      <c r="N9" s="8" t="str">
        <f>'7'!$B$10</f>
        <v>There are certain events which are difficult to quantify, however the computer room is in a secure building with state of the art fire prevention.  A material event can occur if the building's sprinkler system was to activate and damage the infrastructure in place.</v>
      </c>
      <c r="O9" s="10"/>
    </row>
    <row r="10" spans="1:15" ht="135" x14ac:dyDescent="0.25">
      <c r="A10" s="7"/>
      <c r="B10" s="7" t="str">
        <f>'Approval and Documentation'!C$4</f>
        <v xml:space="preserve">Santander Investment Securities Inc/New York Branch </v>
      </c>
      <c r="C10" s="7" t="str">
        <f>'Approval and Documentation'!C$6</f>
        <v>Tech and Operations</v>
      </c>
      <c r="D10" s="8">
        <f>'8'!$C$1</f>
        <v>0</v>
      </c>
      <c r="E10" s="11">
        <v>8</v>
      </c>
      <c r="F10" s="8" t="str">
        <f>'8'!$C$2</f>
        <v>Operational</v>
      </c>
      <c r="G10" s="8" t="str">
        <f>'8'!$C$3</f>
        <v>Business Disruption and System Failures</v>
      </c>
      <c r="H10" s="8" t="str">
        <f>'8'!$C$4</f>
        <v>Business Continuity Plan Limitations</v>
      </c>
      <c r="I10" s="8" t="str">
        <f>'8'!$A$12</f>
        <v>A Business Impact Analysis is conducted every two years and recommendations are made to management regarding any necessary upgrades to the site.  Management has accepted the risks by not upgrading.</v>
      </c>
      <c r="J10" s="8">
        <f>'8'!$C$5</f>
        <v>0</v>
      </c>
      <c r="K10" s="8" t="str">
        <f>'8'!$A$9</f>
        <v xml:space="preserve"> The current mandate of "no new business" can lead to losses as we close risk and restrict BAU activity.  Losses could result from loss of business and the longer the outage the greater the loss.  Additionally if an outage should occur after 4:00 PM getting payment staff to the DR sight would not be possible to complete the EOD payment cycle.  The business areas have to turn away business until the situation normalizes.  
</v>
      </c>
      <c r="L10" s="8" t="str">
        <f>'8'!$C$6</f>
        <v>$1 - $5 M</v>
      </c>
      <c r="M10" s="8" t="str">
        <f>'8'!$C$7</f>
        <v>$5 M - $50 M</v>
      </c>
      <c r="N10" s="8" t="str">
        <f>'8'!$B$10</f>
        <v>Stress is dependent on the length of the outage.  The potential of losing business and clients would exist if NY could not restore BAU.</v>
      </c>
      <c r="O10" s="10"/>
    </row>
    <row r="11" spans="1:15" x14ac:dyDescent="0.25">
      <c r="A11" s="7"/>
      <c r="B11" s="7" t="str">
        <f>'Approval and Documentation'!C$4</f>
        <v xml:space="preserve">Santander Investment Securities Inc/New York Branch </v>
      </c>
      <c r="C11" s="7" t="str">
        <f>'Approval and Documentation'!C$6</f>
        <v>Tech and Operations</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str">
        <f>'Approval and Documentation'!C$4</f>
        <v xml:space="preserve">Santander Investment Securities Inc/New York Branch </v>
      </c>
      <c r="C12" s="7" t="str">
        <f>'Approval and Documentation'!C$6</f>
        <v>Tech and Operations</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 xml:space="preserve">Santander Investment Securities Inc/New York Branch </v>
      </c>
      <c r="C13" s="7" t="str">
        <f>'Approval and Documentation'!C$6</f>
        <v>Tech and Operations</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 xml:space="preserve">Santander Investment Securities Inc/New York Branch </v>
      </c>
      <c r="C14" s="7" t="str">
        <f>'Approval and Documentation'!C$6</f>
        <v>Tech and Operations</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 xml:space="preserve">Santander Investment Securities Inc/New York Branch </v>
      </c>
      <c r="C15" s="7" t="str">
        <f>'Approval and Documentation'!C$6</f>
        <v>Tech and Operations</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 xml:space="preserve">Santander Investment Securities Inc/New York Branch </v>
      </c>
      <c r="C16" s="7" t="str">
        <f>'Approval and Documentation'!C$6</f>
        <v>Tech and Operations</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 xml:space="preserve">Santander Investment Securities Inc/New York Branch </v>
      </c>
      <c r="C17" s="7" t="str">
        <f>'Approval and Documentation'!C$6</f>
        <v>Tech and Operations</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 xml:space="preserve">Santander Investment Securities Inc/New York Branch </v>
      </c>
      <c r="C18" s="7" t="str">
        <f>'Approval and Documentation'!C$6</f>
        <v>Tech and Operations</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 xml:space="preserve">Santander Investment Securities Inc/New York Branch </v>
      </c>
      <c r="C19" s="7" t="str">
        <f>'Approval and Documentation'!C$6</f>
        <v>Tech and Operations</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 xml:space="preserve">Santander Investment Securities Inc/New York Branch </v>
      </c>
      <c r="C20" s="7" t="str">
        <f>'Approval and Documentation'!C$6</f>
        <v>Tech and Operations</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 xml:space="preserve">Santander Investment Securities Inc/New York Branch </v>
      </c>
      <c r="C21" s="7" t="str">
        <f>'Approval and Documentation'!C$6</f>
        <v>Tech and Operations</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 xml:space="preserve">Santander Investment Securities Inc/New York Branch </v>
      </c>
      <c r="C22" s="7" t="str">
        <f>'Approval and Documentation'!C$6</f>
        <v>Tech and Operations</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 xml:space="preserve">Santander Investment Securities Inc/New York Branch </v>
      </c>
      <c r="C23" s="7" t="str">
        <f>'Approval and Documentation'!C$6</f>
        <v>Tech and Operations</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 xml:space="preserve">Santander Investment Securities Inc/New York Branch </v>
      </c>
      <c r="C24" s="7" t="str">
        <f>'Approval and Documentation'!C$6</f>
        <v>Tech and Operations</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 xml:space="preserve">Santander Investment Securities Inc/New York Branch </v>
      </c>
      <c r="C25" s="7" t="str">
        <f>'Approval and Documentation'!C$6</f>
        <v>Tech and Operations</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 xml:space="preserve">Santander Investment Securities Inc/New York Branch </v>
      </c>
      <c r="C26" s="7" t="str">
        <f>'Approval and Documentation'!C$6</f>
        <v>Tech and Operations</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 xml:space="preserve">Santander Investment Securities Inc/New York Branch </v>
      </c>
      <c r="C27" s="7" t="str">
        <f>'Approval and Documentation'!C$6</f>
        <v>Tech and Operations</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 xml:space="preserve">Santander Investment Securities Inc/New York Branch </v>
      </c>
      <c r="C28" s="7" t="str">
        <f>'Approval and Documentation'!C$6</f>
        <v>Tech and Operations</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 xml:space="preserve">Santander Investment Securities Inc/New York Branch </v>
      </c>
      <c r="C29" s="7" t="str">
        <f>'Approval and Documentation'!C$6</f>
        <v>Tech and Operations</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 xml:space="preserve">Santander Investment Securities Inc/New York Branch </v>
      </c>
      <c r="C30" s="7" t="str">
        <f>'Approval and Documentation'!C$6</f>
        <v>Tech and Operations</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 xml:space="preserve">Santander Investment Securities Inc/New York Branch </v>
      </c>
      <c r="C31" s="7" t="str">
        <f>'Approval and Documentation'!C$6</f>
        <v>Tech and Operations</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 xml:space="preserve">Santander Investment Securities Inc/New York Branch </v>
      </c>
      <c r="C32" s="7" t="str">
        <f>'Approval and Documentation'!C$6</f>
        <v>Tech and Operations</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 xml:space="preserve">Santander Investment Securities Inc/New York Branch </v>
      </c>
      <c r="C33" s="7" t="str">
        <f>'Approval and Documentation'!C$6</f>
        <v>Tech and Operations</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 xml:space="preserve">Santander Investment Securities Inc/New York Branch </v>
      </c>
      <c r="C34" s="7" t="str">
        <f>'Approval and Documentation'!C$6</f>
        <v>Tech and Operations</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 xml:space="preserve">Santander Investment Securities Inc/New York Branch </v>
      </c>
      <c r="C35" s="7" t="str">
        <f>'Approval and Documentation'!C$6</f>
        <v>Tech and Operations</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 xml:space="preserve">Santander Investment Securities Inc/New York Branch </v>
      </c>
      <c r="C36" s="7" t="str">
        <f>'Approval and Documentation'!C$6</f>
        <v>Tech and Operations</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 xml:space="preserve">Santander Investment Securities Inc/New York Branch </v>
      </c>
      <c r="C37" s="7" t="str">
        <f>'Approval and Documentation'!C$6</f>
        <v>Tech and Operations</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 xml:space="preserve">Santander Investment Securities Inc/New York Branch </v>
      </c>
      <c r="C38" s="7" t="str">
        <f>'Approval and Documentation'!C$6</f>
        <v>Tech and Operations</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 xml:space="preserve">Santander Investment Securities Inc/New York Branch </v>
      </c>
      <c r="C39" s="7" t="str">
        <f>'Approval and Documentation'!C$6</f>
        <v>Tech and Operations</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 xml:space="preserve">Santander Investment Securities Inc/New York Branch </v>
      </c>
      <c r="C40" s="7" t="str">
        <f>'Approval and Documentation'!C$6</f>
        <v>Tech and Operations</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 xml:space="preserve">Santander Investment Securities Inc/New York Branch </v>
      </c>
      <c r="C41" s="7" t="str">
        <f>'Approval and Documentation'!C$6</f>
        <v>Tech and Operations</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 xml:space="preserve">Santander Investment Securities Inc/New York Branch </v>
      </c>
      <c r="C42" s="7" t="str">
        <f>'Approval and Documentation'!C$6</f>
        <v>Tech and Operations</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Normal="10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1" t="s">
        <v>490</v>
      </c>
      <c r="B1" s="146"/>
      <c r="C1" s="73"/>
      <c r="Q1" s="81"/>
      <c r="R1" s="81"/>
      <c r="AA1" s="39" t="str">
        <f>C2</f>
        <v>Operational</v>
      </c>
    </row>
    <row r="2" spans="1:27" ht="30.75" customHeight="1" thickBot="1" x14ac:dyDescent="0.3">
      <c r="A2" s="192" t="s">
        <v>255</v>
      </c>
      <c r="B2" s="193"/>
      <c r="C2" s="90" t="s">
        <v>31</v>
      </c>
      <c r="R2" s="42" t="str">
        <f t="shared" ref="R2:R7" si="0">A2</f>
        <v>Risk Type  - The Risk Type from the SHUSA ERM Risk Taxonomy</v>
      </c>
    </row>
    <row r="3" spans="1:27" ht="24" customHeight="1" thickBot="1" x14ac:dyDescent="0.3">
      <c r="A3" s="191" t="s">
        <v>251</v>
      </c>
      <c r="B3" s="146"/>
      <c r="C3" s="70" t="s">
        <v>32</v>
      </c>
      <c r="R3" s="42" t="str">
        <f t="shared" si="0"/>
        <v>Risk Sub Type  - The Risk Sub-Category from the SHUSA ERM Risk Taxonomy</v>
      </c>
    </row>
    <row r="4" spans="1:27" ht="48.75" customHeight="1" thickBot="1" x14ac:dyDescent="0.3">
      <c r="A4" s="191" t="s">
        <v>252</v>
      </c>
      <c r="B4" s="146"/>
      <c r="C4" s="73" t="s">
        <v>575</v>
      </c>
      <c r="R4" s="42" t="str">
        <f t="shared" si="0"/>
        <v>Risk Name - The name of the risk which helps define it and differentiate it from other risks in other Business Lines with a similar Risk Category</v>
      </c>
    </row>
    <row r="5" spans="1:27" ht="39" customHeight="1" thickBot="1" x14ac:dyDescent="0.3">
      <c r="A5" s="191" t="s">
        <v>526</v>
      </c>
      <c r="B5" s="146"/>
      <c r="C5" s="71"/>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91" t="s">
        <v>530</v>
      </c>
      <c r="B6" s="146"/>
      <c r="C6" s="70"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7" t="s">
        <v>529</v>
      </c>
      <c r="B7" s="193"/>
      <c r="C7" s="70"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97.5" customHeight="1" thickBot="1" x14ac:dyDescent="0.3">
      <c r="A9" s="202" t="s">
        <v>614</v>
      </c>
      <c r="B9" s="203"/>
      <c r="C9" s="204"/>
      <c r="Q9" s="38" t="str">
        <f>A9</f>
        <v xml:space="preserve">Common examples of malware include viruses, worms, trojan horses and spyware.  Viruses can cause damage on a computer's hard drive by deleting files or directory information, while spyware can gather data from a user's system without  a user knowing.  To prevent these anti-virus and anti-spware utilities are deployed on computer hard drives that will seek and destroy malicious programs.  Santander New York has deployed McAfee anti malware solution to prevent infections.  In the event a machine becomes infected it is immediately taken offline and rebased.  Of this kind we have had about 10.  However, if an infection should occur at the server level then here is where systems in particular our trading platforms (Murex, Bloomberg, GBO) and the payment system (E-Gifts) would be impacted and go down.  As a mitigating factor redundancy strategies are employed, where if a server on which a trading platform or payment system resides goes down then these are switched/fall onto another server.  In the event, Murex, our front offfice system is infected, since Murex is administered from Spain, the Madrid Incident Response team, responsible for the systems, will advise Santander NY of the incident and provide directions on emergeny contingency plans.  To prevent our payment system being at risk of a malware attack, first of all, it resides on its own physical server, there is a double layer of authorization required in order to be able to effectuate payments, and there is the capability to recall a payment upto 24hrs.  However, there is still the risk that the physical machines for the users who connect to the system become infected with a malware and the application they use to connect to the E-gifts system becomes compromised by an unauthorized person who gains access to the payment system in this manner.  We have a project planned for the virtualization of our e-gifts system.  This entails having users of e-gifts connect to virtual machines for the use of the application.         
As part of our Information Security program controls, Information Security has to review:
*that all workstations connected to the network must have Santander – NY supported antivirus and anti-spyware/malware software correctly installed, configured, activated, and updated with the latest version of virus definitions
*that all servers connected to the network must have the anti-virus software installed
* that all web servers and all development servers connected to the network must have Santander – NY supported anti-virus software installed, configured and activated laptops shall have Santander – NY supported desktop firewall installed, configured and activated
Furthermore, Information Security has to review that all virus definitions are updated daily (automatically updated) and review that all files are scanned weekly (automatically updated).  Related to the servers connected to the network InfoSec has to review that they must have antivirus SW installed: select servers may have it disabled at the discretion of the IT owner and with the approval of Information Security.  With regards to the scan task, certain system files on servers may be excluded from these scans at the discretion of the IT owner and with the approval of Information Security.  In this case the exceptions will be documented as per the Exception Policy.  
  </v>
      </c>
    </row>
    <row r="10" spans="1:27" ht="194.25" customHeight="1" thickBot="1" x14ac:dyDescent="0.3">
      <c r="A10" s="41" t="s">
        <v>491</v>
      </c>
      <c r="B10" s="194" t="s">
        <v>615</v>
      </c>
      <c r="C10" s="198"/>
    </row>
    <row r="11" spans="1:27" ht="42.7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84.5" customHeight="1" thickBot="1" x14ac:dyDescent="0.3">
      <c r="A12" s="194" t="s">
        <v>583</v>
      </c>
      <c r="B12" s="195"/>
      <c r="C12" s="196"/>
      <c r="Q12" s="38" t="str">
        <f>A12</f>
        <v xml:space="preserve">Currently a hot topic in our industry is cyber attacks.  Specifically, the financial services industry is a primary target for malware-enabled cyber attacks.  Malware an abbreviation of the words malicious and software refers to software programs designed to damage or do other unwanted actions on a computer system.  Malware are easy to deploy remotely and tracking the source is hard.  As a result, we as well as the financial services industry is a primary target  because financial institutions operate software that tracks ownership of monetary assets.  
A material event could occur if Information Technology Risk's controls fail to ensure the penetration of any type of malware and this causing an infection at the server level where trading platforms and the payment system reside.  Hackers target possession of login credentials, bank account numbers and computer software.  Since malware may take as many forms as software and disable information security protection mechanisms such as desktop firewalls and anti-virus programs it is considered a Material risk.  US Regulators have increased scrunity over information security programs and this now is a main focus when examining financial services firms.  As a result we are working on an internal control assessment project where we are reviewing our current controls to identify any gaps with the aim of stregthening our overall Information Security program.  Project findings will be presented to the Management Committee end of July/beginning of August.    </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490</v>
      </c>
      <c r="B1" s="206"/>
      <c r="C1" s="82"/>
      <c r="Q1" s="81"/>
      <c r="R1" s="81"/>
      <c r="AA1" s="39" t="str">
        <f>C2</f>
        <v>Credit</v>
      </c>
    </row>
    <row r="2" spans="1:27" ht="30.75" customHeight="1" thickBot="1" x14ac:dyDescent="0.3">
      <c r="A2" s="192" t="s">
        <v>255</v>
      </c>
      <c r="B2" s="193"/>
      <c r="C2" s="90" t="s">
        <v>17</v>
      </c>
      <c r="R2" s="42" t="str">
        <f t="shared" ref="R2:R7" si="0">A2</f>
        <v>Risk Type  - The Risk Type from the SHUSA ERM Risk Taxonomy</v>
      </c>
    </row>
    <row r="3" spans="1:27" ht="24" customHeight="1" thickBot="1" x14ac:dyDescent="0.3">
      <c r="A3" s="191" t="s">
        <v>251</v>
      </c>
      <c r="B3" s="146"/>
      <c r="C3" s="70" t="s">
        <v>52</v>
      </c>
      <c r="R3" s="42" t="str">
        <f t="shared" si="0"/>
        <v>Risk Sub Type  - The Risk Sub-Category from the SHUSA ERM Risk Taxonomy</v>
      </c>
    </row>
    <row r="4" spans="1:27" ht="31.5" customHeight="1" thickBot="1" x14ac:dyDescent="0.3">
      <c r="A4" s="191" t="s">
        <v>252</v>
      </c>
      <c r="B4" s="146"/>
      <c r="C4" s="73" t="s">
        <v>52</v>
      </c>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52" customHeight="1" thickBot="1" x14ac:dyDescent="0.3">
      <c r="A9" s="202" t="s">
        <v>582</v>
      </c>
      <c r="B9" s="203"/>
      <c r="C9" s="204"/>
      <c r="Q9" s="38" t="str">
        <f>A9</f>
        <v>Currently in the event settlement systems are impacted we rely on no new busines policy and the use of business continuity plan and disaster recovery site.  For SIS business, at this point Chilean equities settle T+2, other countries are T+3.  Most Fixed Income corporates are T+3, Gov’t are T+1 to T+3, and we mostly do Spain, UK and Mexico.  Since settlement is rolling there are items that are bound to be coming due when in the event a system breaks down.  All trades are confirmed with market on T+1 and instructed to the various market between T+0 and T+2 (sd-1).  Post controls in place are
fail reports which are reviewed every day and intra-day if information available.  SIS settlements are usually instructed 1 to 2 days before Settlement Day, so a disruption would  affect only next day or late amended trades.  Timing of the break down comes into place with regards to contingency.  If a system breaks down current measures call for the relocation of critical trading and operations staff to the disaster recovery site.  If this occurs relatively close to the end of the day the issue becomes that critical staff will not make it to the site in time and thus we can fail to meet settlement deadlines for old deals that are maturing.  This would have a minor affect on settlement instructions but a major affect on settlement entries and reconciliations. For one day it would be manageable, but not clear on degree of regulatory impact if system availability is not resolved after 2-3 days.  With regards to payment, if e-gifts were down, for SIS manual input of payments to the DB cash system by Paying &amp; Receiving by passing e-gifts filter and for BSNY, manual input of payments through the DB cash system by P&amp;R bypassing e-gifts filter and/or SWIFT. This would not be possible for all payments, we would have to prioritize the most important payments.  For NYB, all trades are confirmed with counterparties and post controls performed are Reconciliations-FO/BO, IDOM for GL vs GBO, and Nostro.</v>
      </c>
    </row>
    <row r="10" spans="1:27" ht="81.75" customHeight="1" thickBot="1" x14ac:dyDescent="0.3">
      <c r="A10" s="41" t="s">
        <v>492</v>
      </c>
      <c r="B10" s="194" t="s">
        <v>584</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t="s">
        <v>580</v>
      </c>
      <c r="B12" s="195"/>
      <c r="C12" s="196"/>
      <c r="Q12" s="38" t="str">
        <f>A12</f>
        <v xml:space="preserve">If trading systems (Murex, GBO) were to go down or our payment system E-gifts hindered, there is a potential for settlement  failures leading to cost of funds.  Since we have products that allow for T+2 settlement, currently, the risk is considered minimal as we would have impact on book and records only but if system unavailability persisted for more than 2-3 days, the bank is exposed to having a material impact due to settlements of historical trades which is considered "rolling".  For SIS currently we have about 1,700-2,000 items settling over a two day period.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tabSelected="1" view="pageLayout"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t="str">
        <f>C2</f>
        <v xml:space="preserve">Strategic </v>
      </c>
    </row>
    <row r="2" spans="1:27" ht="30.75" customHeight="1" thickBot="1" x14ac:dyDescent="0.3">
      <c r="A2" s="192" t="s">
        <v>255</v>
      </c>
      <c r="B2" s="193"/>
      <c r="C2" s="90" t="s">
        <v>20</v>
      </c>
      <c r="R2" s="42" t="str">
        <f t="shared" ref="R2:R7" si="0">A2</f>
        <v>Risk Type  - The Risk Type from the SHUSA ERM Risk Taxonomy</v>
      </c>
    </row>
    <row r="3" spans="1:27" ht="24" customHeight="1" thickBot="1" x14ac:dyDescent="0.3">
      <c r="A3" s="191" t="s">
        <v>251</v>
      </c>
      <c r="B3" s="146"/>
      <c r="C3" s="70" t="s">
        <v>146</v>
      </c>
      <c r="R3" s="42" t="str">
        <f t="shared" si="0"/>
        <v>Risk Sub Type  - The Risk Sub-Category from the SHUSA ERM Risk Taxonomy</v>
      </c>
    </row>
    <row r="4" spans="1:27" ht="31.5" customHeight="1" thickBot="1" x14ac:dyDescent="0.3">
      <c r="A4" s="191" t="s">
        <v>252</v>
      </c>
      <c r="B4" s="146"/>
      <c r="C4" s="73" t="s">
        <v>577</v>
      </c>
      <c r="R4" s="42" t="str">
        <f t="shared" si="0"/>
        <v>Risk Name - The name of the risk which helps define it and differentiate it from other risks in other Business Lines with a similar Risk Category</v>
      </c>
    </row>
    <row r="5" spans="1:27" ht="27"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56.75" customHeight="1" thickBot="1" x14ac:dyDescent="0.3">
      <c r="A9" s="202" t="s">
        <v>611</v>
      </c>
      <c r="B9" s="203"/>
      <c r="C9" s="204"/>
      <c r="Q9" s="38" t="str">
        <f>A9</f>
        <v>Key to mitigating this kind of risk falls on effective project plan control and in the reviewing of the status of the tasks and the responsible.  It is important to define and run business cases where you take into consideration the budget and all the resources that will be involved in the project.  It is imperative to have clearly identified the sponsor and ownership for the projects, clear roles for the rest of participants (involved from the beginning), assuring the proper governance and maintain them aligned with the entity's goals.  Necessary to have, are Steering Committees with the sponsorship to manage the plan, anticipate and prevent risks, as well as working groups with the users, to make them responsible for the deliverables too, during different phases.  Cross training becomes essential to alleviate resourcing during times of priorities.  Critical, is the escalation to the Steering Committee of problems and risks.  All this considering the complexity of the usual projects that we run, with governance models with dependancy on third parties (HHOO, Boston, etc..).</v>
      </c>
    </row>
    <row r="10" spans="1:27" ht="81.75" customHeight="1" thickBot="1" x14ac:dyDescent="0.3">
      <c r="A10" s="41" t="s">
        <v>492</v>
      </c>
      <c r="B10" s="194" t="s">
        <v>578</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207.75" customHeight="1" thickBot="1" x14ac:dyDescent="0.3">
      <c r="A12" s="194" t="s">
        <v>616</v>
      </c>
      <c r="B12" s="195"/>
      <c r="C12" s="196"/>
      <c r="Q12" s="38" t="str">
        <f>A12</f>
        <v xml:space="preserve">For Technology and Operations one of the main material risks is the complexity of all factors to be considered in implementing projects which puts us at risk of not delivering on time.  The environment that has to be contemplated is one in which there is a high volume of projects driven by a wide audience; the business, users, Head Office direction of meeting a goal or changes in regulation which all can be of high priority of course precedence given to regulatory ones, which shift our other priorities often.  As a consequnce, one of the main risks we face in the project management is we do not have enough economic resources and headcounts to start projects.  Often this is due to preapproved budgets for which it is difficult to obtain additional funding/resources in the event a project entails more than expected.  This has direct impact in the deadlines because the project can start with delays.  This has the most impact when the project is regulatory because the regulators give deadlines to implement them.  Another risk we face is we do not identify all the requirements from users.  This process is very important.  If all the requirements are not identified on time, this can impact in the execution plan of the project causing delay in the execution of the tasks and lead to having more costs.  Additionally, another risk to take into account is the Governance Model.  If the responsible are not identified correctly and the roles are not clear, it has a direct impact in the execution of the tasks.  Another risk related to this is if we do not have the appropriate committees to make decisions to solve the problems.  All of this could cause delays in the execution of the project.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t="str">
        <f>C2</f>
        <v>Operational</v>
      </c>
    </row>
    <row r="2" spans="1:27" ht="30.75" customHeight="1" thickBot="1" x14ac:dyDescent="0.3">
      <c r="A2" s="192" t="s">
        <v>255</v>
      </c>
      <c r="B2" s="193"/>
      <c r="C2" s="90" t="s">
        <v>31</v>
      </c>
      <c r="R2" s="42" t="str">
        <f t="shared" ref="R2:R7" si="0">A2</f>
        <v>Risk Type  - The Risk Type from the SHUSA ERM Risk Taxonomy</v>
      </c>
    </row>
    <row r="3" spans="1:27" ht="48.75" customHeight="1" thickBot="1" x14ac:dyDescent="0.3">
      <c r="A3" s="191" t="s">
        <v>251</v>
      </c>
      <c r="B3" s="146"/>
      <c r="C3" s="70" t="s">
        <v>196</v>
      </c>
      <c r="R3" s="42" t="str">
        <f t="shared" si="0"/>
        <v>Risk Sub Type  - The Risk Sub-Category from the SHUSA ERM Risk Taxonomy</v>
      </c>
    </row>
    <row r="4" spans="1:27" ht="31.5" customHeight="1" thickBot="1" x14ac:dyDescent="0.3">
      <c r="A4" s="191" t="s">
        <v>252</v>
      </c>
      <c r="B4" s="146"/>
      <c r="C4" s="73" t="s">
        <v>579</v>
      </c>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86.5" customHeight="1" thickBot="1" x14ac:dyDescent="0.3">
      <c r="A9" s="207" t="s">
        <v>606</v>
      </c>
      <c r="B9" s="203"/>
      <c r="C9" s="204"/>
      <c r="Q9" s="38" t="str">
        <f>A9</f>
        <v xml:space="preserve">Currently, the Chief Operational Risk Officer is the executive primarily responsible for administering and maintaining the Vendor Management Policy. The Chief Operational Risk Officer, will review the accuracy and inclusion of a central repository database,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Produban Branch US – Monthly IT Report provided to the Chief Operational Risk Officer, Head of ISBAN SGBM US, and Operational Risk Management group. 
Given the number of vendors we deal with and the amount of information that needs to be analyzed we are looking at engaging Vendor Management SCHUSA group to perform for us the reviews on the IT entities.   </v>
      </c>
    </row>
    <row r="10" spans="1:27" ht="81.75" customHeight="1" thickBot="1" x14ac:dyDescent="0.3">
      <c r="A10" s="41" t="s">
        <v>492</v>
      </c>
      <c r="B10" s="194" t="s">
        <v>585</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77" customHeight="1" thickBot="1" x14ac:dyDescent="0.3">
      <c r="A12" s="194" t="s">
        <v>617</v>
      </c>
      <c r="B12" s="195"/>
      <c r="C12" s="196"/>
      <c r="Q12" s="38" t="str">
        <f>A12</f>
        <v xml:space="preserve">Highly important to Technology and Operations is the need to know our vendors well and keep abreast of their situations in order to ensure our working  environment and infrastructure will be operative.  Nonetheless, regulators and related enforcement bodies are becoming more aggressive with regards to Vendor Risk Management programs another main reason we have to focus on this.  As financial decision makers for technology initiatives, we need to manage our vendors in order to control costs and ensure a high quality of goods and services.  We need to be able to determine overpricing, poor performance and other enterprise risks.  A single bad vendor can have a catastrophic impact on our business.  In our particular case, we need to make sure, our "internal IT vendors", ISBAN, PRODUBAN, SGBOM, GEOBAN are reviewed.  We not only need to have a sound vendor risk management framework but ongoing monitoring of vendors, including proof of vendor oversight, audits, surveys and close management of all of a company's large and small vendors.  As a result of all that a comprehensive vendor risk management program entails we need to ensure we have the right technology.  Manual processes and Excel spreadsheets are inadequate.  We need to either adapt the tools to business needs, design internal systems for VRM or leverage third party experitse.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33" sqref="A33:J3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t="str">
        <f>C2</f>
        <v>Operational</v>
      </c>
    </row>
    <row r="2" spans="1:27" ht="30.75" customHeight="1" thickBot="1" x14ac:dyDescent="0.3">
      <c r="A2" s="192" t="s">
        <v>255</v>
      </c>
      <c r="B2" s="193"/>
      <c r="C2" s="90" t="s">
        <v>31</v>
      </c>
      <c r="R2" s="42" t="str">
        <f t="shared" ref="R2:R7" si="0">A2</f>
        <v>Risk Type  - The Risk Type from the SHUSA ERM Risk Taxonomy</v>
      </c>
    </row>
    <row r="3" spans="1:27" ht="43.5" customHeight="1" thickBot="1" x14ac:dyDescent="0.3">
      <c r="A3" s="191" t="s">
        <v>251</v>
      </c>
      <c r="B3" s="146"/>
      <c r="C3" s="70" t="s">
        <v>187</v>
      </c>
      <c r="R3" s="42" t="str">
        <f t="shared" si="0"/>
        <v>Risk Sub Type  - The Risk Sub-Category from the SHUSA ERM Risk Taxonomy</v>
      </c>
    </row>
    <row r="4" spans="1:27" ht="31.5" customHeight="1" thickBot="1" x14ac:dyDescent="0.3">
      <c r="A4" s="191" t="s">
        <v>252</v>
      </c>
      <c r="B4" s="146"/>
      <c r="C4" s="73" t="s">
        <v>576</v>
      </c>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71</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81.5" customHeight="1" thickBot="1" x14ac:dyDescent="0.3">
      <c r="A9" s="207" t="s">
        <v>601</v>
      </c>
      <c r="B9" s="203"/>
      <c r="C9" s="204"/>
      <c r="Q9" s="38" t="str">
        <f>A9</f>
        <v xml:space="preserve">Despite the fact that we have a Change Management policy in place and a rigorous process where users are required to review, comment, fill out and sign technical and functional specifications (DDP, DDR, &amp; DDS), we run the risk of its proper execution for SIS and BSNY.  First of all, we run the risk that business/users and support units' do not specify their requirements fully or accurately resulting in existing and contemplated production environments not analyzed correctly.  Another risk we run is that not all implicated parties are included in the communication of related information.  User Acceptance Testing is a change management control but may not be as strong and may be skipped.  Availability of users to execute the tests (UAT phase) is limited leading the business to settle for manual workarounds.  In some cases certain changes are made by the business without consulting IT, which in turn cause ramifications on us.  Mitigating factors are to define a change plan to identify all the changes in the project taking into account the current situation vs. the new situation.  We need to identify a change management leader to ensure that all changes are covered, give training to the users to teach them about the new tool and the new processes and execute pre-tests in the testing environment ensuring users are executing the tasks and checking that the tasks/processes are executed correctly.
</v>
      </c>
    </row>
    <row r="10" spans="1:27" ht="111" customHeight="1" thickBot="1" x14ac:dyDescent="0.3">
      <c r="A10" s="41" t="s">
        <v>492</v>
      </c>
      <c r="B10" s="194" t="s">
        <v>607</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125.25" customHeight="1" thickBot="1" x14ac:dyDescent="0.3">
      <c r="A12" s="194" t="s">
        <v>586</v>
      </c>
      <c r="B12" s="195"/>
      <c r="C12" s="196"/>
      <c r="Q12" s="38" t="str">
        <f>A12</f>
        <v xml:space="preserve">When there are technological projects, one of the main risks is change management.  Usually, the objective of the technological projects is to develop new tools or modify/update the current tools or provide system enhancements.  These developments have direct impact in the systems and the working processes.  If the change in those systems is not managed correctly the risk is that the users have problems to execute their tasks (e.g. unknown use of the new systems or working processes) and in turn cause disruptions to daily operations and put regulatory reporting at risk.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6"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t="str">
        <f>C2</f>
        <v>Operational</v>
      </c>
    </row>
    <row r="2" spans="1:27" ht="30.75" customHeight="1" thickBot="1" x14ac:dyDescent="0.3">
      <c r="A2" s="192" t="s">
        <v>255</v>
      </c>
      <c r="B2" s="193"/>
      <c r="C2" s="90" t="s">
        <v>31</v>
      </c>
      <c r="R2" s="42" t="str">
        <f t="shared" ref="R2:R7" si="0">A2</f>
        <v>Risk Type  - The Risk Type from the SHUSA ERM Risk Taxonomy</v>
      </c>
    </row>
    <row r="3" spans="1:27" ht="24" customHeight="1" thickBot="1" x14ac:dyDescent="0.3">
      <c r="A3" s="191" t="s">
        <v>251</v>
      </c>
      <c r="B3" s="146"/>
      <c r="C3" s="70" t="s">
        <v>38</v>
      </c>
      <c r="R3" s="42" t="str">
        <f t="shared" si="0"/>
        <v>Risk Sub Type  - The Risk Sub-Category from the SHUSA ERM Risk Taxonomy</v>
      </c>
    </row>
    <row r="4" spans="1:27" ht="31.5" customHeight="1" thickBot="1" x14ac:dyDescent="0.3">
      <c r="A4" s="191" t="s">
        <v>252</v>
      </c>
      <c r="B4" s="146"/>
      <c r="C4" s="73" t="s">
        <v>587</v>
      </c>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t="s">
        <v>588</v>
      </c>
      <c r="B9" s="203"/>
      <c r="C9" s="204"/>
      <c r="Q9" s="38" t="str">
        <f>A9</f>
        <v>The External Business Conduct Rules require swap dealers to provide disclosure concerning, among other things, a transaction’s risks and characteristics, as well as the swap dealers conflicts of interest in connection with a transaction.</v>
      </c>
    </row>
    <row r="10" spans="1:27" ht="81.75" customHeight="1" thickBot="1" x14ac:dyDescent="0.3">
      <c r="A10" s="41" t="s">
        <v>492</v>
      </c>
      <c r="B10" s="194" t="s">
        <v>589</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t="s">
        <v>618</v>
      </c>
      <c r="B12" s="195"/>
      <c r="C12" s="196"/>
      <c r="Q12" s="38" t="str">
        <f>A12</f>
        <v xml:space="preserve">Although this is a risk for both the Business/Front Office and Compliance, the T&amp;O DFA risk is failure to report.  While there are controls in place when conducting business with counterparties, it is the desk's responsibility to issue the necessary disclosures when entering into transactions with non-swap dealers.  Proper training can reduce the risk, and the Compliance department has reviewed the rules with the sales force.  
In connection with the CFTC/NFA regulations applicable to swaps dealers, the New York Branch must perform an assessment of the  compliance work program, specifically the entity level requirements.   Currently, the New York Branch has three controls related to the entity level requirements (an approved customer list by type, a periodic exception report to ensure non-approved counterparties are not engaging in swaps and a periodic trade reconstruction to review the transaction from beginning to end).     Due to turnover in the regulatory compliance position and manual processes involved for the controls plus projects that take priority, this assessment has not been completed and the controls are not performed consistently.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topLeftCell="A7" zoomScale="90" zoomScaleNormal="100" zoomScalePageLayoutView="90" workbookViewId="0">
      <selection activeCell="A33" sqref="A33:J3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t="str">
        <f>C2</f>
        <v>Operational</v>
      </c>
    </row>
    <row r="2" spans="1:27" ht="30.75" customHeight="1" thickBot="1" x14ac:dyDescent="0.3">
      <c r="A2" s="192" t="s">
        <v>255</v>
      </c>
      <c r="B2" s="193"/>
      <c r="C2" s="90" t="s">
        <v>31</v>
      </c>
      <c r="R2" s="42" t="str">
        <f t="shared" ref="R2:R7" si="0">A2</f>
        <v>Risk Type  - The Risk Type from the SHUSA ERM Risk Taxonomy</v>
      </c>
    </row>
    <row r="3" spans="1:27" ht="24" customHeight="1" thickBot="1" x14ac:dyDescent="0.3">
      <c r="A3" s="191" t="s">
        <v>251</v>
      </c>
      <c r="B3" s="146"/>
      <c r="C3" s="70" t="s">
        <v>37</v>
      </c>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t="s">
        <v>233</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t="s">
        <v>71</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 customHeight="1" thickBot="1" x14ac:dyDescent="0.3">
      <c r="A9" s="207" t="s">
        <v>590</v>
      </c>
      <c r="B9" s="203"/>
      <c r="C9" s="204"/>
      <c r="Q9" s="38" t="str">
        <f>A9</f>
        <v xml:space="preserve">Potential Flood on RT RADITZ (vendor hosts our servers, mainframe).  Customer information and process information stored at Iron Mountain.  If vendor had a breach, or physical damage (i.e. truck explosion /fire from 2 weeks ago).  Regulators can request physical documentation and they wouldn't be available.  Leak of physical documentation from vendor to street. Generator caught fire that has impacted the building operations.  Control:  Periodic maintenance. </v>
      </c>
    </row>
    <row r="10" spans="1:27" ht="81.75" customHeight="1" thickBot="1" x14ac:dyDescent="0.3">
      <c r="A10" s="41" t="s">
        <v>492</v>
      </c>
      <c r="B10" s="194" t="s">
        <v>591</v>
      </c>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t="s">
        <v>592</v>
      </c>
      <c r="B12" s="195"/>
      <c r="C12" s="196"/>
      <c r="Q12" s="38" t="str">
        <f>A12</f>
        <v>Damage to the bank's system would result in the worst case scenario.</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33" sqref="A33:J3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8" t="s">
        <v>489</v>
      </c>
      <c r="B1" s="146"/>
      <c r="C1" s="73"/>
      <c r="Q1" s="81"/>
      <c r="R1" s="81"/>
      <c r="AA1" s="39" t="str">
        <f>C2</f>
        <v>Operational</v>
      </c>
    </row>
    <row r="2" spans="1:27" ht="30.75" customHeight="1" thickBot="1" x14ac:dyDescent="0.3">
      <c r="A2" s="192" t="s">
        <v>255</v>
      </c>
      <c r="B2" s="193"/>
      <c r="C2" s="91" t="s">
        <v>31</v>
      </c>
      <c r="R2" s="42" t="str">
        <f t="shared" ref="R2:R7" si="0">A2</f>
        <v>Risk Type  - The Risk Type from the SHUSA ERM Risk Taxonomy</v>
      </c>
    </row>
    <row r="3" spans="1:27" ht="24" customHeight="1" thickBot="1" x14ac:dyDescent="0.3">
      <c r="A3" s="191" t="s">
        <v>251</v>
      </c>
      <c r="B3" s="146"/>
      <c r="C3" s="84" t="s">
        <v>39</v>
      </c>
      <c r="R3" s="42" t="str">
        <f t="shared" si="0"/>
        <v>Risk Sub Type  - The Risk Sub-Category from the SHUSA ERM Risk Taxonomy</v>
      </c>
    </row>
    <row r="4" spans="1:27" ht="31.5" customHeight="1" thickBot="1" x14ac:dyDescent="0.3">
      <c r="A4" s="191" t="s">
        <v>252</v>
      </c>
      <c r="B4" s="146"/>
      <c r="C4" s="83" t="s">
        <v>594</v>
      </c>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84"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84"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t="s">
        <v>595</v>
      </c>
      <c r="B9" s="203"/>
      <c r="C9" s="210"/>
      <c r="Q9" s="38" t="str">
        <f>A9</f>
        <v xml:space="preserve"> The current mandate of "no new business" can lead to losses as we close risk and restrict BAU activity.  Losses could result from loss of business and the longer the outage the greater the loss.  Additionally if an outage should occur after 4:00 PM getting payment staff to the DR sight would not be possible to complete the EOD payment cycle.  The business areas have to turn away business until the situation normalizes.  
</v>
      </c>
    </row>
    <row r="10" spans="1:27" ht="81.75" customHeight="1" thickBot="1" x14ac:dyDescent="0.3">
      <c r="A10" s="41" t="s">
        <v>492</v>
      </c>
      <c r="B10" s="194" t="s">
        <v>596</v>
      </c>
      <c r="C10" s="211"/>
    </row>
    <row r="11" spans="1:27" ht="31.5" customHeight="1" thickBot="1" x14ac:dyDescent="0.3">
      <c r="A11" s="199" t="s">
        <v>254</v>
      </c>
      <c r="B11" s="200"/>
      <c r="C11" s="20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t="s">
        <v>597</v>
      </c>
      <c r="B12" s="195"/>
      <c r="C12" s="212"/>
      <c r="Q12" s="38" t="str">
        <f>A12</f>
        <v>A Business Impact Analysis is conducted every two years and recommendations are made to management regarding any necessary upgrades to the site.  Management has accepted the risks by not upgrading.</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topLeftCell="A4" zoomScaleNormal="100" workbookViewId="0">
      <selection sqref="A1:B1"/>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9" t="s">
        <v>486</v>
      </c>
      <c r="B1" s="146"/>
      <c r="C1" s="73"/>
      <c r="Q1" s="81"/>
      <c r="R1" s="81"/>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38">
        <f>A9</f>
        <v>0</v>
      </c>
    </row>
    <row r="10" spans="1:27" ht="81.75" customHeight="1" thickBot="1" x14ac:dyDescent="0.3">
      <c r="A10" s="41" t="s">
        <v>492</v>
      </c>
      <c r="B10" s="194"/>
      <c r="C10" s="198"/>
    </row>
    <row r="11" spans="1:27" ht="31.5" customHeight="1" thickBot="1" x14ac:dyDescent="0.3">
      <c r="A11" s="199" t="s">
        <v>254</v>
      </c>
      <c r="B11" s="200"/>
      <c r="C11" s="20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9" t="s">
        <v>486</v>
      </c>
      <c r="B1" s="146"/>
      <c r="C1" s="73"/>
      <c r="AA1" s="39">
        <f>C2</f>
        <v>0</v>
      </c>
    </row>
    <row r="2" spans="1:27" ht="30.75" customHeight="1" thickBot="1" x14ac:dyDescent="0.3">
      <c r="A2" s="192" t="s">
        <v>255</v>
      </c>
      <c r="B2" s="193"/>
      <c r="C2" s="90"/>
      <c r="R2" s="42" t="str">
        <f t="shared" ref="R2:R7" si="0">A2</f>
        <v>Risk Type  - The Risk Type from the SHUSA ERM Risk Taxonomy</v>
      </c>
    </row>
    <row r="3" spans="1:27" ht="24" customHeight="1" thickBot="1" x14ac:dyDescent="0.3">
      <c r="A3" s="191" t="s">
        <v>251</v>
      </c>
      <c r="B3" s="146"/>
      <c r="C3" s="70"/>
      <c r="R3" s="42" t="str">
        <f t="shared" si="0"/>
        <v>Risk Sub Type  - The Risk Sub-Category from the SHUSA ERM Risk Taxonomy</v>
      </c>
    </row>
    <row r="4" spans="1:27" ht="31.5" customHeight="1" thickBot="1" x14ac:dyDescent="0.3">
      <c r="A4" s="191" t="s">
        <v>252</v>
      </c>
      <c r="B4" s="146"/>
      <c r="C4" s="73"/>
      <c r="R4" s="42" t="str">
        <f t="shared" si="0"/>
        <v>Risk Name - The name of the risk which helps define it and differentiate it from other risks in other Business Lines with a similar Risk Category</v>
      </c>
    </row>
    <row r="5" spans="1:27" ht="39" customHeight="1" thickBot="1" x14ac:dyDescent="0.3">
      <c r="A5" s="191" t="s">
        <v>527</v>
      </c>
      <c r="B5" s="146"/>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1" t="s">
        <v>530</v>
      </c>
      <c r="B6" s="146"/>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7" t="s">
        <v>529</v>
      </c>
      <c r="B7" s="193"/>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9" t="s">
        <v>253</v>
      </c>
      <c r="B8" s="200"/>
      <c r="C8" s="201"/>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7"/>
      <c r="B9" s="203"/>
      <c r="C9" s="204"/>
      <c r="Q9" s="86">
        <f>A9</f>
        <v>0</v>
      </c>
    </row>
    <row r="10" spans="1:27" ht="81.75" customHeight="1" thickBot="1" x14ac:dyDescent="0.3">
      <c r="A10" s="41" t="s">
        <v>491</v>
      </c>
      <c r="B10" s="194"/>
      <c r="C10" s="198"/>
    </row>
    <row r="11" spans="1:27" ht="31.5" customHeight="1" thickBot="1" x14ac:dyDescent="0.3">
      <c r="A11" s="199" t="s">
        <v>254</v>
      </c>
      <c r="B11" s="200"/>
      <c r="C11" s="201"/>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4"/>
      <c r="B12" s="195"/>
      <c r="C12" s="196"/>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A33" sqref="A33:J34"/>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5" t="s">
        <v>336</v>
      </c>
      <c r="B1" s="216"/>
      <c r="C1" s="216"/>
    </row>
    <row r="2" spans="1:3" ht="15.75" thickBot="1" x14ac:dyDescent="0.3">
      <c r="A2" s="74" t="s">
        <v>226</v>
      </c>
      <c r="B2" s="75" t="s">
        <v>313</v>
      </c>
      <c r="C2" s="75" t="s">
        <v>314</v>
      </c>
    </row>
    <row r="3" spans="1:3" ht="15.75" thickBot="1" x14ac:dyDescent="0.3">
      <c r="A3" s="217" t="s">
        <v>146</v>
      </c>
      <c r="B3" s="217" t="s">
        <v>315</v>
      </c>
      <c r="C3" s="54" t="s">
        <v>316</v>
      </c>
    </row>
    <row r="4" spans="1:3" ht="15.75" thickBot="1" x14ac:dyDescent="0.3">
      <c r="A4" s="218"/>
      <c r="B4" s="218"/>
      <c r="C4" s="54" t="s">
        <v>317</v>
      </c>
    </row>
    <row r="5" spans="1:3" ht="15.75" thickBot="1" x14ac:dyDescent="0.3">
      <c r="A5" s="218"/>
      <c r="B5" s="218"/>
      <c r="C5" s="54" t="s">
        <v>318</v>
      </c>
    </row>
    <row r="6" spans="1:3" ht="15.75" thickBot="1" x14ac:dyDescent="0.3">
      <c r="A6" s="218"/>
      <c r="B6" s="218"/>
      <c r="C6" s="54" t="s">
        <v>319</v>
      </c>
    </row>
    <row r="7" spans="1:3" ht="15.75" thickBot="1" x14ac:dyDescent="0.3">
      <c r="A7" s="218"/>
      <c r="B7" s="218"/>
      <c r="C7" s="54" t="s">
        <v>320</v>
      </c>
    </row>
    <row r="8" spans="1:3" ht="15.75" thickBot="1" x14ac:dyDescent="0.3">
      <c r="A8" s="219"/>
      <c r="B8" s="219"/>
      <c r="C8" s="54" t="s">
        <v>321</v>
      </c>
    </row>
    <row r="9" spans="1:3" ht="15.75" thickBot="1" x14ac:dyDescent="0.3">
      <c r="A9" s="217" t="s">
        <v>23</v>
      </c>
      <c r="B9" s="217" t="s">
        <v>322</v>
      </c>
      <c r="C9" s="54" t="s">
        <v>323</v>
      </c>
    </row>
    <row r="10" spans="1:3" ht="15.75" thickBot="1" x14ac:dyDescent="0.3">
      <c r="A10" s="218"/>
      <c r="B10" s="218"/>
      <c r="C10" s="54" t="s">
        <v>324</v>
      </c>
    </row>
    <row r="11" spans="1:3" ht="15.75" thickBot="1" x14ac:dyDescent="0.3">
      <c r="A11" s="218"/>
      <c r="B11" s="218"/>
      <c r="C11" s="54" t="s">
        <v>325</v>
      </c>
    </row>
    <row r="12" spans="1:3" ht="15.75" thickBot="1" x14ac:dyDescent="0.3">
      <c r="A12" s="219"/>
      <c r="B12" s="219"/>
      <c r="C12" s="54" t="s">
        <v>326</v>
      </c>
    </row>
    <row r="13" spans="1:3" ht="30.75" thickBot="1" x14ac:dyDescent="0.3">
      <c r="A13" s="46" t="s">
        <v>213</v>
      </c>
      <c r="B13" s="54" t="s">
        <v>213</v>
      </c>
      <c r="C13" s="54" t="s">
        <v>213</v>
      </c>
    </row>
    <row r="14" spans="1:3" ht="15.75" thickBot="1" x14ac:dyDescent="0.3">
      <c r="A14" s="217" t="s">
        <v>10</v>
      </c>
      <c r="B14" s="217" t="s">
        <v>337</v>
      </c>
      <c r="C14" s="54" t="s">
        <v>327</v>
      </c>
    </row>
    <row r="15" spans="1:3" ht="15.75" thickBot="1" x14ac:dyDescent="0.3">
      <c r="A15" s="218"/>
      <c r="B15" s="218"/>
      <c r="C15" s="54" t="s">
        <v>328</v>
      </c>
    </row>
    <row r="16" spans="1:3" ht="15.75" thickBot="1" x14ac:dyDescent="0.3">
      <c r="A16" s="218"/>
      <c r="B16" s="218"/>
      <c r="C16" s="54" t="s">
        <v>329</v>
      </c>
    </row>
    <row r="17" spans="1:3" ht="15.75" thickBot="1" x14ac:dyDescent="0.3">
      <c r="A17" s="219"/>
      <c r="B17" s="219"/>
      <c r="C17" s="54" t="s">
        <v>330</v>
      </c>
    </row>
    <row r="18" spans="1:3" ht="15.75" thickBot="1" x14ac:dyDescent="0.3">
      <c r="A18" s="217" t="s">
        <v>22</v>
      </c>
      <c r="B18" s="217" t="s">
        <v>331</v>
      </c>
      <c r="C18" s="54" t="s">
        <v>332</v>
      </c>
    </row>
    <row r="19" spans="1:3" ht="15.75" thickBot="1" x14ac:dyDescent="0.3">
      <c r="A19" s="218"/>
      <c r="B19" s="218"/>
      <c r="C19" s="54" t="s">
        <v>333</v>
      </c>
    </row>
    <row r="20" spans="1:3" ht="15.75" thickBot="1" x14ac:dyDescent="0.3">
      <c r="A20" s="218"/>
      <c r="B20" s="218"/>
      <c r="C20" s="54" t="s">
        <v>334</v>
      </c>
    </row>
    <row r="21" spans="1:3" ht="15.75" thickBot="1" x14ac:dyDescent="0.3">
      <c r="A21" s="219"/>
      <c r="B21" s="219"/>
      <c r="C21" s="54" t="s">
        <v>338</v>
      </c>
    </row>
    <row r="22" spans="1:3" ht="15.75" thickBot="1" x14ac:dyDescent="0.3">
      <c r="A22" s="46" t="s">
        <v>222</v>
      </c>
      <c r="B22" s="54" t="s">
        <v>335</v>
      </c>
      <c r="C22" s="54" t="s">
        <v>222</v>
      </c>
    </row>
    <row r="23" spans="1:3" x14ac:dyDescent="0.25">
      <c r="A23" s="80"/>
      <c r="B23" s="80"/>
      <c r="C23" s="80"/>
    </row>
    <row r="24" spans="1:3" ht="45.75" customHeight="1" x14ac:dyDescent="0.25">
      <c r="A24" s="213" t="s">
        <v>339</v>
      </c>
      <c r="B24" s="214"/>
      <c r="C24" s="214"/>
    </row>
    <row r="25" spans="1:3" ht="16.5" thickBot="1" x14ac:dyDescent="0.3">
      <c r="A25" s="77"/>
      <c r="B25"/>
      <c r="C25"/>
    </row>
    <row r="26" spans="1:3" ht="15.75" thickBot="1" x14ac:dyDescent="0.3">
      <c r="A26" s="74" t="s">
        <v>226</v>
      </c>
      <c r="B26" s="75" t="s">
        <v>313</v>
      </c>
      <c r="C26" s="75" t="s">
        <v>314</v>
      </c>
    </row>
    <row r="27" spans="1:3" ht="15.75" thickBot="1" x14ac:dyDescent="0.3">
      <c r="A27" s="217" t="s">
        <v>145</v>
      </c>
      <c r="B27" s="217" t="s">
        <v>340</v>
      </c>
      <c r="C27" s="54" t="s">
        <v>341</v>
      </c>
    </row>
    <row r="28" spans="1:3" ht="15.75" thickBot="1" x14ac:dyDescent="0.3">
      <c r="A28" s="218"/>
      <c r="B28" s="218"/>
      <c r="C28" s="54" t="s">
        <v>342</v>
      </c>
    </row>
    <row r="29" spans="1:3" ht="15.75" thickBot="1" x14ac:dyDescent="0.3">
      <c r="A29" s="218"/>
      <c r="B29" s="218"/>
      <c r="C29" s="54" t="s">
        <v>343</v>
      </c>
    </row>
    <row r="30" spans="1:3" ht="15.75" thickBot="1" x14ac:dyDescent="0.3">
      <c r="A30" s="218"/>
      <c r="B30" s="218"/>
      <c r="C30" s="54" t="s">
        <v>28</v>
      </c>
    </row>
    <row r="31" spans="1:3" ht="15.75" thickBot="1" x14ac:dyDescent="0.3">
      <c r="A31" s="218"/>
      <c r="B31" s="218"/>
      <c r="C31" s="54" t="s">
        <v>26</v>
      </c>
    </row>
    <row r="32" spans="1:3" ht="15.75" thickBot="1" x14ac:dyDescent="0.3">
      <c r="A32" s="219"/>
      <c r="B32" s="219"/>
      <c r="C32" s="54" t="s">
        <v>344</v>
      </c>
    </row>
    <row r="33" spans="1:3" ht="15.75" x14ac:dyDescent="0.25">
      <c r="A33" s="77"/>
      <c r="B33"/>
      <c r="C33"/>
    </row>
    <row r="34" spans="1:3" ht="42" customHeight="1" x14ac:dyDescent="0.25">
      <c r="A34" s="213" t="s">
        <v>345</v>
      </c>
      <c r="B34" s="214"/>
      <c r="C34" s="214"/>
    </row>
    <row r="35" spans="1:3" ht="15.75" thickBot="1" x14ac:dyDescent="0.3">
      <c r="A35" s="44"/>
      <c r="B35"/>
      <c r="C35"/>
    </row>
    <row r="36" spans="1:3" ht="15.75" thickBot="1" x14ac:dyDescent="0.3">
      <c r="A36" s="74" t="s">
        <v>226</v>
      </c>
      <c r="B36" s="75" t="s">
        <v>313</v>
      </c>
      <c r="C36" s="75" t="s">
        <v>314</v>
      </c>
    </row>
    <row r="37" spans="1:3" ht="30.75" thickBot="1" x14ac:dyDescent="0.3">
      <c r="A37" s="46" t="s">
        <v>53</v>
      </c>
      <c r="B37" s="54" t="s">
        <v>346</v>
      </c>
      <c r="C37" s="54" t="s">
        <v>53</v>
      </c>
    </row>
    <row r="38" spans="1:3" ht="75" x14ac:dyDescent="0.25">
      <c r="A38" s="217" t="s">
        <v>64</v>
      </c>
      <c r="B38" s="76" t="s">
        <v>347</v>
      </c>
      <c r="C38" s="217" t="s">
        <v>64</v>
      </c>
    </row>
    <row r="39" spans="1:3" ht="30" x14ac:dyDescent="0.25">
      <c r="A39" s="218"/>
      <c r="B39" s="76" t="s">
        <v>348</v>
      </c>
      <c r="C39" s="218"/>
    </row>
    <row r="40" spans="1:3" ht="30" x14ac:dyDescent="0.25">
      <c r="A40" s="218"/>
      <c r="B40" s="76" t="s">
        <v>349</v>
      </c>
      <c r="C40" s="218"/>
    </row>
    <row r="41" spans="1:3" x14ac:dyDescent="0.25">
      <c r="A41" s="218"/>
      <c r="B41" s="76" t="s">
        <v>350</v>
      </c>
      <c r="C41" s="218"/>
    </row>
    <row r="42" spans="1:3" ht="15.75" thickBot="1" x14ac:dyDescent="0.3">
      <c r="A42" s="219"/>
      <c r="B42" s="54" t="s">
        <v>351</v>
      </c>
      <c r="C42" s="219"/>
    </row>
    <row r="43" spans="1:3" ht="135.75" thickBot="1" x14ac:dyDescent="0.3">
      <c r="A43" s="46" t="s">
        <v>56</v>
      </c>
      <c r="B43" s="54" t="s">
        <v>352</v>
      </c>
      <c r="C43" s="54" t="s">
        <v>56</v>
      </c>
    </row>
    <row r="44" spans="1:3" ht="75.75" thickBot="1" x14ac:dyDescent="0.3">
      <c r="A44" s="46" t="s">
        <v>138</v>
      </c>
      <c r="B44" s="54" t="s">
        <v>353</v>
      </c>
      <c r="C44" s="54" t="s">
        <v>138</v>
      </c>
    </row>
    <row r="45" spans="1:3" ht="15.75" thickBot="1" x14ac:dyDescent="0.3">
      <c r="A45" s="217" t="s">
        <v>57</v>
      </c>
      <c r="B45" s="217" t="s">
        <v>354</v>
      </c>
      <c r="C45" s="54" t="s">
        <v>355</v>
      </c>
    </row>
    <row r="46" spans="1:3" ht="15.75" thickBot="1" x14ac:dyDescent="0.3">
      <c r="A46" s="218"/>
      <c r="B46" s="218"/>
      <c r="C46" s="54" t="s">
        <v>328</v>
      </c>
    </row>
    <row r="47" spans="1:3" ht="15.75" thickBot="1" x14ac:dyDescent="0.3">
      <c r="A47" s="218"/>
      <c r="B47" s="218"/>
      <c r="C47" s="54" t="s">
        <v>323</v>
      </c>
    </row>
    <row r="48" spans="1:3" ht="15.75" thickBot="1" x14ac:dyDescent="0.3">
      <c r="A48" s="218"/>
      <c r="B48" s="218"/>
      <c r="C48" s="54" t="s">
        <v>356</v>
      </c>
    </row>
    <row r="49" spans="1:3" ht="15.75" thickBot="1" x14ac:dyDescent="0.3">
      <c r="A49" s="219"/>
      <c r="B49" s="219"/>
      <c r="C49" s="54" t="s">
        <v>357</v>
      </c>
    </row>
    <row r="50" spans="1:3" ht="60.75" thickBot="1" x14ac:dyDescent="0.3">
      <c r="A50" s="46" t="s">
        <v>55</v>
      </c>
      <c r="B50" s="54" t="s">
        <v>358</v>
      </c>
      <c r="C50" s="54" t="s">
        <v>55</v>
      </c>
    </row>
    <row r="51" spans="1:3" ht="30" x14ac:dyDescent="0.25">
      <c r="A51" s="217" t="s">
        <v>52</v>
      </c>
      <c r="B51" s="76" t="s">
        <v>359</v>
      </c>
      <c r="C51" s="217" t="s">
        <v>52</v>
      </c>
    </row>
    <row r="52" spans="1:3" ht="45.75" thickBot="1" x14ac:dyDescent="0.3">
      <c r="A52" s="219"/>
      <c r="B52" s="54" t="s">
        <v>360</v>
      </c>
      <c r="C52" s="219"/>
    </row>
    <row r="53" spans="1:3" ht="45.75" thickBot="1" x14ac:dyDescent="0.3">
      <c r="A53" s="46" t="s">
        <v>18</v>
      </c>
      <c r="B53" s="54" t="s">
        <v>361</v>
      </c>
      <c r="C53" s="54" t="s">
        <v>18</v>
      </c>
    </row>
    <row r="54" spans="1:3" ht="30.75" thickBot="1" x14ac:dyDescent="0.3">
      <c r="A54" s="46" t="s">
        <v>144</v>
      </c>
      <c r="B54" s="54" t="s">
        <v>362</v>
      </c>
      <c r="C54" s="54" t="s">
        <v>363</v>
      </c>
    </row>
    <row r="55" spans="1:3" ht="15.75" x14ac:dyDescent="0.25">
      <c r="A55" s="77"/>
      <c r="B55"/>
      <c r="C55"/>
    </row>
    <row r="56" spans="1:3" ht="39" customHeight="1" x14ac:dyDescent="0.25">
      <c r="A56" s="213" t="s">
        <v>364</v>
      </c>
      <c r="B56" s="214"/>
      <c r="C56" s="214"/>
    </row>
    <row r="57" spans="1:3" ht="16.5" thickBot="1" x14ac:dyDescent="0.3">
      <c r="A57" s="77"/>
      <c r="B57"/>
      <c r="C57"/>
    </row>
    <row r="58" spans="1:3" ht="15.75" thickBot="1" x14ac:dyDescent="0.3">
      <c r="A58" s="74" t="s">
        <v>226</v>
      </c>
      <c r="B58" s="75" t="s">
        <v>313</v>
      </c>
      <c r="C58" s="75" t="s">
        <v>314</v>
      </c>
    </row>
    <row r="59" spans="1:3" ht="15.75" thickBot="1" x14ac:dyDescent="0.3">
      <c r="A59" s="46" t="s">
        <v>158</v>
      </c>
      <c r="B59" s="54" t="s">
        <v>365</v>
      </c>
      <c r="C59" s="54" t="s">
        <v>366</v>
      </c>
    </row>
    <row r="60" spans="1:3" ht="30" x14ac:dyDescent="0.25">
      <c r="A60" s="217" t="s">
        <v>45</v>
      </c>
      <c r="B60" s="76" t="s">
        <v>367</v>
      </c>
      <c r="C60" s="217" t="s">
        <v>374</v>
      </c>
    </row>
    <row r="61" spans="1:3" x14ac:dyDescent="0.25">
      <c r="A61" s="218"/>
      <c r="B61" s="76" t="s">
        <v>368</v>
      </c>
      <c r="C61" s="218"/>
    </row>
    <row r="62" spans="1:3" x14ac:dyDescent="0.25">
      <c r="A62" s="218"/>
      <c r="B62" s="76" t="s">
        <v>369</v>
      </c>
      <c r="C62" s="218"/>
    </row>
    <row r="63" spans="1:3" ht="15.75" thickBot="1" x14ac:dyDescent="0.3">
      <c r="A63" s="218"/>
      <c r="B63" s="76" t="s">
        <v>370</v>
      </c>
      <c r="C63" s="219"/>
    </row>
    <row r="64" spans="1:3" ht="15.75" thickBot="1" x14ac:dyDescent="0.3">
      <c r="A64" s="218"/>
      <c r="B64" s="76" t="s">
        <v>371</v>
      </c>
      <c r="C64" s="54" t="s">
        <v>375</v>
      </c>
    </row>
    <row r="65" spans="1:3" ht="30.75" thickBot="1" x14ac:dyDescent="0.3">
      <c r="A65" s="218"/>
      <c r="B65" s="76" t="s">
        <v>372</v>
      </c>
      <c r="C65" s="54" t="s">
        <v>376</v>
      </c>
    </row>
    <row r="66" spans="1:3" ht="75.75" thickBot="1" x14ac:dyDescent="0.3">
      <c r="A66" s="219"/>
      <c r="B66" s="54" t="s">
        <v>373</v>
      </c>
      <c r="C66" s="54" t="s">
        <v>377</v>
      </c>
    </row>
    <row r="67" spans="1:3" ht="90.75" thickBot="1" x14ac:dyDescent="0.3">
      <c r="A67" s="46" t="s">
        <v>48</v>
      </c>
      <c r="B67" s="54" t="s">
        <v>378</v>
      </c>
      <c r="C67" s="54" t="s">
        <v>48</v>
      </c>
    </row>
    <row r="68" spans="1:3" ht="30.75" thickBot="1" x14ac:dyDescent="0.3">
      <c r="A68" s="46" t="s">
        <v>163</v>
      </c>
      <c r="B68" s="54" t="s">
        <v>379</v>
      </c>
      <c r="C68" s="54" t="s">
        <v>163</v>
      </c>
    </row>
    <row r="69" spans="1:3" ht="15.75" thickBot="1" x14ac:dyDescent="0.3">
      <c r="A69" s="217" t="s">
        <v>46</v>
      </c>
      <c r="B69" s="76" t="s">
        <v>380</v>
      </c>
      <c r="C69" s="54" t="s">
        <v>382</v>
      </c>
    </row>
    <row r="70" spans="1:3" ht="90.75" thickBot="1" x14ac:dyDescent="0.3">
      <c r="A70" s="219"/>
      <c r="B70" s="54" t="s">
        <v>381</v>
      </c>
      <c r="C70" s="54" t="s">
        <v>383</v>
      </c>
    </row>
    <row r="71" spans="1:3" ht="15.75" x14ac:dyDescent="0.25">
      <c r="A71" s="77"/>
      <c r="B71"/>
      <c r="C71"/>
    </row>
    <row r="72" spans="1:3" ht="53.25" customHeight="1" x14ac:dyDescent="0.25">
      <c r="A72" s="213" t="s">
        <v>384</v>
      </c>
      <c r="B72" s="214"/>
      <c r="C72" s="214"/>
    </row>
    <row r="73" spans="1:3" ht="16.5" thickBot="1" x14ac:dyDescent="0.3">
      <c r="A73" s="77"/>
      <c r="B73"/>
      <c r="C73"/>
    </row>
    <row r="74" spans="1:3" ht="15.75" thickBot="1" x14ac:dyDescent="0.3">
      <c r="A74" s="74" t="s">
        <v>226</v>
      </c>
      <c r="B74" s="78" t="s">
        <v>313</v>
      </c>
      <c r="C74" s="75" t="s">
        <v>314</v>
      </c>
    </row>
    <row r="75" spans="1:3" ht="15.75" thickBot="1" x14ac:dyDescent="0.3">
      <c r="A75" s="217" t="s">
        <v>49</v>
      </c>
      <c r="B75" s="220" t="s">
        <v>385</v>
      </c>
      <c r="C75" s="54" t="s">
        <v>386</v>
      </c>
    </row>
    <row r="76" spans="1:3" ht="15.75" thickBot="1" x14ac:dyDescent="0.3">
      <c r="A76" s="218"/>
      <c r="B76" s="221"/>
      <c r="C76" s="54" t="s">
        <v>387</v>
      </c>
    </row>
    <row r="77" spans="1:3" ht="15.75" thickBot="1" x14ac:dyDescent="0.3">
      <c r="A77" s="218"/>
      <c r="B77" s="221"/>
      <c r="C77" s="54" t="s">
        <v>10</v>
      </c>
    </row>
    <row r="78" spans="1:3" ht="15.75" thickBot="1" x14ac:dyDescent="0.3">
      <c r="A78" s="219"/>
      <c r="B78" s="222"/>
      <c r="C78" s="54" t="s">
        <v>388</v>
      </c>
    </row>
    <row r="79" spans="1:3" ht="15.75" thickBot="1" x14ac:dyDescent="0.3">
      <c r="A79" s="217" t="s">
        <v>50</v>
      </c>
      <c r="B79" s="220" t="s">
        <v>389</v>
      </c>
      <c r="C79" s="54" t="s">
        <v>390</v>
      </c>
    </row>
    <row r="80" spans="1:3" ht="15.75" thickBot="1" x14ac:dyDescent="0.3">
      <c r="A80" s="218"/>
      <c r="B80" s="221"/>
      <c r="C80" s="54" t="s">
        <v>391</v>
      </c>
    </row>
    <row r="81" spans="1:3" ht="15.75" thickBot="1" x14ac:dyDescent="0.3">
      <c r="A81" s="219"/>
      <c r="B81" s="222"/>
      <c r="C81" s="54" t="s">
        <v>319</v>
      </c>
    </row>
    <row r="82" spans="1:3" ht="15.75" thickBot="1" x14ac:dyDescent="0.3">
      <c r="A82" s="217" t="s">
        <v>16</v>
      </c>
      <c r="B82" s="220" t="s">
        <v>392</v>
      </c>
      <c r="C82" s="54" t="s">
        <v>393</v>
      </c>
    </row>
    <row r="83" spans="1:3" ht="15.75" thickBot="1" x14ac:dyDescent="0.3">
      <c r="A83" s="218"/>
      <c r="B83" s="221"/>
      <c r="C83" s="54" t="s">
        <v>394</v>
      </c>
    </row>
    <row r="84" spans="1:3" ht="15.75" thickBot="1" x14ac:dyDescent="0.3">
      <c r="A84" s="218"/>
      <c r="B84" s="221"/>
      <c r="C84" s="54" t="s">
        <v>395</v>
      </c>
    </row>
    <row r="85" spans="1:3" ht="15.75" thickBot="1" x14ac:dyDescent="0.3">
      <c r="A85" s="219"/>
      <c r="B85" s="222"/>
      <c r="C85" s="54" t="s">
        <v>396</v>
      </c>
    </row>
    <row r="86" spans="1:3" ht="15.75" x14ac:dyDescent="0.25">
      <c r="A86" s="77"/>
      <c r="B86"/>
      <c r="C86"/>
    </row>
    <row r="87" spans="1:3" ht="22.5" customHeight="1" x14ac:dyDescent="0.25">
      <c r="A87" s="213" t="s">
        <v>397</v>
      </c>
      <c r="B87" s="214"/>
      <c r="C87" s="214"/>
    </row>
    <row r="88" spans="1:3" ht="16.5" thickBot="1" x14ac:dyDescent="0.3">
      <c r="A88" s="77"/>
      <c r="B88"/>
      <c r="C88"/>
    </row>
    <row r="89" spans="1:3" ht="15.75" thickBot="1" x14ac:dyDescent="0.3">
      <c r="A89" s="74" t="s">
        <v>226</v>
      </c>
      <c r="B89" s="75" t="s">
        <v>313</v>
      </c>
      <c r="C89" s="75" t="s">
        <v>314</v>
      </c>
    </row>
    <row r="90" spans="1:3" ht="30.75" thickBot="1" x14ac:dyDescent="0.3">
      <c r="A90" s="217" t="s">
        <v>30</v>
      </c>
      <c r="B90" s="217" t="s">
        <v>398</v>
      </c>
      <c r="C90" s="54" t="s">
        <v>399</v>
      </c>
    </row>
    <row r="91" spans="1:3" ht="15.75" thickBot="1" x14ac:dyDescent="0.3">
      <c r="A91" s="218"/>
      <c r="B91" s="218"/>
      <c r="C91" s="54" t="s">
        <v>400</v>
      </c>
    </row>
    <row r="92" spans="1:3" ht="15.75" thickBot="1" x14ac:dyDescent="0.3">
      <c r="A92" s="218"/>
      <c r="B92" s="218"/>
      <c r="C92" s="54" t="s">
        <v>401</v>
      </c>
    </row>
    <row r="93" spans="1:3" ht="15.75" thickBot="1" x14ac:dyDescent="0.3">
      <c r="A93" s="218"/>
      <c r="B93" s="218"/>
      <c r="C93" s="54" t="s">
        <v>402</v>
      </c>
    </row>
    <row r="94" spans="1:3" ht="15.75" thickBot="1" x14ac:dyDescent="0.3">
      <c r="A94" s="219"/>
      <c r="B94" s="219"/>
      <c r="C94" s="54" t="s">
        <v>403</v>
      </c>
    </row>
    <row r="95" spans="1:3" ht="15.75" thickBot="1" x14ac:dyDescent="0.3">
      <c r="A95" s="217" t="s">
        <v>32</v>
      </c>
      <c r="B95" s="217" t="s">
        <v>404</v>
      </c>
      <c r="C95" s="54" t="s">
        <v>405</v>
      </c>
    </row>
    <row r="96" spans="1:3" ht="15.75" thickBot="1" x14ac:dyDescent="0.3">
      <c r="A96" s="218"/>
      <c r="B96" s="218"/>
      <c r="C96" s="54" t="s">
        <v>406</v>
      </c>
    </row>
    <row r="97" spans="1:3" ht="15.75" thickBot="1" x14ac:dyDescent="0.3">
      <c r="A97" s="218"/>
      <c r="B97" s="218"/>
      <c r="C97" s="79" t="s">
        <v>407</v>
      </c>
    </row>
    <row r="98" spans="1:3" ht="15.75" thickBot="1" x14ac:dyDescent="0.3">
      <c r="A98" s="219"/>
      <c r="B98" s="219"/>
      <c r="C98" s="54" t="s">
        <v>408</v>
      </c>
    </row>
    <row r="99" spans="1:3" ht="15.75" thickBot="1" x14ac:dyDescent="0.3">
      <c r="A99" s="217" t="s">
        <v>34</v>
      </c>
      <c r="B99" s="217" t="s">
        <v>409</v>
      </c>
      <c r="C99" s="54" t="s">
        <v>410</v>
      </c>
    </row>
    <row r="100" spans="1:3" ht="27" customHeight="1" thickBot="1" x14ac:dyDescent="0.3">
      <c r="A100" s="218"/>
      <c r="B100" s="218"/>
      <c r="C100" s="54" t="s">
        <v>411</v>
      </c>
    </row>
    <row r="101" spans="1:3" ht="40.5" customHeight="1" thickBot="1" x14ac:dyDescent="0.3">
      <c r="A101" s="219"/>
      <c r="B101" s="219"/>
      <c r="C101" s="54" t="s">
        <v>412</v>
      </c>
    </row>
    <row r="102" spans="1:3" ht="45.75" thickBot="1" x14ac:dyDescent="0.3">
      <c r="A102" s="217" t="s">
        <v>38</v>
      </c>
      <c r="B102" s="217" t="s">
        <v>413</v>
      </c>
      <c r="C102" s="54" t="s">
        <v>414</v>
      </c>
    </row>
    <row r="103" spans="1:3" ht="15.75" thickBot="1" x14ac:dyDescent="0.3">
      <c r="A103" s="218"/>
      <c r="B103" s="218"/>
      <c r="C103" s="54" t="s">
        <v>415</v>
      </c>
    </row>
    <row r="104" spans="1:3" ht="30.75" thickBot="1" x14ac:dyDescent="0.3">
      <c r="A104" s="218"/>
      <c r="B104" s="218"/>
      <c r="C104" s="54" t="s">
        <v>416</v>
      </c>
    </row>
    <row r="105" spans="1:3" ht="15.75" thickBot="1" x14ac:dyDescent="0.3">
      <c r="A105" s="218"/>
      <c r="B105" s="218"/>
      <c r="C105" s="54" t="s">
        <v>417</v>
      </c>
    </row>
    <row r="106" spans="1:3" ht="15.75" thickBot="1" x14ac:dyDescent="0.3">
      <c r="A106" s="218"/>
      <c r="B106" s="218"/>
      <c r="C106" s="54" t="s">
        <v>418</v>
      </c>
    </row>
    <row r="107" spans="1:3" ht="15.75" thickBot="1" x14ac:dyDescent="0.3">
      <c r="A107" s="218"/>
      <c r="B107" s="218"/>
      <c r="C107" s="54" t="s">
        <v>419</v>
      </c>
    </row>
    <row r="108" spans="1:3" ht="15.75" thickBot="1" x14ac:dyDescent="0.3">
      <c r="A108" s="218"/>
      <c r="B108" s="218"/>
      <c r="C108" s="54" t="s">
        <v>420</v>
      </c>
    </row>
    <row r="109" spans="1:3" ht="30.75" thickBot="1" x14ac:dyDescent="0.3">
      <c r="A109" s="219"/>
      <c r="B109" s="219"/>
      <c r="C109" s="54" t="s">
        <v>421</v>
      </c>
    </row>
    <row r="110" spans="1:3" ht="15.75" thickBot="1" x14ac:dyDescent="0.3">
      <c r="A110" s="217" t="s">
        <v>37</v>
      </c>
      <c r="B110" s="217" t="s">
        <v>422</v>
      </c>
      <c r="C110" s="54" t="s">
        <v>423</v>
      </c>
    </row>
    <row r="111" spans="1:3" ht="15.75" thickBot="1" x14ac:dyDescent="0.3">
      <c r="A111" s="218"/>
      <c r="B111" s="218"/>
      <c r="C111" s="54" t="s">
        <v>424</v>
      </c>
    </row>
    <row r="112" spans="1:3" ht="15.75" thickBot="1" x14ac:dyDescent="0.3">
      <c r="A112" s="219"/>
      <c r="B112" s="219"/>
      <c r="C112" s="54" t="s">
        <v>425</v>
      </c>
    </row>
    <row r="113" spans="1:3" ht="15.75" thickBot="1" x14ac:dyDescent="0.3">
      <c r="A113" s="217" t="s">
        <v>39</v>
      </c>
      <c r="B113" s="217" t="s">
        <v>426</v>
      </c>
      <c r="C113" s="54" t="s">
        <v>427</v>
      </c>
    </row>
    <row r="114" spans="1:3" ht="15.75" thickBot="1" x14ac:dyDescent="0.3">
      <c r="A114" s="218"/>
      <c r="B114" s="218"/>
      <c r="C114" s="54" t="s">
        <v>428</v>
      </c>
    </row>
    <row r="115" spans="1:3" ht="15.75" thickBot="1" x14ac:dyDescent="0.3">
      <c r="A115" s="218"/>
      <c r="B115" s="218"/>
      <c r="C115" s="54" t="s">
        <v>429</v>
      </c>
    </row>
    <row r="116" spans="1:3" ht="15.75" thickBot="1" x14ac:dyDescent="0.3">
      <c r="A116" s="219"/>
      <c r="B116" s="219"/>
      <c r="C116" s="54" t="s">
        <v>430</v>
      </c>
    </row>
    <row r="117" spans="1:3" ht="15.75" thickBot="1" x14ac:dyDescent="0.3">
      <c r="A117" s="217" t="s">
        <v>33</v>
      </c>
      <c r="B117" s="217" t="s">
        <v>431</v>
      </c>
      <c r="C117" s="54" t="s">
        <v>432</v>
      </c>
    </row>
    <row r="118" spans="1:3" ht="15.75" thickBot="1" x14ac:dyDescent="0.3">
      <c r="A118" s="218"/>
      <c r="B118" s="218"/>
      <c r="C118" s="54" t="s">
        <v>433</v>
      </c>
    </row>
    <row r="119" spans="1:3" ht="15.75" thickBot="1" x14ac:dyDescent="0.3">
      <c r="A119" s="218"/>
      <c r="B119" s="218"/>
      <c r="C119" s="54" t="s">
        <v>434</v>
      </c>
    </row>
    <row r="120" spans="1:3" ht="15.75" thickBot="1" x14ac:dyDescent="0.3">
      <c r="A120" s="218"/>
      <c r="B120" s="218"/>
      <c r="C120" s="54" t="s">
        <v>435</v>
      </c>
    </row>
    <row r="121" spans="1:3" ht="15.75" thickBot="1" x14ac:dyDescent="0.3">
      <c r="A121" s="218"/>
      <c r="B121" s="218"/>
      <c r="C121" s="54" t="s">
        <v>436</v>
      </c>
    </row>
    <row r="122" spans="1:3" x14ac:dyDescent="0.25">
      <c r="A122" s="218"/>
      <c r="B122" s="218"/>
      <c r="C122" s="76" t="s">
        <v>437</v>
      </c>
    </row>
    <row r="123" spans="1:3" ht="15.75" thickBot="1" x14ac:dyDescent="0.3">
      <c r="A123" s="218"/>
      <c r="B123" s="218"/>
      <c r="C123" s="54" t="s">
        <v>438</v>
      </c>
    </row>
    <row r="124" spans="1:3" ht="15.75" thickBot="1" x14ac:dyDescent="0.3">
      <c r="A124" s="219"/>
      <c r="B124" s="219"/>
      <c r="C124" s="54" t="s">
        <v>439</v>
      </c>
    </row>
    <row r="125" spans="1:3" x14ac:dyDescent="0.25">
      <c r="A125" s="80"/>
      <c r="B125" s="80"/>
      <c r="C125" s="80"/>
    </row>
    <row r="126" spans="1:3" ht="50.25" customHeight="1" x14ac:dyDescent="0.25">
      <c r="A126" s="213" t="s">
        <v>440</v>
      </c>
      <c r="B126" s="214"/>
      <c r="C126" s="214"/>
    </row>
    <row r="127" spans="1:3" ht="16.5" thickBot="1" x14ac:dyDescent="0.3">
      <c r="A127" s="77"/>
      <c r="B127"/>
      <c r="C127"/>
    </row>
    <row r="128" spans="1:3" ht="15.75" thickBot="1" x14ac:dyDescent="0.3">
      <c r="A128" s="74" t="s">
        <v>226</v>
      </c>
      <c r="B128" s="75" t="s">
        <v>313</v>
      </c>
      <c r="C128" s="75" t="s">
        <v>314</v>
      </c>
    </row>
    <row r="129" spans="1:3" ht="15.75" thickBot="1" x14ac:dyDescent="0.3">
      <c r="A129" s="217" t="s">
        <v>60</v>
      </c>
      <c r="B129" s="217" t="s">
        <v>441</v>
      </c>
      <c r="C129" s="54" t="s">
        <v>442</v>
      </c>
    </row>
    <row r="130" spans="1:3" ht="15.75" thickBot="1" x14ac:dyDescent="0.3">
      <c r="A130" s="218"/>
      <c r="B130" s="218"/>
      <c r="C130" s="54" t="s">
        <v>443</v>
      </c>
    </row>
    <row r="131" spans="1:3" ht="15.75" thickBot="1" x14ac:dyDescent="0.3">
      <c r="A131" s="218"/>
      <c r="B131" s="218"/>
      <c r="C131" s="54" t="s">
        <v>444</v>
      </c>
    </row>
    <row r="132" spans="1:3" ht="15.75" thickBot="1" x14ac:dyDescent="0.3">
      <c r="A132" s="218"/>
      <c r="B132" s="218"/>
      <c r="C132" s="54" t="s">
        <v>445</v>
      </c>
    </row>
    <row r="133" spans="1:3" ht="30.75" thickBot="1" x14ac:dyDescent="0.3">
      <c r="A133" s="219"/>
      <c r="B133" s="219"/>
      <c r="C133" s="54" t="s">
        <v>446</v>
      </c>
    </row>
    <row r="134" spans="1:3" ht="15.75" thickBot="1" x14ac:dyDescent="0.3">
      <c r="A134" s="217" t="s">
        <v>62</v>
      </c>
      <c r="B134" s="217" t="s">
        <v>447</v>
      </c>
      <c r="C134" s="54" t="s">
        <v>448</v>
      </c>
    </row>
    <row r="135" spans="1:3" ht="15.75" thickBot="1" x14ac:dyDescent="0.3">
      <c r="A135" s="218"/>
      <c r="B135" s="218"/>
      <c r="C135" s="54" t="s">
        <v>449</v>
      </c>
    </row>
    <row r="136" spans="1:3" ht="15.75" thickBot="1" x14ac:dyDescent="0.3">
      <c r="A136" s="218"/>
      <c r="B136" s="218"/>
      <c r="C136" s="54" t="s">
        <v>450</v>
      </c>
    </row>
    <row r="137" spans="1:3" ht="15.75" thickBot="1" x14ac:dyDescent="0.3">
      <c r="A137" s="218"/>
      <c r="B137" s="218"/>
      <c r="C137" s="54" t="s">
        <v>451</v>
      </c>
    </row>
    <row r="138" spans="1:3" ht="15.75" thickBot="1" x14ac:dyDescent="0.3">
      <c r="A138" s="218"/>
      <c r="B138" s="218"/>
      <c r="C138" s="54" t="s">
        <v>452</v>
      </c>
    </row>
    <row r="139" spans="1:3" ht="15.75" thickBot="1" x14ac:dyDescent="0.3">
      <c r="A139" s="218"/>
      <c r="B139" s="218"/>
      <c r="C139" s="54" t="s">
        <v>453</v>
      </c>
    </row>
    <row r="140" spans="1:3" ht="15.75" thickBot="1" x14ac:dyDescent="0.3">
      <c r="A140" s="218"/>
      <c r="B140" s="218"/>
      <c r="C140" s="54" t="s">
        <v>454</v>
      </c>
    </row>
    <row r="141" spans="1:3" ht="15.75" thickBot="1" x14ac:dyDescent="0.3">
      <c r="A141" s="218"/>
      <c r="B141" s="218"/>
      <c r="C141" s="54" t="s">
        <v>455</v>
      </c>
    </row>
    <row r="142" spans="1:3" ht="15.75" thickBot="1" x14ac:dyDescent="0.3">
      <c r="A142" s="219"/>
      <c r="B142" s="219"/>
      <c r="C142" s="54" t="s">
        <v>456</v>
      </c>
    </row>
    <row r="143" spans="1:3" ht="15.75" thickBot="1" x14ac:dyDescent="0.3">
      <c r="A143" s="217" t="s">
        <v>63</v>
      </c>
      <c r="B143" s="217" t="s">
        <v>457</v>
      </c>
      <c r="C143" s="54" t="s">
        <v>458</v>
      </c>
    </row>
    <row r="144" spans="1:3" ht="15.75" thickBot="1" x14ac:dyDescent="0.3">
      <c r="A144" s="218"/>
      <c r="B144" s="218"/>
      <c r="C144" s="54" t="s">
        <v>459</v>
      </c>
    </row>
    <row r="145" spans="1:3" ht="15.75" thickBot="1" x14ac:dyDescent="0.3">
      <c r="A145" s="218"/>
      <c r="B145" s="218"/>
      <c r="C145" s="54" t="s">
        <v>460</v>
      </c>
    </row>
    <row r="146" spans="1:3" ht="15.75" thickBot="1" x14ac:dyDescent="0.3">
      <c r="A146" s="218"/>
      <c r="B146" s="218"/>
      <c r="C146" s="54" t="s">
        <v>461</v>
      </c>
    </row>
    <row r="147" spans="1:3" ht="15.75" thickBot="1" x14ac:dyDescent="0.3">
      <c r="A147" s="218"/>
      <c r="B147" s="218"/>
      <c r="C147" s="54" t="s">
        <v>462</v>
      </c>
    </row>
    <row r="148" spans="1:3" ht="15.75" thickBot="1" x14ac:dyDescent="0.3">
      <c r="A148" s="218"/>
      <c r="B148" s="218"/>
      <c r="C148" s="54" t="s">
        <v>463</v>
      </c>
    </row>
    <row r="149" spans="1:3" ht="15.75" thickBot="1" x14ac:dyDescent="0.3">
      <c r="A149" s="218"/>
      <c r="B149" s="218"/>
      <c r="C149" s="54" t="s">
        <v>464</v>
      </c>
    </row>
    <row r="150" spans="1:3" ht="15.75" thickBot="1" x14ac:dyDescent="0.3">
      <c r="A150" s="218"/>
      <c r="B150" s="218"/>
      <c r="C150" s="54" t="s">
        <v>465</v>
      </c>
    </row>
    <row r="151" spans="1:3" ht="15.75" thickBot="1" x14ac:dyDescent="0.3">
      <c r="A151" s="219"/>
      <c r="B151" s="219"/>
      <c r="C151" s="54" t="s">
        <v>40</v>
      </c>
    </row>
    <row r="152" spans="1:3" ht="15.75" thickBot="1" x14ac:dyDescent="0.3">
      <c r="A152" s="217" t="s">
        <v>59</v>
      </c>
      <c r="B152" s="217" t="s">
        <v>466</v>
      </c>
      <c r="C152" s="54" t="s">
        <v>467</v>
      </c>
    </row>
    <row r="153" spans="1:3" ht="15.75" thickBot="1" x14ac:dyDescent="0.3">
      <c r="A153" s="218"/>
      <c r="B153" s="218"/>
      <c r="C153" s="54" t="s">
        <v>468</v>
      </c>
    </row>
    <row r="154" spans="1:3" ht="15.75" thickBot="1" x14ac:dyDescent="0.3">
      <c r="A154" s="219"/>
      <c r="B154" s="219"/>
      <c r="C154" s="54" t="s">
        <v>469</v>
      </c>
    </row>
    <row r="155" spans="1:3" ht="15.75" thickBot="1" x14ac:dyDescent="0.3">
      <c r="A155" s="217" t="s">
        <v>61</v>
      </c>
      <c r="B155" s="217" t="s">
        <v>470</v>
      </c>
      <c r="C155" s="54" t="s">
        <v>471</v>
      </c>
    </row>
    <row r="156" spans="1:3" ht="15.75" thickBot="1" x14ac:dyDescent="0.3">
      <c r="A156" s="219"/>
      <c r="B156" s="219"/>
      <c r="C156" s="54" t="s">
        <v>472</v>
      </c>
    </row>
    <row r="157" spans="1:3" ht="30.75" thickBot="1" x14ac:dyDescent="0.3">
      <c r="A157" s="46" t="s">
        <v>58</v>
      </c>
      <c r="B157" s="54" t="s">
        <v>473</v>
      </c>
      <c r="C157" s="54" t="s">
        <v>58</v>
      </c>
    </row>
    <row r="158" spans="1:3" ht="15.75" thickBot="1" x14ac:dyDescent="0.3">
      <c r="A158" s="46" t="s">
        <v>12</v>
      </c>
      <c r="B158" s="54" t="s">
        <v>474</v>
      </c>
      <c r="C158" s="54" t="s">
        <v>12</v>
      </c>
    </row>
    <row r="159" spans="1:3" ht="15.75" x14ac:dyDescent="0.25">
      <c r="A159" s="77"/>
      <c r="B159"/>
      <c r="C159"/>
    </row>
    <row r="160" spans="1:3" ht="36.75" customHeight="1" x14ac:dyDescent="0.25">
      <c r="A160" s="213" t="s">
        <v>475</v>
      </c>
      <c r="B160" s="214"/>
      <c r="C160" s="214"/>
    </row>
    <row r="161" spans="1:3" ht="16.5" thickBot="1" x14ac:dyDescent="0.3">
      <c r="A161" s="77"/>
      <c r="B161"/>
      <c r="C161"/>
    </row>
    <row r="162" spans="1:3" ht="15.75" thickBot="1" x14ac:dyDescent="0.3">
      <c r="A162" s="74" t="s">
        <v>226</v>
      </c>
      <c r="B162" s="75" t="s">
        <v>313</v>
      </c>
      <c r="C162" s="75" t="s">
        <v>314</v>
      </c>
    </row>
    <row r="163" spans="1:3" ht="30.75" thickBot="1" x14ac:dyDescent="0.3">
      <c r="A163" s="46" t="s">
        <v>44</v>
      </c>
      <c r="B163" s="54" t="s">
        <v>476</v>
      </c>
      <c r="C163" s="54" t="s">
        <v>44</v>
      </c>
    </row>
    <row r="164" spans="1:3" ht="30.75" thickBot="1" x14ac:dyDescent="0.3">
      <c r="A164" s="46" t="s">
        <v>42</v>
      </c>
      <c r="B164" s="54" t="s">
        <v>477</v>
      </c>
      <c r="C164" s="54" t="s">
        <v>42</v>
      </c>
    </row>
    <row r="165" spans="1:3" ht="15.75" thickBot="1" x14ac:dyDescent="0.3">
      <c r="A165" s="46" t="s">
        <v>41</v>
      </c>
      <c r="B165" s="54" t="s">
        <v>478</v>
      </c>
      <c r="C165" s="54" t="s">
        <v>41</v>
      </c>
    </row>
    <row r="166" spans="1:3" ht="15.75" thickBot="1" x14ac:dyDescent="0.3">
      <c r="A166" s="46" t="s">
        <v>43</v>
      </c>
      <c r="B166" s="54" t="s">
        <v>479</v>
      </c>
      <c r="C166" s="54" t="s">
        <v>43</v>
      </c>
    </row>
    <row r="167" spans="1:3" ht="30.75" thickBot="1" x14ac:dyDescent="0.3">
      <c r="A167" s="46" t="s">
        <v>40</v>
      </c>
      <c r="B167" s="54" t="s">
        <v>480</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2015-06-29T15:32:04Z</cp:lastPrinted>
  <dcterms:created xsi:type="dcterms:W3CDTF">2015-03-19T18:31:05Z</dcterms:created>
  <dcterms:modified xsi:type="dcterms:W3CDTF">2015-07-02T22:36:39Z</dcterms:modified>
</cp:coreProperties>
</file>