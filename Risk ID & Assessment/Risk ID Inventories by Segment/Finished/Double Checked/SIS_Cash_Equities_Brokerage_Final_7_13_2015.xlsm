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DE2" lockStructure="1"/>
  <bookViews>
    <workbookView xWindow="240" yWindow="60" windowWidth="15120" windowHeight="8325" tabRatio="928" activeTab="2"/>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8" r:id="rId15"/>
    <sheet name="2" sheetId="9" r:id="rId16"/>
    <sheet name="3" sheetId="10" r:id="rId17"/>
    <sheet name="4" sheetId="11" r:id="rId18"/>
    <sheet name="5" sheetId="12"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'13'!$A$1:$C$12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Documentation'!$1:$20</definedName>
    <definedName name="_xlnm.Print_Area" localSheetId="8">Assessments!$A$1:$C$44</definedName>
    <definedName name="_xlnm.Print_Area" localSheetId="7">'Audit Findings'!$A$1:$F$37</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Metrics!$A$1:$G$34</definedName>
    <definedName name="_xlnm.Print_Area" localSheetId="4">'New Products'!$A$1:$F$12</definedName>
    <definedName name="_xlnm.Print_Area" localSheetId="5">'Off-Balance Sheet'!$A$1:$A$12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<sst xmlns="http://schemas.openxmlformats.org/spreadsheetml/2006/main" count="1384" uniqueCount="577">
  <si>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</si>
  <si>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</si>
  <si>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</si>
  <si>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</si>
  <si>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</si>
  <si>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</si>
  <si>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</si>
  <si>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</si>
  <si>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</si>
  <si>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</si>
  <si>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</si>
  <si>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</si>
  <si>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</si>
  <si>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</si>
  <si>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</si>
  <si>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</si>
  <si>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</si>
  <si>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</si>
  <si>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</si>
  <si>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</si>
  <si>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</si>
  <si>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</si>
  <si>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</si>
  <si>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</si>
  <si>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</si>
  <si>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</si>
  <si>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</si>
  <si>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</si>
  <si>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</si>
  <si>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</si>
  <si>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</si>
  <si>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</si>
  <si>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</si>
  <si>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</si>
  <si>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</si>
  <si>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</si>
  <si>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</si>
  <si>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</si>
  <si>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</si>
  <si>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</si>
  <si>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</si>
  <si>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</si>
  <si>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</si>
  <si>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</si>
  <si>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</si>
  <si>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</si>
  <si>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</si>
  <si>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</si>
  <si>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</si>
  <si>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</si>
  <si>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</si>
  <si>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</si>
  <si>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</si>
  <si>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</si>
  <si>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</si>
  <si>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</si>
  <si>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</si>
  <si>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</si>
  <si>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</si>
  <si>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</si>
  <si>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</si>
  <si>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</si>
  <si>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</si>
  <si>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</si>
  <si>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</si>
  <si>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</si>
  <si>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</si>
  <si>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</si>
  <si>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</si>
  <si>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</si>
  <si>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</si>
  <si>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</si>
  <si>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</si>
  <si>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</si>
  <si>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</si>
  <si>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</si>
  <si>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</si>
  <si>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</si>
  <si>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</si>
  <si>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</si>
  <si>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</si>
  <si>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</si>
  <si>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</si>
  <si>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</si>
  <si>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</si>
  <si>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</si>
  <si>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</si>
  <si>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</si>
  <si>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</si>
  <si>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</si>
  <si>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</si>
  <si>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</si>
  <si>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</si>
  <si>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</si>
  <si>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</si>
  <si>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</si>
  <si>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</si>
  <si>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</si>
  <si>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</si>
  <si>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</si>
  <si>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</si>
  <si>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</si>
  <si>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</si>
  <si>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</si>
  <si>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</si>
  <si>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</si>
  <si>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</si>
  <si>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</si>
  <si>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</si>
  <si>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</si>
  <si>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</si>
  <si>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</si>
  <si>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</si>
  <si>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</si>
  <si>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</si>
  <si>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</si>
  <si>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</si>
  <si>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</si>
  <si>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</si>
  <si>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</si>
  <si>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</si>
  <si>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</si>
  <si>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</si>
  <si>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</si>
  <si>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</si>
  <si>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</si>
  <si>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</si>
  <si>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</si>
  <si>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</si>
  <si>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</si>
  <si>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</si>
  <si>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</si>
  <si>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</si>
  <si>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</si>
  <si>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</si>
  <si>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</si>
  <si>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</si>
  <si>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</si>
  <si>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</si>
  <si>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</si>
  <si>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</si>
  <si>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</si>
  <si>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</si>
  <si>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</si>
  <si>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</si>
  <si>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</si>
  <si>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</si>
  <si>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</si>
  <si>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</si>
  <si>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</si>
  <si>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</si>
  <si>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</si>
  <si>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</si>
  <si>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</si>
  <si>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</si>
  <si>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</si>
  <si>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</si>
  <si>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</si>
  <si>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</si>
  <si>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</si>
  <si>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</si>
  <si>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</si>
  <si>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</si>
  <si>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</si>
  <si>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</si>
  <si>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</si>
  <si>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</si>
  <si>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</si>
  <si>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</si>
  <si>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</si>
  <si>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</si>
  <si>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</si>
  <si>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</si>
  <si>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</si>
  <si>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</si>
  <si>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</si>
  <si>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</si>
  <si>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</si>
  <si>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</si>
  <si>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</si>
  <si>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</si>
  <si>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</si>
  <si>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</si>
  <si>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</si>
  <si>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</si>
  <si>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</si>
  <si>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</si>
  <si>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</si>
  <si>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</si>
  <si>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</si>
  <si>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</si>
  <si>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</si>
  <si>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</si>
  <si>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</si>
  <si>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</si>
  <si>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</si>
  <si>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</si>
  <si>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</si>
  <si>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</si>
  <si>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</si>
  <si>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</si>
  <si>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</si>
  <si>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</si>
  <si>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</si>
  <si>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</si>
  <si>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</si>
  <si>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</si>
  <si>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</si>
  <si>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</si>
  <si>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</si>
  <si>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</si>
  <si>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</si>
  <si>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</si>
  <si>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</si>
  <si>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</si>
  <si>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</si>
  <si>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</si>
  <si>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</si>
  <si>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</si>
  <si>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</si>
  <si>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</si>
  <si>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</si>
  <si>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</si>
  <si>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</si>
  <si>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</si>
  <si>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</si>
  <si>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</si>
  <si>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</si>
  <si>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</si>
  <si>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</si>
  <si>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</si>
  <si>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</si>
  <si>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</si>
  <si>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</si>
  <si>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</si>
  <si>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</si>
  <si>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</si>
  <si>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</si>
  <si>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</si>
  <si>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</si>
  <si>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</si>
  <si>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</si>
  <si>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</si>
  <si>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</si>
  <si>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</si>
  <si>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</si>
  <si>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</si>
  <si>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</si>
  <si>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</si>
  <si>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</si>
  <si>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</si>
  <si>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</si>
  <si>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</si>
  <si>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</si>
  <si>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</si>
  <si>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</si>
  <si>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</si>
  <si>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</si>
  <si>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</si>
  <si>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</si>
  <si>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</si>
  <si>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</si>
  <si>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</si>
  <si>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2. Business Overview</t>
  </si>
  <si>
    <t>3. Process Followed</t>
  </si>
  <si>
    <t>4. Strategic Plan</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</si>
  <si>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</si>
  <si>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</si>
  <si>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</si>
  <si>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</si>
  <si>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</si>
  <si>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</si>
  <si>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</si>
  <si>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</si>
  <si>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</si>
  <si>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</si>
  <si>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</si>
  <si>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</si>
  <si>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</si>
  <si>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</si>
  <si>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</si>
  <si>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</si>
  <si>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</si>
  <si>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</si>
  <si>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</si>
  <si>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</si>
  <si>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</si>
  <si>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</si>
  <si>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</si>
  <si>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</si>
  <si>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</si>
  <si>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</si>
  <si>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</si>
  <si>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</si>
  <si>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</si>
  <si>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High level summary of vendor management program highlighting any significant events over the past 12 months:</t>
  </si>
  <si>
    <t>Summary results of most recent Credit Assessment:</t>
  </si>
  <si>
    <t>Summary results of most recent Model Assessment:</t>
  </si>
  <si>
    <t>Highlight any other key inputs which informed the assessment and how they were used:</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</si>
  <si>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</si>
  <si>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</si>
  <si>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</si>
  <si>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</si>
  <si>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</si>
  <si>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</si>
  <si>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</si>
  <si>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</si>
  <si>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</si>
  <si>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</si>
  <si>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</si>
  <si>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Santander Holdings USA</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</si>
  <si>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</si>
  <si>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</si>
  <si>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</si>
  <si>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</si>
  <si>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</si>
  <si>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</si>
  <si>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</si>
  <si>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</si>
  <si>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</si>
  <si>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</si>
  <si>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</si>
  <si>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</si>
  <si>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</si>
  <si>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</si>
  <si>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</si>
  <si>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</si>
  <si>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</si>
  <si>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</si>
  <si>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</si>
  <si>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</si>
  <si>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</si>
  <si>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</si>
  <si>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</si>
  <si>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</si>
  <si>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</si>
  <si>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</si>
  <si>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</si>
  <si>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</si>
  <si>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</si>
  <si>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</si>
  <si>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</si>
  <si>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</si>
  <si>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</si>
  <si>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</si>
  <si>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</si>
  <si>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</si>
  <si>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</si>
  <si>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</si>
  <si>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</si>
  <si>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</si>
  <si>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</si>
  <si>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</si>
  <si>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</si>
  <si>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</si>
  <si>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</si>
  <si>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</si>
  <si>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</si>
  <si>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</si>
  <si>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</si>
  <si>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</si>
  <si>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</si>
  <si>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</si>
  <si>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</si>
  <si>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</si>
  <si>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</si>
  <si>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</si>
  <si>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</si>
  <si>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</si>
  <si>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</si>
  <si>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</si>
  <si>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</si>
  <si>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</si>
  <si>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Price Risk Includes the potential economic impact (decrease in the value of assets) that could be derived from SHUSA’s Subsidiaries participating in the underwriting of equity or debt capital markets transactions that are not fully sold into the market, and where the Subsidiary retains on its balance sheet a higher amount of exposure than anticipated.</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</si>
  <si>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</si>
  <si>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</si>
  <si>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</si>
  <si>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</si>
  <si>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</si>
  <si>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</si>
  <si>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</si>
  <si>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</si>
  <si>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</si>
  <si>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</si>
  <si>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</si>
  <si>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</si>
  <si>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</si>
  <si>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</si>
  <si>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</si>
  <si>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</si>
  <si>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</si>
  <si>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</si>
  <si>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</si>
  <si>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</si>
  <si>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</si>
  <si>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</si>
  <si>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</si>
  <si>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</si>
  <si>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</si>
  <si>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</si>
  <si>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</si>
  <si>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</si>
  <si>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</si>
  <si>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</si>
  <si>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</si>
  <si>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</si>
  <si>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</si>
  <si>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</si>
  <si>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</si>
  <si>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</si>
  <si>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</si>
  <si>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</si>
  <si>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</si>
  <si>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</si>
  <si>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</si>
  <si>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</si>
  <si>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</si>
  <si>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</si>
  <si>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</si>
  <si>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</si>
  <si>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</si>
  <si>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</si>
  <si>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</si>
  <si>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</si>
  <si>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</si>
  <si>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</si>
  <si>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</si>
  <si>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</si>
  <si>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</si>
  <si>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</si>
  <si>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</si>
  <si>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</si>
  <si>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</si>
  <si>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</si>
  <si>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</si>
  <si>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</si>
  <si>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</si>
  <si>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</si>
  <si>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</si>
  <si>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</si>
  <si>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</si>
  <si>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</si>
  <si>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</si>
  <si>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</si>
  <si>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</si>
  <si>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</si>
  <si>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</si>
  <si>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</si>
  <si>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</si>
  <si>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</si>
  <si>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</si>
  <si>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</si>
  <si>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</si>
  <si>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</si>
  <si>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</si>
  <si>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</si>
  <si>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</si>
  <si>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</si>
  <si>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</si>
  <si>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</si>
  <si>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</si>
  <si>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</si>
  <si>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</si>
  <si>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</si>
  <si>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</si>
  <si>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</si>
  <si>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</si>
  <si>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</si>
  <si>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</si>
  <si>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</si>
  <si>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</si>
  <si>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</si>
  <si>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</si>
  <si>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</si>
  <si>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</si>
  <si>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</si>
  <si>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</si>
  <si>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</si>
  <si>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</si>
  <si>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</si>
  <si>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</si>
  <si>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</si>
  <si>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</si>
  <si>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</si>
  <si>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</si>
  <si>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</si>
  <si>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</si>
  <si>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</si>
  <si>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</si>
  <si>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</si>
  <si>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</si>
  <si>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</si>
  <si>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</si>
  <si>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</si>
  <si>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</si>
  <si>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</si>
  <si>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</si>
  <si>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</si>
  <si>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</si>
  <si>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</si>
  <si>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</si>
  <si>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</si>
  <si>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</si>
  <si>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10.5 Credit Assessments</t>
  </si>
  <si>
    <t>10.6 Model Assessments</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</si>
  <si>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</si>
  <si>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</si>
  <si>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</si>
  <si>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</si>
  <si>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</si>
  <si>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</si>
  <si>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SHUSA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</si>
  <si>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</si>
  <si>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</si>
  <si>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</si>
  <si>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</si>
  <si>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</si>
  <si>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</si>
  <si>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</si>
  <si>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</si>
  <si>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</si>
  <si>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</si>
  <si>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</si>
  <si>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</si>
  <si>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This section should be a high level overview of Material Risks identified:</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</si>
  <si>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the business:
</t>
  </si>
  <si>
    <r>
      <t xml:space="preserve">Risk Driver </t>
    </r>
    <r>
      <rPr>
        <sz val="10"/>
        <color theme="1"/>
        <rFont val="Calibri"/>
        <family val="2"/>
        <scheme val="minor"/>
      </rPr>
      <t>- The economic, business or regulatory force(s) leading to the potential increase(s) in the Risk profile as capture under the 'Stressed Financial Impact'. Drivers(s) must be supported in the 'Financial Impact Rationale'.</t>
    </r>
  </si>
  <si>
    <r>
      <t xml:space="preserve">Risk Driver </t>
    </r>
    <r>
      <rPr>
        <sz val="10"/>
        <color theme="1"/>
        <rFont val="Calibri"/>
        <family val="2"/>
        <scheme val="minor"/>
      </rPr>
      <t>- The economic, business or regulatory force(s) leading to the potential increase(s) in the Risk profile as capture under the 'Stressed Financial Impact'. Driver(s) must be supported in the 'Financial Impact Rationale'.</t>
    </r>
  </si>
  <si>
    <t>Enter significant Audit/Regulatory finds and/or resolutions since the last annual assessment cycle (and those still open).</t>
  </si>
  <si>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xml:space="preserve">- An annual expected loss that considers a severe combination of circumstances that could reasonably be expected to occur in one annual period out of ten.  </t>
    </r>
  </si>
  <si>
    <r>
      <t>Annual Expected Loss (Base)</t>
    </r>
    <r>
      <rPr>
        <sz val="10"/>
        <color theme="1"/>
        <rFont val="Calibri"/>
        <family val="2"/>
        <scheme val="minor"/>
      </rPr>
      <t xml:space="preserve"> - A reasonable expectation of a negative impact to revenues/expenses within the next 12 month period in baseline conditions. This considers the amount at risk along with the current control environment both the design and effectiveness.
</t>
    </r>
  </si>
  <si>
    <t>Material Risk Tool version 1.3 updated May 27, 2015</t>
  </si>
  <si>
    <t>10.7  Compliance Assessment</t>
  </si>
  <si>
    <t>Summary results of most recent Compliance Assessment:</t>
  </si>
  <si>
    <t>10.8  Other</t>
  </si>
  <si>
    <t>Executive Session  May 27, 2015
Training Session June 3, 2015
Material Risk Workshop - June 9, 2015</t>
  </si>
  <si>
    <t xml:space="preserve">Cash Equities Brokerage </t>
  </si>
  <si>
    <t xml:space="preserve"> The SIS Inc. does not have any assets or liabilities which do not appear on the balance sheet. 
</t>
  </si>
  <si>
    <t>Marcio Souza</t>
  </si>
  <si>
    <t>Equity Sales and Trading</t>
  </si>
  <si>
    <t>GBM</t>
  </si>
  <si>
    <t>Review in progress -Internal Audit Annual SIS Audit</t>
  </si>
  <si>
    <t>Open. Results anticipated June 30, 2015</t>
  </si>
  <si>
    <t>N/A</t>
  </si>
  <si>
    <t>In Progress (expected report date June 30, 2015.</t>
  </si>
  <si>
    <t xml:space="preserve">SIS has not had a RCSA buisness assessment.  </t>
  </si>
  <si>
    <t xml:space="preserve">No significant failures or significant events over the last 12 months.  The most current Business Continuity test was on December 11, 2014.  The objectives were satisfactorily completed with one exception Straight Through Processing did not flow from front to back office.  This was due to the complexities of interfaces between front/middle/bak systems and the time needed to configure the whole process required a timeframe more than one day and therefore was out of scope for the test.  Suggested solution to be considered for next test would entail after the trades are input into the the front office system, they are printed and input into the back office systems manually until all processes are configures and operational.
</t>
  </si>
  <si>
    <t>N/A: RCSA Assessment has not occurred.</t>
  </si>
  <si>
    <t>SIS engaged in a workshop approach for identification of Material Risks for each of the business segments including Cash Equities, Debt Underwriting, Equity Underwriting, Fixed Income/Bond Trading, Futures Brokerage Activity, Fixed Income and Equity Research, Treasury and Technology and Operations.  The workshops took place between June 9, 2015 and June 16th 2015.  The workshops were led by the first line of defense point of contact for each business segment along with subject matter experts in the business line and representation from the risk areas including credit, market, operational, liquidity, along with compliance, legal, finance, HR and technology and operations.  Enrichment and aggregation of the Material Risks will occur following the workshops with guidance from the SIS and Branch Compliance Team.  The business segment material risk inventory will be delivered to SHUSA on June 30, 2015.  SIS will produce an aggregate list of Material Risks which will go through review and challenge in both July and August with the final deliverable to SHUSA on August 31, 2015.</t>
  </si>
  <si>
    <t xml:space="preserve">Marcio Souza, Andrew Schwartz, Ron Grimsby, Stephen O'Connell, Carlos Nieto, Mercedes Pacheco, Delaney William, Rita Walz-Cuccioli, Wayne Ward </t>
  </si>
  <si>
    <t xml:space="preserve">Currently, the Chief Operational Risk Officer is the executive primarily responsible for administering and maintaining the Vendor Management Policy. The Chief Operational Risk Officer, will review the accuracy and inclusion of a central repository database, maintained by Isban Branch US , of all technology vendors and their relationship with the Bank. At least two times per year a formal reconciliation of the invoices to the vendor list is completed by Isban US and provided to the Chief Operational Risk Officer to ensure that the vendor lists are current.  At the discretion of the Chief Operational Risk Officer, a project committee may be appointed, as needed, to implement and monitor requirements and goals of the policy. Determining compliance with the policy should be considered during audits of both information systems and business areas responsible for using vendors. Each vendor must have a designated bank officer who is accountable for the relationship (“Accountable Officer”) and compliance of that vendor with the policy with the assistance of Isban Branch US .  Other bank officers, employees and departments are assigned specific responsibilities within the policy.  Based on the risk rating and the judgment of both the accountable officer and the Chief Operational Risk Officer, the service level for certain vendors may be reported on a monthly basis to the Chief Operating Risk Officer. The Factories provide monthly service level information (consolidated from accountable officers) for the following vendors whose perceived risk rating has been judgmentally increased to “Higher” from Average: 1) Broadridge, 2) Produban, and 3) Iron Mountain. This information is included in the ISBAN Branch US – Monthly IT Report provided to the Chief Operational Risk Officer and Operational Risk Management group.
</t>
  </si>
  <si>
    <t>10.4 IT Risk Assessments</t>
  </si>
  <si>
    <t>IT Risk assessment is currently in progress. Target completion is June 30, 2015.
An IT Risk Assessment is completed on a biannual basis. The assessment includes a review of the Information Securities policies and procedures. In addition, best practices for IT Risk are reviewed as compared with similar banks. Suggested updates to the procedures are documented and reviewed with the owners.  Procedures are updated as required. The IT Risk Assessment is currently in progress with a target completion of July 2015.</t>
  </si>
  <si>
    <t xml:space="preserve">We are currently conducting an audit of various business lines compliance with critical rules established by FINRA and CFTC.  Relevant issues raised will be reported to management in due course (mid-to-late July).
</t>
  </si>
  <si>
    <t xml:space="preserve">Santander Investment Securities Inc. (“SIS”) is a fully registered broker-dealer, focused on research and equity trading of Latin American and European Securities. Salesforce increases information flow and access to markets to our institutional client base by  promoting and distributing research generated by locally-based research teams that provide added-value information to investors located in the US and overseas .  This is coupled with the execution capabilities in the US and international markets that offer insight to local capital flows. SIS also acts as underwriter of equity transactions and distribute deals to institutional client base.
</t>
  </si>
  <si>
    <t xml:space="preserve">Electronic Trading and latest technology enhancements have driven efficiency high and reduced execution cost (commission). Margin compression has demanded more efficiency from our product. In order to manage our Trading system platform more efficiency, keep costs under-control and cope with constant regulatory demands, we are working on transition of our Fidessa OMS (Order Management System) from produban / isban to Fidessa hosted solution. This will help SIS to tackle most regulatory needs as well as add scalability to platform to offer direct market access to our client base.
</t>
  </si>
  <si>
    <t xml:space="preserve">DMA / DSA offering </t>
  </si>
  <si>
    <t xml:space="preserve">Pending Global Product Committee approval </t>
  </si>
  <si>
    <t>None</t>
  </si>
  <si>
    <t xml:space="preserve">None
</t>
  </si>
  <si>
    <t>Ongoing Regulatory System Updates for Trading Platform</t>
  </si>
  <si>
    <t>Controls to ensure our department keeps up to date with the regulatory updates.  Front Office does review industry trends.  Front Office makes suggestions for IT implementation of our trading platform. Escalation process for updates depending on the regulatory nature/priority of the enhancements required.</t>
  </si>
  <si>
    <t>Yearly potential loss could be $1-$5M due to non compliance to the regulations and/or revenue loss.</t>
  </si>
  <si>
    <t>Relationship Managers Critical Resources</t>
  </si>
  <si>
    <t xml:space="preserve">Controls to keep our critical resources include Santander cultural enhancements and career assessment and development. </t>
  </si>
  <si>
    <t>Retention Ratio</t>
  </si>
  <si>
    <t>Exchange Traded Derivatives</t>
  </si>
  <si>
    <t>Arbitrage/Client Facilitation</t>
  </si>
  <si>
    <t xml:space="preserve">Note: YTD results are as of June 23, 2015. </t>
  </si>
  <si>
    <t xml:space="preserve">ORCG reconciles the Compliance log to what is in ADP and Pershing (US Equities) on a monthly basis. Significant differences like P&amp;L impact greater than $10,000 for a specific security or missing item (i.e. error or faci booking) is documented. (Error Report and the daily dashboard).
</t>
  </si>
  <si>
    <t>All significant risk events are reviewed at the monthly Risk Committee.  The meeting is chaired by the CRO. Areas reviewed monthly include  market risk metrics related to the ETD business, including a price sensitivity analysis of the positions held at CME; a review of the margin requirements and the amount of excess margin maintained by the customer; counterpart credit risk; liquidity risk and the liquidity buffer; operational risk and a review of operational errors and failure in processes;  a report from Information Technology and Operations (ITOPs) reviewing significant items and tolerance metrics; compliance matters including any  examination reviews and findings; and, legal matters including threatened and pending litigation.</t>
  </si>
  <si>
    <t xml:space="preserve">Two material risks were noted for Cash Equities Brokerage.  A material risk surrounding the trading platform and the ability to keep the platform up to date with the regulatory requirements was noted.  In addition, employee retention in the group of four was also deemed a material risk.
</t>
  </si>
  <si>
    <t>The Equities division is made up of small focused teams (4 people) per area.  While Santander does promote a culture of opportunity and competitive compensation as compared with similar size banks. With both retention and compensation controls we still face losing teams to compensation which has occurred in the past resulting in teams leaving the firm together.  If we were to have a team leave the group, we do not have adequate back up to step in and cover for short term.   The transition period to rebuild the key relationships which are lost when a team leaves the firm is a major stress on the unit and can result in further exposure to end clients.</t>
  </si>
  <si>
    <t>$1-5MM.  Dependent on turnover of the team and the likelihood of this occurrence.</t>
  </si>
  <si>
    <t>The critical platform for the front office is the Fidessa Order Management System.  A patch is periodically sent for us to install. We are reliant on both Produban and Isban in NY, Madrid and Mexico to make the regulatory updates to our systems.  The coordination often results in delays and slower turnaround to complete the updates.  In addition,  issues arise when their are business needs (other than regulatory needs) which we are unable to get these updates to the system as Produban and Isban are maxed with the regulatory updates. To mitigate this issue, we are looking to put in place a managed enterprise by Fidessa hosted solution.  We will have a more standardized solution to keep up with regulatory requirements and version updates. NY has approved the Fidessa hosted solution. Currently, we are awaiting Mexico approval.</t>
  </si>
  <si>
    <t>N.A</t>
  </si>
  <si>
    <t xml:space="preserve">The compliance assessment was done on April 8, 2015. The line of business rating aggregation calculation of the inherent risk is 2.0 which is low-moderate, the control effectiveness is 2.7 which is satisfactory, and the residual risk is 2.35 which is low-moderate. It is important to note that although some areas of regulation may have low inherent risk, the lack of effective controls increases the residual risk beyond the inherent risk level. 
                                                                                                                                                                                                                   Areas of High &amp; Elevated Residual Risk                                                                                                                                              Volcker Rule 
The Volcker Rule prohibits proprietary trading by banking entities. As an affiliate of Banco Santander S.A., SIS must maintain policies and procedures that ensure compliance with the rule. The policies and procedures have yet to be implemented due to the nuances in the permitted activities in relation to SIS’s current business. To some extent there are controls in place that observe proprietary trading activity. Proprietary facilitation and error accounts are reviews on a daily basis by compliance, and the activity is documented in the compliance log. Therefore, the inherent risk is elevated. However, the residual risk is high because SIS does not have controls or policies and procedures to address and document how its activity is in compliance with Volcker Rule Metrics at this time. A trader must demonstrate through data and metrics that a principal trade in a proprietary account can be substantiated as an anticipation of a client order. Business area managers are currently awaiting recommendations from KPMG, an outside consultant. 
Market Access Rule - SEC rule 15c3-5 
The market access rule requires brokers or dealers with access to trading directly on an exchange or alternative trading system, including those providing sponsored or direct market access to customers or other persons, to implement risk management control and supervisory procedures reasonably designed to manage the financial, regulatory and other risks of this business activity.  Although SIS does not offer market access to customers in the form of direct market access or sponsored access, the firm itself has market access and is therefore subject to the compliance with the rule.   
The Equities Trading Department in conjunction with Operational Risk, Market Risk, and Compliance Departments must implement risk management controls and supervisory procedures reasonably designed to systematically limit the financial exposure of SIS that could arise as a result of market access, including preventing the entry of orders that exceed appropriate pre-set credit or capital thresholds. SIS should monitor on an ongoing basis whether the credit thresholds remain appropriate, and promptly make adjustments to them, and its controls and procedures, as warranted. Traders have pre-set order dollar amount limits of 25 million dollars and total daily limit of 250 million dollars. SIS should be prepared to show why it selected a particular threshold, how that threshold meaningfully limits the financial exposure potentially generated by the customer or its own trading activity, and the process by which it monitors the continued appropriateness of those thresholds on an ongoing basis. The system controls for ensuring compliance with the market access rule must also be tested on a periodic basis to ensure that the order entry controls (ex. “fat finger” checks) are effective. 
Supervisory Policies and Procedures - NASD Rule 3010 - Supervision; FINRA Rule 2010 - Standards of Commercial Honor and Principles of Trade 
Policies and procedures must be reasonably designed to achieve compliance with applicable federal securities laws and regulations. Due to the ever-changing nature of the regulatory environment, elevated regulatory scrutiny of our business and internal changes to the supervisory process, maintaining an adequate supervisory system poses an inherent risk of moderate. In order to mitigate this risk, written policies and procedures must be treated as a “living” document and should provide a road map for the supervisory system personnel to follow when they conduct each review, Among other things, the nature of the business actually conducted by SIS, the manner in which the WSPs are implemented and followed, and the extent to which the firm updates and revises its procedures to reflect operating experience and change ( both regulatory and operational) are important factors in determining future compliance with applicable rules. WSPs should not be updated only to reflect changes to rules and regulations, but also when changes are made to the supervisory process. 
Based upon the review of the areas in the Equity Trading Compliance Matrix, the WSP’s need to be updated to address the review procedure, frequency of review, individual and/or department responsible for the review, and how the review will be documented. For instance, policies and procedures reference SOES, OATS Phases, and individuals that are no longer employed; therefore the procedure is either inapplicable or inaccurate and should be updated. Policies and procedures have been implemented regarding SEC Rule 602 of Reg NMS and SEA Rule 10b-18 corporate buy backs but need to be incorporated into the manual.  Therefore, the residual risk is elevated. 
The Volcker Rule compliance program is on schedule for implementation by the corporate deadline. The Market Access P&amp;Ps are currently being implemented. The Equity Desk manual has been updated and implemented. The remaining risks identified are moderate to low and have either been corrected or a manual process implemented until updated systems are in place. Currently these risks do not rise to a status of material. 
It is important to recognize the distinction between written compliance guidelines and written supervisory procedures. Compliance guidelines generally set forth the applicable rules and policies that must be adhered to and describe specific practices that are prohibited. In contrast, written supervisory procedures document the supervisory system that has been established to ensure that compliance guidelines are being followed and to prevent and detect prohibited practices.   
The equities trading business is governed by numerous rules and regulations that require monitoring through the use of exception reports. Many exceptions are triggered by internal systemic discrepancies or external changes to the market (e.g. share volume, trading halts, and circuit breakers) that cannot be properly detected through manual review process. The current surveillance process of the business is mostly manual and therefore increases the risk of error due to human oversight in detecting potential violations. Exception reports are limited and lack information necessary to eliminate manual checks. Therefore, in order to implement effective controls, technological resources need to be allocated to design controls that are primarily preventative, applied at the appropriate frequency and fully tested periodically to ensure that there is a surveillance system.   
</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</si>
</sst>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65"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b/>
      <sz val="26"/>
      <color theme="1"/>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17">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4" fillId="35" borderId="4" xfId="0" applyFont="1" applyFill="1" applyBorder="1" applyAlignment="1">
      <alignment vertical="center" wrapText="1"/>
    </xf>
    <xf numFmtId="0" fontId="54"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6"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8"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2" fillId="0" borderId="2" xfId="0" applyFont="1" applyBorder="1" applyAlignment="1" applyProtection="1">
      <alignment vertical="center" wrapText="1"/>
      <protection locked="0"/>
    </xf>
    <xf numFmtId="14" fontId="62" fillId="0" borderId="2" xfId="0" applyNumberFormat="1" applyFont="1" applyBorder="1" applyAlignment="1" applyProtection="1">
      <alignment vertical="center" wrapText="1"/>
      <protection locked="0"/>
    </xf>
    <xf numFmtId="6" fontId="62" fillId="0" borderId="2" xfId="0" applyNumberFormat="1" applyFont="1" applyBorder="1" applyAlignment="1" applyProtection="1">
      <alignment vertical="center" wrapText="1"/>
      <protection locked="0"/>
    </xf>
    <xf numFmtId="0" fontId="62" fillId="0" borderId="21" xfId="0" applyFont="1" applyBorder="1" applyAlignment="1" applyProtection="1">
      <alignment vertical="center" wrapText="1"/>
      <protection locked="0"/>
    </xf>
    <xf numFmtId="0" fontId="62" fillId="0" borderId="26" xfId="0" applyFont="1" applyBorder="1" applyAlignment="1" applyProtection="1">
      <alignment vertical="center" wrapText="1"/>
      <protection locked="0"/>
    </xf>
    <xf numFmtId="14" fontId="62" fillId="0" borderId="21" xfId="0" applyNumberFormat="1" applyFont="1" applyBorder="1" applyAlignment="1" applyProtection="1">
      <alignment vertical="center" wrapText="1"/>
      <protection locked="0"/>
    </xf>
    <xf numFmtId="0" fontId="55" fillId="31" borderId="0" xfId="0" applyFont="1" applyFill="1"/>
    <xf numFmtId="0" fontId="0" fillId="0" borderId="0" xfId="0" applyAlignment="1">
      <alignment vertical="top"/>
    </xf>
    <xf numFmtId="0" fontId="0" fillId="31" borderId="0" xfId="0" applyFill="1" applyAlignment="1">
      <alignment vertical="top"/>
    </xf>
    <xf numFmtId="0" fontId="62" fillId="0" borderId="2" xfId="0" applyFont="1" applyBorder="1" applyAlignment="1" applyProtection="1">
      <alignment vertical="center" wrapText="1"/>
      <protection locked="0"/>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64" fillId="31" borderId="0" xfId="0" applyFont="1" applyFill="1" applyAlignment="1" applyProtection="1">
      <alignment horizontal="center" vertical="center" wrapText="1"/>
      <protection locked="0"/>
    </xf>
    <xf numFmtId="0" fontId="6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62" fillId="0" borderId="30" xfId="0" applyFont="1" applyBorder="1" applyAlignment="1" applyProtection="1">
      <alignment vertical="center" wrapText="1"/>
      <protection locked="0"/>
    </xf>
    <xf numFmtId="0" fontId="63" fillId="0" borderId="31" xfId="0" applyFont="1" applyBorder="1" applyAlignment="1" applyProtection="1">
      <protection locked="0"/>
    </xf>
    <xf numFmtId="0" fontId="63" fillId="0" borderId="32"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19" fillId="34" borderId="35" xfId="0" applyFont="1" applyFill="1" applyBorder="1" applyAlignment="1" applyProtection="1">
      <alignment vertical="top" wrapText="1"/>
      <protection locked="0"/>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21" xfId="0" applyBorder="1" applyAlignment="1">
      <alignment vertical="top" wrapText="1"/>
    </xf>
    <xf numFmtId="0" fontId="41" fillId="31" borderId="18" xfId="0" applyFont="1" applyFill="1" applyBorder="1" applyAlignment="1">
      <alignment vertical="top" wrapText="1"/>
    </xf>
    <xf numFmtId="0" fontId="0" fillId="0" borderId="19" xfId="0" applyBorder="1" applyAlignment="1" applyProtection="1">
      <alignment vertical="top"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20" xfId="0" applyFill="1" applyBorder="1" applyAlignment="1">
      <alignment vertical="top" wrapText="1"/>
    </xf>
    <xf numFmtId="0" fontId="0" fillId="31" borderId="18" xfId="0" applyFill="1" applyBorder="1" applyAlignment="1">
      <alignment wrapText="1"/>
    </xf>
    <xf numFmtId="0" fontId="0" fillId="0" borderId="44" xfId="0" applyBorder="1" applyAlignment="1">
      <alignment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0" fillId="31" borderId="18" xfId="0" applyFill="1" applyBorder="1" applyAlignment="1">
      <alignment vertical="top"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5" fillId="0" borderId="16" xfId="0" applyFont="1" applyBorder="1" applyAlignment="1">
      <alignment vertical="center" wrapText="1"/>
    </xf>
    <xf numFmtId="0" fontId="55" fillId="0" borderId="41" xfId="0" applyFont="1" applyBorder="1" applyAlignment="1">
      <alignment vertical="center" wrapText="1"/>
    </xf>
    <xf numFmtId="0" fontId="55" fillId="0" borderId="26" xfId="0" applyFont="1" applyBorder="1" applyAlignment="1">
      <alignment vertical="center"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view="pageLayout" zoomScaleNormal="90" workbookViewId="0"/>
  </sheetViews>
  <sheetFormatPr defaultColWidth="0" defaultRowHeight="0" customHeight="1" zeroHeight="1" x14ac:dyDescent="0.25"/>
  <cols>
    <col min="1" max="1" width="28.85546875" style="103" customWidth="1"/>
    <col min="2" max="2" width="9.140625" style="103" customWidth="1"/>
    <col min="3" max="3" width="13" style="103" customWidth="1"/>
    <col min="4" max="4" width="13.140625" style="103" customWidth="1"/>
    <col min="5" max="5" width="47.7109375" style="103"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519</v>
      </c>
      <c r="B1" s="43"/>
      <c r="C1" s="43"/>
      <c r="D1" s="43"/>
      <c r="E1" s="43"/>
      <c r="AA1" s="43">
        <v>0</v>
      </c>
    </row>
    <row r="2" spans="1:27" ht="15" x14ac:dyDescent="0.25">
      <c r="A2" s="43"/>
      <c r="B2" s="43"/>
      <c r="C2" s="43"/>
      <c r="D2" s="43"/>
      <c r="E2" s="118" t="s">
        <v>531</v>
      </c>
    </row>
    <row r="3" spans="1:27" ht="15" x14ac:dyDescent="0.25">
      <c r="A3" s="39"/>
      <c r="B3" s="39"/>
      <c r="C3" s="39"/>
      <c r="D3" s="39"/>
      <c r="E3" s="122" t="s">
        <v>513</v>
      </c>
      <c r="F3" s="123"/>
    </row>
    <row r="4" spans="1:27" ht="15" x14ac:dyDescent="0.25">
      <c r="A4" s="39"/>
      <c r="B4" s="39"/>
      <c r="C4" s="39"/>
      <c r="D4" s="39"/>
      <c r="E4" s="124"/>
      <c r="F4" s="125"/>
    </row>
    <row r="5" spans="1:27" ht="4.5" customHeight="1" x14ac:dyDescent="0.25">
      <c r="A5" s="39"/>
      <c r="B5" s="39"/>
      <c r="C5" s="39"/>
      <c r="D5" s="39"/>
      <c r="E5" s="124"/>
      <c r="F5" s="125"/>
    </row>
    <row r="6" spans="1:27" ht="4.5" customHeight="1" x14ac:dyDescent="0.25">
      <c r="A6" s="39"/>
      <c r="B6" s="39"/>
      <c r="C6" s="39"/>
      <c r="D6" s="39"/>
      <c r="E6" s="124"/>
      <c r="F6" s="125"/>
    </row>
    <row r="7" spans="1:27" ht="15" x14ac:dyDescent="0.25">
      <c r="A7" s="39"/>
      <c r="B7" s="39"/>
      <c r="C7" s="39"/>
      <c r="D7" s="39"/>
      <c r="E7" s="124"/>
      <c r="F7" s="125"/>
    </row>
    <row r="8" spans="1:27" ht="15" x14ac:dyDescent="0.25">
      <c r="A8" s="39"/>
      <c r="B8" s="39"/>
      <c r="C8" s="39"/>
      <c r="D8" s="39"/>
      <c r="E8" s="124"/>
      <c r="F8" s="125"/>
    </row>
    <row r="9" spans="1:27" ht="15" x14ac:dyDescent="0.25">
      <c r="A9" s="39"/>
      <c r="B9" s="39"/>
      <c r="C9" s="39"/>
      <c r="D9" s="39"/>
      <c r="E9" s="124"/>
      <c r="F9" s="125"/>
    </row>
    <row r="10" spans="1:27" ht="15" hidden="1" customHeight="1" x14ac:dyDescent="0.25">
      <c r="A10" s="39"/>
      <c r="B10" s="39"/>
      <c r="C10" s="39"/>
      <c r="D10" s="39"/>
      <c r="E10" s="124"/>
      <c r="F10" s="125"/>
    </row>
    <row r="11" spans="1:27" ht="15" hidden="1" customHeight="1" x14ac:dyDescent="0.25">
      <c r="A11" s="39"/>
      <c r="B11" s="39"/>
      <c r="C11" s="39"/>
      <c r="D11" s="39"/>
      <c r="E11" s="124"/>
      <c r="F11" s="125"/>
    </row>
    <row r="12" spans="1:27" ht="15" hidden="1" customHeight="1" x14ac:dyDescent="0.25">
      <c r="A12" s="108"/>
      <c r="B12" s="39"/>
      <c r="C12" s="39"/>
      <c r="D12" s="39"/>
      <c r="E12" s="124"/>
      <c r="F12" s="125"/>
    </row>
    <row r="13" spans="1:27" ht="15" x14ac:dyDescent="0.25">
      <c r="A13" s="39"/>
      <c r="B13" s="39"/>
      <c r="C13" s="39"/>
      <c r="D13" s="39"/>
      <c r="E13" s="124"/>
      <c r="F13" s="125"/>
    </row>
    <row r="14" spans="1:27" ht="15" customHeight="1" x14ac:dyDescent="0.25">
      <c r="A14" s="128" t="s">
        <v>523</v>
      </c>
      <c r="B14" s="129"/>
      <c r="C14" s="130"/>
      <c r="D14" s="130"/>
      <c r="E14" s="124"/>
      <c r="F14" s="125"/>
    </row>
    <row r="15" spans="1:27" ht="15" customHeight="1" x14ac:dyDescent="0.25">
      <c r="A15" s="131"/>
      <c r="B15" s="132"/>
      <c r="C15" s="133"/>
      <c r="D15" s="133"/>
      <c r="E15" s="124"/>
      <c r="F15" s="125"/>
    </row>
    <row r="16" spans="1:27" ht="15" customHeight="1" x14ac:dyDescent="0.25">
      <c r="A16" s="131"/>
      <c r="B16" s="132"/>
      <c r="C16" s="133"/>
      <c r="D16" s="133"/>
      <c r="E16" s="124"/>
      <c r="F16" s="125"/>
    </row>
    <row r="17" spans="1:6" ht="53.25" customHeight="1" x14ac:dyDescent="0.25">
      <c r="A17" s="131"/>
      <c r="B17" s="132"/>
      <c r="C17" s="133"/>
      <c r="D17" s="133"/>
      <c r="E17" s="124"/>
      <c r="F17" s="125"/>
    </row>
    <row r="18" spans="1:6" ht="15" x14ac:dyDescent="0.25">
      <c r="A18" s="131"/>
      <c r="B18" s="132"/>
      <c r="C18" s="133"/>
      <c r="D18" s="133"/>
      <c r="E18" s="124"/>
      <c r="F18" s="125"/>
    </row>
    <row r="19" spans="1:6" ht="15" x14ac:dyDescent="0.25">
      <c r="A19" s="131"/>
      <c r="B19" s="132"/>
      <c r="C19" s="133"/>
      <c r="D19" s="133"/>
      <c r="E19" s="124"/>
      <c r="F19" s="125"/>
    </row>
    <row r="20" spans="1:6" ht="15" x14ac:dyDescent="0.25">
      <c r="A20" s="131"/>
      <c r="B20" s="132"/>
      <c r="C20" s="133"/>
      <c r="D20" s="133"/>
      <c r="E20" s="124"/>
      <c r="F20" s="125"/>
    </row>
    <row r="21" spans="1:6" ht="15" x14ac:dyDescent="0.25">
      <c r="A21" s="131"/>
      <c r="B21" s="132"/>
      <c r="C21" s="133"/>
      <c r="D21" s="133"/>
      <c r="E21" s="124"/>
      <c r="F21" s="125"/>
    </row>
    <row r="22" spans="1:6" ht="15" x14ac:dyDescent="0.25">
      <c r="A22" s="131"/>
      <c r="B22" s="132"/>
      <c r="C22" s="133"/>
      <c r="D22" s="133"/>
      <c r="E22" s="124"/>
      <c r="F22" s="125"/>
    </row>
    <row r="23" spans="1:6" ht="15" x14ac:dyDescent="0.25">
      <c r="A23" s="131"/>
      <c r="B23" s="132"/>
      <c r="C23" s="133"/>
      <c r="D23" s="133"/>
      <c r="E23" s="124"/>
      <c r="F23" s="125"/>
    </row>
    <row r="24" spans="1:6" ht="15" customHeight="1" x14ac:dyDescent="0.25">
      <c r="A24" s="131"/>
      <c r="B24" s="132"/>
      <c r="C24" s="133"/>
      <c r="D24" s="133"/>
      <c r="E24" s="124"/>
      <c r="F24" s="125"/>
    </row>
    <row r="25" spans="1:6" ht="15" customHeight="1" x14ac:dyDescent="0.25">
      <c r="A25" s="131"/>
      <c r="B25" s="132"/>
      <c r="C25" s="133"/>
      <c r="D25" s="133"/>
      <c r="E25" s="124"/>
      <c r="F25" s="125"/>
    </row>
    <row r="26" spans="1:6" ht="15" customHeight="1" x14ac:dyDescent="0.25">
      <c r="A26" s="131"/>
      <c r="B26" s="132"/>
      <c r="C26" s="133"/>
      <c r="D26" s="133"/>
      <c r="E26" s="124"/>
      <c r="F26" s="125"/>
    </row>
    <row r="27" spans="1:6" ht="36" customHeight="1" x14ac:dyDescent="0.25">
      <c r="A27" s="131"/>
      <c r="B27" s="132"/>
      <c r="C27" s="133"/>
      <c r="D27" s="133"/>
      <c r="E27" s="124"/>
      <c r="F27" s="125"/>
    </row>
    <row r="28" spans="1:6" ht="36" customHeight="1" x14ac:dyDescent="0.25">
      <c r="A28" s="131"/>
      <c r="B28" s="132"/>
      <c r="C28" s="133"/>
      <c r="D28" s="133"/>
      <c r="E28" s="124"/>
      <c r="F28" s="125"/>
    </row>
    <row r="29" spans="1:6" ht="36" customHeight="1" x14ac:dyDescent="0.25">
      <c r="A29" s="131"/>
      <c r="B29" s="132"/>
      <c r="C29" s="133"/>
      <c r="D29" s="133"/>
      <c r="E29" s="124"/>
      <c r="F29" s="125"/>
    </row>
    <row r="30" spans="1:6" ht="36" customHeight="1" x14ac:dyDescent="0.25">
      <c r="A30" s="131"/>
      <c r="B30" s="132"/>
      <c r="C30" s="133"/>
      <c r="D30" s="133"/>
      <c r="E30" s="124"/>
      <c r="F30" s="125"/>
    </row>
    <row r="31" spans="1:6" ht="36" customHeight="1" x14ac:dyDescent="0.25">
      <c r="A31" s="131"/>
      <c r="B31" s="132"/>
      <c r="C31" s="133"/>
      <c r="D31" s="133"/>
      <c r="E31" s="124"/>
      <c r="F31" s="125"/>
    </row>
    <row r="32" spans="1:6" ht="15" x14ac:dyDescent="0.25">
      <c r="A32" s="131"/>
      <c r="B32" s="132"/>
      <c r="C32" s="133"/>
      <c r="D32" s="133"/>
      <c r="E32" s="124"/>
      <c r="F32" s="125"/>
    </row>
    <row r="33" spans="1:6" ht="15" customHeight="1" x14ac:dyDescent="0.25">
      <c r="A33" s="131"/>
      <c r="B33" s="132"/>
      <c r="C33" s="133"/>
      <c r="D33" s="133"/>
      <c r="E33" s="124"/>
      <c r="F33" s="125"/>
    </row>
    <row r="34" spans="1:6" ht="15" customHeight="1" x14ac:dyDescent="0.25">
      <c r="A34" s="131"/>
      <c r="B34" s="132"/>
      <c r="C34" s="133"/>
      <c r="D34" s="133"/>
      <c r="E34" s="124"/>
      <c r="F34" s="125"/>
    </row>
    <row r="35" spans="1:6" ht="15" x14ac:dyDescent="0.25">
      <c r="A35" s="131"/>
      <c r="B35" s="132"/>
      <c r="C35" s="133"/>
      <c r="D35" s="133"/>
      <c r="E35" s="124"/>
      <c r="F35" s="125"/>
    </row>
    <row r="36" spans="1:6" ht="31.5" customHeight="1" x14ac:dyDescent="0.25">
      <c r="A36" s="131"/>
      <c r="B36" s="132"/>
      <c r="C36" s="133"/>
      <c r="D36" s="133"/>
      <c r="E36" s="124"/>
      <c r="F36" s="125"/>
    </row>
    <row r="37" spans="1:6" ht="31.5" customHeight="1" x14ac:dyDescent="0.25">
      <c r="A37" s="131"/>
      <c r="B37" s="132"/>
      <c r="C37" s="133"/>
      <c r="D37" s="133"/>
      <c r="E37" s="124"/>
      <c r="F37" s="125"/>
    </row>
    <row r="38" spans="1:6" ht="31.5" customHeight="1" x14ac:dyDescent="0.25">
      <c r="A38" s="131"/>
      <c r="B38" s="132"/>
      <c r="C38" s="133"/>
      <c r="D38" s="133"/>
      <c r="E38" s="124"/>
      <c r="F38" s="125"/>
    </row>
    <row r="39" spans="1:6" ht="31.5" customHeight="1" x14ac:dyDescent="0.25">
      <c r="A39" s="131"/>
      <c r="B39" s="132"/>
      <c r="C39" s="133"/>
      <c r="D39" s="133"/>
      <c r="E39" s="124"/>
      <c r="F39" s="125"/>
    </row>
    <row r="40" spans="1:6" ht="15" x14ac:dyDescent="0.25">
      <c r="A40" s="134"/>
      <c r="B40" s="135"/>
      <c r="C40" s="136"/>
      <c r="D40" s="136"/>
      <c r="E40" s="126"/>
      <c r="F40" s="127"/>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topLeftCell="A11" zoomScaleNormal="100" zoomScaleSheetLayoutView="100" workbookViewId="0">
      <selection activeCell="E37" sqref="E37"/>
    </sheetView>
  </sheetViews>
  <sheetFormatPr defaultColWidth="0" defaultRowHeight="15" zeroHeight="1" x14ac:dyDescent="0.25"/>
  <cols>
    <col min="1" max="8" width="9.140625" style="43" customWidth="1"/>
    <col min="9" max="10" width="7.7109375" style="43" customWidth="1"/>
    <col min="11" max="11" width="7.7109375" style="119" hidden="1" customWidth="1"/>
    <col min="12" max="15" width="3.85546875" style="119" hidden="1" customWidth="1"/>
    <col min="16" max="16384" width="0.85546875" style="43" hidden="1"/>
  </cols>
  <sheetData>
    <row r="1" spans="1:15 16383:16383" ht="21" x14ac:dyDescent="0.35">
      <c r="B1" s="88"/>
      <c r="L1" s="39"/>
      <c r="M1" s="39"/>
      <c r="N1" s="39"/>
      <c r="O1" s="39"/>
      <c r="XFC1" s="43" t="s">
        <v>494</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8"/>
      <c r="L12" s="36"/>
      <c r="M12" s="36"/>
      <c r="N12" s="36"/>
      <c r="O12" s="36"/>
    </row>
    <row r="13" spans="1:15 16383:16383" x14ac:dyDescent="0.25">
      <c r="K13" s="36"/>
      <c r="L13" s="36"/>
      <c r="M13" s="36"/>
      <c r="N13" s="36"/>
      <c r="O13" s="36"/>
    </row>
    <row r="14" spans="1:15 16383:16383" x14ac:dyDescent="0.25">
      <c r="A14" s="137" t="s">
        <v>310</v>
      </c>
      <c r="B14" s="138"/>
      <c r="C14" s="138"/>
      <c r="D14" s="138"/>
      <c r="E14" s="138"/>
      <c r="F14" s="138"/>
      <c r="G14" s="138"/>
      <c r="H14" s="138"/>
      <c r="I14" s="138"/>
      <c r="J14" s="138"/>
      <c r="K14" s="120"/>
    </row>
    <row r="15" spans="1:15 16383:16383" x14ac:dyDescent="0.25">
      <c r="A15" s="138"/>
      <c r="B15" s="138"/>
      <c r="C15" s="138"/>
      <c r="D15" s="138"/>
      <c r="E15" s="138"/>
      <c r="F15" s="138"/>
      <c r="G15" s="138"/>
      <c r="H15" s="138"/>
      <c r="I15" s="138"/>
      <c r="J15" s="138"/>
    </row>
    <row r="16" spans="1:15 16383:16383" x14ac:dyDescent="0.25">
      <c r="A16" s="138"/>
      <c r="B16" s="138"/>
      <c r="C16" s="138"/>
      <c r="D16" s="138"/>
      <c r="E16" s="138"/>
      <c r="F16" s="138"/>
      <c r="G16" s="138"/>
      <c r="H16" s="138"/>
      <c r="I16" s="138"/>
      <c r="J16" s="138"/>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39" t="s">
        <v>483</v>
      </c>
      <c r="B24" s="140"/>
      <c r="C24" s="140"/>
      <c r="D24" s="140"/>
      <c r="E24" s="140"/>
      <c r="F24" s="140"/>
      <c r="G24" s="140"/>
      <c r="H24" s="140"/>
      <c r="I24" s="140"/>
      <c r="J24" s="140"/>
    </row>
    <row r="25" spans="1:10" x14ac:dyDescent="0.25">
      <c r="A25" s="140"/>
      <c r="B25" s="140"/>
      <c r="C25" s="140"/>
      <c r="D25" s="140"/>
      <c r="E25" s="140"/>
      <c r="F25" s="140"/>
      <c r="G25" s="140"/>
      <c r="H25" s="140"/>
      <c r="I25" s="140"/>
      <c r="J25" s="140"/>
    </row>
    <row r="26" spans="1:10" x14ac:dyDescent="0.25">
      <c r="A26" s="140"/>
      <c r="B26" s="140"/>
      <c r="C26" s="140"/>
      <c r="D26" s="140"/>
      <c r="E26" s="140"/>
      <c r="F26" s="140"/>
      <c r="G26" s="140"/>
      <c r="H26" s="140"/>
      <c r="I26" s="140"/>
      <c r="J26" s="140"/>
    </row>
    <row r="27" spans="1:10" x14ac:dyDescent="0.25">
      <c r="A27" s="141"/>
      <c r="B27" s="141"/>
      <c r="C27" s="141"/>
      <c r="D27" s="141"/>
      <c r="E27" s="141"/>
      <c r="F27" s="141"/>
      <c r="G27" s="141"/>
      <c r="H27" s="141"/>
      <c r="I27" s="141"/>
      <c r="J27" s="141"/>
    </row>
    <row r="28" spans="1:10" x14ac:dyDescent="0.25">
      <c r="A28" s="141"/>
      <c r="B28" s="141"/>
      <c r="C28" s="141"/>
      <c r="D28" s="141"/>
      <c r="E28" s="141"/>
      <c r="F28" s="141"/>
      <c r="G28" s="141"/>
      <c r="H28" s="141"/>
      <c r="I28" s="141"/>
      <c r="J28" s="141"/>
    </row>
    <row r="29" spans="1:10" x14ac:dyDescent="0.25"/>
    <row r="30" spans="1:10" x14ac:dyDescent="0.25"/>
    <row r="31" spans="1:10" ht="15" customHeight="1" x14ac:dyDescent="0.25"/>
    <row r="32" spans="1:10" ht="5.25" customHeight="1" x14ac:dyDescent="0.25"/>
    <row r="33" spans="1:10" ht="42" customHeight="1" x14ac:dyDescent="0.25">
      <c r="A33" s="142" t="s">
        <v>536</v>
      </c>
      <c r="B33" s="143"/>
      <c r="C33" s="143"/>
      <c r="D33" s="143"/>
      <c r="E33" s="143"/>
      <c r="F33" s="143"/>
      <c r="G33" s="143"/>
      <c r="H33" s="143"/>
      <c r="I33" s="143"/>
      <c r="J33" s="143"/>
    </row>
    <row r="34" spans="1:10" x14ac:dyDescent="0.25">
      <c r="A34" s="143"/>
      <c r="B34" s="143"/>
      <c r="C34" s="143"/>
      <c r="D34" s="143"/>
      <c r="E34" s="143"/>
      <c r="F34" s="143"/>
      <c r="G34" s="143"/>
      <c r="H34" s="143"/>
      <c r="I34" s="143"/>
      <c r="J34" s="143"/>
    </row>
    <row r="35" spans="1:10" ht="15" customHeight="1" x14ac:dyDescent="0.25"/>
    <row r="36" spans="1:10" ht="15" customHeight="1"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0"/>
  <sheetViews>
    <sheetView tabSelected="1" view="pageLayout" zoomScaleNormal="100" workbookViewId="0">
      <selection activeCell="A10" sqref="A10:B10"/>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256</v>
      </c>
      <c r="B1" s="45"/>
      <c r="AA1" s="43" t="s">
        <v>494</v>
      </c>
    </row>
    <row r="2" spans="1:27" ht="15.75" thickBot="1" x14ac:dyDescent="0.3"/>
    <row r="3" spans="1:27" ht="29.25" customHeight="1" thickBot="1" x14ac:dyDescent="0.3">
      <c r="A3" s="144" t="s">
        <v>257</v>
      </c>
      <c r="B3" s="145"/>
      <c r="C3" s="106"/>
    </row>
    <row r="4" spans="1:27" ht="33.75" customHeight="1" thickBot="1" x14ac:dyDescent="0.3">
      <c r="A4" s="144" t="s">
        <v>311</v>
      </c>
      <c r="B4" s="145"/>
      <c r="C4" s="107" t="s">
        <v>540</v>
      </c>
    </row>
    <row r="5" spans="1:27" ht="33.75" customHeight="1" thickBot="1" x14ac:dyDescent="0.3">
      <c r="A5" s="144" t="s">
        <v>312</v>
      </c>
      <c r="B5" s="145"/>
      <c r="C5" s="107" t="s">
        <v>538</v>
      </c>
    </row>
    <row r="6" spans="1:27" ht="33.75" customHeight="1" thickBot="1" x14ac:dyDescent="0.3">
      <c r="A6" s="144" t="s">
        <v>1</v>
      </c>
      <c r="B6" s="145"/>
      <c r="C6" s="107" t="s">
        <v>539</v>
      </c>
    </row>
    <row r="7" spans="1:27" ht="33.75" customHeight="1" thickBot="1" x14ac:dyDescent="0.3">
      <c r="A7" s="144" t="s">
        <v>258</v>
      </c>
      <c r="B7" s="145"/>
      <c r="C7" s="107"/>
    </row>
    <row r="8" spans="1:27" ht="33.75" customHeight="1" thickBot="1" x14ac:dyDescent="0.3">
      <c r="A8" s="144" t="s">
        <v>514</v>
      </c>
      <c r="B8" s="145"/>
      <c r="C8" s="107"/>
    </row>
    <row r="9" spans="1:27" ht="33.75" customHeight="1" thickBot="1" x14ac:dyDescent="0.3">
      <c r="A9" s="144" t="s">
        <v>515</v>
      </c>
      <c r="B9" s="145"/>
      <c r="C9" s="107"/>
    </row>
    <row r="10" spans="1:27" ht="57" customHeight="1" thickBot="1" x14ac:dyDescent="0.3">
      <c r="A10" s="144" t="s">
        <v>259</v>
      </c>
      <c r="B10" s="145"/>
      <c r="C10" s="107" t="s">
        <v>535</v>
      </c>
    </row>
    <row r="11" spans="1:27" ht="33.75" customHeight="1" thickBot="1" x14ac:dyDescent="0.3">
      <c r="A11" s="144" t="s">
        <v>260</v>
      </c>
      <c r="B11" s="145"/>
      <c r="C11" s="107" t="s">
        <v>549</v>
      </c>
    </row>
    <row r="12" spans="1:27" ht="33.75" customHeight="1" thickBot="1" x14ac:dyDescent="0.3">
      <c r="A12" s="144" t="s">
        <v>516</v>
      </c>
      <c r="B12" s="145"/>
      <c r="C12" s="107" t="s">
        <v>538</v>
      </c>
    </row>
    <row r="13" spans="1:27" ht="33.75" customHeight="1" thickBot="1" x14ac:dyDescent="0.3">
      <c r="A13" s="144" t="s">
        <v>261</v>
      </c>
      <c r="B13" s="145"/>
      <c r="C13" s="107" t="s">
        <v>538</v>
      </c>
    </row>
    <row r="14" spans="1:27" x14ac:dyDescent="0.25"/>
    <row r="15" spans="1:27" ht="15.75" thickBot="1" x14ac:dyDescent="0.3">
      <c r="A15" s="68" t="s">
        <v>493</v>
      </c>
      <c r="B15" s="146"/>
      <c r="C15" s="147"/>
    </row>
    <row r="16" spans="1:27" x14ac:dyDescent="0.25"/>
    <row r="17" spans="1:3" x14ac:dyDescent="0.25">
      <c r="A17" s="89" t="s">
        <v>517</v>
      </c>
      <c r="B17" s="47"/>
    </row>
    <row r="18" spans="1:3" x14ac:dyDescent="0.25"/>
    <row r="19" spans="1:3" x14ac:dyDescent="0.25">
      <c r="A19" s="48" t="s">
        <v>262</v>
      </c>
      <c r="B19" s="49"/>
      <c r="C19" s="50"/>
    </row>
    <row r="20" spans="1:3" ht="198.75" customHeight="1" x14ac:dyDescent="0.25">
      <c r="A20" s="148" t="s">
        <v>511</v>
      </c>
      <c r="B20" s="136"/>
      <c r="C20" s="149"/>
    </row>
  </sheetData>
  <sheetProtection password="CDE2" sheet="1" objects="1" scenarios="1" formatRows="0"/>
  <mergeCells count="13">
    <mergeCell ref="A11:B11"/>
    <mergeCell ref="A12:B12"/>
    <mergeCell ref="A13:B13"/>
    <mergeCell ref="B15:C15"/>
    <mergeCell ref="A20:C20"/>
    <mergeCell ref="A10:B10"/>
    <mergeCell ref="A3:B3"/>
    <mergeCell ref="A4:B4"/>
    <mergeCell ref="A5:B5"/>
    <mergeCell ref="A6:B6"/>
    <mergeCell ref="A7:B7"/>
    <mergeCell ref="A8:B8"/>
    <mergeCell ref="A9:B9"/>
  </mergeCells>
  <dataValidations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topLeftCell="A1048576" zoomScaleNormal="100" zoomScaleSheetLayoutView="100" workbookViewId="0">
      <selection activeCell="A6" sqref="A6"/>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266</v>
      </c>
      <c r="AA1" s="43" t="s">
        <v>495</v>
      </c>
    </row>
    <row r="2" spans="1:27" ht="30" x14ac:dyDescent="0.25">
      <c r="A2" s="42" t="s">
        <v>524</v>
      </c>
    </row>
    <row r="3" spans="1:27" ht="57" customHeight="1" x14ac:dyDescent="0.25">
      <c r="A3" s="98" t="s">
        <v>571</v>
      </c>
    </row>
    <row r="4" spans="1:27" ht="15.75" thickBot="1" x14ac:dyDescent="0.3">
      <c r="A4" s="72" t="s">
        <v>263</v>
      </c>
    </row>
    <row r="5" spans="1:27" ht="75" x14ac:dyDescent="0.25">
      <c r="A5" s="42" t="s">
        <v>525</v>
      </c>
    </row>
    <row r="6" spans="1:27" ht="105" x14ac:dyDescent="0.25">
      <c r="A6" s="98" t="s">
        <v>554</v>
      </c>
    </row>
    <row r="7" spans="1:27" ht="15.75" thickBot="1" x14ac:dyDescent="0.3">
      <c r="A7" s="72" t="s">
        <v>264</v>
      </c>
    </row>
    <row r="8" spans="1:27" ht="150" x14ac:dyDescent="0.25">
      <c r="A8" s="42" t="s">
        <v>481</v>
      </c>
    </row>
    <row r="9" spans="1:27" ht="120" x14ac:dyDescent="0.25">
      <c r="A9" s="98" t="s">
        <v>548</v>
      </c>
    </row>
    <row r="10" spans="1:27" ht="15.75" thickBot="1" x14ac:dyDescent="0.3">
      <c r="A10" s="72" t="s">
        <v>265</v>
      </c>
    </row>
    <row r="11" spans="1:27" ht="135" x14ac:dyDescent="0.25">
      <c r="A11" s="42" t="s">
        <v>482</v>
      </c>
    </row>
    <row r="12" spans="1:27" ht="105" x14ac:dyDescent="0.25">
      <c r="A12" s="98" t="s">
        <v>555</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topLeftCell="A4" zoomScaleNormal="100" zoomScaleSheetLayoutView="100" workbookViewId="0">
      <selection activeCell="A12" sqref="A12:E12"/>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272</v>
      </c>
      <c r="B1" s="56"/>
      <c r="C1" s="56"/>
      <c r="D1" s="56"/>
      <c r="E1" s="56"/>
      <c r="AA1" s="43" t="s">
        <v>495</v>
      </c>
    </row>
    <row r="2" spans="1:27" x14ac:dyDescent="0.25">
      <c r="A2" s="150" t="s">
        <v>273</v>
      </c>
      <c r="B2" s="151"/>
      <c r="C2" s="151"/>
      <c r="D2" s="151"/>
      <c r="E2" s="151"/>
      <c r="F2" s="151"/>
      <c r="G2" s="55"/>
      <c r="H2" s="55"/>
      <c r="I2" s="55"/>
      <c r="J2" s="55"/>
      <c r="K2" s="55"/>
      <c r="L2" s="55"/>
      <c r="M2" s="55"/>
      <c r="N2" s="55"/>
    </row>
    <row r="3" spans="1:27" ht="15.75" thickBot="1" x14ac:dyDescent="0.3"/>
    <row r="4" spans="1:27" ht="15.75" thickBot="1" x14ac:dyDescent="0.3">
      <c r="A4" s="52" t="s">
        <v>267</v>
      </c>
      <c r="B4" s="53" t="s">
        <v>268</v>
      </c>
      <c r="C4" s="53" t="s">
        <v>269</v>
      </c>
      <c r="D4" s="53" t="s">
        <v>270</v>
      </c>
      <c r="E4" s="53" t="s">
        <v>271</v>
      </c>
    </row>
    <row r="5" spans="1:27" ht="26.25" thickBot="1" x14ac:dyDescent="0.3">
      <c r="A5" s="116" t="s">
        <v>556</v>
      </c>
      <c r="B5" s="115"/>
      <c r="C5" s="117"/>
      <c r="D5" s="115"/>
      <c r="E5" s="115" t="s">
        <v>557</v>
      </c>
    </row>
    <row r="6" spans="1:27" ht="15.75" thickBot="1" x14ac:dyDescent="0.3">
      <c r="A6" s="116"/>
      <c r="B6" s="115"/>
      <c r="C6" s="115"/>
      <c r="D6" s="115"/>
      <c r="E6" s="115"/>
    </row>
    <row r="7" spans="1:27" ht="15.75" thickBot="1" x14ac:dyDescent="0.3">
      <c r="A7" s="116"/>
      <c r="B7" s="115"/>
      <c r="C7" s="115"/>
      <c r="D7" s="115"/>
      <c r="E7" s="115"/>
    </row>
    <row r="8" spans="1:27" ht="15.75" thickBot="1" x14ac:dyDescent="0.3">
      <c r="A8" s="116"/>
      <c r="B8" s="115"/>
      <c r="C8" s="115"/>
      <c r="D8" s="115"/>
      <c r="E8" s="115"/>
    </row>
    <row r="9" spans="1:27" ht="15.75" thickBot="1" x14ac:dyDescent="0.3">
      <c r="A9" s="116"/>
      <c r="B9" s="115"/>
      <c r="C9" s="115"/>
      <c r="D9" s="115"/>
      <c r="E9" s="115"/>
    </row>
    <row r="10" spans="1:27" x14ac:dyDescent="0.25">
      <c r="A10" s="44"/>
      <c r="B10"/>
      <c r="C10"/>
      <c r="D10"/>
      <c r="E10"/>
    </row>
    <row r="11" spans="1:27" ht="48.75" customHeight="1" x14ac:dyDescent="0.25">
      <c r="A11" s="150" t="s">
        <v>274</v>
      </c>
      <c r="B11" s="152"/>
      <c r="C11" s="152"/>
      <c r="D11" s="152"/>
      <c r="E11" s="152"/>
    </row>
    <row r="12" spans="1:27" ht="61.5" customHeight="1" x14ac:dyDescent="0.25">
      <c r="A12" s="153" t="s">
        <v>575</v>
      </c>
      <c r="B12" s="154"/>
      <c r="C12" s="154"/>
      <c r="D12" s="154"/>
      <c r="E12" s="155"/>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zoomScaleNormal="100" zoomScalePageLayoutView="80" workbookViewId="0">
      <selection activeCell="A5" sqref="A5"/>
    </sheetView>
  </sheetViews>
  <sheetFormatPr defaultColWidth="0" defaultRowHeight="15" zeroHeight="1" x14ac:dyDescent="0.25"/>
  <cols>
    <col min="1" max="1" width="146.7109375" style="92" customWidth="1"/>
    <col min="2" max="16384" width="2" style="43" hidden="1"/>
  </cols>
  <sheetData>
    <row r="1" spans="1:27" ht="21.75" customHeight="1" thickBot="1" x14ac:dyDescent="0.3">
      <c r="A1" s="72" t="s">
        <v>506</v>
      </c>
      <c r="AA1" s="43" t="s">
        <v>495</v>
      </c>
    </row>
    <row r="2" spans="1:27" ht="57" customHeight="1" x14ac:dyDescent="0.25">
      <c r="A2" s="42" t="s">
        <v>507</v>
      </c>
    </row>
    <row r="3" spans="1:27" ht="52.5" customHeight="1" x14ac:dyDescent="0.25">
      <c r="A3" s="98" t="s">
        <v>537</v>
      </c>
    </row>
    <row r="4" spans="1:27" ht="24.75" customHeight="1" x14ac:dyDescent="0.25">
      <c r="A4" s="99"/>
    </row>
    <row r="5" spans="1:27" x14ac:dyDescent="0.25">
      <c r="A5" s="100"/>
    </row>
    <row r="6" spans="1:27" x14ac:dyDescent="0.25">
      <c r="A6" s="100"/>
    </row>
    <row r="7" spans="1:27" ht="27.75" customHeight="1" x14ac:dyDescent="0.25">
      <c r="A7" s="99"/>
    </row>
    <row r="8" spans="1:27" ht="21.75" customHeight="1" x14ac:dyDescent="0.25">
      <c r="A8" s="100"/>
    </row>
    <row r="9" spans="1:27" ht="20.25" customHeight="1" x14ac:dyDescent="0.25">
      <c r="A9" s="100"/>
    </row>
    <row r="10" spans="1:27" ht="24.75" customHeight="1" x14ac:dyDescent="0.25">
      <c r="A10" s="99"/>
    </row>
    <row r="11" spans="1:27" ht="22.5" customHeight="1" x14ac:dyDescent="0.25">
      <c r="A11" s="100"/>
    </row>
    <row r="12" spans="1:27" ht="20.25" customHeight="1" x14ac:dyDescent="0.25">
      <c r="A12" s="100"/>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zoomScaleNormal="100" workbookViewId="0">
      <selection activeCell="A12" sqref="A12:D12"/>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496</v>
      </c>
      <c r="B1" s="56"/>
      <c r="C1" s="56"/>
      <c r="D1" s="56"/>
      <c r="AA1" s="43" t="s">
        <v>495</v>
      </c>
    </row>
    <row r="2" spans="1:27" x14ac:dyDescent="0.25">
      <c r="A2" s="161" t="s">
        <v>280</v>
      </c>
      <c r="B2" s="162"/>
      <c r="C2" s="162"/>
      <c r="D2" s="162"/>
    </row>
    <row r="3" spans="1:27" x14ac:dyDescent="0.25"/>
    <row r="4" spans="1:27" x14ac:dyDescent="0.25">
      <c r="A4" s="61" t="s">
        <v>275</v>
      </c>
      <c r="B4" s="61" t="s">
        <v>276</v>
      </c>
      <c r="C4" s="61" t="s">
        <v>277</v>
      </c>
      <c r="D4" s="61" t="s">
        <v>278</v>
      </c>
    </row>
    <row r="5" spans="1:27" x14ac:dyDescent="0.25">
      <c r="A5" s="112" t="s">
        <v>558</v>
      </c>
      <c r="B5" s="112"/>
      <c r="C5" s="112"/>
      <c r="D5" s="112"/>
    </row>
    <row r="6" spans="1:27" x14ac:dyDescent="0.25">
      <c r="A6" s="112"/>
      <c r="B6" s="112"/>
      <c r="C6" s="112"/>
      <c r="D6" s="112"/>
    </row>
    <row r="7" spans="1:27" x14ac:dyDescent="0.25">
      <c r="A7" s="113"/>
      <c r="B7" s="113"/>
      <c r="C7" s="114"/>
      <c r="D7" s="112"/>
    </row>
    <row r="8" spans="1:27" x14ac:dyDescent="0.25">
      <c r="A8" s="112"/>
      <c r="B8" s="112"/>
      <c r="C8" s="112"/>
      <c r="D8" s="112"/>
    </row>
    <row r="9" spans="1:27" x14ac:dyDescent="0.25">
      <c r="A9" s="112"/>
      <c r="B9" s="112"/>
      <c r="C9" s="112"/>
      <c r="D9" s="112"/>
    </row>
    <row r="10" spans="1:27" x14ac:dyDescent="0.25"/>
    <row r="11" spans="1:27" x14ac:dyDescent="0.25">
      <c r="A11" s="43" t="s">
        <v>279</v>
      </c>
    </row>
    <row r="12" spans="1:27" ht="111.75" customHeight="1" x14ac:dyDescent="0.25">
      <c r="A12" s="153" t="s">
        <v>570</v>
      </c>
      <c r="B12" s="159"/>
      <c r="C12" s="159"/>
      <c r="D12" s="160"/>
    </row>
    <row r="13" spans="1:27" ht="20.25" customHeight="1" x14ac:dyDescent="0.25">
      <c r="A13" s="58"/>
      <c r="B13" s="33"/>
      <c r="C13" s="33"/>
      <c r="D13" s="33"/>
    </row>
    <row r="14" spans="1:27" ht="20.25" customHeight="1" thickBot="1" x14ac:dyDescent="0.3">
      <c r="A14" s="111" t="s">
        <v>497</v>
      </c>
      <c r="B14" s="62"/>
      <c r="C14" s="62"/>
      <c r="D14" s="62"/>
    </row>
    <row r="15" spans="1:27" x14ac:dyDescent="0.25">
      <c r="A15" s="63" t="s">
        <v>498</v>
      </c>
      <c r="B15" s="64"/>
      <c r="C15" s="64"/>
      <c r="D15" s="64"/>
    </row>
    <row r="16" spans="1:27" ht="49.5" customHeight="1" x14ac:dyDescent="0.25">
      <c r="A16" s="163" t="s">
        <v>281</v>
      </c>
      <c r="B16" s="133"/>
      <c r="C16" s="133"/>
      <c r="D16" s="133"/>
    </row>
    <row r="17" spans="1:4" x14ac:dyDescent="0.25">
      <c r="A17" s="61" t="s">
        <v>3</v>
      </c>
      <c r="B17" s="164" t="s">
        <v>282</v>
      </c>
      <c r="C17" s="165"/>
      <c r="D17" s="165"/>
    </row>
    <row r="18" spans="1:4" ht="48.75" customHeight="1" x14ac:dyDescent="0.25">
      <c r="A18" s="60" t="s">
        <v>31</v>
      </c>
      <c r="B18" s="156" t="s">
        <v>569</v>
      </c>
      <c r="C18" s="157"/>
      <c r="D18" s="158"/>
    </row>
    <row r="19" spans="1:4" x14ac:dyDescent="0.25">
      <c r="A19" s="59" t="s">
        <v>13</v>
      </c>
      <c r="B19" s="156" t="s">
        <v>543</v>
      </c>
      <c r="C19" s="157"/>
      <c r="D19" s="158"/>
    </row>
    <row r="20" spans="1:4" x14ac:dyDescent="0.25">
      <c r="A20" s="59" t="s">
        <v>15</v>
      </c>
      <c r="B20" s="156" t="s">
        <v>543</v>
      </c>
      <c r="C20" s="157"/>
      <c r="D20" s="158"/>
    </row>
    <row r="21" spans="1:4" x14ac:dyDescent="0.25">
      <c r="A21" s="59" t="s">
        <v>11</v>
      </c>
      <c r="B21" s="156" t="s">
        <v>543</v>
      </c>
      <c r="C21" s="157"/>
      <c r="D21" s="158"/>
    </row>
    <row r="22" spans="1:4" x14ac:dyDescent="0.25">
      <c r="A22" s="59" t="s">
        <v>283</v>
      </c>
      <c r="B22" s="156" t="s">
        <v>543</v>
      </c>
      <c r="C22" s="157"/>
      <c r="D22" s="158"/>
    </row>
    <row r="23" spans="1:4" x14ac:dyDescent="0.25">
      <c r="A23" s="59" t="s">
        <v>25</v>
      </c>
      <c r="B23" s="156" t="s">
        <v>543</v>
      </c>
      <c r="C23" s="157"/>
      <c r="D23" s="158"/>
    </row>
    <row r="24" spans="1:4" x14ac:dyDescent="0.25">
      <c r="A24" s="59" t="s">
        <v>17</v>
      </c>
      <c r="B24" s="156" t="s">
        <v>543</v>
      </c>
      <c r="C24" s="157"/>
      <c r="D24" s="158"/>
    </row>
    <row r="25" spans="1:4" x14ac:dyDescent="0.25">
      <c r="A25" s="59" t="s">
        <v>9</v>
      </c>
      <c r="B25" s="156" t="s">
        <v>543</v>
      </c>
      <c r="C25" s="157"/>
      <c r="D25" s="158"/>
    </row>
    <row r="26" spans="1:4" x14ac:dyDescent="0.25"/>
    <row r="27" spans="1:4" ht="15.75" x14ac:dyDescent="0.25">
      <c r="A27" s="109" t="s">
        <v>499</v>
      </c>
    </row>
    <row r="28" spans="1:4" x14ac:dyDescent="0.25">
      <c r="A28" s="110" t="s">
        <v>284</v>
      </c>
    </row>
    <row r="29" spans="1:4" ht="66.75" customHeight="1" x14ac:dyDescent="0.25">
      <c r="A29" s="166" t="s">
        <v>570</v>
      </c>
      <c r="B29" s="167"/>
      <c r="C29" s="167"/>
      <c r="D29" s="168"/>
    </row>
  </sheetData>
  <sheetProtection password="CDE2" sheet="1" objects="1" scenarios="1" formatCells="0" formatColumns="0" formatRows="0"/>
  <mergeCells count="13">
    <mergeCell ref="A29:D29"/>
    <mergeCell ref="B21:D21"/>
    <mergeCell ref="B22:D22"/>
    <mergeCell ref="B24:D24"/>
    <mergeCell ref="B25:D25"/>
    <mergeCell ref="B18:D18"/>
    <mergeCell ref="B23:D23"/>
    <mergeCell ref="A12:D12"/>
    <mergeCell ref="A2:D2"/>
    <mergeCell ref="A16:D16"/>
    <mergeCell ref="B17:D17"/>
    <mergeCell ref="B19:D19"/>
    <mergeCell ref="B20:D20"/>
  </mergeCells>
  <pageMargins left="0.2" right="0.2" top="0.75" bottom="0.75" header="0.3" footer="0.3"/>
  <pageSetup scale="78"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37"/>
  <sheetViews>
    <sheetView view="pageLayout" topLeftCell="A10" zoomScaleNormal="100" workbookViewId="0">
      <selection activeCell="A13" sqref="A13:F14"/>
    </sheetView>
  </sheetViews>
  <sheetFormatPr defaultColWidth="0" defaultRowHeight="15" zeroHeight="1" x14ac:dyDescent="0.25"/>
  <cols>
    <col min="1" max="1" width="22" style="43" customWidth="1"/>
    <col min="2" max="2" width="24.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495</v>
      </c>
    </row>
    <row r="2" spans="1:27" ht="15.75" thickBot="1" x14ac:dyDescent="0.3">
      <c r="A2" s="101" t="s">
        <v>508</v>
      </c>
      <c r="B2" s="56"/>
      <c r="C2" s="56"/>
      <c r="D2" s="56"/>
      <c r="E2" s="56"/>
      <c r="F2" s="56"/>
    </row>
    <row r="3" spans="1:27" x14ac:dyDescent="0.25">
      <c r="A3" s="43" t="s">
        <v>528</v>
      </c>
    </row>
    <row r="4" spans="1:27" x14ac:dyDescent="0.25">
      <c r="A4" s="67" t="s">
        <v>285</v>
      </c>
      <c r="B4" s="67" t="s">
        <v>286</v>
      </c>
      <c r="C4" s="67" t="s">
        <v>287</v>
      </c>
      <c r="D4" s="67" t="s">
        <v>288</v>
      </c>
      <c r="E4" s="67" t="s">
        <v>289</v>
      </c>
      <c r="F4" s="67" t="s">
        <v>270</v>
      </c>
    </row>
    <row r="5" spans="1:27" ht="38.25" x14ac:dyDescent="0.25">
      <c r="A5" s="104" t="s">
        <v>541</v>
      </c>
      <c r="B5" s="104" t="s">
        <v>542</v>
      </c>
      <c r="C5" s="104" t="s">
        <v>543</v>
      </c>
      <c r="D5" s="121" t="s">
        <v>543</v>
      </c>
      <c r="E5" s="121" t="s">
        <v>543</v>
      </c>
      <c r="F5" s="104" t="s">
        <v>544</v>
      </c>
    </row>
    <row r="6" spans="1:27" x14ac:dyDescent="0.25">
      <c r="A6" s="104"/>
      <c r="B6" s="104"/>
      <c r="C6" s="104"/>
      <c r="D6" s="105"/>
      <c r="E6" s="105"/>
      <c r="F6" s="104"/>
    </row>
    <row r="7" spans="1:27" x14ac:dyDescent="0.25">
      <c r="A7" s="104"/>
      <c r="B7" s="104"/>
      <c r="C7" s="104"/>
      <c r="D7" s="105"/>
      <c r="E7" s="105"/>
      <c r="F7" s="104"/>
    </row>
    <row r="8" spans="1:27" x14ac:dyDescent="0.25">
      <c r="A8" s="104"/>
      <c r="B8" s="104"/>
      <c r="C8" s="104"/>
      <c r="D8" s="105"/>
      <c r="E8" s="105"/>
      <c r="F8" s="104"/>
    </row>
    <row r="9" spans="1:27" x14ac:dyDescent="0.25">
      <c r="A9" s="104"/>
      <c r="B9" s="104"/>
      <c r="C9" s="104"/>
      <c r="D9" s="105"/>
      <c r="E9" s="105"/>
      <c r="F9" s="104"/>
    </row>
    <row r="10" spans="1:27" x14ac:dyDescent="0.25">
      <c r="A10" s="104"/>
      <c r="B10" s="104"/>
      <c r="C10" s="104"/>
      <c r="D10" s="105"/>
      <c r="E10" s="105"/>
      <c r="F10" s="104"/>
    </row>
    <row r="11" spans="1:27" x14ac:dyDescent="0.25">
      <c r="A11" s="93"/>
      <c r="B11" s="93"/>
      <c r="C11" s="93"/>
      <c r="D11" s="93"/>
      <c r="E11" s="93"/>
      <c r="F11" s="93"/>
    </row>
    <row r="12" spans="1:27" x14ac:dyDescent="0.25">
      <c r="A12" s="93" t="s">
        <v>520</v>
      </c>
      <c r="B12" s="93"/>
      <c r="C12" s="93"/>
      <c r="D12" s="93"/>
      <c r="E12" s="93"/>
      <c r="F12" s="93"/>
    </row>
    <row r="13" spans="1:27" ht="39" customHeight="1" x14ac:dyDescent="0.25">
      <c r="A13" s="169" t="s">
        <v>553</v>
      </c>
      <c r="B13" s="170"/>
      <c r="C13" s="170"/>
      <c r="D13" s="170"/>
      <c r="E13" s="171"/>
      <c r="F13" s="172"/>
    </row>
    <row r="14" spans="1:27" ht="10.5" customHeight="1" x14ac:dyDescent="0.25">
      <c r="A14" s="173"/>
      <c r="B14" s="174"/>
      <c r="C14" s="174"/>
      <c r="D14" s="174"/>
      <c r="E14" s="174"/>
      <c r="F14" s="175"/>
    </row>
    <row r="15" spans="1:27" x14ac:dyDescent="0.25">
      <c r="A15" s="93"/>
      <c r="B15" s="93"/>
      <c r="C15" s="93"/>
      <c r="D15" s="93"/>
      <c r="E15" s="93"/>
      <c r="F15" s="93"/>
    </row>
    <row r="16" spans="1:27" x14ac:dyDescent="0.25">
      <c r="A16" s="93"/>
      <c r="B16" s="93"/>
      <c r="C16" s="93"/>
      <c r="D16" s="93"/>
      <c r="E16" s="93"/>
      <c r="F16" s="93"/>
    </row>
    <row r="17" spans="1:6" x14ac:dyDescent="0.25">
      <c r="A17" s="93"/>
      <c r="B17" s="93"/>
      <c r="C17" s="93"/>
      <c r="D17" s="93"/>
      <c r="E17" s="93"/>
      <c r="F17" s="93"/>
    </row>
    <row r="18" spans="1:6" x14ac:dyDescent="0.25">
      <c r="A18" s="93"/>
      <c r="B18" s="93"/>
      <c r="C18" s="93"/>
      <c r="D18" s="93"/>
      <c r="E18" s="93"/>
      <c r="F18" s="93"/>
    </row>
    <row r="19" spans="1:6" x14ac:dyDescent="0.25">
      <c r="A19" s="93"/>
      <c r="B19" s="93"/>
      <c r="C19" s="93"/>
      <c r="D19" s="93"/>
      <c r="E19" s="93"/>
      <c r="F19" s="93"/>
    </row>
    <row r="20" spans="1:6" x14ac:dyDescent="0.25">
      <c r="A20" s="93"/>
      <c r="B20" s="93"/>
      <c r="C20" s="93"/>
      <c r="D20" s="93"/>
      <c r="E20" s="93"/>
      <c r="F20" s="93"/>
    </row>
    <row r="21" spans="1:6" x14ac:dyDescent="0.25">
      <c r="A21" s="93"/>
      <c r="B21" s="93"/>
      <c r="C21" s="93"/>
      <c r="D21" s="93"/>
      <c r="E21" s="93"/>
      <c r="F21" s="93"/>
    </row>
    <row r="22" spans="1:6" x14ac:dyDescent="0.25">
      <c r="A22" s="93"/>
      <c r="B22" s="93"/>
      <c r="C22" s="93"/>
      <c r="D22" s="93"/>
      <c r="E22" s="93"/>
      <c r="F22" s="93"/>
    </row>
    <row r="23" spans="1:6" x14ac:dyDescent="0.25">
      <c r="A23" s="93"/>
      <c r="B23" s="93"/>
      <c r="C23" s="93"/>
      <c r="D23" s="93"/>
      <c r="E23" s="93"/>
      <c r="F23" s="93"/>
    </row>
    <row r="24" spans="1:6" x14ac:dyDescent="0.25">
      <c r="A24" s="93"/>
      <c r="B24" s="93"/>
      <c r="C24" s="93"/>
      <c r="D24" s="93"/>
      <c r="E24" s="93"/>
      <c r="F24" s="93"/>
    </row>
    <row r="25" spans="1:6" x14ac:dyDescent="0.25">
      <c r="A25" s="93"/>
      <c r="B25" s="93"/>
      <c r="C25" s="93"/>
      <c r="D25" s="93"/>
      <c r="E25" s="93"/>
      <c r="F25" s="93"/>
    </row>
    <row r="26" spans="1:6" x14ac:dyDescent="0.25">
      <c r="A26" s="93"/>
      <c r="B26" s="93"/>
      <c r="C26" s="93"/>
      <c r="D26" s="93"/>
      <c r="E26" s="93"/>
      <c r="F26" s="93"/>
    </row>
    <row r="27" spans="1:6" x14ac:dyDescent="0.25">
      <c r="A27" s="93"/>
      <c r="B27" s="93"/>
      <c r="C27" s="93"/>
      <c r="D27" s="93"/>
      <c r="E27" s="93"/>
      <c r="F27" s="93"/>
    </row>
    <row r="28" spans="1:6" x14ac:dyDescent="0.25">
      <c r="A28" s="93"/>
      <c r="B28" s="93"/>
      <c r="C28" s="93"/>
      <c r="D28" s="93"/>
      <c r="E28" s="93"/>
      <c r="F28" s="93"/>
    </row>
    <row r="29" spans="1:6" x14ac:dyDescent="0.25">
      <c r="A29" s="93"/>
      <c r="B29" s="93"/>
      <c r="C29" s="93"/>
      <c r="D29" s="93"/>
      <c r="E29" s="93"/>
      <c r="F29" s="93"/>
    </row>
    <row r="30" spans="1:6" x14ac:dyDescent="0.25">
      <c r="A30" s="93"/>
      <c r="B30" s="93"/>
      <c r="C30" s="93"/>
      <c r="D30" s="93"/>
      <c r="E30" s="93"/>
      <c r="F30" s="93"/>
    </row>
    <row r="31" spans="1:6" x14ac:dyDescent="0.25">
      <c r="A31" s="93"/>
      <c r="B31" s="93"/>
      <c r="C31" s="93"/>
      <c r="D31" s="93"/>
      <c r="E31" s="93"/>
      <c r="F31" s="93"/>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sheetData>
  <sheetProtection password="CDE2" sheet="1" objects="1" scenarios="1" formatCells="0" formatColumns="0" formatRows="0"/>
  <mergeCells count="1">
    <mergeCell ref="A13:F14"/>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6"/>
  <sheetViews>
    <sheetView showWhiteSpace="0" view="pageLayout" topLeftCell="A38" zoomScaleNormal="100" workbookViewId="0">
      <selection activeCell="A38" sqref="A38:C38"/>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1" t="s">
        <v>509</v>
      </c>
      <c r="B1" s="56"/>
      <c r="C1" s="56"/>
      <c r="AA1" s="43" t="s">
        <v>495</v>
      </c>
    </row>
    <row r="2" spans="1:27" x14ac:dyDescent="0.25">
      <c r="A2" s="68" t="s">
        <v>500</v>
      </c>
    </row>
    <row r="3" spans="1:27" ht="51" customHeight="1" thickBot="1" x14ac:dyDescent="0.3">
      <c r="A3" s="178" t="s">
        <v>290</v>
      </c>
      <c r="B3" s="179"/>
      <c r="C3" s="179"/>
    </row>
    <row r="4" spans="1:27" ht="15.75" thickBot="1" x14ac:dyDescent="0.3">
      <c r="A4" s="65" t="s">
        <v>3</v>
      </c>
      <c r="B4" s="66" t="s">
        <v>291</v>
      </c>
      <c r="C4" s="66" t="s">
        <v>292</v>
      </c>
    </row>
    <row r="5" spans="1:27" ht="16.5" thickBot="1" x14ac:dyDescent="0.3">
      <c r="A5" s="69" t="s">
        <v>39</v>
      </c>
      <c r="B5" s="115" t="s">
        <v>547</v>
      </c>
      <c r="C5" s="115" t="s">
        <v>547</v>
      </c>
    </row>
    <row r="6" spans="1:27" ht="16.5" thickBot="1" x14ac:dyDescent="0.3">
      <c r="A6" s="69" t="s">
        <v>38</v>
      </c>
      <c r="B6" s="115" t="s">
        <v>547</v>
      </c>
      <c r="C6" s="115" t="s">
        <v>547</v>
      </c>
    </row>
    <row r="7" spans="1:27" ht="16.5" thickBot="1" x14ac:dyDescent="0.3">
      <c r="A7" s="69" t="s">
        <v>37</v>
      </c>
      <c r="B7" s="115" t="s">
        <v>547</v>
      </c>
      <c r="C7" s="115" t="s">
        <v>547</v>
      </c>
    </row>
    <row r="8" spans="1:27" ht="16.5" thickBot="1" x14ac:dyDescent="0.3">
      <c r="A8" s="69" t="s">
        <v>34</v>
      </c>
      <c r="B8" s="115" t="s">
        <v>547</v>
      </c>
      <c r="C8" s="115" t="s">
        <v>547</v>
      </c>
    </row>
    <row r="9" spans="1:27" ht="16.5" thickBot="1" x14ac:dyDescent="0.3">
      <c r="A9" s="69" t="s">
        <v>33</v>
      </c>
      <c r="B9" s="115" t="s">
        <v>547</v>
      </c>
      <c r="C9" s="115" t="s">
        <v>547</v>
      </c>
    </row>
    <row r="10" spans="1:27" ht="16.5" thickBot="1" x14ac:dyDescent="0.3">
      <c r="A10" s="69" t="s">
        <v>32</v>
      </c>
      <c r="B10" s="115" t="s">
        <v>547</v>
      </c>
      <c r="C10" s="115" t="s">
        <v>547</v>
      </c>
    </row>
    <row r="11" spans="1:27" ht="16.5" thickBot="1" x14ac:dyDescent="0.3">
      <c r="A11" s="69" t="s">
        <v>30</v>
      </c>
      <c r="B11" s="115" t="s">
        <v>547</v>
      </c>
      <c r="C11" s="115" t="s">
        <v>547</v>
      </c>
    </row>
    <row r="12" spans="1:27" x14ac:dyDescent="0.25"/>
    <row r="13" spans="1:27" x14ac:dyDescent="0.25">
      <c r="A13" s="43" t="s">
        <v>293</v>
      </c>
    </row>
    <row r="14" spans="1:27" ht="27" customHeight="1" x14ac:dyDescent="0.25">
      <c r="A14" s="153" t="s">
        <v>545</v>
      </c>
      <c r="B14" s="176"/>
      <c r="C14" s="177"/>
    </row>
    <row r="15" spans="1:27" x14ac:dyDescent="0.25"/>
    <row r="16" spans="1:27" x14ac:dyDescent="0.25">
      <c r="A16" s="68" t="s">
        <v>501</v>
      </c>
    </row>
    <row r="17" spans="1:3" x14ac:dyDescent="0.25">
      <c r="A17" s="43" t="s">
        <v>294</v>
      </c>
    </row>
    <row r="18" spans="1:3" ht="89.25" customHeight="1" x14ac:dyDescent="0.25">
      <c r="A18" s="153" t="s">
        <v>546</v>
      </c>
      <c r="B18" s="176"/>
      <c r="C18" s="177"/>
    </row>
    <row r="19" spans="1:3" x14ac:dyDescent="0.25"/>
    <row r="20" spans="1:3" x14ac:dyDescent="0.25">
      <c r="A20" s="68" t="s">
        <v>502</v>
      </c>
    </row>
    <row r="21" spans="1:3" x14ac:dyDescent="0.25">
      <c r="A21" s="43" t="s">
        <v>295</v>
      </c>
    </row>
    <row r="22" spans="1:3" ht="218.25" customHeight="1" x14ac:dyDescent="0.25">
      <c r="A22" s="153" t="s">
        <v>550</v>
      </c>
      <c r="B22" s="176"/>
      <c r="C22" s="177"/>
    </row>
    <row r="23" spans="1:3" x14ac:dyDescent="0.25"/>
    <row r="24" spans="1:3" x14ac:dyDescent="0.25">
      <c r="A24" s="68" t="s">
        <v>551</v>
      </c>
    </row>
    <row r="25" spans="1:3" x14ac:dyDescent="0.25">
      <c r="A25" s="43" t="s">
        <v>294</v>
      </c>
    </row>
    <row r="26" spans="1:3" ht="85.5" customHeight="1" x14ac:dyDescent="0.25">
      <c r="A26" s="153" t="s">
        <v>552</v>
      </c>
      <c r="B26" s="176"/>
      <c r="C26" s="177"/>
    </row>
    <row r="27" spans="1:3" x14ac:dyDescent="0.25"/>
    <row r="28" spans="1:3" x14ac:dyDescent="0.25">
      <c r="A28" s="68" t="s">
        <v>503</v>
      </c>
    </row>
    <row r="29" spans="1:3" x14ac:dyDescent="0.25">
      <c r="A29" s="43" t="s">
        <v>296</v>
      </c>
    </row>
    <row r="30" spans="1:3" ht="38.25" customHeight="1" x14ac:dyDescent="0.25">
      <c r="A30" s="153" t="s">
        <v>543</v>
      </c>
      <c r="B30" s="176"/>
      <c r="C30" s="177"/>
    </row>
    <row r="31" spans="1:3" x14ac:dyDescent="0.25"/>
    <row r="32" spans="1:3" x14ac:dyDescent="0.25">
      <c r="A32" s="68" t="s">
        <v>504</v>
      </c>
    </row>
    <row r="33" spans="1:3" x14ac:dyDescent="0.25">
      <c r="A33" s="43" t="s">
        <v>297</v>
      </c>
    </row>
    <row r="34" spans="1:3" ht="42.75" customHeight="1" x14ac:dyDescent="0.25">
      <c r="A34" s="153" t="s">
        <v>543</v>
      </c>
      <c r="B34" s="176"/>
      <c r="C34" s="177"/>
    </row>
    <row r="35" spans="1:3" ht="13.5" customHeight="1" x14ac:dyDescent="0.25"/>
    <row r="36" spans="1:3" hidden="1" x14ac:dyDescent="0.25">
      <c r="A36" s="68" t="s">
        <v>532</v>
      </c>
    </row>
    <row r="37" spans="1:3" hidden="1" x14ac:dyDescent="0.25">
      <c r="A37" s="43" t="s">
        <v>533</v>
      </c>
    </row>
    <row r="38" spans="1:3" ht="360.75" customHeight="1" x14ac:dyDescent="0.25">
      <c r="A38" s="180" t="s">
        <v>576</v>
      </c>
      <c r="B38" s="176"/>
      <c r="C38" s="177"/>
    </row>
    <row r="39" spans="1:3" x14ac:dyDescent="0.25"/>
    <row r="40" spans="1:3" x14ac:dyDescent="0.25">
      <c r="A40" s="68" t="s">
        <v>534</v>
      </c>
    </row>
    <row r="41" spans="1:3" x14ac:dyDescent="0.25">
      <c r="A41" s="43" t="s">
        <v>298</v>
      </c>
    </row>
    <row r="42" spans="1:3" ht="57.75" customHeight="1" x14ac:dyDescent="0.25">
      <c r="A42" s="153" t="s">
        <v>559</v>
      </c>
      <c r="B42" s="176"/>
      <c r="C42" s="177"/>
    </row>
    <row r="43" spans="1:3" x14ac:dyDescent="0.25">
      <c r="A43" s="93"/>
      <c r="B43" s="93"/>
      <c r="C43" s="93"/>
    </row>
    <row r="44" spans="1:3" x14ac:dyDescent="0.25">
      <c r="A44" s="93"/>
      <c r="B44" s="93"/>
      <c r="C44" s="93"/>
    </row>
    <row r="45" spans="1:3" x14ac:dyDescent="0.25">
      <c r="A45" s="93"/>
      <c r="B45" s="93"/>
      <c r="C45" s="93"/>
    </row>
    <row r="46" spans="1:3" x14ac:dyDescent="0.25">
      <c r="A46" s="93"/>
      <c r="B46" s="93"/>
      <c r="C46" s="93"/>
    </row>
  </sheetData>
  <sheetProtection formatCells="0" formatColumns="0" formatRows="0"/>
  <mergeCells count="9">
    <mergeCell ref="A34:C34"/>
    <mergeCell ref="A42:C42"/>
    <mergeCell ref="A3:C3"/>
    <mergeCell ref="A14:C14"/>
    <mergeCell ref="A18:C18"/>
    <mergeCell ref="A22:C22"/>
    <mergeCell ref="A26:C26"/>
    <mergeCell ref="A30:C30"/>
    <mergeCell ref="A38:C38"/>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34"/>
  <sheetViews>
    <sheetView view="pageLayout" topLeftCell="A4" zoomScaleNormal="100" workbookViewId="0">
      <selection activeCell="A13" sqref="A13:G13"/>
    </sheetView>
  </sheetViews>
  <sheetFormatPr defaultColWidth="0" defaultRowHeight="15" zeroHeight="1" x14ac:dyDescent="0.25"/>
  <cols>
    <col min="1" max="1" width="23.5703125" style="43" customWidth="1"/>
    <col min="2" max="6" width="16.140625" style="43" customWidth="1"/>
    <col min="7" max="7" width="26" style="43" customWidth="1"/>
    <col min="8" max="16384" width="2" style="43" hidden="1"/>
  </cols>
  <sheetData>
    <row r="1" spans="1:27" x14ac:dyDescent="0.25">
      <c r="AA1" s="43" t="s">
        <v>495</v>
      </c>
    </row>
    <row r="2" spans="1:27" x14ac:dyDescent="0.25">
      <c r="A2" s="102" t="s">
        <v>510</v>
      </c>
    </row>
    <row r="3" spans="1:27" ht="15.75" thickBot="1" x14ac:dyDescent="0.3">
      <c r="A3" s="43" t="s">
        <v>299</v>
      </c>
    </row>
    <row r="4" spans="1:27" ht="22.5" customHeight="1" thickBot="1" x14ac:dyDescent="0.3">
      <c r="A4" s="181" t="s">
        <v>300</v>
      </c>
      <c r="B4" s="183" t="s">
        <v>301</v>
      </c>
      <c r="C4" s="184"/>
      <c r="D4" s="184"/>
      <c r="E4" s="185"/>
      <c r="F4" s="183" t="s">
        <v>302</v>
      </c>
      <c r="G4" s="185"/>
    </row>
    <row r="5" spans="1:27" ht="15.75" thickBot="1" x14ac:dyDescent="0.3">
      <c r="A5" s="182"/>
      <c r="B5" s="97" t="s">
        <v>303</v>
      </c>
      <c r="C5" s="97" t="s">
        <v>304</v>
      </c>
      <c r="D5" s="97" t="s">
        <v>305</v>
      </c>
      <c r="E5" s="97" t="s">
        <v>306</v>
      </c>
      <c r="F5" s="97" t="s">
        <v>307</v>
      </c>
      <c r="G5" s="97" t="s">
        <v>308</v>
      </c>
    </row>
    <row r="6" spans="1:27" ht="15.75" thickBot="1" x14ac:dyDescent="0.3">
      <c r="A6" s="96" t="s">
        <v>567</v>
      </c>
      <c r="B6" s="94"/>
      <c r="C6" s="94"/>
      <c r="D6" s="94"/>
      <c r="E6" s="94"/>
      <c r="F6" s="94"/>
      <c r="G6" s="94">
        <v>-1208</v>
      </c>
    </row>
    <row r="7" spans="1:27" ht="15.75" thickBot="1" x14ac:dyDescent="0.3">
      <c r="A7" s="96" t="s">
        <v>565</v>
      </c>
      <c r="B7" s="94"/>
      <c r="C7" s="94"/>
      <c r="D7" s="94"/>
      <c r="E7" s="94"/>
      <c r="F7" s="94"/>
      <c r="G7" s="94">
        <v>8901</v>
      </c>
    </row>
    <row r="8" spans="1:27" ht="26.25" thickBot="1" x14ac:dyDescent="0.3">
      <c r="A8" s="96" t="s">
        <v>566</v>
      </c>
      <c r="B8" s="94"/>
      <c r="C8" s="94"/>
      <c r="D8" s="94"/>
      <c r="E8" s="94"/>
      <c r="F8" s="94"/>
      <c r="G8" s="94">
        <v>3379</v>
      </c>
    </row>
    <row r="9" spans="1:27" ht="15.75" thickBot="1" x14ac:dyDescent="0.3">
      <c r="A9" s="96"/>
      <c r="B9" s="94"/>
      <c r="C9" s="94"/>
      <c r="D9" s="94"/>
      <c r="E9" s="94"/>
      <c r="F9" s="94"/>
      <c r="G9" s="94"/>
    </row>
    <row r="10" spans="1:27" ht="15.75" thickBot="1" x14ac:dyDescent="0.3">
      <c r="A10" s="96"/>
      <c r="B10" s="94"/>
      <c r="C10" s="94"/>
      <c r="D10" s="94"/>
      <c r="E10" s="94"/>
      <c r="F10" s="94"/>
      <c r="G10" s="94"/>
    </row>
    <row r="11" spans="1:27" x14ac:dyDescent="0.25"/>
    <row r="12" spans="1:27" x14ac:dyDescent="0.25">
      <c r="A12" s="43" t="s">
        <v>309</v>
      </c>
    </row>
    <row r="13" spans="1:27" ht="57.75" customHeight="1" x14ac:dyDescent="0.25">
      <c r="A13" s="153" t="s">
        <v>568</v>
      </c>
      <c r="B13" s="159"/>
      <c r="C13" s="159"/>
      <c r="D13" s="159"/>
      <c r="E13" s="159"/>
      <c r="F13" s="159"/>
      <c r="G13" s="160"/>
    </row>
    <row r="14" spans="1:27" x14ac:dyDescent="0.25">
      <c r="A14" s="93"/>
      <c r="B14" s="93"/>
      <c r="C14" s="93"/>
      <c r="D14" s="93"/>
      <c r="E14" s="93"/>
      <c r="F14" s="93"/>
      <c r="G14" s="93"/>
    </row>
    <row r="15" spans="1:27" x14ac:dyDescent="0.25">
      <c r="A15" s="93"/>
      <c r="B15" s="93"/>
      <c r="C15" s="93"/>
      <c r="D15" s="93"/>
      <c r="E15" s="93"/>
      <c r="F15" s="93"/>
      <c r="G15" s="93"/>
    </row>
    <row r="16" spans="1:27" x14ac:dyDescent="0.25">
      <c r="A16" s="93"/>
      <c r="B16" s="93"/>
      <c r="C16" s="93"/>
      <c r="D16" s="93"/>
      <c r="E16" s="93"/>
      <c r="F16" s="93"/>
      <c r="G16" s="93"/>
    </row>
    <row r="17" spans="1:7" x14ac:dyDescent="0.25">
      <c r="A17" s="93"/>
      <c r="B17" s="93"/>
      <c r="C17" s="93"/>
      <c r="D17" s="93"/>
      <c r="E17" s="93"/>
      <c r="F17" s="93"/>
      <c r="G17" s="93"/>
    </row>
    <row r="18" spans="1:7" x14ac:dyDescent="0.25">
      <c r="A18" s="93"/>
      <c r="B18" s="93"/>
      <c r="C18" s="93"/>
      <c r="D18" s="95"/>
      <c r="E18" s="93"/>
      <c r="F18" s="93"/>
      <c r="G18" s="93"/>
    </row>
    <row r="19" spans="1:7" x14ac:dyDescent="0.25">
      <c r="A19" s="93"/>
      <c r="B19" s="93"/>
      <c r="C19" s="93"/>
      <c r="D19" s="93"/>
      <c r="E19" s="93"/>
      <c r="F19" s="93"/>
      <c r="G19" s="93"/>
    </row>
    <row r="20" spans="1:7" x14ac:dyDescent="0.25">
      <c r="A20" s="93"/>
      <c r="B20" s="93"/>
      <c r="C20" s="93"/>
      <c r="D20" s="93"/>
      <c r="E20" s="93"/>
      <c r="F20" s="93"/>
      <c r="G20" s="93"/>
    </row>
    <row r="21" spans="1:7" x14ac:dyDescent="0.25">
      <c r="A21" s="93"/>
      <c r="B21" s="93"/>
      <c r="C21" s="93"/>
      <c r="D21" s="93"/>
      <c r="E21" s="93"/>
      <c r="F21" s="93"/>
      <c r="G21" s="93"/>
    </row>
    <row r="22" spans="1:7" x14ac:dyDescent="0.25">
      <c r="A22" s="93"/>
      <c r="B22" s="93"/>
      <c r="C22" s="93"/>
      <c r="D22" s="93"/>
      <c r="E22" s="93"/>
      <c r="F22" s="93"/>
      <c r="G22" s="93"/>
    </row>
    <row r="23" spans="1:7" x14ac:dyDescent="0.25">
      <c r="A23" s="93"/>
      <c r="B23" s="93"/>
      <c r="C23" s="93"/>
      <c r="D23" s="93"/>
      <c r="E23" s="93"/>
      <c r="F23" s="93"/>
      <c r="G23" s="93"/>
    </row>
    <row r="24" spans="1:7" x14ac:dyDescent="0.25">
      <c r="A24" s="93"/>
      <c r="B24" s="93"/>
      <c r="C24" s="93"/>
      <c r="D24" s="93"/>
      <c r="E24" s="93"/>
      <c r="F24" s="93"/>
      <c r="G24" s="93"/>
    </row>
    <row r="25" spans="1:7" x14ac:dyDescent="0.25">
      <c r="A25" s="93"/>
      <c r="B25" s="93"/>
      <c r="C25" s="93"/>
      <c r="D25" s="93"/>
      <c r="E25" s="93"/>
      <c r="F25" s="93"/>
      <c r="G25" s="93"/>
    </row>
    <row r="26" spans="1:7" x14ac:dyDescent="0.25">
      <c r="A26" s="93"/>
      <c r="B26" s="93"/>
      <c r="C26" s="93"/>
      <c r="D26" s="93"/>
      <c r="E26" s="93"/>
      <c r="F26" s="93"/>
      <c r="G26" s="93"/>
    </row>
    <row r="27" spans="1:7" x14ac:dyDescent="0.25">
      <c r="A27" s="93"/>
      <c r="B27" s="93"/>
      <c r="C27" s="93"/>
      <c r="D27" s="93"/>
      <c r="E27" s="93"/>
      <c r="F27" s="93"/>
      <c r="G27" s="93"/>
    </row>
    <row r="28" spans="1:7" x14ac:dyDescent="0.25">
      <c r="A28" s="93"/>
      <c r="B28" s="93"/>
      <c r="C28" s="93"/>
      <c r="D28" s="93"/>
      <c r="E28" s="93"/>
      <c r="F28" s="93"/>
      <c r="G28" s="93"/>
    </row>
    <row r="29" spans="1:7" x14ac:dyDescent="0.25">
      <c r="A29" s="93"/>
      <c r="B29" s="93"/>
      <c r="C29" s="93"/>
      <c r="D29" s="93"/>
      <c r="E29" s="93"/>
      <c r="F29" s="93"/>
      <c r="G29" s="93"/>
    </row>
    <row r="30" spans="1:7" x14ac:dyDescent="0.25">
      <c r="A30" s="93"/>
      <c r="B30" s="93"/>
      <c r="C30" s="93"/>
      <c r="D30" s="93"/>
      <c r="E30" s="93"/>
      <c r="F30" s="93"/>
      <c r="G30" s="93"/>
    </row>
    <row r="31" spans="1:7" x14ac:dyDescent="0.25">
      <c r="A31" s="93"/>
      <c r="B31" s="93"/>
      <c r="C31" s="93"/>
      <c r="D31" s="93"/>
      <c r="E31" s="93"/>
      <c r="F31" s="93"/>
      <c r="G31" s="93"/>
    </row>
    <row r="32" spans="1:7" x14ac:dyDescent="0.25">
      <c r="A32" s="93"/>
      <c r="B32" s="93"/>
      <c r="C32" s="93"/>
      <c r="D32" s="93"/>
      <c r="E32" s="93"/>
      <c r="F32" s="93"/>
      <c r="G32" s="93"/>
    </row>
    <row r="33" spans="1:7" x14ac:dyDescent="0.25">
      <c r="A33" s="93"/>
      <c r="B33" s="93"/>
      <c r="C33" s="93"/>
      <c r="D33" s="93"/>
      <c r="E33" s="93"/>
      <c r="F33" s="93"/>
      <c r="G33" s="93"/>
    </row>
    <row r="34" spans="1:7" x14ac:dyDescent="0.25">
      <c r="A34" s="93"/>
      <c r="B34" s="93"/>
      <c r="C34" s="93"/>
      <c r="D34" s="93"/>
      <c r="E34" s="93"/>
      <c r="F34" s="93"/>
      <c r="G34" s="93"/>
    </row>
  </sheetData>
  <sheetProtection password="CDE2" sheet="1" objects="1" scenarios="1" formatCells="0" formatColumns="0" formatRows="0"/>
  <mergeCells count="4">
    <mergeCell ref="A4:A5"/>
    <mergeCell ref="B4:E4"/>
    <mergeCell ref="F4:G4"/>
    <mergeCell ref="A13:G13"/>
  </mergeCells>
  <pageMargins left="0.25" right="0.25" top="0.75" bottom="0.75" header="0.3" footer="0.3"/>
  <pageSetup scale="7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521</v>
      </c>
    </row>
    <row r="88" spans="1:4" x14ac:dyDescent="0.25">
      <c r="A88" t="s">
        <v>31</v>
      </c>
      <c r="B88" s="13" t="s">
        <v>183</v>
      </c>
    </row>
    <row r="89" spans="1:4" x14ac:dyDescent="0.25">
      <c r="A89" t="s">
        <v>31</v>
      </c>
      <c r="B89" s="13" t="s">
        <v>522</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J6" sqref="J6"/>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311</v>
      </c>
      <c r="C1" s="1" t="s">
        <v>1</v>
      </c>
      <c r="D1" s="2" t="s">
        <v>2</v>
      </c>
      <c r="E1" s="3" t="s">
        <v>3</v>
      </c>
      <c r="F1" s="2" t="s">
        <v>226</v>
      </c>
      <c r="G1" s="2" t="s">
        <v>76</v>
      </c>
      <c r="H1" s="4" t="s">
        <v>6</v>
      </c>
      <c r="I1" s="2" t="s">
        <v>65</v>
      </c>
      <c r="J1" s="1" t="s">
        <v>4</v>
      </c>
      <c r="K1" s="4" t="s">
        <v>224</v>
      </c>
      <c r="L1" s="4" t="s">
        <v>110</v>
      </c>
      <c r="M1" s="1" t="s">
        <v>5</v>
      </c>
      <c r="N1" s="4" t="s">
        <v>505</v>
      </c>
      <c r="O1" s="4" t="s">
        <v>484</v>
      </c>
    </row>
    <row r="2" spans="1:15" ht="105.75" customHeight="1" x14ac:dyDescent="0.25">
      <c r="A2" s="5" t="s">
        <v>0</v>
      </c>
      <c r="B2" s="5" t="s">
        <v>518</v>
      </c>
      <c r="C2" s="5" t="s">
        <v>66</v>
      </c>
      <c r="D2" s="5" t="s">
        <v>7</v>
      </c>
      <c r="E2" s="6" t="s">
        <v>229</v>
      </c>
      <c r="F2" s="5" t="s">
        <v>228</v>
      </c>
      <c r="G2" s="5" t="s">
        <v>230</v>
      </c>
      <c r="H2" s="25" t="s">
        <v>223</v>
      </c>
      <c r="I2" s="5" t="s">
        <v>111</v>
      </c>
      <c r="J2" s="25" t="s">
        <v>231</v>
      </c>
      <c r="K2" s="5" t="s">
        <v>225</v>
      </c>
      <c r="L2" s="5" t="s">
        <v>227</v>
      </c>
      <c r="M2" s="5" t="s">
        <v>250</v>
      </c>
      <c r="N2" s="37" t="s">
        <v>512</v>
      </c>
      <c r="O2" s="37" t="s">
        <v>485</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487</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488</v>
      </c>
      <c r="E2" s="5" t="s">
        <v>7</v>
      </c>
      <c r="F2" s="6" t="s">
        <v>229</v>
      </c>
      <c r="G2" s="5" t="s">
        <v>228</v>
      </c>
      <c r="H2" s="5" t="s">
        <v>230</v>
      </c>
      <c r="I2" s="25" t="s">
        <v>223</v>
      </c>
      <c r="J2" s="5" t="s">
        <v>111</v>
      </c>
      <c r="K2" s="25" t="s">
        <v>231</v>
      </c>
      <c r="L2" s="5" t="s">
        <v>225</v>
      </c>
      <c r="M2" s="5" t="s">
        <v>227</v>
      </c>
      <c r="N2" s="5" t="s">
        <v>250</v>
      </c>
      <c r="O2" s="37" t="s">
        <v>247</v>
      </c>
    </row>
    <row r="3" spans="1:15" x14ac:dyDescent="0.25">
      <c r="B3" s="7" t="str">
        <f>'Approval and Documentation'!C$4</f>
        <v>GBM</v>
      </c>
      <c r="C3" s="7" t="str">
        <f>'Approval and Documentation'!C$6</f>
        <v>Equity Sales and Trading</v>
      </c>
      <c r="D3" s="8">
        <f>'1'!$C$1</f>
        <v>0</v>
      </c>
      <c r="E3" s="7">
        <v>1</v>
      </c>
      <c r="F3" s="8" t="str">
        <f>'1'!$C$2</f>
        <v xml:space="preserve">Strategic </v>
      </c>
      <c r="G3" s="8" t="str">
        <f>'1'!$C$3</f>
        <v>Expansion Risk - Systems/Technology</v>
      </c>
      <c r="H3" s="8" t="str">
        <f>'1'!$C$4</f>
        <v>Ongoing Regulatory System Updates for Trading Platform</v>
      </c>
      <c r="I3" s="8" t="str">
        <f>'1'!$A$12</f>
        <v>The critical platform for the front office is the Fidessa Order Management System.  A patch is periodically sent for us to install. We are reliant on both Produban and Isban in NY, Madrid and Mexico to make the regulatory updates to our systems.  The coordination often results in delays and slower turnaround to complete the updates.  In addition,  issues arise when their are business needs (other than regulatory needs) which we are unable to get these updates to the system as Produban and Isban are maxed with the regulatory updates. To mitigate this issue, we are looking to put in place a managed enterprise by Fidessa hosted solution.  We will have a more standardized solution to keep up with regulatory requirements and version updates. NY has approved the Fidessa hosted solution. Currently, we are awaiting Mexico approval.</v>
      </c>
      <c r="J3" s="8">
        <f>'1'!$C$5</f>
        <v>0</v>
      </c>
      <c r="K3" s="8" t="str">
        <f>'1'!$A$9</f>
        <v>Controls to ensure our department keeps up to date with the regulatory updates.  Front Office does review industry trends.  Front Office makes suggestions for IT implementation of our trading platform. Escalation process for updates depending on the regulatory nature/priority of the enhancements required.</v>
      </c>
      <c r="L3" s="8" t="str">
        <f>'1'!$C$6</f>
        <v>$1 - $5 M</v>
      </c>
      <c r="M3" s="8" t="str">
        <f>'1'!$C$7</f>
        <v>$1 - $5 M</v>
      </c>
      <c r="N3" s="8" t="str">
        <f>'1'!$B$10</f>
        <v>Yearly potential loss could be $1-$5M due to non compliance to the regulations and/or revenue loss.</v>
      </c>
      <c r="O3" s="10"/>
    </row>
    <row r="4" spans="1:15" x14ac:dyDescent="0.25">
      <c r="A4" s="7"/>
      <c r="B4" s="7" t="str">
        <f>'Approval and Documentation'!C$4</f>
        <v>GBM</v>
      </c>
      <c r="C4" s="7" t="str">
        <f>'Approval and Documentation'!C$6</f>
        <v>Equity Sales and Trading</v>
      </c>
      <c r="D4" s="8">
        <f>'2'!$C$1</f>
        <v>0</v>
      </c>
      <c r="E4" s="11">
        <v>2</v>
      </c>
      <c r="F4" s="8" t="str">
        <f>'2'!$C$2</f>
        <v xml:space="preserve">Strategic </v>
      </c>
      <c r="G4" s="8" t="str">
        <f>'2'!$C$3</f>
        <v>Strategic Planning - Resources</v>
      </c>
      <c r="H4" s="8" t="str">
        <f>'2'!$C$4</f>
        <v>Relationship Managers Critical Resources</v>
      </c>
      <c r="I4" s="8" t="str">
        <f>'2'!$A$12</f>
        <v>The Equities division is made up of small focused teams (4 people) per area.  While Santander does promote a culture of opportunity and competitive compensation as compared with similar size banks. With both retention and compensation controls we still face losing teams to compensation which has occurred in the past resulting in teams leaving the firm together.  If we were to have a team leave the group, we do not have adequate back up to step in and cover for short term.   The transition period to rebuild the key relationships which are lost when a team leaves the firm is a major stress on the unit and can result in further exposure to end clients.</v>
      </c>
      <c r="J4" s="8">
        <f>'2'!$C$5</f>
        <v>0</v>
      </c>
      <c r="K4" s="8" t="str">
        <f>'2'!$A$9</f>
        <v xml:space="preserve">Controls to keep our critical resources include Santander cultural enhancements and career assessment and development. </v>
      </c>
      <c r="L4" s="8" t="str">
        <f>'2'!$C$6</f>
        <v>$1 - $5 M</v>
      </c>
      <c r="M4" s="8" t="str">
        <f>'2'!$C$7</f>
        <v>$1 - $5 M</v>
      </c>
      <c r="N4" s="8" t="str">
        <f>'2'!$B$10</f>
        <v>$1-5MM.  Dependent on turnover of the team and the likelihood of this occurrence.</v>
      </c>
      <c r="O4" s="10"/>
    </row>
    <row r="5" spans="1:15" x14ac:dyDescent="0.25">
      <c r="A5" s="7"/>
      <c r="B5" s="7" t="str">
        <f>'Approval and Documentation'!C$4</f>
        <v>GBM</v>
      </c>
      <c r="C5" s="7" t="str">
        <f>'Approval and Documentation'!C$6</f>
        <v>Equity Sales and Trading</v>
      </c>
      <c r="D5" s="8">
        <f>'3'!$C$1</f>
        <v>0</v>
      </c>
      <c r="E5" s="7">
        <v>3</v>
      </c>
      <c r="F5" s="8">
        <f>'3'!$C$2</f>
        <v>0</v>
      </c>
      <c r="G5" s="8">
        <f>'3'!$C$3</f>
        <v>0</v>
      </c>
      <c r="H5" s="8">
        <f>'3'!$C$4</f>
        <v>0</v>
      </c>
      <c r="I5" s="8">
        <f>'3'!$A$12</f>
        <v>0</v>
      </c>
      <c r="J5" s="8">
        <f>'3'!$C$5</f>
        <v>0</v>
      </c>
      <c r="K5" s="8">
        <f>'3'!$A$9</f>
        <v>0</v>
      </c>
      <c r="L5" s="8">
        <f>'3'!$C$6</f>
        <v>0</v>
      </c>
      <c r="M5" s="8">
        <f>'3'!$C$7</f>
        <v>0</v>
      </c>
      <c r="N5" s="8">
        <f>'3'!$B$10</f>
        <v>0</v>
      </c>
      <c r="O5" s="10"/>
    </row>
    <row r="6" spans="1:15" x14ac:dyDescent="0.25">
      <c r="A6" s="7"/>
      <c r="B6" s="7" t="str">
        <f>'Approval and Documentation'!C$4</f>
        <v>GBM</v>
      </c>
      <c r="C6" s="7" t="str">
        <f>'Approval and Documentation'!C$6</f>
        <v>Equity Sales and Trading</v>
      </c>
      <c r="D6" s="8">
        <f>'4'!$C$1</f>
        <v>0</v>
      </c>
      <c r="E6" s="11">
        <v>4</v>
      </c>
      <c r="F6" s="8">
        <f>'4'!$C$2</f>
        <v>0</v>
      </c>
      <c r="G6" s="8">
        <f>'4'!$C$3</f>
        <v>0</v>
      </c>
      <c r="H6" s="8">
        <f>'4'!$C$4</f>
        <v>0</v>
      </c>
      <c r="I6" s="8">
        <f>'4'!$A$12</f>
        <v>0</v>
      </c>
      <c r="J6" s="8">
        <f>'4'!$C$5</f>
        <v>0</v>
      </c>
      <c r="K6" s="8">
        <f>'4'!$A$9</f>
        <v>0</v>
      </c>
      <c r="L6" s="8">
        <f>'4'!$C$6</f>
        <v>0</v>
      </c>
      <c r="M6" s="8">
        <f>'4'!$C$7</f>
        <v>0</v>
      </c>
      <c r="N6" s="8">
        <f>'4'!$B$10</f>
        <v>0</v>
      </c>
      <c r="O6" s="10"/>
    </row>
    <row r="7" spans="1:15" x14ac:dyDescent="0.25">
      <c r="A7" s="7"/>
      <c r="B7" s="7" t="str">
        <f>'Approval and Documentation'!C$4</f>
        <v>GBM</v>
      </c>
      <c r="C7" s="7" t="str">
        <f>'Approval and Documentation'!C$6</f>
        <v>Equity Sales and Trading</v>
      </c>
      <c r="D7" s="8">
        <f>'5'!$C$1</f>
        <v>0</v>
      </c>
      <c r="E7" s="7">
        <v>5</v>
      </c>
      <c r="F7" s="8">
        <f>'5'!$C$2</f>
        <v>0</v>
      </c>
      <c r="G7" s="8">
        <f>'5'!$C$3</f>
        <v>0</v>
      </c>
      <c r="H7" s="8">
        <f>'5'!$C$4</f>
        <v>0</v>
      </c>
      <c r="I7" s="8">
        <f>'5'!$A$12</f>
        <v>0</v>
      </c>
      <c r="J7" s="8">
        <f>'5'!$C$5</f>
        <v>0</v>
      </c>
      <c r="K7" s="8">
        <f>'5'!$A$9</f>
        <v>0</v>
      </c>
      <c r="L7" s="8">
        <f>'5'!$C$6</f>
        <v>0</v>
      </c>
      <c r="M7" s="8">
        <f>'5'!$C$7</f>
        <v>0</v>
      </c>
      <c r="N7" s="8">
        <f>'5'!$B$10</f>
        <v>0</v>
      </c>
      <c r="O7" s="10"/>
    </row>
    <row r="8" spans="1:15" x14ac:dyDescent="0.25">
      <c r="A8" s="7"/>
      <c r="B8" s="7" t="str">
        <f>'Approval and Documentation'!C$4</f>
        <v>GBM</v>
      </c>
      <c r="C8" s="7" t="str">
        <f>'Approval and Documentation'!C$6</f>
        <v>Equity Sales and Trading</v>
      </c>
      <c r="D8" s="8">
        <f>'6'!$C$1</f>
        <v>0</v>
      </c>
      <c r="E8" s="11">
        <v>6</v>
      </c>
      <c r="F8" s="8">
        <f>'6'!$C$2</f>
        <v>0</v>
      </c>
      <c r="G8" s="8">
        <f>'6'!$C$3</f>
        <v>0</v>
      </c>
      <c r="H8" s="8">
        <f>'6'!$C$4</f>
        <v>0</v>
      </c>
      <c r="I8" s="8">
        <f>'6'!$A$12</f>
        <v>0</v>
      </c>
      <c r="J8" s="8">
        <f>'6'!$C$5</f>
        <v>0</v>
      </c>
      <c r="K8" s="8">
        <f>'6'!$A$9</f>
        <v>0</v>
      </c>
      <c r="L8" s="8">
        <f>'6'!$C$6</f>
        <v>0</v>
      </c>
      <c r="M8" s="8">
        <f>'6'!$C$7</f>
        <v>0</v>
      </c>
      <c r="N8" s="8">
        <f>'6'!$B$10</f>
        <v>0</v>
      </c>
      <c r="O8" s="10"/>
    </row>
    <row r="9" spans="1:15" x14ac:dyDescent="0.25">
      <c r="A9" s="7"/>
      <c r="B9" s="7" t="str">
        <f>'Approval and Documentation'!C$4</f>
        <v>GBM</v>
      </c>
      <c r="C9" s="7" t="str">
        <f>'Approval and Documentation'!C$6</f>
        <v>Equity Sales and Trading</v>
      </c>
      <c r="D9" s="8">
        <f>'7'!$C$1</f>
        <v>0</v>
      </c>
      <c r="E9" s="7">
        <v>7</v>
      </c>
      <c r="F9" s="8">
        <f>'7'!$C$2</f>
        <v>0</v>
      </c>
      <c r="G9" s="8">
        <f>'7'!$C$3</f>
        <v>0</v>
      </c>
      <c r="H9" s="8">
        <f>'7'!$C$4</f>
        <v>0</v>
      </c>
      <c r="I9" s="8">
        <f>'7'!$A$12</f>
        <v>0</v>
      </c>
      <c r="J9" s="8">
        <f>'7'!$C$5</f>
        <v>0</v>
      </c>
      <c r="K9" s="8">
        <f>'7'!$A$9</f>
        <v>0</v>
      </c>
      <c r="L9" s="8">
        <f>'7'!$C$6</f>
        <v>0</v>
      </c>
      <c r="M9" s="8">
        <f>'7'!$C$7</f>
        <v>0</v>
      </c>
      <c r="N9" s="8">
        <f>'7'!$B$10</f>
        <v>0</v>
      </c>
      <c r="O9" s="10"/>
    </row>
    <row r="10" spans="1:15" x14ac:dyDescent="0.25">
      <c r="A10" s="7"/>
      <c r="B10" s="7" t="str">
        <f>'Approval and Documentation'!C$4</f>
        <v>GBM</v>
      </c>
      <c r="C10" s="7" t="str">
        <f>'Approval and Documentation'!C$6</f>
        <v>Equity Sales and Trading</v>
      </c>
      <c r="D10" s="8">
        <f>'8'!$C$1</f>
        <v>0</v>
      </c>
      <c r="E10" s="11">
        <v>8</v>
      </c>
      <c r="F10" s="8">
        <f>'8'!$C$2</f>
        <v>0</v>
      </c>
      <c r="G10" s="8">
        <f>'8'!$C$3</f>
        <v>0</v>
      </c>
      <c r="H10" s="8">
        <f>'8'!$C$4</f>
        <v>0</v>
      </c>
      <c r="I10" s="8">
        <f>'8'!$A$12</f>
        <v>0</v>
      </c>
      <c r="J10" s="8">
        <f>'8'!$C$5</f>
        <v>0</v>
      </c>
      <c r="K10" s="8">
        <f>'8'!$A$9</f>
        <v>0</v>
      </c>
      <c r="L10" s="8">
        <f>'8'!$C$6</f>
        <v>0</v>
      </c>
      <c r="M10" s="8">
        <f>'8'!$C$7</f>
        <v>0</v>
      </c>
      <c r="N10" s="8">
        <f>'8'!$B$10</f>
        <v>0</v>
      </c>
      <c r="O10" s="10"/>
    </row>
    <row r="11" spans="1:15" x14ac:dyDescent="0.25">
      <c r="A11" s="7"/>
      <c r="B11" s="7" t="str">
        <f>'Approval and Documentation'!C$4</f>
        <v>GBM</v>
      </c>
      <c r="C11" s="7" t="str">
        <f>'Approval and Documentation'!C$6</f>
        <v>Equity Sales and Trading</v>
      </c>
      <c r="D11" s="8">
        <f>'9'!$C$1</f>
        <v>0</v>
      </c>
      <c r="E11" s="7">
        <v>9</v>
      </c>
      <c r="F11" s="8">
        <f>'9'!$C$2</f>
        <v>0</v>
      </c>
      <c r="G11" s="8">
        <f>'9'!$C$3</f>
        <v>0</v>
      </c>
      <c r="H11" s="8">
        <f>'9'!$C$4</f>
        <v>0</v>
      </c>
      <c r="I11" s="8">
        <f>'9'!$A$12</f>
        <v>0</v>
      </c>
      <c r="J11" s="8">
        <f>'9'!$C$5</f>
        <v>0</v>
      </c>
      <c r="K11" s="8">
        <f>'9'!$A$9</f>
        <v>0</v>
      </c>
      <c r="L11" s="8">
        <f>'9'!$C$6</f>
        <v>0</v>
      </c>
      <c r="M11" s="8">
        <f>'9'!$C$7</f>
        <v>0</v>
      </c>
      <c r="N11" s="8">
        <f>'9'!$B$10</f>
        <v>0</v>
      </c>
      <c r="O11" s="10"/>
    </row>
    <row r="12" spans="1:15" x14ac:dyDescent="0.25">
      <c r="A12" s="7"/>
      <c r="B12" s="7" t="str">
        <f>'Approval and Documentation'!C$4</f>
        <v>GBM</v>
      </c>
      <c r="C12" s="7" t="str">
        <f>'Approval and Documentation'!C$6</f>
        <v>Equity Sales and Trading</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t="str">
        <f>'Approval and Documentation'!C$4</f>
        <v>GBM</v>
      </c>
      <c r="C13" s="7" t="str">
        <f>'Approval and Documentation'!C$6</f>
        <v>Equity Sales and Trading</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t="str">
        <f>'Approval and Documentation'!C$4</f>
        <v>GBM</v>
      </c>
      <c r="C14" s="7" t="str">
        <f>'Approval and Documentation'!C$6</f>
        <v>Equity Sales and Trading</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t="str">
        <f>'Approval and Documentation'!C$4</f>
        <v>GBM</v>
      </c>
      <c r="C15" s="7" t="str">
        <f>'Approval and Documentation'!C$6</f>
        <v>Equity Sales and Trading</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t="str">
        <f>'Approval and Documentation'!C$4</f>
        <v>GBM</v>
      </c>
      <c r="C16" s="7" t="str">
        <f>'Approval and Documentation'!C$6</f>
        <v>Equity Sales and Trading</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t="str">
        <f>'Approval and Documentation'!C$4</f>
        <v>GBM</v>
      </c>
      <c r="C17" s="7" t="str">
        <f>'Approval and Documentation'!C$6</f>
        <v>Equity Sales and Trading</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t="str">
        <f>'Approval and Documentation'!C$4</f>
        <v>GBM</v>
      </c>
      <c r="C18" s="7" t="str">
        <f>'Approval and Documentation'!C$6</f>
        <v>Equity Sales and Trading</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t="str">
        <f>'Approval and Documentation'!C$4</f>
        <v>GBM</v>
      </c>
      <c r="C19" s="7" t="str">
        <f>'Approval and Documentation'!C$6</f>
        <v>Equity Sales and Trading</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t="str">
        <f>'Approval and Documentation'!C$4</f>
        <v>GBM</v>
      </c>
      <c r="C20" s="7" t="str">
        <f>'Approval and Documentation'!C$6</f>
        <v>Equity Sales and Trading</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t="str">
        <f>'Approval and Documentation'!C$4</f>
        <v>GBM</v>
      </c>
      <c r="C21" s="7" t="str">
        <f>'Approval and Documentation'!C$6</f>
        <v>Equity Sales and Trading</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t="str">
        <f>'Approval and Documentation'!C$4</f>
        <v>GBM</v>
      </c>
      <c r="C22" s="7" t="str">
        <f>'Approval and Documentation'!C$6</f>
        <v>Equity Sales and Trading</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t="str">
        <f>'Approval and Documentation'!C$4</f>
        <v>GBM</v>
      </c>
      <c r="C23" s="7" t="str">
        <f>'Approval and Documentation'!C$6</f>
        <v>Equity Sales and Trading</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t="str">
        <f>'Approval and Documentation'!C$4</f>
        <v>GBM</v>
      </c>
      <c r="C24" s="7" t="str">
        <f>'Approval and Documentation'!C$6</f>
        <v>Equity Sales and Trading</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t="str">
        <f>'Approval and Documentation'!C$4</f>
        <v>GBM</v>
      </c>
      <c r="C25" s="7" t="str">
        <f>'Approval and Documentation'!C$6</f>
        <v>Equity Sales and Trading</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t="str">
        <f>'Approval and Documentation'!C$4</f>
        <v>GBM</v>
      </c>
      <c r="C26" s="7" t="str">
        <f>'Approval and Documentation'!C$6</f>
        <v>Equity Sales and Trading</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t="str">
        <f>'Approval and Documentation'!C$4</f>
        <v>GBM</v>
      </c>
      <c r="C27" s="7" t="str">
        <f>'Approval and Documentation'!C$6</f>
        <v>Equity Sales and Trading</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t="str">
        <f>'Approval and Documentation'!C$4</f>
        <v>GBM</v>
      </c>
      <c r="C28" s="7" t="str">
        <f>'Approval and Documentation'!C$6</f>
        <v>Equity Sales and Trading</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t="str">
        <f>'Approval and Documentation'!C$4</f>
        <v>GBM</v>
      </c>
      <c r="C29" s="7" t="str">
        <f>'Approval and Documentation'!C$6</f>
        <v>Equity Sales and Trading</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t="str">
        <f>'Approval and Documentation'!C$4</f>
        <v>GBM</v>
      </c>
      <c r="C30" s="7" t="str">
        <f>'Approval and Documentation'!C$6</f>
        <v>Equity Sales and Trading</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t="str">
        <f>'Approval and Documentation'!C$4</f>
        <v>GBM</v>
      </c>
      <c r="C31" s="7" t="str">
        <f>'Approval and Documentation'!C$6</f>
        <v>Equity Sales and Trading</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t="str">
        <f>'Approval and Documentation'!C$4</f>
        <v>GBM</v>
      </c>
      <c r="C32" s="7" t="str">
        <f>'Approval and Documentation'!C$6</f>
        <v>Equity Sales and Trading</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t="str">
        <f>'Approval and Documentation'!C$4</f>
        <v>GBM</v>
      </c>
      <c r="C33" s="7" t="str">
        <f>'Approval and Documentation'!C$6</f>
        <v>Equity Sales and Trading</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t="str">
        <f>'Approval and Documentation'!C$4</f>
        <v>GBM</v>
      </c>
      <c r="C34" s="7" t="str">
        <f>'Approval and Documentation'!C$6</f>
        <v>Equity Sales and Trading</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t="str">
        <f>'Approval and Documentation'!C$4</f>
        <v>GBM</v>
      </c>
      <c r="C35" s="7" t="str">
        <f>'Approval and Documentation'!C$6</f>
        <v>Equity Sales and Trading</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t="str">
        <f>'Approval and Documentation'!C$4</f>
        <v>GBM</v>
      </c>
      <c r="C36" s="7" t="str">
        <f>'Approval and Documentation'!C$6</f>
        <v>Equity Sales and Trading</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t="str">
        <f>'Approval and Documentation'!C$4</f>
        <v>GBM</v>
      </c>
      <c r="C37" s="7" t="str">
        <f>'Approval and Documentation'!C$6</f>
        <v>Equity Sales and Trading</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t="str">
        <f>'Approval and Documentation'!C$4</f>
        <v>GBM</v>
      </c>
      <c r="C38" s="7" t="str">
        <f>'Approval and Documentation'!C$6</f>
        <v>Equity Sales and Trading</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t="str">
        <f>'Approval and Documentation'!C$4</f>
        <v>GBM</v>
      </c>
      <c r="C39" s="7" t="str">
        <f>'Approval and Documentation'!C$6</f>
        <v>Equity Sales and Trading</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t="str">
        <f>'Approval and Documentation'!C$4</f>
        <v>GBM</v>
      </c>
      <c r="C40" s="7" t="str">
        <f>'Approval and Documentation'!C$6</f>
        <v>Equity Sales and Trading</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t="str">
        <f>'Approval and Documentation'!C$4</f>
        <v>GBM</v>
      </c>
      <c r="C41" s="7" t="str">
        <f>'Approval and Documentation'!C$6</f>
        <v>Equity Sales and Trading</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t="str">
        <f>'Approval and Documentation'!C$4</f>
        <v>GBM</v>
      </c>
      <c r="C42" s="7" t="str">
        <f>'Approval and Documentation'!C$6</f>
        <v>Equity Sales and Trading</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zoomScaleNormal="10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1" t="s">
        <v>490</v>
      </c>
      <c r="B1" s="145"/>
      <c r="C1" s="73"/>
      <c r="Q1" s="81"/>
      <c r="R1" s="81"/>
      <c r="AA1" s="39" t="str">
        <f>C2</f>
        <v xml:space="preserve">Strategic </v>
      </c>
    </row>
    <row r="2" spans="1:27" ht="30.75" customHeight="1" thickBot="1" x14ac:dyDescent="0.3">
      <c r="A2" s="199" t="s">
        <v>255</v>
      </c>
      <c r="B2" s="190"/>
      <c r="C2" s="90" t="s">
        <v>20</v>
      </c>
      <c r="R2" s="42" t="str">
        <f t="shared" ref="R2:R7" si="0">A2</f>
        <v>Risk Type  - The Risk Type from the SHUSA ERM Risk Taxonomy</v>
      </c>
    </row>
    <row r="3" spans="1:27" ht="24" customHeight="1" thickBot="1" x14ac:dyDescent="0.3">
      <c r="A3" s="191" t="s">
        <v>251</v>
      </c>
      <c r="B3" s="145"/>
      <c r="C3" s="70" t="s">
        <v>212</v>
      </c>
      <c r="R3" s="42" t="str">
        <f t="shared" si="0"/>
        <v>Risk Sub Type  - The Risk Sub-Category from the SHUSA ERM Risk Taxonomy</v>
      </c>
    </row>
    <row r="4" spans="1:27" ht="31.5" customHeight="1" thickBot="1" x14ac:dyDescent="0.3">
      <c r="A4" s="191" t="s">
        <v>252</v>
      </c>
      <c r="B4" s="145"/>
      <c r="C4" s="73" t="s">
        <v>560</v>
      </c>
      <c r="R4" s="42" t="str">
        <f t="shared" si="0"/>
        <v>Risk Name - The name of the risk which helps define it and differentiate it from other risks in other Business Lines with a similar Risk Category</v>
      </c>
    </row>
    <row r="5" spans="1:27" ht="39" customHeight="1" thickBot="1" x14ac:dyDescent="0.3">
      <c r="A5" s="191" t="s">
        <v>526</v>
      </c>
      <c r="B5" s="145"/>
      <c r="C5" s="71"/>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191" t="s">
        <v>530</v>
      </c>
      <c r="B6" s="145"/>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189" t="s">
        <v>529</v>
      </c>
      <c r="B7" s="190"/>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6.25" customHeight="1" thickBot="1" x14ac:dyDescent="0.3">
      <c r="A9" s="196" t="s">
        <v>561</v>
      </c>
      <c r="B9" s="197"/>
      <c r="C9" s="198"/>
      <c r="Q9" s="38" t="str">
        <f>A9</f>
        <v>Controls to ensure our department keeps up to date with the regulatory updates.  Front Office does review industry trends.  Front Office makes suggestions for IT implementation of our trading platform. Escalation process for updates depending on the regulatory nature/priority of the enhancements required.</v>
      </c>
    </row>
    <row r="10" spans="1:27" ht="48.75" customHeight="1" thickBot="1" x14ac:dyDescent="0.3">
      <c r="A10" s="41" t="s">
        <v>491</v>
      </c>
      <c r="B10" s="186" t="s">
        <v>562</v>
      </c>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96.75" customHeight="1" thickBot="1" x14ac:dyDescent="0.3">
      <c r="A12" s="186" t="s">
        <v>574</v>
      </c>
      <c r="B12" s="187"/>
      <c r="C12" s="188"/>
      <c r="Q12" s="38" t="str">
        <f>A12</f>
        <v>The critical platform for the front office is the Fidessa Order Management System.  A patch is periodically sent for us to install. We are reliant on both Produban and Isban in NY, Madrid and Mexico to make the regulatory updates to our systems.  The coordination often results in delays and slower turnaround to complete the updates.  In addition,  issues arise when their are business needs (other than regulatory needs) which we are unable to get these updates to the system as Produban and Isban are maxed with the regulatory updates. To mitigate this issue, we are looking to put in place a managed enterprise by Fidessa hosted solution.  We will have a more standardized solution to keep up with regulatory requirements and version updates. NY has approved the Fidessa hosted solution. Currently, we are awaiting Mexico approval.</v>
      </c>
    </row>
  </sheetData>
  <sheetProtection password="CDE2" sheet="1" objects="1" scenarios="1" formatRows="0"/>
  <mergeCells count="12">
    <mergeCell ref="A1:B1"/>
    <mergeCell ref="A2:B2"/>
    <mergeCell ref="A3:B3"/>
    <mergeCell ref="A4:B4"/>
    <mergeCell ref="A5:B5"/>
    <mergeCell ref="A12:C12"/>
    <mergeCell ref="A7:B7"/>
    <mergeCell ref="A6:B6"/>
    <mergeCell ref="B10:C10"/>
    <mergeCell ref="A8:C8"/>
    <mergeCell ref="A11:C11"/>
    <mergeCell ref="A9:C9"/>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topLeftCell="A7" zoomScaleNormal="100"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490</v>
      </c>
      <c r="B1" s="201"/>
      <c r="C1" s="82"/>
      <c r="Q1" s="81"/>
      <c r="R1" s="81"/>
      <c r="AA1" s="39" t="str">
        <f>C2</f>
        <v xml:space="preserve">Strategic </v>
      </c>
    </row>
    <row r="2" spans="1:27" ht="30.75" customHeight="1" thickBot="1" x14ac:dyDescent="0.3">
      <c r="A2" s="199" t="s">
        <v>255</v>
      </c>
      <c r="B2" s="190"/>
      <c r="C2" s="90" t="s">
        <v>20</v>
      </c>
      <c r="R2" s="42" t="str">
        <f t="shared" ref="R2:R7" si="0">A2</f>
        <v>Risk Type  - The Risk Type from the SHUSA ERM Risk Taxonomy</v>
      </c>
    </row>
    <row r="3" spans="1:27" ht="24" customHeight="1" thickBot="1" x14ac:dyDescent="0.3">
      <c r="A3" s="191" t="s">
        <v>251</v>
      </c>
      <c r="B3" s="145"/>
      <c r="C3" s="70" t="s">
        <v>208</v>
      </c>
      <c r="R3" s="42" t="str">
        <f t="shared" si="0"/>
        <v>Risk Sub Type  - The Risk Sub-Category from the SHUSA ERM Risk Taxonomy</v>
      </c>
    </row>
    <row r="4" spans="1:27" ht="31.5" customHeight="1" thickBot="1" x14ac:dyDescent="0.3">
      <c r="A4" s="191" t="s">
        <v>252</v>
      </c>
      <c r="B4" s="145"/>
      <c r="C4" s="73" t="s">
        <v>563</v>
      </c>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t="s">
        <v>564</v>
      </c>
      <c r="B9" s="197"/>
      <c r="C9" s="198"/>
      <c r="Q9" s="38" t="str">
        <f>A9</f>
        <v xml:space="preserve">Controls to keep our critical resources include Santander cultural enhancements and career assessment and development. </v>
      </c>
    </row>
    <row r="10" spans="1:27" ht="81.75" customHeight="1" thickBot="1" x14ac:dyDescent="0.3">
      <c r="A10" s="41" t="s">
        <v>492</v>
      </c>
      <c r="B10" s="186" t="s">
        <v>573</v>
      </c>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t="s">
        <v>572</v>
      </c>
      <c r="B12" s="187"/>
      <c r="C12" s="188"/>
      <c r="Q12" s="38" t="str">
        <f>A12</f>
        <v>The Equities division is made up of small focused teams (4 people) per area.  While Santander does promote a culture of opportunity and competitive compensation as compared with similar size banks. With both retention and compensation controls we still face losing teams to compensation which has occurred in the past resulting in teams leaving the firm together.  If we were to have a team leave the group, we do not have adequate back up to step in and cover for short term.   The transition period to rebuild the key relationships which are lost when a team leaves the firm is a major stress on the unit and can result in further exposure to end clients.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topLeftCell="A1048576"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27"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90" zoomScaleNormal="100" zoomScalePageLayoutView="9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489</v>
      </c>
      <c r="B1" s="145"/>
      <c r="C1" s="73"/>
      <c r="Q1" s="81"/>
      <c r="R1" s="81"/>
      <c r="AA1" s="39">
        <f>C2</f>
        <v>0</v>
      </c>
    </row>
    <row r="2" spans="1:27" ht="30.75" customHeight="1" thickBot="1" x14ac:dyDescent="0.3">
      <c r="A2" s="199" t="s">
        <v>255</v>
      </c>
      <c r="B2" s="190"/>
      <c r="C2" s="91"/>
      <c r="R2" s="42" t="str">
        <f t="shared" ref="R2:R7" si="0">A2</f>
        <v>Risk Type  - The Risk Type from the SHUSA ERM Risk Taxonomy</v>
      </c>
    </row>
    <row r="3" spans="1:27" ht="24" customHeight="1" thickBot="1" x14ac:dyDescent="0.3">
      <c r="A3" s="191" t="s">
        <v>251</v>
      </c>
      <c r="B3" s="145"/>
      <c r="C3" s="84"/>
      <c r="R3" s="42" t="str">
        <f t="shared" si="0"/>
        <v>Risk Sub Type  - The Risk Sub-Category from the SHUSA ERM Risk Taxonomy</v>
      </c>
    </row>
    <row r="4" spans="1:27" ht="31.5" customHeight="1" thickBot="1" x14ac:dyDescent="0.3">
      <c r="A4" s="191" t="s">
        <v>252</v>
      </c>
      <c r="B4" s="145"/>
      <c r="C4" s="8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85"/>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84"/>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84"/>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202"/>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203"/>
      <c r="Q9" s="38">
        <f>A9</f>
        <v>0</v>
      </c>
    </row>
    <row r="10" spans="1:27" ht="81.75" customHeight="1" thickBot="1" x14ac:dyDescent="0.3">
      <c r="A10" s="41" t="s">
        <v>492</v>
      </c>
      <c r="B10" s="186"/>
      <c r="C10" s="204"/>
    </row>
    <row r="11" spans="1:27" ht="31.5" customHeight="1" thickBot="1" x14ac:dyDescent="0.3">
      <c r="A11" s="193" t="s">
        <v>254</v>
      </c>
      <c r="B11" s="194"/>
      <c r="C11" s="202"/>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205"/>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3" t="s">
        <v>486</v>
      </c>
      <c r="B1" s="145"/>
      <c r="C1" s="73"/>
      <c r="Q1" s="81"/>
      <c r="R1" s="81"/>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38">
        <f>A9</f>
        <v>0</v>
      </c>
    </row>
    <row r="10" spans="1:27" ht="81.75" customHeight="1" thickBot="1" x14ac:dyDescent="0.3">
      <c r="A10" s="41" t="s">
        <v>492</v>
      </c>
      <c r="B10" s="186"/>
      <c r="C10" s="192"/>
    </row>
    <row r="11" spans="1:27" ht="31.5" customHeight="1" thickBot="1" x14ac:dyDescent="0.3">
      <c r="A11" s="193" t="s">
        <v>254</v>
      </c>
      <c r="B11" s="194"/>
      <c r="C11" s="195"/>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486</v>
      </c>
      <c r="B1" s="145"/>
      <c r="C1" s="73"/>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491</v>
      </c>
      <c r="B10" s="186"/>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486</v>
      </c>
      <c r="B1" s="145"/>
      <c r="C1" s="73"/>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491</v>
      </c>
      <c r="B10" s="186"/>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486</v>
      </c>
      <c r="B1" s="145"/>
      <c r="C1" s="73"/>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491</v>
      </c>
      <c r="B10" s="186"/>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486</v>
      </c>
      <c r="B1" s="145"/>
      <c r="C1" s="73"/>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491</v>
      </c>
      <c r="B10" s="186"/>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486</v>
      </c>
      <c r="B1" s="145"/>
      <c r="C1" s="73"/>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491</v>
      </c>
      <c r="B10" s="186"/>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486</v>
      </c>
      <c r="B1" s="145"/>
      <c r="C1" s="73"/>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491</v>
      </c>
      <c r="B10" s="186"/>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486</v>
      </c>
      <c r="B1" s="145"/>
      <c r="C1" s="73"/>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491</v>
      </c>
      <c r="B10" s="186"/>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486</v>
      </c>
      <c r="B1" s="145"/>
      <c r="C1" s="73"/>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491</v>
      </c>
      <c r="B10" s="186"/>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3" t="s">
        <v>486</v>
      </c>
      <c r="B1" s="145"/>
      <c r="C1" s="73"/>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491</v>
      </c>
      <c r="B10" s="186"/>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193" t="s">
        <v>486</v>
      </c>
      <c r="B1" s="145"/>
      <c r="C1" s="73"/>
      <c r="AA1" s="39">
        <f>C2</f>
        <v>0</v>
      </c>
    </row>
    <row r="2" spans="1:27" ht="30.75" customHeight="1" thickBot="1" x14ac:dyDescent="0.3">
      <c r="A2" s="199" t="s">
        <v>255</v>
      </c>
      <c r="B2" s="190"/>
      <c r="C2" s="90"/>
      <c r="R2" s="42" t="str">
        <f t="shared" ref="R2:R7" si="0">A2</f>
        <v>Risk Type  - The Risk Type from the SHUSA ERM Risk Taxonomy</v>
      </c>
    </row>
    <row r="3" spans="1:27" ht="24" customHeight="1" thickBot="1" x14ac:dyDescent="0.3">
      <c r="A3" s="191" t="s">
        <v>251</v>
      </c>
      <c r="B3" s="145"/>
      <c r="C3" s="70"/>
      <c r="R3" s="42" t="str">
        <f t="shared" si="0"/>
        <v>Risk Sub Type  - The Risk Sub-Category from the SHUSA ERM Risk Taxonomy</v>
      </c>
    </row>
    <row r="4" spans="1:27" ht="31.5" customHeight="1" thickBot="1" x14ac:dyDescent="0.3">
      <c r="A4" s="191"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89" t="s">
        <v>529</v>
      </c>
      <c r="B7" s="190"/>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3" t="s">
        <v>253</v>
      </c>
      <c r="B8" s="194"/>
      <c r="C8" s="195"/>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6"/>
      <c r="B9" s="197"/>
      <c r="C9" s="198"/>
      <c r="Q9" s="86">
        <f>A9</f>
        <v>0</v>
      </c>
    </row>
    <row r="10" spans="1:27" ht="81.75" customHeight="1" thickBot="1" x14ac:dyDescent="0.3">
      <c r="A10" s="41" t="s">
        <v>491</v>
      </c>
      <c r="B10" s="186"/>
      <c r="C10" s="192"/>
    </row>
    <row r="11" spans="1:27" ht="31.5" customHeight="1" thickBot="1" x14ac:dyDescent="0.3">
      <c r="A11" s="193" t="s">
        <v>254</v>
      </c>
      <c r="B11" s="194"/>
      <c r="C11" s="195"/>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86"/>
      <c r="B12" s="187"/>
      <c r="C12" s="188"/>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C15" sqref="C15"/>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15" t="s">
        <v>336</v>
      </c>
      <c r="B1" s="216"/>
      <c r="C1" s="216"/>
    </row>
    <row r="2" spans="1:3" ht="15.75" thickBot="1" x14ac:dyDescent="0.3">
      <c r="A2" s="74" t="s">
        <v>226</v>
      </c>
      <c r="B2" s="75" t="s">
        <v>313</v>
      </c>
      <c r="C2" s="75" t="s">
        <v>314</v>
      </c>
    </row>
    <row r="3" spans="1:3" ht="15.75" thickBot="1" x14ac:dyDescent="0.3">
      <c r="A3" s="207" t="s">
        <v>146</v>
      </c>
      <c r="B3" s="207" t="s">
        <v>315</v>
      </c>
      <c r="C3" s="54" t="s">
        <v>316</v>
      </c>
    </row>
    <row r="4" spans="1:3" ht="15.75" thickBot="1" x14ac:dyDescent="0.3">
      <c r="A4" s="208"/>
      <c r="B4" s="208"/>
      <c r="C4" s="54" t="s">
        <v>317</v>
      </c>
    </row>
    <row r="5" spans="1:3" ht="15.75" thickBot="1" x14ac:dyDescent="0.3">
      <c r="A5" s="208"/>
      <c r="B5" s="208"/>
      <c r="C5" s="54" t="s">
        <v>318</v>
      </c>
    </row>
    <row r="6" spans="1:3" ht="15.75" thickBot="1" x14ac:dyDescent="0.3">
      <c r="A6" s="208"/>
      <c r="B6" s="208"/>
      <c r="C6" s="54" t="s">
        <v>319</v>
      </c>
    </row>
    <row r="7" spans="1:3" ht="15.75" thickBot="1" x14ac:dyDescent="0.3">
      <c r="A7" s="208"/>
      <c r="B7" s="208"/>
      <c r="C7" s="54" t="s">
        <v>320</v>
      </c>
    </row>
    <row r="8" spans="1:3" ht="15.75" thickBot="1" x14ac:dyDescent="0.3">
      <c r="A8" s="209"/>
      <c r="B8" s="209"/>
      <c r="C8" s="54" t="s">
        <v>321</v>
      </c>
    </row>
    <row r="9" spans="1:3" ht="15.75" thickBot="1" x14ac:dyDescent="0.3">
      <c r="A9" s="207" t="s">
        <v>23</v>
      </c>
      <c r="B9" s="207" t="s">
        <v>322</v>
      </c>
      <c r="C9" s="54" t="s">
        <v>323</v>
      </c>
    </row>
    <row r="10" spans="1:3" ht="15.75" thickBot="1" x14ac:dyDescent="0.3">
      <c r="A10" s="208"/>
      <c r="B10" s="208"/>
      <c r="C10" s="54" t="s">
        <v>324</v>
      </c>
    </row>
    <row r="11" spans="1:3" ht="15.75" thickBot="1" x14ac:dyDescent="0.3">
      <c r="A11" s="208"/>
      <c r="B11" s="208"/>
      <c r="C11" s="54" t="s">
        <v>325</v>
      </c>
    </row>
    <row r="12" spans="1:3" ht="15.75" thickBot="1" x14ac:dyDescent="0.3">
      <c r="A12" s="209"/>
      <c r="B12" s="209"/>
      <c r="C12" s="54" t="s">
        <v>326</v>
      </c>
    </row>
    <row r="13" spans="1:3" ht="30.75" thickBot="1" x14ac:dyDescent="0.3">
      <c r="A13" s="46" t="s">
        <v>213</v>
      </c>
      <c r="B13" s="54" t="s">
        <v>213</v>
      </c>
      <c r="C13" s="54" t="s">
        <v>213</v>
      </c>
    </row>
    <row r="14" spans="1:3" ht="15.75" thickBot="1" x14ac:dyDescent="0.3">
      <c r="A14" s="207" t="s">
        <v>10</v>
      </c>
      <c r="B14" s="207" t="s">
        <v>337</v>
      </c>
      <c r="C14" s="54" t="s">
        <v>327</v>
      </c>
    </row>
    <row r="15" spans="1:3" ht="15.75" thickBot="1" x14ac:dyDescent="0.3">
      <c r="A15" s="208"/>
      <c r="B15" s="208"/>
      <c r="C15" s="54" t="s">
        <v>328</v>
      </c>
    </row>
    <row r="16" spans="1:3" ht="15.75" thickBot="1" x14ac:dyDescent="0.3">
      <c r="A16" s="208"/>
      <c r="B16" s="208"/>
      <c r="C16" s="54" t="s">
        <v>329</v>
      </c>
    </row>
    <row r="17" spans="1:3" ht="15.75" thickBot="1" x14ac:dyDescent="0.3">
      <c r="A17" s="209"/>
      <c r="B17" s="209"/>
      <c r="C17" s="54" t="s">
        <v>330</v>
      </c>
    </row>
    <row r="18" spans="1:3" ht="15.75" thickBot="1" x14ac:dyDescent="0.3">
      <c r="A18" s="207" t="s">
        <v>22</v>
      </c>
      <c r="B18" s="207" t="s">
        <v>331</v>
      </c>
      <c r="C18" s="54" t="s">
        <v>332</v>
      </c>
    </row>
    <row r="19" spans="1:3" ht="15.75" thickBot="1" x14ac:dyDescent="0.3">
      <c r="A19" s="208"/>
      <c r="B19" s="208"/>
      <c r="C19" s="54" t="s">
        <v>333</v>
      </c>
    </row>
    <row r="20" spans="1:3" ht="15.75" thickBot="1" x14ac:dyDescent="0.3">
      <c r="A20" s="208"/>
      <c r="B20" s="208"/>
      <c r="C20" s="54" t="s">
        <v>334</v>
      </c>
    </row>
    <row r="21" spans="1:3" ht="15.75" thickBot="1" x14ac:dyDescent="0.3">
      <c r="A21" s="209"/>
      <c r="B21" s="209"/>
      <c r="C21" s="54" t="s">
        <v>338</v>
      </c>
    </row>
    <row r="22" spans="1:3" ht="15.75" thickBot="1" x14ac:dyDescent="0.3">
      <c r="A22" s="46" t="s">
        <v>222</v>
      </c>
      <c r="B22" s="54" t="s">
        <v>335</v>
      </c>
      <c r="C22" s="54" t="s">
        <v>222</v>
      </c>
    </row>
    <row r="23" spans="1:3" x14ac:dyDescent="0.25">
      <c r="A23" s="80"/>
      <c r="B23" s="80"/>
      <c r="C23" s="80"/>
    </row>
    <row r="24" spans="1:3" ht="45.75" customHeight="1" x14ac:dyDescent="0.25">
      <c r="A24" s="213" t="s">
        <v>339</v>
      </c>
      <c r="B24" s="214"/>
      <c r="C24" s="214"/>
    </row>
    <row r="25" spans="1:3" ht="16.5" thickBot="1" x14ac:dyDescent="0.3">
      <c r="A25" s="77"/>
      <c r="B25"/>
      <c r="C25"/>
    </row>
    <row r="26" spans="1:3" ht="15.75" thickBot="1" x14ac:dyDescent="0.3">
      <c r="A26" s="74" t="s">
        <v>226</v>
      </c>
      <c r="B26" s="75" t="s">
        <v>313</v>
      </c>
      <c r="C26" s="75" t="s">
        <v>314</v>
      </c>
    </row>
    <row r="27" spans="1:3" ht="15.75" thickBot="1" x14ac:dyDescent="0.3">
      <c r="A27" s="207" t="s">
        <v>145</v>
      </c>
      <c r="B27" s="207" t="s">
        <v>340</v>
      </c>
      <c r="C27" s="54" t="s">
        <v>341</v>
      </c>
    </row>
    <row r="28" spans="1:3" ht="15.75" thickBot="1" x14ac:dyDescent="0.3">
      <c r="A28" s="208"/>
      <c r="B28" s="208"/>
      <c r="C28" s="54" t="s">
        <v>342</v>
      </c>
    </row>
    <row r="29" spans="1:3" ht="15.75" thickBot="1" x14ac:dyDescent="0.3">
      <c r="A29" s="208"/>
      <c r="B29" s="208"/>
      <c r="C29" s="54" t="s">
        <v>343</v>
      </c>
    </row>
    <row r="30" spans="1:3" ht="15.75" thickBot="1" x14ac:dyDescent="0.3">
      <c r="A30" s="208"/>
      <c r="B30" s="208"/>
      <c r="C30" s="54" t="s">
        <v>28</v>
      </c>
    </row>
    <row r="31" spans="1:3" ht="15.75" thickBot="1" x14ac:dyDescent="0.3">
      <c r="A31" s="208"/>
      <c r="B31" s="208"/>
      <c r="C31" s="54" t="s">
        <v>26</v>
      </c>
    </row>
    <row r="32" spans="1:3" ht="15.75" thickBot="1" x14ac:dyDescent="0.3">
      <c r="A32" s="209"/>
      <c r="B32" s="209"/>
      <c r="C32" s="54" t="s">
        <v>344</v>
      </c>
    </row>
    <row r="33" spans="1:3" ht="15.75" x14ac:dyDescent="0.25">
      <c r="A33" s="77"/>
      <c r="B33"/>
      <c r="C33"/>
    </row>
    <row r="34" spans="1:3" ht="42" customHeight="1" x14ac:dyDescent="0.25">
      <c r="A34" s="213" t="s">
        <v>345</v>
      </c>
      <c r="B34" s="214"/>
      <c r="C34" s="214"/>
    </row>
    <row r="35" spans="1:3" ht="15.75" thickBot="1" x14ac:dyDescent="0.3">
      <c r="A35" s="44"/>
      <c r="B35"/>
      <c r="C35"/>
    </row>
    <row r="36" spans="1:3" ht="15.75" thickBot="1" x14ac:dyDescent="0.3">
      <c r="A36" s="74" t="s">
        <v>226</v>
      </c>
      <c r="B36" s="75" t="s">
        <v>313</v>
      </c>
      <c r="C36" s="75" t="s">
        <v>314</v>
      </c>
    </row>
    <row r="37" spans="1:3" ht="30.75" thickBot="1" x14ac:dyDescent="0.3">
      <c r="A37" s="46" t="s">
        <v>53</v>
      </c>
      <c r="B37" s="54" t="s">
        <v>346</v>
      </c>
      <c r="C37" s="54" t="s">
        <v>53</v>
      </c>
    </row>
    <row r="38" spans="1:3" ht="75" x14ac:dyDescent="0.25">
      <c r="A38" s="207" t="s">
        <v>64</v>
      </c>
      <c r="B38" s="76" t="s">
        <v>347</v>
      </c>
      <c r="C38" s="207" t="s">
        <v>64</v>
      </c>
    </row>
    <row r="39" spans="1:3" ht="30" x14ac:dyDescent="0.25">
      <c r="A39" s="208"/>
      <c r="B39" s="76" t="s">
        <v>348</v>
      </c>
      <c r="C39" s="208"/>
    </row>
    <row r="40" spans="1:3" ht="30" x14ac:dyDescent="0.25">
      <c r="A40" s="208"/>
      <c r="B40" s="76" t="s">
        <v>349</v>
      </c>
      <c r="C40" s="208"/>
    </row>
    <row r="41" spans="1:3" x14ac:dyDescent="0.25">
      <c r="A41" s="208"/>
      <c r="B41" s="76" t="s">
        <v>350</v>
      </c>
      <c r="C41" s="208"/>
    </row>
    <row r="42" spans="1:3" ht="15.75" thickBot="1" x14ac:dyDescent="0.3">
      <c r="A42" s="209"/>
      <c r="B42" s="54" t="s">
        <v>351</v>
      </c>
      <c r="C42" s="209"/>
    </row>
    <row r="43" spans="1:3" ht="135.75" thickBot="1" x14ac:dyDescent="0.3">
      <c r="A43" s="46" t="s">
        <v>56</v>
      </c>
      <c r="B43" s="54" t="s">
        <v>352</v>
      </c>
      <c r="C43" s="54" t="s">
        <v>56</v>
      </c>
    </row>
    <row r="44" spans="1:3" ht="75.75" thickBot="1" x14ac:dyDescent="0.3">
      <c r="A44" s="46" t="s">
        <v>138</v>
      </c>
      <c r="B44" s="54" t="s">
        <v>353</v>
      </c>
      <c r="C44" s="54" t="s">
        <v>138</v>
      </c>
    </row>
    <row r="45" spans="1:3" ht="15.75" thickBot="1" x14ac:dyDescent="0.3">
      <c r="A45" s="207" t="s">
        <v>57</v>
      </c>
      <c r="B45" s="207" t="s">
        <v>354</v>
      </c>
      <c r="C45" s="54" t="s">
        <v>355</v>
      </c>
    </row>
    <row r="46" spans="1:3" ht="15.75" thickBot="1" x14ac:dyDescent="0.3">
      <c r="A46" s="208"/>
      <c r="B46" s="208"/>
      <c r="C46" s="54" t="s">
        <v>328</v>
      </c>
    </row>
    <row r="47" spans="1:3" ht="15.75" thickBot="1" x14ac:dyDescent="0.3">
      <c r="A47" s="208"/>
      <c r="B47" s="208"/>
      <c r="C47" s="54" t="s">
        <v>323</v>
      </c>
    </row>
    <row r="48" spans="1:3" ht="15.75" thickBot="1" x14ac:dyDescent="0.3">
      <c r="A48" s="208"/>
      <c r="B48" s="208"/>
      <c r="C48" s="54" t="s">
        <v>356</v>
      </c>
    </row>
    <row r="49" spans="1:3" ht="15.75" thickBot="1" x14ac:dyDescent="0.3">
      <c r="A49" s="209"/>
      <c r="B49" s="209"/>
      <c r="C49" s="54" t="s">
        <v>357</v>
      </c>
    </row>
    <row r="50" spans="1:3" ht="60.75" thickBot="1" x14ac:dyDescent="0.3">
      <c r="A50" s="46" t="s">
        <v>55</v>
      </c>
      <c r="B50" s="54" t="s">
        <v>358</v>
      </c>
      <c r="C50" s="54" t="s">
        <v>55</v>
      </c>
    </row>
    <row r="51" spans="1:3" ht="30" x14ac:dyDescent="0.25">
      <c r="A51" s="207" t="s">
        <v>52</v>
      </c>
      <c r="B51" s="76" t="s">
        <v>359</v>
      </c>
      <c r="C51" s="207" t="s">
        <v>52</v>
      </c>
    </row>
    <row r="52" spans="1:3" ht="45.75" thickBot="1" x14ac:dyDescent="0.3">
      <c r="A52" s="209"/>
      <c r="B52" s="54" t="s">
        <v>360</v>
      </c>
      <c r="C52" s="209"/>
    </row>
    <row r="53" spans="1:3" ht="45.75" thickBot="1" x14ac:dyDescent="0.3">
      <c r="A53" s="46" t="s">
        <v>18</v>
      </c>
      <c r="B53" s="54" t="s">
        <v>361</v>
      </c>
      <c r="C53" s="54" t="s">
        <v>18</v>
      </c>
    </row>
    <row r="54" spans="1:3" ht="30.75" thickBot="1" x14ac:dyDescent="0.3">
      <c r="A54" s="46" t="s">
        <v>144</v>
      </c>
      <c r="B54" s="54" t="s">
        <v>362</v>
      </c>
      <c r="C54" s="54" t="s">
        <v>363</v>
      </c>
    </row>
    <row r="55" spans="1:3" ht="15.75" x14ac:dyDescent="0.25">
      <c r="A55" s="77"/>
      <c r="B55"/>
      <c r="C55"/>
    </row>
    <row r="56" spans="1:3" ht="39" customHeight="1" x14ac:dyDescent="0.25">
      <c r="A56" s="213" t="s">
        <v>364</v>
      </c>
      <c r="B56" s="214"/>
      <c r="C56" s="214"/>
    </row>
    <row r="57" spans="1:3" ht="16.5" thickBot="1" x14ac:dyDescent="0.3">
      <c r="A57" s="77"/>
      <c r="B57"/>
      <c r="C57"/>
    </row>
    <row r="58" spans="1:3" ht="15.75" thickBot="1" x14ac:dyDescent="0.3">
      <c r="A58" s="74" t="s">
        <v>226</v>
      </c>
      <c r="B58" s="75" t="s">
        <v>313</v>
      </c>
      <c r="C58" s="75" t="s">
        <v>314</v>
      </c>
    </row>
    <row r="59" spans="1:3" ht="15.75" thickBot="1" x14ac:dyDescent="0.3">
      <c r="A59" s="46" t="s">
        <v>158</v>
      </c>
      <c r="B59" s="54" t="s">
        <v>365</v>
      </c>
      <c r="C59" s="54" t="s">
        <v>366</v>
      </c>
    </row>
    <row r="60" spans="1:3" ht="30" x14ac:dyDescent="0.25">
      <c r="A60" s="207" t="s">
        <v>45</v>
      </c>
      <c r="B60" s="76" t="s">
        <v>367</v>
      </c>
      <c r="C60" s="207" t="s">
        <v>374</v>
      </c>
    </row>
    <row r="61" spans="1:3" x14ac:dyDescent="0.25">
      <c r="A61" s="208"/>
      <c r="B61" s="76" t="s">
        <v>368</v>
      </c>
      <c r="C61" s="208"/>
    </row>
    <row r="62" spans="1:3" x14ac:dyDescent="0.25">
      <c r="A62" s="208"/>
      <c r="B62" s="76" t="s">
        <v>369</v>
      </c>
      <c r="C62" s="208"/>
    </row>
    <row r="63" spans="1:3" ht="15.75" thickBot="1" x14ac:dyDescent="0.3">
      <c r="A63" s="208"/>
      <c r="B63" s="76" t="s">
        <v>370</v>
      </c>
      <c r="C63" s="209"/>
    </row>
    <row r="64" spans="1:3" ht="15.75" thickBot="1" x14ac:dyDescent="0.3">
      <c r="A64" s="208"/>
      <c r="B64" s="76" t="s">
        <v>371</v>
      </c>
      <c r="C64" s="54" t="s">
        <v>375</v>
      </c>
    </row>
    <row r="65" spans="1:3" ht="30.75" thickBot="1" x14ac:dyDescent="0.3">
      <c r="A65" s="208"/>
      <c r="B65" s="76" t="s">
        <v>372</v>
      </c>
      <c r="C65" s="54" t="s">
        <v>376</v>
      </c>
    </row>
    <row r="66" spans="1:3" ht="75.75" thickBot="1" x14ac:dyDescent="0.3">
      <c r="A66" s="209"/>
      <c r="B66" s="54" t="s">
        <v>373</v>
      </c>
      <c r="C66" s="54" t="s">
        <v>377</v>
      </c>
    </row>
    <row r="67" spans="1:3" ht="90.75" thickBot="1" x14ac:dyDescent="0.3">
      <c r="A67" s="46" t="s">
        <v>48</v>
      </c>
      <c r="B67" s="54" t="s">
        <v>378</v>
      </c>
      <c r="C67" s="54" t="s">
        <v>48</v>
      </c>
    </row>
    <row r="68" spans="1:3" ht="30.75" thickBot="1" x14ac:dyDescent="0.3">
      <c r="A68" s="46" t="s">
        <v>163</v>
      </c>
      <c r="B68" s="54" t="s">
        <v>379</v>
      </c>
      <c r="C68" s="54" t="s">
        <v>163</v>
      </c>
    </row>
    <row r="69" spans="1:3" ht="15.75" thickBot="1" x14ac:dyDescent="0.3">
      <c r="A69" s="207" t="s">
        <v>46</v>
      </c>
      <c r="B69" s="76" t="s">
        <v>380</v>
      </c>
      <c r="C69" s="54" t="s">
        <v>382</v>
      </c>
    </row>
    <row r="70" spans="1:3" ht="90.75" thickBot="1" x14ac:dyDescent="0.3">
      <c r="A70" s="209"/>
      <c r="B70" s="54" t="s">
        <v>381</v>
      </c>
      <c r="C70" s="54" t="s">
        <v>383</v>
      </c>
    </row>
    <row r="71" spans="1:3" ht="15.75" x14ac:dyDescent="0.25">
      <c r="A71" s="77"/>
      <c r="B71"/>
      <c r="C71"/>
    </row>
    <row r="72" spans="1:3" ht="53.25" customHeight="1" x14ac:dyDescent="0.25">
      <c r="A72" s="213" t="s">
        <v>384</v>
      </c>
      <c r="B72" s="214"/>
      <c r="C72" s="214"/>
    </row>
    <row r="73" spans="1:3" ht="16.5" thickBot="1" x14ac:dyDescent="0.3">
      <c r="A73" s="77"/>
      <c r="B73"/>
      <c r="C73"/>
    </row>
    <row r="74" spans="1:3" ht="15.75" thickBot="1" x14ac:dyDescent="0.3">
      <c r="A74" s="74" t="s">
        <v>226</v>
      </c>
      <c r="B74" s="78" t="s">
        <v>313</v>
      </c>
      <c r="C74" s="75" t="s">
        <v>314</v>
      </c>
    </row>
    <row r="75" spans="1:3" ht="15.75" thickBot="1" x14ac:dyDescent="0.3">
      <c r="A75" s="207" t="s">
        <v>49</v>
      </c>
      <c r="B75" s="210" t="s">
        <v>385</v>
      </c>
      <c r="C75" s="54" t="s">
        <v>386</v>
      </c>
    </row>
    <row r="76" spans="1:3" ht="15.75" thickBot="1" x14ac:dyDescent="0.3">
      <c r="A76" s="208"/>
      <c r="B76" s="211"/>
      <c r="C76" s="54" t="s">
        <v>387</v>
      </c>
    </row>
    <row r="77" spans="1:3" ht="15.75" thickBot="1" x14ac:dyDescent="0.3">
      <c r="A77" s="208"/>
      <c r="B77" s="211"/>
      <c r="C77" s="54" t="s">
        <v>10</v>
      </c>
    </row>
    <row r="78" spans="1:3" ht="15.75" thickBot="1" x14ac:dyDescent="0.3">
      <c r="A78" s="209"/>
      <c r="B78" s="212"/>
      <c r="C78" s="54" t="s">
        <v>388</v>
      </c>
    </row>
    <row r="79" spans="1:3" ht="15.75" thickBot="1" x14ac:dyDescent="0.3">
      <c r="A79" s="207" t="s">
        <v>50</v>
      </c>
      <c r="B79" s="210" t="s">
        <v>389</v>
      </c>
      <c r="C79" s="54" t="s">
        <v>390</v>
      </c>
    </row>
    <row r="80" spans="1:3" ht="15.75" thickBot="1" x14ac:dyDescent="0.3">
      <c r="A80" s="208"/>
      <c r="B80" s="211"/>
      <c r="C80" s="54" t="s">
        <v>391</v>
      </c>
    </row>
    <row r="81" spans="1:3" ht="15.75" thickBot="1" x14ac:dyDescent="0.3">
      <c r="A81" s="209"/>
      <c r="B81" s="212"/>
      <c r="C81" s="54" t="s">
        <v>319</v>
      </c>
    </row>
    <row r="82" spans="1:3" ht="15.75" thickBot="1" x14ac:dyDescent="0.3">
      <c r="A82" s="207" t="s">
        <v>16</v>
      </c>
      <c r="B82" s="210" t="s">
        <v>392</v>
      </c>
      <c r="C82" s="54" t="s">
        <v>393</v>
      </c>
    </row>
    <row r="83" spans="1:3" ht="15.75" thickBot="1" x14ac:dyDescent="0.3">
      <c r="A83" s="208"/>
      <c r="B83" s="211"/>
      <c r="C83" s="54" t="s">
        <v>394</v>
      </c>
    </row>
    <row r="84" spans="1:3" ht="15.75" thickBot="1" x14ac:dyDescent="0.3">
      <c r="A84" s="208"/>
      <c r="B84" s="211"/>
      <c r="C84" s="54" t="s">
        <v>395</v>
      </c>
    </row>
    <row r="85" spans="1:3" ht="15.75" thickBot="1" x14ac:dyDescent="0.3">
      <c r="A85" s="209"/>
      <c r="B85" s="212"/>
      <c r="C85" s="54" t="s">
        <v>396</v>
      </c>
    </row>
    <row r="86" spans="1:3" ht="15.75" x14ac:dyDescent="0.25">
      <c r="A86" s="77"/>
      <c r="B86"/>
      <c r="C86"/>
    </row>
    <row r="87" spans="1:3" ht="22.5" customHeight="1" x14ac:dyDescent="0.25">
      <c r="A87" s="213" t="s">
        <v>397</v>
      </c>
      <c r="B87" s="214"/>
      <c r="C87" s="214"/>
    </row>
    <row r="88" spans="1:3" ht="16.5" thickBot="1" x14ac:dyDescent="0.3">
      <c r="A88" s="77"/>
      <c r="B88"/>
      <c r="C88"/>
    </row>
    <row r="89" spans="1:3" ht="15.75" thickBot="1" x14ac:dyDescent="0.3">
      <c r="A89" s="74" t="s">
        <v>226</v>
      </c>
      <c r="B89" s="75" t="s">
        <v>313</v>
      </c>
      <c r="C89" s="75" t="s">
        <v>314</v>
      </c>
    </row>
    <row r="90" spans="1:3" ht="30.75" thickBot="1" x14ac:dyDescent="0.3">
      <c r="A90" s="207" t="s">
        <v>30</v>
      </c>
      <c r="B90" s="207" t="s">
        <v>398</v>
      </c>
      <c r="C90" s="54" t="s">
        <v>399</v>
      </c>
    </row>
    <row r="91" spans="1:3" ht="15.75" thickBot="1" x14ac:dyDescent="0.3">
      <c r="A91" s="208"/>
      <c r="B91" s="208"/>
      <c r="C91" s="54" t="s">
        <v>400</v>
      </c>
    </row>
    <row r="92" spans="1:3" ht="15.75" thickBot="1" x14ac:dyDescent="0.3">
      <c r="A92" s="208"/>
      <c r="B92" s="208"/>
      <c r="C92" s="54" t="s">
        <v>401</v>
      </c>
    </row>
    <row r="93" spans="1:3" ht="15.75" thickBot="1" x14ac:dyDescent="0.3">
      <c r="A93" s="208"/>
      <c r="B93" s="208"/>
      <c r="C93" s="54" t="s">
        <v>402</v>
      </c>
    </row>
    <row r="94" spans="1:3" ht="15.75" thickBot="1" x14ac:dyDescent="0.3">
      <c r="A94" s="209"/>
      <c r="B94" s="209"/>
      <c r="C94" s="54" t="s">
        <v>403</v>
      </c>
    </row>
    <row r="95" spans="1:3" ht="15.75" thickBot="1" x14ac:dyDescent="0.3">
      <c r="A95" s="207" t="s">
        <v>32</v>
      </c>
      <c r="B95" s="207" t="s">
        <v>404</v>
      </c>
      <c r="C95" s="54" t="s">
        <v>405</v>
      </c>
    </row>
    <row r="96" spans="1:3" ht="15.75" thickBot="1" x14ac:dyDescent="0.3">
      <c r="A96" s="208"/>
      <c r="B96" s="208"/>
      <c r="C96" s="54" t="s">
        <v>406</v>
      </c>
    </row>
    <row r="97" spans="1:3" ht="15.75" thickBot="1" x14ac:dyDescent="0.3">
      <c r="A97" s="208"/>
      <c r="B97" s="208"/>
      <c r="C97" s="79" t="s">
        <v>407</v>
      </c>
    </row>
    <row r="98" spans="1:3" ht="15.75" thickBot="1" x14ac:dyDescent="0.3">
      <c r="A98" s="209"/>
      <c r="B98" s="209"/>
      <c r="C98" s="54" t="s">
        <v>408</v>
      </c>
    </row>
    <row r="99" spans="1:3" ht="15.75" thickBot="1" x14ac:dyDescent="0.3">
      <c r="A99" s="207" t="s">
        <v>34</v>
      </c>
      <c r="B99" s="207" t="s">
        <v>409</v>
      </c>
      <c r="C99" s="54" t="s">
        <v>410</v>
      </c>
    </row>
    <row r="100" spans="1:3" ht="27" customHeight="1" thickBot="1" x14ac:dyDescent="0.3">
      <c r="A100" s="208"/>
      <c r="B100" s="208"/>
      <c r="C100" s="54" t="s">
        <v>411</v>
      </c>
    </row>
    <row r="101" spans="1:3" ht="40.5" customHeight="1" thickBot="1" x14ac:dyDescent="0.3">
      <c r="A101" s="209"/>
      <c r="B101" s="209"/>
      <c r="C101" s="54" t="s">
        <v>412</v>
      </c>
    </row>
    <row r="102" spans="1:3" ht="45.75" thickBot="1" x14ac:dyDescent="0.3">
      <c r="A102" s="207" t="s">
        <v>38</v>
      </c>
      <c r="B102" s="207" t="s">
        <v>413</v>
      </c>
      <c r="C102" s="54" t="s">
        <v>414</v>
      </c>
    </row>
    <row r="103" spans="1:3" ht="15.75" thickBot="1" x14ac:dyDescent="0.3">
      <c r="A103" s="208"/>
      <c r="B103" s="208"/>
      <c r="C103" s="54" t="s">
        <v>415</v>
      </c>
    </row>
    <row r="104" spans="1:3" ht="30.75" thickBot="1" x14ac:dyDescent="0.3">
      <c r="A104" s="208"/>
      <c r="B104" s="208"/>
      <c r="C104" s="54" t="s">
        <v>416</v>
      </c>
    </row>
    <row r="105" spans="1:3" ht="15.75" thickBot="1" x14ac:dyDescent="0.3">
      <c r="A105" s="208"/>
      <c r="B105" s="208"/>
      <c r="C105" s="54" t="s">
        <v>417</v>
      </c>
    </row>
    <row r="106" spans="1:3" ht="15.75" thickBot="1" x14ac:dyDescent="0.3">
      <c r="A106" s="208"/>
      <c r="B106" s="208"/>
      <c r="C106" s="54" t="s">
        <v>418</v>
      </c>
    </row>
    <row r="107" spans="1:3" ht="15.75" thickBot="1" x14ac:dyDescent="0.3">
      <c r="A107" s="208"/>
      <c r="B107" s="208"/>
      <c r="C107" s="54" t="s">
        <v>419</v>
      </c>
    </row>
    <row r="108" spans="1:3" ht="15.75" thickBot="1" x14ac:dyDescent="0.3">
      <c r="A108" s="208"/>
      <c r="B108" s="208"/>
      <c r="C108" s="54" t="s">
        <v>420</v>
      </c>
    </row>
    <row r="109" spans="1:3" ht="30.75" thickBot="1" x14ac:dyDescent="0.3">
      <c r="A109" s="209"/>
      <c r="B109" s="209"/>
      <c r="C109" s="54" t="s">
        <v>421</v>
      </c>
    </row>
    <row r="110" spans="1:3" ht="15.75" thickBot="1" x14ac:dyDescent="0.3">
      <c r="A110" s="207" t="s">
        <v>37</v>
      </c>
      <c r="B110" s="207" t="s">
        <v>422</v>
      </c>
      <c r="C110" s="54" t="s">
        <v>423</v>
      </c>
    </row>
    <row r="111" spans="1:3" ht="15.75" thickBot="1" x14ac:dyDescent="0.3">
      <c r="A111" s="208"/>
      <c r="B111" s="208"/>
      <c r="C111" s="54" t="s">
        <v>424</v>
      </c>
    </row>
    <row r="112" spans="1:3" ht="15.75" thickBot="1" x14ac:dyDescent="0.3">
      <c r="A112" s="209"/>
      <c r="B112" s="209"/>
      <c r="C112" s="54" t="s">
        <v>425</v>
      </c>
    </row>
    <row r="113" spans="1:3" ht="15.75" thickBot="1" x14ac:dyDescent="0.3">
      <c r="A113" s="207" t="s">
        <v>39</v>
      </c>
      <c r="B113" s="207" t="s">
        <v>426</v>
      </c>
      <c r="C113" s="54" t="s">
        <v>427</v>
      </c>
    </row>
    <row r="114" spans="1:3" ht="15.75" thickBot="1" x14ac:dyDescent="0.3">
      <c r="A114" s="208"/>
      <c r="B114" s="208"/>
      <c r="C114" s="54" t="s">
        <v>428</v>
      </c>
    </row>
    <row r="115" spans="1:3" ht="15.75" thickBot="1" x14ac:dyDescent="0.3">
      <c r="A115" s="208"/>
      <c r="B115" s="208"/>
      <c r="C115" s="54" t="s">
        <v>429</v>
      </c>
    </row>
    <row r="116" spans="1:3" ht="15.75" thickBot="1" x14ac:dyDescent="0.3">
      <c r="A116" s="209"/>
      <c r="B116" s="209"/>
      <c r="C116" s="54" t="s">
        <v>430</v>
      </c>
    </row>
    <row r="117" spans="1:3" ht="15.75" thickBot="1" x14ac:dyDescent="0.3">
      <c r="A117" s="207" t="s">
        <v>33</v>
      </c>
      <c r="B117" s="207" t="s">
        <v>431</v>
      </c>
      <c r="C117" s="54" t="s">
        <v>432</v>
      </c>
    </row>
    <row r="118" spans="1:3" ht="15.75" thickBot="1" x14ac:dyDescent="0.3">
      <c r="A118" s="208"/>
      <c r="B118" s="208"/>
      <c r="C118" s="54" t="s">
        <v>433</v>
      </c>
    </row>
    <row r="119" spans="1:3" ht="15.75" thickBot="1" x14ac:dyDescent="0.3">
      <c r="A119" s="208"/>
      <c r="B119" s="208"/>
      <c r="C119" s="54" t="s">
        <v>434</v>
      </c>
    </row>
    <row r="120" spans="1:3" ht="15.75" thickBot="1" x14ac:dyDescent="0.3">
      <c r="A120" s="208"/>
      <c r="B120" s="208"/>
      <c r="C120" s="54" t="s">
        <v>435</v>
      </c>
    </row>
    <row r="121" spans="1:3" ht="15.75" thickBot="1" x14ac:dyDescent="0.3">
      <c r="A121" s="208"/>
      <c r="B121" s="208"/>
      <c r="C121" s="54" t="s">
        <v>436</v>
      </c>
    </row>
    <row r="122" spans="1:3" x14ac:dyDescent="0.25">
      <c r="A122" s="208"/>
      <c r="B122" s="208"/>
      <c r="C122" s="76" t="s">
        <v>437</v>
      </c>
    </row>
    <row r="123" spans="1:3" ht="15.75" thickBot="1" x14ac:dyDescent="0.3">
      <c r="A123" s="208"/>
      <c r="B123" s="208"/>
      <c r="C123" s="54" t="s">
        <v>438</v>
      </c>
    </row>
    <row r="124" spans="1:3" ht="15.75" thickBot="1" x14ac:dyDescent="0.3">
      <c r="A124" s="209"/>
      <c r="B124" s="209"/>
      <c r="C124" s="54" t="s">
        <v>439</v>
      </c>
    </row>
    <row r="125" spans="1:3" x14ac:dyDescent="0.25">
      <c r="A125" s="80"/>
      <c r="B125" s="80"/>
      <c r="C125" s="80"/>
    </row>
    <row r="126" spans="1:3" ht="50.25" customHeight="1" x14ac:dyDescent="0.25">
      <c r="A126" s="213" t="s">
        <v>440</v>
      </c>
      <c r="B126" s="214"/>
      <c r="C126" s="214"/>
    </row>
    <row r="127" spans="1:3" ht="16.5" thickBot="1" x14ac:dyDescent="0.3">
      <c r="A127" s="77"/>
      <c r="B127"/>
      <c r="C127"/>
    </row>
    <row r="128" spans="1:3" ht="15.75" thickBot="1" x14ac:dyDescent="0.3">
      <c r="A128" s="74" t="s">
        <v>226</v>
      </c>
      <c r="B128" s="75" t="s">
        <v>313</v>
      </c>
      <c r="C128" s="75" t="s">
        <v>314</v>
      </c>
    </row>
    <row r="129" spans="1:3" ht="15.75" thickBot="1" x14ac:dyDescent="0.3">
      <c r="A129" s="207" t="s">
        <v>60</v>
      </c>
      <c r="B129" s="207" t="s">
        <v>441</v>
      </c>
      <c r="C129" s="54" t="s">
        <v>442</v>
      </c>
    </row>
    <row r="130" spans="1:3" ht="15.75" thickBot="1" x14ac:dyDescent="0.3">
      <c r="A130" s="208"/>
      <c r="B130" s="208"/>
      <c r="C130" s="54" t="s">
        <v>443</v>
      </c>
    </row>
    <row r="131" spans="1:3" ht="15.75" thickBot="1" x14ac:dyDescent="0.3">
      <c r="A131" s="208"/>
      <c r="B131" s="208"/>
      <c r="C131" s="54" t="s">
        <v>444</v>
      </c>
    </row>
    <row r="132" spans="1:3" ht="15.75" thickBot="1" x14ac:dyDescent="0.3">
      <c r="A132" s="208"/>
      <c r="B132" s="208"/>
      <c r="C132" s="54" t="s">
        <v>445</v>
      </c>
    </row>
    <row r="133" spans="1:3" ht="30.75" thickBot="1" x14ac:dyDescent="0.3">
      <c r="A133" s="209"/>
      <c r="B133" s="209"/>
      <c r="C133" s="54" t="s">
        <v>446</v>
      </c>
    </row>
    <row r="134" spans="1:3" ht="15.75" thickBot="1" x14ac:dyDescent="0.3">
      <c r="A134" s="207" t="s">
        <v>62</v>
      </c>
      <c r="B134" s="207" t="s">
        <v>447</v>
      </c>
      <c r="C134" s="54" t="s">
        <v>448</v>
      </c>
    </row>
    <row r="135" spans="1:3" ht="15.75" thickBot="1" x14ac:dyDescent="0.3">
      <c r="A135" s="208"/>
      <c r="B135" s="208"/>
      <c r="C135" s="54" t="s">
        <v>449</v>
      </c>
    </row>
    <row r="136" spans="1:3" ht="15.75" thickBot="1" x14ac:dyDescent="0.3">
      <c r="A136" s="208"/>
      <c r="B136" s="208"/>
      <c r="C136" s="54" t="s">
        <v>450</v>
      </c>
    </row>
    <row r="137" spans="1:3" ht="15.75" thickBot="1" x14ac:dyDescent="0.3">
      <c r="A137" s="208"/>
      <c r="B137" s="208"/>
      <c r="C137" s="54" t="s">
        <v>451</v>
      </c>
    </row>
    <row r="138" spans="1:3" ht="15.75" thickBot="1" x14ac:dyDescent="0.3">
      <c r="A138" s="208"/>
      <c r="B138" s="208"/>
      <c r="C138" s="54" t="s">
        <v>452</v>
      </c>
    </row>
    <row r="139" spans="1:3" ht="15.75" thickBot="1" x14ac:dyDescent="0.3">
      <c r="A139" s="208"/>
      <c r="B139" s="208"/>
      <c r="C139" s="54" t="s">
        <v>453</v>
      </c>
    </row>
    <row r="140" spans="1:3" ht="15.75" thickBot="1" x14ac:dyDescent="0.3">
      <c r="A140" s="208"/>
      <c r="B140" s="208"/>
      <c r="C140" s="54" t="s">
        <v>454</v>
      </c>
    </row>
    <row r="141" spans="1:3" ht="15.75" thickBot="1" x14ac:dyDescent="0.3">
      <c r="A141" s="208"/>
      <c r="B141" s="208"/>
      <c r="C141" s="54" t="s">
        <v>455</v>
      </c>
    </row>
    <row r="142" spans="1:3" ht="15.75" thickBot="1" x14ac:dyDescent="0.3">
      <c r="A142" s="209"/>
      <c r="B142" s="209"/>
      <c r="C142" s="54" t="s">
        <v>456</v>
      </c>
    </row>
    <row r="143" spans="1:3" ht="15.75" thickBot="1" x14ac:dyDescent="0.3">
      <c r="A143" s="207" t="s">
        <v>63</v>
      </c>
      <c r="B143" s="207" t="s">
        <v>457</v>
      </c>
      <c r="C143" s="54" t="s">
        <v>458</v>
      </c>
    </row>
    <row r="144" spans="1:3" ht="15.75" thickBot="1" x14ac:dyDescent="0.3">
      <c r="A144" s="208"/>
      <c r="B144" s="208"/>
      <c r="C144" s="54" t="s">
        <v>459</v>
      </c>
    </row>
    <row r="145" spans="1:3" ht="15.75" thickBot="1" x14ac:dyDescent="0.3">
      <c r="A145" s="208"/>
      <c r="B145" s="208"/>
      <c r="C145" s="54" t="s">
        <v>460</v>
      </c>
    </row>
    <row r="146" spans="1:3" ht="15.75" thickBot="1" x14ac:dyDescent="0.3">
      <c r="A146" s="208"/>
      <c r="B146" s="208"/>
      <c r="C146" s="54" t="s">
        <v>461</v>
      </c>
    </row>
    <row r="147" spans="1:3" ht="15.75" thickBot="1" x14ac:dyDescent="0.3">
      <c r="A147" s="208"/>
      <c r="B147" s="208"/>
      <c r="C147" s="54" t="s">
        <v>462</v>
      </c>
    </row>
    <row r="148" spans="1:3" ht="15.75" thickBot="1" x14ac:dyDescent="0.3">
      <c r="A148" s="208"/>
      <c r="B148" s="208"/>
      <c r="C148" s="54" t="s">
        <v>463</v>
      </c>
    </row>
    <row r="149" spans="1:3" ht="15.75" thickBot="1" x14ac:dyDescent="0.3">
      <c r="A149" s="208"/>
      <c r="B149" s="208"/>
      <c r="C149" s="54" t="s">
        <v>464</v>
      </c>
    </row>
    <row r="150" spans="1:3" ht="15.75" thickBot="1" x14ac:dyDescent="0.3">
      <c r="A150" s="208"/>
      <c r="B150" s="208"/>
      <c r="C150" s="54" t="s">
        <v>465</v>
      </c>
    </row>
    <row r="151" spans="1:3" ht="15.75" thickBot="1" x14ac:dyDescent="0.3">
      <c r="A151" s="209"/>
      <c r="B151" s="209"/>
      <c r="C151" s="54" t="s">
        <v>40</v>
      </c>
    </row>
    <row r="152" spans="1:3" ht="15.75" thickBot="1" x14ac:dyDescent="0.3">
      <c r="A152" s="207" t="s">
        <v>59</v>
      </c>
      <c r="B152" s="207" t="s">
        <v>466</v>
      </c>
      <c r="C152" s="54" t="s">
        <v>467</v>
      </c>
    </row>
    <row r="153" spans="1:3" ht="15.75" thickBot="1" x14ac:dyDescent="0.3">
      <c r="A153" s="208"/>
      <c r="B153" s="208"/>
      <c r="C153" s="54" t="s">
        <v>468</v>
      </c>
    </row>
    <row r="154" spans="1:3" ht="15.75" thickBot="1" x14ac:dyDescent="0.3">
      <c r="A154" s="209"/>
      <c r="B154" s="209"/>
      <c r="C154" s="54" t="s">
        <v>469</v>
      </c>
    </row>
    <row r="155" spans="1:3" ht="15.75" thickBot="1" x14ac:dyDescent="0.3">
      <c r="A155" s="207" t="s">
        <v>61</v>
      </c>
      <c r="B155" s="207" t="s">
        <v>470</v>
      </c>
      <c r="C155" s="54" t="s">
        <v>471</v>
      </c>
    </row>
    <row r="156" spans="1:3" ht="15.75" thickBot="1" x14ac:dyDescent="0.3">
      <c r="A156" s="209"/>
      <c r="B156" s="209"/>
      <c r="C156" s="54" t="s">
        <v>472</v>
      </c>
    </row>
    <row r="157" spans="1:3" ht="30.75" thickBot="1" x14ac:dyDescent="0.3">
      <c r="A157" s="46" t="s">
        <v>58</v>
      </c>
      <c r="B157" s="54" t="s">
        <v>473</v>
      </c>
      <c r="C157" s="54" t="s">
        <v>58</v>
      </c>
    </row>
    <row r="158" spans="1:3" ht="15.75" thickBot="1" x14ac:dyDescent="0.3">
      <c r="A158" s="46" t="s">
        <v>12</v>
      </c>
      <c r="B158" s="54" t="s">
        <v>474</v>
      </c>
      <c r="C158" s="54" t="s">
        <v>12</v>
      </c>
    </row>
    <row r="159" spans="1:3" ht="15.75" x14ac:dyDescent="0.25">
      <c r="A159" s="77"/>
      <c r="B159"/>
      <c r="C159"/>
    </row>
    <row r="160" spans="1:3" ht="36.75" customHeight="1" x14ac:dyDescent="0.25">
      <c r="A160" s="213" t="s">
        <v>475</v>
      </c>
      <c r="B160" s="214"/>
      <c r="C160" s="214"/>
    </row>
    <row r="161" spans="1:3" ht="16.5" thickBot="1" x14ac:dyDescent="0.3">
      <c r="A161" s="77"/>
      <c r="B161"/>
      <c r="C161"/>
    </row>
    <row r="162" spans="1:3" ht="15.75" thickBot="1" x14ac:dyDescent="0.3">
      <c r="A162" s="74" t="s">
        <v>226</v>
      </c>
      <c r="B162" s="75" t="s">
        <v>313</v>
      </c>
      <c r="C162" s="75" t="s">
        <v>314</v>
      </c>
    </row>
    <row r="163" spans="1:3" ht="30.75" thickBot="1" x14ac:dyDescent="0.3">
      <c r="A163" s="46" t="s">
        <v>44</v>
      </c>
      <c r="B163" s="54" t="s">
        <v>476</v>
      </c>
      <c r="C163" s="54" t="s">
        <v>44</v>
      </c>
    </row>
    <row r="164" spans="1:3" ht="30.75" thickBot="1" x14ac:dyDescent="0.3">
      <c r="A164" s="46" t="s">
        <v>42</v>
      </c>
      <c r="B164" s="54" t="s">
        <v>477</v>
      </c>
      <c r="C164" s="54" t="s">
        <v>42</v>
      </c>
    </row>
    <row r="165" spans="1:3" ht="15.75" thickBot="1" x14ac:dyDescent="0.3">
      <c r="A165" s="46" t="s">
        <v>41</v>
      </c>
      <c r="B165" s="54" t="s">
        <v>478</v>
      </c>
      <c r="C165" s="54" t="s">
        <v>41</v>
      </c>
    </row>
    <row r="166" spans="1:3" ht="15.75" thickBot="1" x14ac:dyDescent="0.3">
      <c r="A166" s="46" t="s">
        <v>43</v>
      </c>
      <c r="B166" s="54" t="s">
        <v>479</v>
      </c>
      <c r="C166" s="54" t="s">
        <v>43</v>
      </c>
    </row>
    <row r="167" spans="1:3" ht="30.75" thickBot="1" x14ac:dyDescent="0.3">
      <c r="A167" s="46" t="s">
        <v>40</v>
      </c>
      <c r="B167" s="54" t="s">
        <v>480</v>
      </c>
      <c r="C167" s="54" t="s">
        <v>40</v>
      </c>
    </row>
  </sheetData>
  <sheetProtection password="CDE2" sheet="1" objects="1" scenarios="1" formatColumns="0" formatRows="0"/>
  <mergeCells count="57">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 ref="B129:B133"/>
    <mergeCell ref="A134:A142"/>
    <mergeCell ref="B134:B142"/>
    <mergeCell ref="A126:C126"/>
    <mergeCell ref="A102:A109"/>
    <mergeCell ref="B102:B109"/>
    <mergeCell ref="A110:A112"/>
    <mergeCell ref="B110:B112"/>
    <mergeCell ref="A113:A116"/>
    <mergeCell ref="B113:B116"/>
    <mergeCell ref="A90:A94"/>
    <mergeCell ref="B90:B94"/>
    <mergeCell ref="A95:A98"/>
    <mergeCell ref="B95:B98"/>
    <mergeCell ref="A99:A101"/>
    <mergeCell ref="B99:B101"/>
    <mergeCell ref="A82:A85"/>
    <mergeCell ref="B82:B85"/>
    <mergeCell ref="A45:A49"/>
    <mergeCell ref="B45:B49"/>
    <mergeCell ref="A51:A52"/>
    <mergeCell ref="A69:A70"/>
    <mergeCell ref="A75:A78"/>
    <mergeCell ref="B75:B78"/>
    <mergeCell ref="A79:A81"/>
    <mergeCell ref="B79:B81"/>
    <mergeCell ref="C51:C52"/>
    <mergeCell ref="A60:A66"/>
    <mergeCell ref="C60:C63"/>
    <mergeCell ref="A18:A21"/>
    <mergeCell ref="B18:B21"/>
    <mergeCell ref="A27:A32"/>
    <mergeCell ref="B27:B32"/>
    <mergeCell ref="A38:A42"/>
    <mergeCell ref="C38:C42"/>
    <mergeCell ref="A3:A8"/>
    <mergeCell ref="B3:B8"/>
    <mergeCell ref="A9:A12"/>
    <mergeCell ref="B9:B12"/>
    <mergeCell ref="A14:A17"/>
    <mergeCell ref="B14:B17"/>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58</vt:i4>
      </vt:variant>
    </vt:vector>
  </HeadingPairs>
  <TitlesOfParts>
    <vt:vector size="113"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'Off-Balance Sheet'!Print_Area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Murphy, Michelle</cp:lastModifiedBy>
  <cp:lastPrinted>2015-05-07T18:02:22Z</cp:lastPrinted>
  <dcterms:created xsi:type="dcterms:W3CDTF">2015-03-19T18:31:05Z</dcterms:created>
  <dcterms:modified xsi:type="dcterms:W3CDTF">2015-06-30T22:30:30Z</dcterms:modified>
</cp:coreProperties>
</file>