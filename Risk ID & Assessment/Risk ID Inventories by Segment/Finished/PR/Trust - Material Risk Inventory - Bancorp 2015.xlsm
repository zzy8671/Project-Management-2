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80" windowWidth="15120" windowHeight="7965" tabRatio="961" firstSheet="1"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Findings'!$A$1:$F$43</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<sst xmlns="http://schemas.openxmlformats.org/spreadsheetml/2006/main" count="1396" uniqueCount="590">
  <si>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</si>
  <si>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</si>
  <si>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</si>
  <si>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</si>
  <si>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</si>
  <si>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</si>
  <si>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</si>
  <si>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</si>
  <si>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</si>
  <si>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</si>
  <si>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</si>
  <si>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</si>
  <si>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</si>
  <si>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</si>
  <si>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</si>
  <si>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</si>
  <si>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</si>
  <si>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</si>
  <si>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</si>
  <si>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</si>
  <si>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</si>
  <si>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</si>
  <si>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</si>
  <si>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</si>
  <si>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</si>
  <si>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</si>
  <si>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</si>
  <si>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</si>
  <si>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</si>
  <si>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</si>
  <si>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</si>
  <si>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</si>
  <si>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</si>
  <si>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</si>
  <si>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</si>
  <si>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</si>
  <si>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</si>
  <si>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</si>
  <si>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</si>
  <si>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</si>
  <si>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</si>
  <si>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</si>
  <si>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</si>
  <si>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</si>
  <si>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</si>
  <si>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</si>
  <si>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</si>
  <si>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</si>
  <si>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</si>
  <si>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</si>
  <si>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</si>
  <si>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</si>
  <si>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</si>
  <si>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</si>
  <si>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</si>
  <si>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</si>
  <si>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</si>
  <si>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</si>
  <si>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</si>
  <si>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</si>
  <si>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</si>
  <si>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</si>
  <si>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</si>
  <si>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</si>
  <si>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</si>
  <si>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</si>
  <si>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</si>
  <si>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</si>
  <si>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</si>
  <si>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</si>
  <si>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</si>
  <si>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</si>
  <si>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</si>
  <si>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</si>
  <si>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</si>
  <si>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</si>
  <si>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</si>
  <si>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</si>
  <si>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</si>
  <si>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</si>
  <si>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</si>
  <si>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</si>
  <si>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</si>
  <si>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</si>
  <si>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</si>
  <si>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</si>
  <si>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</si>
  <si>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</si>
  <si>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</si>
  <si>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</si>
  <si>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</si>
  <si>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</si>
  <si>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</si>
  <si>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</si>
  <si>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</si>
  <si>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</si>
  <si>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</si>
  <si>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</si>
  <si>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</si>
  <si>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</si>
  <si>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</si>
  <si>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</si>
  <si>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</si>
  <si>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</si>
  <si>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</si>
  <si>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</si>
  <si>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</si>
  <si>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</si>
  <si>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</si>
  <si>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</si>
  <si>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</si>
  <si>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</si>
  <si>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</si>
  <si>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</si>
  <si>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</si>
  <si>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</si>
  <si>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</si>
  <si>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</si>
  <si>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</si>
  <si>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</si>
  <si>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</si>
  <si>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</si>
  <si>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</si>
  <si>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</si>
  <si>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</si>
  <si>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</si>
  <si>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</si>
  <si>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</si>
  <si>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</si>
  <si>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</si>
  <si>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</si>
  <si>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</si>
  <si>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</si>
  <si>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</si>
  <si>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</si>
  <si>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</si>
  <si>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</si>
  <si>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</si>
  <si>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</si>
  <si>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</si>
  <si>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</si>
  <si>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</si>
  <si>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</si>
  <si>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</si>
  <si>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</si>
  <si>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</si>
  <si>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</si>
  <si>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</si>
  <si>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</si>
  <si>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</si>
  <si>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</si>
  <si>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</si>
  <si>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</si>
  <si>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</si>
  <si>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</si>
  <si>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</si>
  <si>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</si>
  <si>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</si>
  <si>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</si>
  <si>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</si>
  <si>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</si>
  <si>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</si>
  <si>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</si>
  <si>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</si>
  <si>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</si>
  <si>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</si>
  <si>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</si>
  <si>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</si>
  <si>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</si>
  <si>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</si>
  <si>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</si>
  <si>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</si>
  <si>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</si>
  <si>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</si>
  <si>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</si>
  <si>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</si>
  <si>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</si>
  <si>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</si>
  <si>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</si>
  <si>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</si>
  <si>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</si>
  <si>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</si>
  <si>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</si>
  <si>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</si>
  <si>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</si>
  <si>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</si>
  <si>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</si>
  <si>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</si>
  <si>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</si>
  <si>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</si>
  <si>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</si>
  <si>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</si>
  <si>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</si>
  <si>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</si>
  <si>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</si>
  <si>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</si>
  <si>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</si>
  <si>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</si>
  <si>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</si>
  <si>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</si>
  <si>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</si>
  <si>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</si>
  <si>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</si>
  <si>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</si>
  <si>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</si>
  <si>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</si>
  <si>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</si>
  <si>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</si>
  <si>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</si>
  <si>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</si>
  <si>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</si>
  <si>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</si>
  <si>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</si>
  <si>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</si>
  <si>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</si>
  <si>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</si>
  <si>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</si>
  <si>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</si>
  <si>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</si>
  <si>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</si>
  <si>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</si>
  <si>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</si>
  <si>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</si>
  <si>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</si>
  <si>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</si>
  <si>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</si>
  <si>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</si>
  <si>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</si>
  <si>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</si>
  <si>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</si>
  <si>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</si>
  <si>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</si>
  <si>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</si>
  <si>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</si>
  <si>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</si>
  <si>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</si>
  <si>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</si>
  <si>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</si>
  <si>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</si>
  <si>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</si>
  <si>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</si>
  <si>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</si>
  <si>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</si>
  <si>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</si>
  <si>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</si>
  <si>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</si>
  <si>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</si>
  <si>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</si>
  <si>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</si>
  <si>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</si>
  <si>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</si>
  <si>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</si>
  <si>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</si>
  <si>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</si>
  <si>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</si>
  <si>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</si>
  <si>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</si>
  <si>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</si>
  <si>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</si>
  <si>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</si>
  <si>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</si>
  <si>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</si>
  <si>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</si>
  <si>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</si>
  <si>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</si>
  <si>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</si>
  <si>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</si>
  <si>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</si>
  <si>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</si>
  <si>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</si>
  <si>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</si>
  <si>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</si>
  <si>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</si>
  <si>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</si>
  <si>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</si>
  <si>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</si>
  <si>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</si>
  <si>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</si>
  <si>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</si>
  <si>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</si>
  <si>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</si>
  <si>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</si>
  <si>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</si>
  <si>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</si>
  <si>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</si>
  <si>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</si>
  <si>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</si>
  <si>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</si>
  <si>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</si>
  <si>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</si>
  <si>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</si>
  <si>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</si>
  <si>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</si>
  <si>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</si>
  <si>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</si>
  <si>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</si>
  <si>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</si>
  <si>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</si>
  <si>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</si>
  <si>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</si>
  <si>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</si>
  <si>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</si>
  <si>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</si>
  <si>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</si>
  <si>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</si>
  <si>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</si>
  <si>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</si>
  <si>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</si>
  <si>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</si>
  <si>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</si>
  <si>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</si>
  <si>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</si>
  <si>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</si>
  <si>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</si>
  <si>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</si>
  <si>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</si>
  <si>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</si>
  <si>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</si>
  <si>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</si>
  <si>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</si>
  <si>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</si>
  <si>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</si>
  <si>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</si>
  <si>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</si>
  <si>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</si>
  <si>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</si>
  <si>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</si>
  <si>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</si>
  <si>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</si>
  <si>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</si>
  <si>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</si>
  <si>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</si>
  <si>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</si>
  <si>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</si>
  <si>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</si>
  <si>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</si>
  <si>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</si>
  <si>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</si>
  <si>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</si>
  <si>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</si>
  <si>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</si>
  <si>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</si>
  <si>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</si>
  <si>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</si>
  <si>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</si>
  <si>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</si>
  <si>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</si>
  <si>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</si>
  <si>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</si>
  <si>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</si>
  <si>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</si>
  <si>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</si>
  <si>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</si>
  <si>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</si>
  <si>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</si>
  <si>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</si>
  <si>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</si>
  <si>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</si>
  <si>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</si>
  <si>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</si>
  <si>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</si>
  <si>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</si>
  <si>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</si>
  <si>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</si>
  <si>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</si>
  <si>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</si>
  <si>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</si>
  <si>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</si>
  <si>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</si>
  <si>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</si>
  <si>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</si>
  <si>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</si>
  <si>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</si>
  <si>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</si>
  <si>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</si>
  <si>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</si>
  <si>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</si>
  <si>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</si>
  <si>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</si>
  <si>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</si>
  <si>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</si>
  <si>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</si>
  <si>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</si>
  <si>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</si>
  <si>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</si>
  <si>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</si>
  <si>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</si>
  <si>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</si>
  <si>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</si>
  <si>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</si>
  <si>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</si>
  <si>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</si>
  <si>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</si>
  <si>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</si>
  <si>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</si>
  <si>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</si>
  <si>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</si>
  <si>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</si>
  <si>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</si>
  <si>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</si>
  <si>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</si>
  <si>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</si>
  <si>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</si>
  <si>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</si>
  <si>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</si>
  <si>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</si>
  <si>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</si>
  <si>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</si>
  <si>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</si>
  <si>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</si>
  <si>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</si>
  <si>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</si>
  <si>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</si>
  <si>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</si>
  <si>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</si>
  <si>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</si>
  <si>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</si>
  <si>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</si>
  <si>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</si>
  <si>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</si>
  <si>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</si>
  <si>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</si>
  <si>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</si>
  <si>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</si>
  <si>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</si>
  <si>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</si>
  <si>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</si>
  <si>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</si>
  <si>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</si>
  <si>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</si>
  <si>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</si>
  <si>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</si>
  <si>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</si>
  <si>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</si>
  <si>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</si>
  <si>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</si>
  <si>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</si>
  <si>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</si>
  <si>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</si>
  <si>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</si>
  <si>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</si>
  <si>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</si>
  <si>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</si>
  <si>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</si>
  <si>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</si>
  <si>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</si>
  <si>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</si>
  <si>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</si>
  <si>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</si>
  <si>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</si>
  <si>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</si>
  <si>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</si>
  <si>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</si>
  <si>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</si>
  <si>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</si>
  <si>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</si>
  <si>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</si>
  <si>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</si>
  <si>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</si>
  <si>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</si>
  <si>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</si>
  <si>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</si>
  <si>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</si>
  <si>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</si>
  <si>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</si>
  <si>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</si>
  <si>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</si>
  <si>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</si>
  <si>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</si>
  <si>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</si>
  <si>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</si>
  <si>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</si>
  <si>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</si>
  <si>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</si>
  <si>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</si>
  <si>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</si>
  <si>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</si>
  <si>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</si>
  <si>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</si>
  <si>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</si>
  <si>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</si>
  <si>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</si>
  <si>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</si>
  <si>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</si>
  <si>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</si>
  <si>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</si>
  <si>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</si>
  <si>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</si>
  <si>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</si>
  <si>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</si>
  <si>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</si>
  <si>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</si>
  <si>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</si>
  <si>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</si>
  <si>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</si>
  <si>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</si>
  <si>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</si>
  <si>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</si>
  <si>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</si>
  <si>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</si>
  <si>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</si>
  <si>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</si>
  <si>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</si>
  <si>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</si>
  <si>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</si>
  <si>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</si>
  <si>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</si>
  <si>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</si>
  <si>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</si>
  <si>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</si>
  <si>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</si>
  <si>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</si>
  <si>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</si>
  <si>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</si>
  <si>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</si>
  <si>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</si>
  <si>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</si>
  <si>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</si>
  <si>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</si>
  <si>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</si>
  <si>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</si>
  <si>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</si>
  <si>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</si>
  <si>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</si>
  <si>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</si>
  <si>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</si>
  <si>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</si>
  <si>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</si>
  <si>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</si>
  <si>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</si>
  <si>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</si>
  <si>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</si>
  <si>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</si>
  <si>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</si>
  <si>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</si>
  <si>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Material Risk Tool version 1.2 updated May 8, 2015</t>
  </si>
  <si>
    <t>Santander Bancorp</t>
  </si>
  <si>
    <t>Trust</t>
  </si>
  <si>
    <t>Internal Fraud during the ordinary course of operations</t>
  </si>
  <si>
    <t xml:space="preserve">As a directed trustee of retirement plans, there is no discretion on investment and/or custodial services. These services are provided by a third party selected by the client. </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</si>
  <si>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</si>
  <si>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</si>
  <si>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</si>
  <si>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Price Risk Includes the potential economic impact (decrease in the value of assets) that could be derived from participating in the underwriting of equity or debt capital markets transactions that are not fully sold into the market, and where the Subsidiary retains on its balance sheet a higher amount of exposure than anticipated.</t>
  </si>
  <si>
    <t>Internal Audit</t>
  </si>
  <si>
    <t xml:space="preserve">Reinforce the review and supervision controls regarding the managing of IRA account opening. </t>
  </si>
  <si>
    <t xml:space="preserve">Coordinate with the Operations area and establish an action plan to reduce the missing or incorrect documentation that are observed in the IRA files during the opening of those accounts at the branches. </t>
  </si>
  <si>
    <t>FDIC/OCIF</t>
  </si>
  <si>
    <t>OCIF</t>
  </si>
  <si>
    <t>Recommendation</t>
  </si>
  <si>
    <t>OTHER</t>
  </si>
  <si>
    <t>Closed by regulator</t>
  </si>
  <si>
    <t>Develop a comprehensive administration account review process and ensure that all accounts are reviewed annually.</t>
  </si>
  <si>
    <t>Document trust files by providing evidence that OFAC verifications have been performed.</t>
  </si>
  <si>
    <t xml:space="preserve"> Ensure the department has the necessary resources to provide for adequate segregation of duties in light of future projected growth.</t>
  </si>
  <si>
    <t>Requires priority attention</t>
  </si>
  <si>
    <t>Management was receptive to the recommendation to upgrade the synopsis of the two accounts reviewed.</t>
  </si>
  <si>
    <t>Reinforce review and supervision controls regarding transfer agent area to minimize the errors observed and to ascertain that all the controls procedures are followed during the transactions processing, including the adequate custody of certificates.</t>
  </si>
  <si>
    <t>Provide periodic follow up to the Security Department until the FBI response is received to ascertain that the fingerprint cards are properly processed and that there are not negative results.</t>
  </si>
  <si>
    <t>Implemented</t>
  </si>
  <si>
    <t>Loan Policy (Reinvestment Deposits): IRA and CAE funds are reinvested 100% in residential mortgages. The evaluation of these detected that 15 loans in the amount of $ 1,323,366.41 are in overdue in the category of thirty (30) days or less. The Trust does not have a written policites where the procedures are established in cases the overdue reach a level of 90 days or more.  The Commissioner recommended that the Trust Department review the written procedure and include the steps when the index or default rate of the mortgage portfolio is high.</t>
  </si>
  <si>
    <t>CAE accounts - OFAC reviews to the beneficiaries: In the evaluation of nine (9) CAE accounts, it was detected that the trustee is not verifying compliance with OFAC at the time of account opening. The beneficiaries of CAE accounts are not checked or filtered through the OFAC lists.</t>
  </si>
  <si>
    <t>No new products and services are being offered nor are planned for 2015.</t>
  </si>
  <si>
    <t>Implemented, Pending Regulator</t>
  </si>
  <si>
    <t xml:space="preserve">An Operational Risk Self-Assessment was performed in which the Line of Business Owner assessed the equity impact (inherent and residual) including the events, frequency, severity and justification.  Also it required an assessment of the overall control environment.  
The Operational Risk Self-Assessment performed for the area did not reflect any material risk. 
</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</si>
  <si>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</si>
  <si>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Failure to fulfill the fiduciary responsibilities</t>
  </si>
  <si>
    <t>Wendy González</t>
  </si>
  <si>
    <t xml:space="preserve">During 4Q14,  the Bank identified several inconsistencies in the fees reported and had to reverse over $1MM.  As a result of this incident, the Bank took several actions including holding the launch of new businesses until the Trust Department regularize its operations.  </t>
  </si>
  <si>
    <t>The Vendor Management area within the Operational Risk area is responsible of engaging and managing vendor relationship.  A Vendor Management Program, Policy and Procedure is in place which describes in detail the vendor management, procurement and outsourcing activities, Assign roles and responsibilities, risk management process among other information.  As part of the risk management process, the Vendor Management area performs Risk Assessments to classify the vendors according to certain criterias. 
- Bank of New York Mellon is classified Tier 1 under the Vendor Management Risk Assessment as it handle High critical operations. These critical operations include custodian and sub-custodian services to the Trust Department.
- Sungard Data Systems Inc. is classified Tier 1 under the Vendor Management Risk Assessment as it handle High critical operations. These critical operations include the Charlotte Trust Accounting Software which provides accounting services by maintaining a registry of all transactions performed at the Trust department. Also SunGArd STA that provides Paying and Transfer Agent services by providing mutual fund shareholder recordkeeping system. 
No significant events to report in the last months.</t>
  </si>
  <si>
    <t>Controls include an internal control of accounts cash and positions.  Separation of duties and quality control of operations, required at least 10-day consecutive vacation period, Internal Audit and Internal Control reviews.</t>
  </si>
  <si>
    <t>The Stressed Financial Impact considers possible losses from both legal and regulatory fines as well as operational losses this may cause to the Bank.</t>
  </si>
  <si>
    <t xml:space="preserve">The risk of losses from willful actions designed to defraud, misappropriate goods, misreporting financial information or evade business regulations, laws or policies (excluding diversity/discrimination events) in which at least one person linked to the company is implicated.  Risk of regulatory and legal repercussions due to Internal Fraud which may translate to a direct impact on operations and on the bank's financial statements.  The risks may also include reputational damage and monetary losses.  Although operational losses have not been reported within the Line of Business, there is a latent risk of internal fraud which in a stressed situation could impact the Bank.  
The controls to mitigate this risk include internal control of accounts cash and positions.  Separation of duties and quality control of operations, required at least 10-day consecutive vacation period, Internal Audit and Internal Control reviews. </t>
  </si>
  <si>
    <t xml:space="preserve"> The strategic objectives are reinforce Trust Department operations by enhancing internal controls and separations of duties.  After an evaluation performed during the last quarter of 2014 it was decided that the business was going to focus in its current portfolio.  The only service that has some growth is the trustee services provided to Retirement Plan. A Retirement Plan officer was hired during the first quarter of 2015.  
The identification of risks in this exercise will be taken into consideration in the next review of the strategic plan, both in the projected figures considering the risks and their probability of occurrence as well as the controls in place to mitigate those risks. 
</t>
  </si>
  <si>
    <t xml:space="preserve">Banco Santander Puerto Rico (“Bank”) Trust Division is organized to perform  fiduciary services of Trusts, Agency Accounts and Corporate. As a fiduciary, the bank's primary duty is the management and care of property for others. This responsibility requires the duty of loyalty, the duty to keep clear and accurate accounts, the duty to preserve and make productive trust property, as well as a myriad of other responsibilities.  The assets are typically held in the form of a trust, a legal instrument that includes: who are the beneficiaries, the objective of the trust and how to manage the trust. The Trust Division is considered a directed trustee which reduces risks associated with this type of activity which are operational risk and reputational losses.  
The Trust Division oversee the management of investments, keep records, manage assets, prepare court accountings, pay bills (depending on the nature of the trust), transfer services, dividends disbursing, shareholder servicing, corporate trust, inheritances or other distributions of income and principal. 
Total fiduciary and related assets as of April 30, 2015 amount $227MM.  This amount includes:
$44MM in Corporate Accounts such as CMOs and Mutual Funds
$118MM in Custody Services (Municipality and Fidevi)
$8MM Personal Trust and $11MM in Employee Benefit Services (Deferred Compensation, SAM and BSPR). 
The Trust holds custody of approximately $40MM in IRA accounts and $4MM in escrow services.  
</t>
  </si>
  <si>
    <t>Misleading Client’s Instructions</t>
  </si>
  <si>
    <t xml:space="preserve">The financial impact analysis is based on potential losses (in stressed conditions) this risk may produce by misleading information provided by client.
</t>
  </si>
  <si>
    <t xml:space="preserve">Risk of financial losses resulting from misleading client instructions.  Failure to perform adequate analysis of Trust documents (such as Deed of Trust) may produce a risk by misleading Trust Officials to make inappropriate decisions. This risk also leads to violations to comply with regulatory requirements and client’s contracts. 
Controls to mitigate this risk include internal controls of validating client’s instructions with Trust documents also by requiring client to provide written instructions. 
</t>
  </si>
  <si>
    <t xml:space="preserve">Controls to mitigate this risk include internal controls of validating client’s instructions with Trust documents also by requiring client to provide written instructions. </t>
  </si>
  <si>
    <r>
      <t xml:space="preserve"> 
</t>
    </r>
    <r>
      <rPr>
        <sz val="10"/>
        <rFont val="Calibri"/>
        <family val="2"/>
        <scheme val="minor"/>
      </rPr>
      <t>According to Deloitte's commentary (Independent Auditors) made in Banco Santander Puerto Rico Financial Statements as of December 31, 2014 and 2013, due to the nature of trust activities, the assets administered and in custody of Trust are not included in the Bank's consolidated balance sheet.</t>
    </r>
  </si>
  <si>
    <t>EMC Approval Date</t>
  </si>
  <si>
    <t>Wendy González
Juan Pablo Jurado
Dayna Fabricio</t>
  </si>
  <si>
    <t xml:space="preserve">The stressed financial impact analysis is based on losses due to breach of regulations such as ERISA, DOL, HACIENDA &amp; IRS; legal claims and operational losses.
</t>
  </si>
  <si>
    <t xml:space="preserve">The risk of losses arising from accidental or negligent breaches of professional obligations with specific clients, (including fiduciary or suitability requirements), or from the nature or design of a product. This risk is driven by deficiencies in controls and oversight of the activities affected by these requirements. Failure to fulfill its fiduciary duties on services provided under deed of trust or contract as applied to the following:
1) Retirement Plans - new clients 
2) Retirement related Trust Account – accounts to be liquidated
As a directed trustee in which Trust performs upon receiving expressed instructions from clients, the risk would be not complying with the provided instructions. In this case the risk would be: 1) Reputation, 3) breach of regulations such as ERISA, DOL, Hacienda, IRS, 3) legal claims 4) operational losses.   As a directed trustee of retirement plans, there is no discretion on investment and/or custodial services. These services are provided by a third party selected by the client. 
</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</si>
  <si>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OPERATIONAL / Internal Fraud = Internal Fraud during the ordinary course of operations (Base Impact: $0 / Stressed Impact: $1MM - $5MM)
- COMPLIANCE / Regulatory Compliance  = Failure to fulfill the fiduciary responsibilities (Base Impact: $0 / Stressed Impact: $1MM - $5MM)
- OPERATIONAL / External Fraud = Misleading Client's Instructions  (Base Impact: $0 / Stressed Impact: $1MM -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</si>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</sst>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5"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30">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4" fontId="19" fillId="33" borderId="21" xfId="0" applyNumberFormat="1" applyFont="1" applyFill="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0" fontId="63" fillId="0" borderId="2" xfId="0" applyFont="1" applyBorder="1" applyAlignment="1" applyProtection="1">
      <alignment vertical="center" wrapText="1"/>
      <protection locked="0"/>
    </xf>
    <xf numFmtId="14" fontId="63" fillId="0" borderId="2" xfId="0" applyNumberFormat="1" applyFont="1" applyFill="1" applyBorder="1" applyAlignment="1" applyProtection="1">
      <alignment vertical="center" wrapText="1"/>
      <protection locked="0"/>
    </xf>
    <xf numFmtId="0" fontId="63" fillId="0" borderId="2" xfId="0"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64" fillId="34" borderId="35" xfId="0" applyFont="1" applyFill="1" applyBorder="1" applyAlignment="1" applyProtection="1">
      <alignment vertical="top" wrapText="1"/>
      <protection locked="0"/>
    </xf>
    <xf numFmtId="0" fontId="64" fillId="0" borderId="36" xfId="0" applyFont="1" applyBorder="1" applyAlignment="1" applyProtection="1">
      <alignment wrapText="1"/>
      <protection locked="0"/>
    </xf>
    <xf numFmtId="0" fontId="64" fillId="0" borderId="1" xfId="0" applyFont="1"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64" fillId="34" borderId="36" xfId="0" applyFont="1" applyFill="1" applyBorder="1" applyAlignment="1" applyProtection="1">
      <alignment vertical="top"/>
      <protection locked="0"/>
    </xf>
    <xf numFmtId="0" fontId="64" fillId="34" borderId="1" xfId="0" applyFont="1"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34" borderId="35" xfId="0" applyFill="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64" fillId="0" borderId="36" xfId="0" applyFont="1" applyBorder="1" applyAlignment="1" applyProtection="1">
      <alignment vertical="top" wrapText="1"/>
      <protection locked="0"/>
    </xf>
    <xf numFmtId="0" fontId="64" fillId="0" borderId="1" xfId="0" applyFont="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368393" cy="77016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14" sqref="A14:D40"/>
    </sheetView>
  </sheetViews>
  <sheetFormatPr defaultColWidth="0" defaultRowHeight="0" customHeight="1" zeroHeight="1" x14ac:dyDescent="0.25"/>
  <cols>
    <col min="1" max="1" width="28.85546875" style="102" customWidth="1"/>
    <col min="2" max="2" width="9.140625" style="102" customWidth="1"/>
    <col min="3" max="3" width="13" style="102" customWidth="1"/>
    <col min="4" max="4" width="13.140625" style="102" customWidth="1"/>
    <col min="5" max="5" width="47.7109375" style="102"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530</v>
      </c>
      <c r="B1" s="43"/>
      <c r="C1" s="43"/>
      <c r="D1" s="43"/>
      <c r="E1" s="43"/>
      <c r="AA1" s="43">
        <v>0</v>
      </c>
    </row>
    <row r="2" spans="1:27" ht="15" x14ac:dyDescent="0.25">
      <c r="A2" s="43"/>
      <c r="B2" s="43"/>
      <c r="C2" s="43"/>
      <c r="D2" s="43"/>
      <c r="E2" s="117" t="s">
        <v>535</v>
      </c>
    </row>
    <row r="3" spans="1:27" ht="15" x14ac:dyDescent="0.25">
      <c r="A3" s="39"/>
      <c r="B3" s="39"/>
      <c r="C3" s="39"/>
      <c r="D3" s="39"/>
      <c r="E3" s="126" t="s">
        <v>525</v>
      </c>
      <c r="F3" s="127"/>
    </row>
    <row r="4" spans="1:27" ht="15" x14ac:dyDescent="0.25">
      <c r="A4" s="39"/>
      <c r="B4" s="39"/>
      <c r="C4" s="39"/>
      <c r="D4" s="39"/>
      <c r="E4" s="128"/>
      <c r="F4" s="129"/>
    </row>
    <row r="5" spans="1:27" ht="4.5" customHeight="1" x14ac:dyDescent="0.25">
      <c r="A5" s="39"/>
      <c r="B5" s="39"/>
      <c r="C5" s="39"/>
      <c r="D5" s="39"/>
      <c r="E5" s="128"/>
      <c r="F5" s="129"/>
    </row>
    <row r="6" spans="1:27" ht="4.5" customHeight="1" x14ac:dyDescent="0.25">
      <c r="A6" s="39"/>
      <c r="B6" s="39"/>
      <c r="C6" s="39"/>
      <c r="D6" s="39"/>
      <c r="E6" s="128"/>
      <c r="F6" s="129"/>
    </row>
    <row r="7" spans="1:27" ht="15" x14ac:dyDescent="0.25">
      <c r="A7" s="39"/>
      <c r="B7" s="39"/>
      <c r="C7" s="39"/>
      <c r="D7" s="39"/>
      <c r="E7" s="128"/>
      <c r="F7" s="129"/>
    </row>
    <row r="8" spans="1:27" ht="15" x14ac:dyDescent="0.25">
      <c r="A8" s="39"/>
      <c r="B8" s="39"/>
      <c r="C8" s="39"/>
      <c r="D8" s="39"/>
      <c r="E8" s="128"/>
      <c r="F8" s="129"/>
    </row>
    <row r="9" spans="1:27" ht="15" x14ac:dyDescent="0.25">
      <c r="A9" s="39"/>
      <c r="B9" s="39"/>
      <c r="C9" s="39"/>
      <c r="D9" s="39"/>
      <c r="E9" s="128"/>
      <c r="F9" s="129"/>
    </row>
    <row r="10" spans="1:27" ht="15" hidden="1" customHeight="1" x14ac:dyDescent="0.25">
      <c r="A10" s="39"/>
      <c r="B10" s="39"/>
      <c r="C10" s="39"/>
      <c r="D10" s="39"/>
      <c r="E10" s="128"/>
      <c r="F10" s="129"/>
    </row>
    <row r="11" spans="1:27" ht="15" hidden="1" customHeight="1" x14ac:dyDescent="0.25">
      <c r="A11" s="39"/>
      <c r="B11" s="39"/>
      <c r="C11" s="39"/>
      <c r="D11" s="39"/>
      <c r="E11" s="128"/>
      <c r="F11" s="129"/>
    </row>
    <row r="12" spans="1:27" ht="15" hidden="1" customHeight="1" x14ac:dyDescent="0.25">
      <c r="A12" s="107"/>
      <c r="B12" s="39"/>
      <c r="C12" s="39"/>
      <c r="D12" s="39"/>
      <c r="E12" s="128"/>
      <c r="F12" s="129"/>
    </row>
    <row r="13" spans="1:27" ht="15" x14ac:dyDescent="0.25">
      <c r="A13" s="39"/>
      <c r="B13" s="39"/>
      <c r="C13" s="39"/>
      <c r="D13" s="39"/>
      <c r="E13" s="128"/>
      <c r="F13" s="129"/>
    </row>
    <row r="14" spans="1:27" ht="15" customHeight="1" x14ac:dyDescent="0.25">
      <c r="A14" s="132" t="s">
        <v>534</v>
      </c>
      <c r="B14" s="133"/>
      <c r="C14" s="134"/>
      <c r="D14" s="134"/>
      <c r="E14" s="128"/>
      <c r="F14" s="129"/>
    </row>
    <row r="15" spans="1:27" ht="15" customHeight="1" x14ac:dyDescent="0.25">
      <c r="A15" s="135"/>
      <c r="B15" s="136"/>
      <c r="C15" s="137"/>
      <c r="D15" s="137"/>
      <c r="E15" s="128"/>
      <c r="F15" s="129"/>
    </row>
    <row r="16" spans="1:27" ht="15" customHeight="1" x14ac:dyDescent="0.25">
      <c r="A16" s="135"/>
      <c r="B16" s="136"/>
      <c r="C16" s="137"/>
      <c r="D16" s="137"/>
      <c r="E16" s="128"/>
      <c r="F16" s="129"/>
    </row>
    <row r="17" spans="1:6" ht="53.25" customHeight="1" x14ac:dyDescent="0.25">
      <c r="A17" s="135"/>
      <c r="B17" s="136"/>
      <c r="C17" s="137"/>
      <c r="D17" s="137"/>
      <c r="E17" s="128"/>
      <c r="F17" s="129"/>
    </row>
    <row r="18" spans="1:6" ht="15" x14ac:dyDescent="0.25">
      <c r="A18" s="135"/>
      <c r="B18" s="136"/>
      <c r="C18" s="137"/>
      <c r="D18" s="137"/>
      <c r="E18" s="128"/>
      <c r="F18" s="129"/>
    </row>
    <row r="19" spans="1:6" ht="15" x14ac:dyDescent="0.25">
      <c r="A19" s="135"/>
      <c r="B19" s="136"/>
      <c r="C19" s="137"/>
      <c r="D19" s="137"/>
      <c r="E19" s="128"/>
      <c r="F19" s="129"/>
    </row>
    <row r="20" spans="1:6" ht="15" x14ac:dyDescent="0.25">
      <c r="A20" s="135"/>
      <c r="B20" s="136"/>
      <c r="C20" s="137"/>
      <c r="D20" s="137"/>
      <c r="E20" s="128"/>
      <c r="F20" s="129"/>
    </row>
    <row r="21" spans="1:6" ht="15" x14ac:dyDescent="0.25">
      <c r="A21" s="135"/>
      <c r="B21" s="136"/>
      <c r="C21" s="137"/>
      <c r="D21" s="137"/>
      <c r="E21" s="128"/>
      <c r="F21" s="129"/>
    </row>
    <row r="22" spans="1:6" ht="15" x14ac:dyDescent="0.25">
      <c r="A22" s="135"/>
      <c r="B22" s="136"/>
      <c r="C22" s="137"/>
      <c r="D22" s="137"/>
      <c r="E22" s="128"/>
      <c r="F22" s="129"/>
    </row>
    <row r="23" spans="1:6" ht="15" x14ac:dyDescent="0.25">
      <c r="A23" s="135"/>
      <c r="B23" s="136"/>
      <c r="C23" s="137"/>
      <c r="D23" s="137"/>
      <c r="E23" s="128"/>
      <c r="F23" s="129"/>
    </row>
    <row r="24" spans="1:6" ht="15" customHeight="1" x14ac:dyDescent="0.25">
      <c r="A24" s="135"/>
      <c r="B24" s="136"/>
      <c r="C24" s="137"/>
      <c r="D24" s="137"/>
      <c r="E24" s="128"/>
      <c r="F24" s="129"/>
    </row>
    <row r="25" spans="1:6" ht="15" customHeight="1" x14ac:dyDescent="0.25">
      <c r="A25" s="135"/>
      <c r="B25" s="136"/>
      <c r="C25" s="137"/>
      <c r="D25" s="137"/>
      <c r="E25" s="128"/>
      <c r="F25" s="129"/>
    </row>
    <row r="26" spans="1:6" ht="15" customHeight="1" x14ac:dyDescent="0.25">
      <c r="A26" s="135"/>
      <c r="B26" s="136"/>
      <c r="C26" s="137"/>
      <c r="D26" s="137"/>
      <c r="E26" s="128"/>
      <c r="F26" s="129"/>
    </row>
    <row r="27" spans="1:6" ht="36" customHeight="1" x14ac:dyDescent="0.25">
      <c r="A27" s="135"/>
      <c r="B27" s="136"/>
      <c r="C27" s="137"/>
      <c r="D27" s="137"/>
      <c r="E27" s="128"/>
      <c r="F27" s="129"/>
    </row>
    <row r="28" spans="1:6" ht="36" customHeight="1" x14ac:dyDescent="0.25">
      <c r="A28" s="135"/>
      <c r="B28" s="136"/>
      <c r="C28" s="137"/>
      <c r="D28" s="137"/>
      <c r="E28" s="128"/>
      <c r="F28" s="129"/>
    </row>
    <row r="29" spans="1:6" ht="36" customHeight="1" x14ac:dyDescent="0.25">
      <c r="A29" s="135"/>
      <c r="B29" s="136"/>
      <c r="C29" s="137"/>
      <c r="D29" s="137"/>
      <c r="E29" s="128"/>
      <c r="F29" s="129"/>
    </row>
    <row r="30" spans="1:6" ht="36" customHeight="1" x14ac:dyDescent="0.25">
      <c r="A30" s="135"/>
      <c r="B30" s="136"/>
      <c r="C30" s="137"/>
      <c r="D30" s="137"/>
      <c r="E30" s="128"/>
      <c r="F30" s="129"/>
    </row>
    <row r="31" spans="1:6" ht="36" customHeight="1" x14ac:dyDescent="0.25">
      <c r="A31" s="135"/>
      <c r="B31" s="136"/>
      <c r="C31" s="137"/>
      <c r="D31" s="137"/>
      <c r="E31" s="128"/>
      <c r="F31" s="129"/>
    </row>
    <row r="32" spans="1:6" ht="15" x14ac:dyDescent="0.25">
      <c r="A32" s="135"/>
      <c r="B32" s="136"/>
      <c r="C32" s="137"/>
      <c r="D32" s="137"/>
      <c r="E32" s="128"/>
      <c r="F32" s="129"/>
    </row>
    <row r="33" spans="1:6" ht="15" customHeight="1" x14ac:dyDescent="0.25">
      <c r="A33" s="135"/>
      <c r="B33" s="136"/>
      <c r="C33" s="137"/>
      <c r="D33" s="137"/>
      <c r="E33" s="128"/>
      <c r="F33" s="129"/>
    </row>
    <row r="34" spans="1:6" ht="15" customHeight="1" x14ac:dyDescent="0.25">
      <c r="A34" s="135"/>
      <c r="B34" s="136"/>
      <c r="C34" s="137"/>
      <c r="D34" s="137"/>
      <c r="E34" s="128"/>
      <c r="F34" s="129"/>
    </row>
    <row r="35" spans="1:6" ht="15" x14ac:dyDescent="0.25">
      <c r="A35" s="135"/>
      <c r="B35" s="136"/>
      <c r="C35" s="137"/>
      <c r="D35" s="137"/>
      <c r="E35" s="128"/>
      <c r="F35" s="129"/>
    </row>
    <row r="36" spans="1:6" ht="31.5" customHeight="1" x14ac:dyDescent="0.25">
      <c r="A36" s="135"/>
      <c r="B36" s="136"/>
      <c r="C36" s="137"/>
      <c r="D36" s="137"/>
      <c r="E36" s="128"/>
      <c r="F36" s="129"/>
    </row>
    <row r="37" spans="1:6" ht="31.5" customHeight="1" x14ac:dyDescent="0.25">
      <c r="A37" s="135"/>
      <c r="B37" s="136"/>
      <c r="C37" s="137"/>
      <c r="D37" s="137"/>
      <c r="E37" s="128"/>
      <c r="F37" s="129"/>
    </row>
    <row r="38" spans="1:6" ht="31.5" customHeight="1" x14ac:dyDescent="0.25">
      <c r="A38" s="135"/>
      <c r="B38" s="136"/>
      <c r="C38" s="137"/>
      <c r="D38" s="137"/>
      <c r="E38" s="128"/>
      <c r="F38" s="129"/>
    </row>
    <row r="39" spans="1:6" ht="31.5" customHeight="1" x14ac:dyDescent="0.25">
      <c r="A39" s="135"/>
      <c r="B39" s="136"/>
      <c r="C39" s="137"/>
      <c r="D39" s="137"/>
      <c r="E39" s="128"/>
      <c r="F39" s="129"/>
    </row>
    <row r="40" spans="1:6" ht="15" x14ac:dyDescent="0.25">
      <c r="A40" s="138"/>
      <c r="B40" s="139"/>
      <c r="C40" s="140"/>
      <c r="D40" s="140"/>
      <c r="E40" s="130"/>
      <c r="F40" s="131"/>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8" hidden="1" customWidth="1"/>
    <col min="12" max="15" width="3.85546875" style="118" hidden="1" customWidth="1"/>
    <col min="16" max="16384" width="0.85546875" style="43" hidden="1"/>
  </cols>
  <sheetData>
    <row r="1" spans="1:15 16383:16383" ht="21" x14ac:dyDescent="0.35">
      <c r="B1" s="88"/>
      <c r="L1" s="39"/>
      <c r="M1" s="39"/>
      <c r="N1" s="39"/>
      <c r="O1" s="39"/>
      <c r="XFC1" s="43" t="s">
        <v>505</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7"/>
      <c r="L12" s="36"/>
      <c r="M12" s="36"/>
      <c r="N12" s="36"/>
      <c r="O12" s="36"/>
    </row>
    <row r="13" spans="1:15 16383:16383" x14ac:dyDescent="0.25">
      <c r="K13" s="36"/>
      <c r="L13" s="36"/>
      <c r="M13" s="36"/>
      <c r="N13" s="36"/>
      <c r="O13" s="36"/>
    </row>
    <row r="14" spans="1:15 16383:16383" x14ac:dyDescent="0.25">
      <c r="A14" s="141" t="s">
        <v>536</v>
      </c>
      <c r="B14" s="142"/>
      <c r="C14" s="142"/>
      <c r="D14" s="142"/>
      <c r="E14" s="142"/>
      <c r="F14" s="142"/>
      <c r="G14" s="142"/>
      <c r="H14" s="142"/>
      <c r="I14" s="142"/>
      <c r="J14" s="142"/>
      <c r="K14" s="119"/>
    </row>
    <row r="15" spans="1:15 16383:16383" x14ac:dyDescent="0.25">
      <c r="A15" s="142"/>
      <c r="B15" s="142"/>
      <c r="C15" s="142"/>
      <c r="D15" s="142"/>
      <c r="E15" s="142"/>
      <c r="F15" s="142"/>
      <c r="G15" s="142"/>
      <c r="H15" s="142"/>
      <c r="I15" s="142"/>
      <c r="J15" s="142"/>
    </row>
    <row r="16" spans="1:15 16383:16383" x14ac:dyDescent="0.25">
      <c r="A16" s="142"/>
      <c r="B16" s="142"/>
      <c r="C16" s="142"/>
      <c r="D16" s="142"/>
      <c r="E16" s="142"/>
      <c r="F16" s="142"/>
      <c r="G16" s="142"/>
      <c r="H16" s="142"/>
      <c r="I16" s="142"/>
      <c r="J16" s="142"/>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3" t="s">
        <v>492</v>
      </c>
      <c r="B24" s="144"/>
      <c r="C24" s="144"/>
      <c r="D24" s="144"/>
      <c r="E24" s="144"/>
      <c r="F24" s="144"/>
      <c r="G24" s="144"/>
      <c r="H24" s="144"/>
      <c r="I24" s="144"/>
      <c r="J24" s="144"/>
    </row>
    <row r="25" spans="1:10" x14ac:dyDescent="0.25">
      <c r="A25" s="144"/>
      <c r="B25" s="144"/>
      <c r="C25" s="144"/>
      <c r="D25" s="144"/>
      <c r="E25" s="144"/>
      <c r="F25" s="144"/>
      <c r="G25" s="144"/>
      <c r="H25" s="144"/>
      <c r="I25" s="144"/>
      <c r="J25" s="144"/>
    </row>
    <row r="26" spans="1:10" x14ac:dyDescent="0.25">
      <c r="A26" s="144"/>
      <c r="B26" s="144"/>
      <c r="C26" s="144"/>
      <c r="D26" s="144"/>
      <c r="E26" s="144"/>
      <c r="F26" s="144"/>
      <c r="G26" s="144"/>
      <c r="H26" s="144"/>
      <c r="I26" s="144"/>
      <c r="J26" s="144"/>
    </row>
    <row r="27" spans="1:10" x14ac:dyDescent="0.25">
      <c r="A27" s="145"/>
      <c r="B27" s="145"/>
      <c r="C27" s="145"/>
      <c r="D27" s="145"/>
      <c r="E27" s="145"/>
      <c r="F27" s="145"/>
      <c r="G27" s="145"/>
      <c r="H27" s="145"/>
      <c r="I27" s="145"/>
      <c r="J27" s="145"/>
    </row>
    <row r="28" spans="1:10" x14ac:dyDescent="0.25">
      <c r="A28" s="145"/>
      <c r="B28" s="145"/>
      <c r="C28" s="145"/>
      <c r="D28" s="145"/>
      <c r="E28" s="145"/>
      <c r="F28" s="145"/>
      <c r="G28" s="145"/>
      <c r="H28" s="145"/>
      <c r="I28" s="145"/>
      <c r="J28" s="145"/>
    </row>
    <row r="29" spans="1:10" x14ac:dyDescent="0.25"/>
    <row r="30" spans="1:10" x14ac:dyDescent="0.25"/>
    <row r="31" spans="1:10" x14ac:dyDescent="0.25"/>
    <row r="32" spans="1:10" x14ac:dyDescent="0.25"/>
    <row r="33" spans="1:10" x14ac:dyDescent="0.25">
      <c r="A33" s="146" t="s">
        <v>537</v>
      </c>
      <c r="B33" s="147"/>
      <c r="C33" s="147"/>
      <c r="D33" s="147"/>
      <c r="E33" s="147"/>
      <c r="F33" s="147"/>
      <c r="G33" s="147"/>
      <c r="H33" s="147"/>
      <c r="I33" s="147"/>
      <c r="J33" s="147"/>
    </row>
    <row r="34" spans="1:10" x14ac:dyDescent="0.25">
      <c r="A34" s="147"/>
      <c r="B34" s="147"/>
      <c r="C34" s="147"/>
      <c r="D34" s="147"/>
      <c r="E34" s="147"/>
      <c r="F34" s="147"/>
      <c r="G34" s="147"/>
      <c r="H34" s="147"/>
      <c r="I34" s="147"/>
      <c r="J34" s="147"/>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C18" sqref="C18"/>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505</v>
      </c>
    </row>
    <row r="2" spans="1:27" ht="15.75" thickBot="1" x14ac:dyDescent="0.3"/>
    <row r="3" spans="1:27" ht="29.25" customHeight="1" thickBot="1" x14ac:dyDescent="0.3">
      <c r="A3" s="148" t="s">
        <v>259</v>
      </c>
      <c r="B3" s="149"/>
      <c r="C3" s="105">
        <v>2015</v>
      </c>
    </row>
    <row r="4" spans="1:27" ht="33.75" hidden="1" customHeight="1" thickBot="1" x14ac:dyDescent="0.3">
      <c r="A4" s="148" t="s">
        <v>321</v>
      </c>
      <c r="B4" s="149"/>
      <c r="C4" s="106"/>
    </row>
    <row r="5" spans="1:27" ht="33.75" hidden="1" customHeight="1" thickBot="1" x14ac:dyDescent="0.3">
      <c r="A5" s="148" t="s">
        <v>322</v>
      </c>
      <c r="B5" s="149"/>
      <c r="C5" s="106"/>
    </row>
    <row r="6" spans="1:27" ht="33.75" hidden="1" customHeight="1" thickBot="1" x14ac:dyDescent="0.3">
      <c r="A6" s="148" t="s">
        <v>1</v>
      </c>
      <c r="B6" s="149"/>
      <c r="C6" s="106"/>
    </row>
    <row r="7" spans="1:27" ht="33.75" hidden="1" customHeight="1" thickBot="1" x14ac:dyDescent="0.3">
      <c r="A7" s="148" t="s">
        <v>260</v>
      </c>
      <c r="B7" s="149"/>
      <c r="C7" s="106"/>
    </row>
    <row r="8" spans="1:27" ht="33.75" customHeight="1" thickBot="1" x14ac:dyDescent="0.3">
      <c r="A8" s="148" t="s">
        <v>526</v>
      </c>
      <c r="B8" s="149"/>
      <c r="C8" s="106"/>
    </row>
    <row r="9" spans="1:27" ht="33.75" customHeight="1" thickBot="1" x14ac:dyDescent="0.3">
      <c r="A9" s="148" t="s">
        <v>580</v>
      </c>
      <c r="B9" s="149"/>
      <c r="C9" s="120">
        <v>42172</v>
      </c>
    </row>
    <row r="10" spans="1:27" ht="33.75" customHeight="1" thickBot="1" x14ac:dyDescent="0.3">
      <c r="A10" s="148" t="s">
        <v>261</v>
      </c>
      <c r="B10" s="149"/>
      <c r="C10" s="120">
        <v>42152</v>
      </c>
    </row>
    <row r="11" spans="1:27" ht="48" customHeight="1" thickBot="1" x14ac:dyDescent="0.3">
      <c r="A11" s="148" t="s">
        <v>262</v>
      </c>
      <c r="B11" s="149"/>
      <c r="C11" s="106" t="s">
        <v>581</v>
      </c>
    </row>
    <row r="12" spans="1:27" ht="33.75" customHeight="1" thickBot="1" x14ac:dyDescent="0.3">
      <c r="A12" s="148" t="s">
        <v>527</v>
      </c>
      <c r="B12" s="149"/>
      <c r="C12" s="106" t="s">
        <v>567</v>
      </c>
    </row>
    <row r="13" spans="1:27" ht="33.75" customHeight="1" thickBot="1" x14ac:dyDescent="0.3">
      <c r="A13" s="148" t="s">
        <v>263</v>
      </c>
      <c r="B13" s="149"/>
      <c r="C13" s="106" t="s">
        <v>567</v>
      </c>
    </row>
    <row r="14" spans="1:27" x14ac:dyDescent="0.25"/>
    <row r="15" spans="1:27" ht="15.75" thickBot="1" x14ac:dyDescent="0.3">
      <c r="A15" s="68" t="s">
        <v>503</v>
      </c>
      <c r="B15" s="150" t="s">
        <v>567</v>
      </c>
      <c r="C15" s="151"/>
    </row>
    <row r="16" spans="1:27" x14ac:dyDescent="0.25"/>
    <row r="17" spans="1:3" x14ac:dyDescent="0.25">
      <c r="A17" s="89" t="s">
        <v>528</v>
      </c>
      <c r="B17" s="47"/>
    </row>
    <row r="18" spans="1:3" x14ac:dyDescent="0.25">
      <c r="A18" s="89"/>
      <c r="B18" s="47"/>
    </row>
    <row r="19" spans="1:3" x14ac:dyDescent="0.25">
      <c r="A19" s="125" t="s">
        <v>589</v>
      </c>
      <c r="B19" s="47"/>
    </row>
    <row r="20" spans="1:3" x14ac:dyDescent="0.25"/>
    <row r="21" spans="1:3" x14ac:dyDescent="0.25">
      <c r="A21" s="48" t="s">
        <v>264</v>
      </c>
      <c r="B21" s="49"/>
      <c r="C21" s="50"/>
    </row>
    <row r="22" spans="1:3" ht="198.75" customHeight="1" x14ac:dyDescent="0.25">
      <c r="A22" s="152" t="s">
        <v>540</v>
      </c>
      <c r="B22" s="140"/>
      <c r="C22" s="153"/>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&amp;C&amp;"-,Bold"&amp;14Trust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506</v>
      </c>
    </row>
    <row r="2" spans="1:27" ht="60" x14ac:dyDescent="0.25">
      <c r="A2" s="42" t="s">
        <v>269</v>
      </c>
    </row>
    <row r="3" spans="1:27" ht="228" customHeight="1" x14ac:dyDescent="0.25">
      <c r="A3" s="121" t="s">
        <v>584</v>
      </c>
    </row>
    <row r="4" spans="1:27" ht="15.75" thickBot="1" x14ac:dyDescent="0.3">
      <c r="A4" s="72" t="s">
        <v>266</v>
      </c>
    </row>
    <row r="5" spans="1:27" ht="75" x14ac:dyDescent="0.25">
      <c r="A5" s="42" t="s">
        <v>265</v>
      </c>
    </row>
    <row r="6" spans="1:27" ht="255" customHeight="1" x14ac:dyDescent="0.25">
      <c r="A6" s="121" t="s">
        <v>574</v>
      </c>
    </row>
    <row r="7" spans="1:27" ht="15.75" thickBot="1" x14ac:dyDescent="0.3">
      <c r="A7" s="72" t="s">
        <v>267</v>
      </c>
    </row>
    <row r="8" spans="1:27" ht="141.75" customHeight="1" x14ac:dyDescent="0.25">
      <c r="A8" s="42" t="s">
        <v>490</v>
      </c>
    </row>
    <row r="9" spans="1:27" ht="198.75" customHeight="1" x14ac:dyDescent="0.25">
      <c r="A9" s="121" t="s">
        <v>565</v>
      </c>
    </row>
    <row r="10" spans="1:27" ht="15.75" thickBot="1" x14ac:dyDescent="0.3">
      <c r="A10" s="72" t="s">
        <v>268</v>
      </c>
    </row>
    <row r="11" spans="1:27" ht="135" x14ac:dyDescent="0.25">
      <c r="A11" s="42" t="s">
        <v>491</v>
      </c>
    </row>
    <row r="12" spans="1:27" ht="105" x14ac:dyDescent="0.25">
      <c r="A12" s="121" t="s">
        <v>573</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506</v>
      </c>
    </row>
    <row r="2" spans="1:27" x14ac:dyDescent="0.25">
      <c r="A2" s="154" t="s">
        <v>277</v>
      </c>
      <c r="B2" s="155"/>
      <c r="C2" s="155"/>
      <c r="D2" s="155"/>
      <c r="E2" s="155"/>
      <c r="F2" s="155"/>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5"/>
      <c r="B5" s="114"/>
      <c r="C5" s="116"/>
      <c r="D5" s="114"/>
      <c r="E5" s="114"/>
    </row>
    <row r="6" spans="1:27" ht="15.75" thickBot="1" x14ac:dyDescent="0.3">
      <c r="A6" s="115"/>
      <c r="B6" s="114"/>
      <c r="C6" s="114"/>
      <c r="D6" s="114"/>
      <c r="E6" s="114"/>
    </row>
    <row r="7" spans="1:27" ht="15.75" thickBot="1" x14ac:dyDescent="0.3">
      <c r="A7" s="115"/>
      <c r="B7" s="114"/>
      <c r="C7" s="114"/>
      <c r="D7" s="114"/>
      <c r="E7" s="114"/>
    </row>
    <row r="8" spans="1:27" ht="15.75" thickBot="1" x14ac:dyDescent="0.3">
      <c r="A8" s="115"/>
      <c r="B8" s="114"/>
      <c r="C8" s="114"/>
      <c r="D8" s="114"/>
      <c r="E8" s="114"/>
    </row>
    <row r="9" spans="1:27" ht="15.75" thickBot="1" x14ac:dyDescent="0.3">
      <c r="A9" s="115"/>
      <c r="B9" s="114"/>
      <c r="C9" s="114"/>
      <c r="D9" s="114"/>
      <c r="E9" s="114"/>
    </row>
    <row r="10" spans="1:27" x14ac:dyDescent="0.25">
      <c r="A10" s="44"/>
      <c r="B10"/>
      <c r="C10"/>
      <c r="D10"/>
      <c r="E10"/>
    </row>
    <row r="11" spans="1:27" ht="48.75" customHeight="1" x14ac:dyDescent="0.25">
      <c r="A11" s="154" t="s">
        <v>278</v>
      </c>
      <c r="B11" s="156"/>
      <c r="C11" s="156"/>
      <c r="D11" s="156"/>
      <c r="E11" s="156"/>
    </row>
    <row r="12" spans="1:27" ht="36" customHeight="1" x14ac:dyDescent="0.25">
      <c r="A12" s="157" t="s">
        <v>562</v>
      </c>
      <c r="B12" s="158"/>
      <c r="C12" s="158"/>
      <c r="D12" s="158"/>
      <c r="E12" s="159"/>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519</v>
      </c>
      <c r="AA1" s="43" t="s">
        <v>506</v>
      </c>
    </row>
    <row r="2" spans="1:27" ht="57" customHeight="1" x14ac:dyDescent="0.25">
      <c r="A2" s="42" t="s">
        <v>520</v>
      </c>
    </row>
    <row r="3" spans="1:27" ht="52.5" customHeight="1" x14ac:dyDescent="0.25">
      <c r="A3" s="121" t="s">
        <v>579</v>
      </c>
    </row>
    <row r="4" spans="1:27" ht="24.75" customHeight="1" x14ac:dyDescent="0.25">
      <c r="A4" s="98"/>
    </row>
    <row r="5" spans="1:27" x14ac:dyDescent="0.25">
      <c r="A5" s="99"/>
    </row>
    <row r="6" spans="1:27" x14ac:dyDescent="0.25">
      <c r="A6" s="99"/>
    </row>
    <row r="7" spans="1:27" ht="27.75" customHeight="1" x14ac:dyDescent="0.25">
      <c r="A7" s="98"/>
    </row>
    <row r="8" spans="1:27" ht="21.75" customHeight="1" x14ac:dyDescent="0.25">
      <c r="A8" s="99"/>
    </row>
    <row r="9" spans="1:27" ht="20.25" customHeight="1" x14ac:dyDescent="0.25">
      <c r="A9" s="99"/>
    </row>
    <row r="10" spans="1:27" ht="24.75" customHeight="1" x14ac:dyDescent="0.25">
      <c r="A10" s="98"/>
    </row>
    <row r="11" spans="1:27" ht="22.5" customHeight="1" x14ac:dyDescent="0.25">
      <c r="A11" s="99"/>
    </row>
    <row r="12" spans="1:27" ht="20.25" customHeight="1" x14ac:dyDescent="0.25">
      <c r="A12" s="99"/>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12" sqref="A12:D1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507</v>
      </c>
      <c r="B1" s="56"/>
      <c r="C1" s="56"/>
      <c r="D1" s="56"/>
      <c r="AA1" s="43" t="s">
        <v>506</v>
      </c>
    </row>
    <row r="2" spans="1:27" x14ac:dyDescent="0.25">
      <c r="A2" s="173" t="s">
        <v>284</v>
      </c>
      <c r="B2" s="174"/>
      <c r="C2" s="174"/>
      <c r="D2" s="174"/>
    </row>
    <row r="3" spans="1:27" x14ac:dyDescent="0.25"/>
    <row r="4" spans="1:27" x14ac:dyDescent="0.25">
      <c r="A4" s="61" t="s">
        <v>279</v>
      </c>
      <c r="B4" s="61" t="s">
        <v>280</v>
      </c>
      <c r="C4" s="61" t="s">
        <v>281</v>
      </c>
      <c r="D4" s="61" t="s">
        <v>282</v>
      </c>
    </row>
    <row r="5" spans="1:27" x14ac:dyDescent="0.25">
      <c r="A5" s="111"/>
      <c r="B5" s="111"/>
      <c r="C5" s="111"/>
      <c r="D5" s="111"/>
    </row>
    <row r="6" spans="1:27" x14ac:dyDescent="0.25">
      <c r="A6" s="111"/>
      <c r="B6" s="111"/>
      <c r="C6" s="111"/>
      <c r="D6" s="111"/>
    </row>
    <row r="7" spans="1:27" x14ac:dyDescent="0.25">
      <c r="A7" s="112"/>
      <c r="B7" s="112"/>
      <c r="C7" s="113"/>
      <c r="D7" s="111"/>
    </row>
    <row r="8" spans="1:27" x14ac:dyDescent="0.25">
      <c r="A8" s="111"/>
      <c r="B8" s="111"/>
      <c r="C8" s="111"/>
      <c r="D8" s="111"/>
    </row>
    <row r="9" spans="1:27" x14ac:dyDescent="0.25">
      <c r="A9" s="111"/>
      <c r="B9" s="111"/>
      <c r="C9" s="111"/>
      <c r="D9" s="111"/>
    </row>
    <row r="10" spans="1:27" x14ac:dyDescent="0.25"/>
    <row r="11" spans="1:27" x14ac:dyDescent="0.25">
      <c r="A11" s="43" t="s">
        <v>283</v>
      </c>
    </row>
    <row r="12" spans="1:27" ht="39.75" customHeight="1" x14ac:dyDescent="0.25">
      <c r="A12" s="157" t="s">
        <v>568</v>
      </c>
      <c r="B12" s="171"/>
      <c r="C12" s="171"/>
      <c r="D12" s="172"/>
    </row>
    <row r="13" spans="1:27" ht="20.25" customHeight="1" x14ac:dyDescent="0.25">
      <c r="A13" s="58"/>
      <c r="B13" s="33"/>
      <c r="C13" s="33"/>
      <c r="D13" s="33"/>
    </row>
    <row r="14" spans="1:27" ht="20.25" customHeight="1" thickBot="1" x14ac:dyDescent="0.3">
      <c r="A14" s="110" t="s">
        <v>508</v>
      </c>
      <c r="B14" s="62"/>
      <c r="C14" s="62"/>
      <c r="D14" s="62"/>
    </row>
    <row r="15" spans="1:27" x14ac:dyDescent="0.25">
      <c r="A15" s="63" t="s">
        <v>509</v>
      </c>
      <c r="B15" s="64"/>
      <c r="C15" s="64"/>
      <c r="D15" s="64"/>
    </row>
    <row r="16" spans="1:27" ht="49.5" customHeight="1" x14ac:dyDescent="0.25">
      <c r="A16" s="175" t="s">
        <v>285</v>
      </c>
      <c r="B16" s="137"/>
      <c r="C16" s="137"/>
      <c r="D16" s="137"/>
    </row>
    <row r="17" spans="1:4" x14ac:dyDescent="0.25">
      <c r="A17" s="61" t="s">
        <v>3</v>
      </c>
      <c r="B17" s="176" t="s">
        <v>286</v>
      </c>
      <c r="C17" s="177"/>
      <c r="D17" s="177"/>
    </row>
    <row r="18" spans="1:4" x14ac:dyDescent="0.25">
      <c r="A18" s="60" t="s">
        <v>31</v>
      </c>
      <c r="B18" s="165"/>
      <c r="C18" s="166"/>
      <c r="D18" s="167"/>
    </row>
    <row r="19" spans="1:4" x14ac:dyDescent="0.25">
      <c r="A19" s="59" t="s">
        <v>13</v>
      </c>
      <c r="B19" s="163"/>
      <c r="C19" s="164"/>
      <c r="D19" s="164"/>
    </row>
    <row r="20" spans="1:4" x14ac:dyDescent="0.25">
      <c r="A20" s="59" t="s">
        <v>15</v>
      </c>
      <c r="B20" s="163"/>
      <c r="C20" s="164"/>
      <c r="D20" s="164"/>
    </row>
    <row r="21" spans="1:4" x14ac:dyDescent="0.25">
      <c r="A21" s="59" t="s">
        <v>11</v>
      </c>
      <c r="B21" s="163"/>
      <c r="C21" s="164"/>
      <c r="D21" s="164"/>
    </row>
    <row r="22" spans="1:4" x14ac:dyDescent="0.25">
      <c r="A22" s="59" t="s">
        <v>287</v>
      </c>
      <c r="B22" s="163"/>
      <c r="C22" s="164"/>
      <c r="D22" s="164"/>
    </row>
    <row r="23" spans="1:4" x14ac:dyDescent="0.25">
      <c r="A23" s="59" t="s">
        <v>25</v>
      </c>
      <c r="B23" s="168"/>
      <c r="C23" s="169"/>
      <c r="D23" s="170"/>
    </row>
    <row r="24" spans="1:4" x14ac:dyDescent="0.25">
      <c r="A24" s="59" t="s">
        <v>17</v>
      </c>
      <c r="B24" s="163"/>
      <c r="C24" s="164"/>
      <c r="D24" s="164"/>
    </row>
    <row r="25" spans="1:4" x14ac:dyDescent="0.25">
      <c r="A25" s="59" t="s">
        <v>9</v>
      </c>
      <c r="B25" s="163"/>
      <c r="C25" s="164"/>
      <c r="D25" s="164"/>
    </row>
    <row r="26" spans="1:4" x14ac:dyDescent="0.25"/>
    <row r="27" spans="1:4" ht="15.75" x14ac:dyDescent="0.25">
      <c r="A27" s="108" t="s">
        <v>510</v>
      </c>
    </row>
    <row r="28" spans="1:4" x14ac:dyDescent="0.25">
      <c r="A28" s="109" t="s">
        <v>288</v>
      </c>
    </row>
    <row r="29" spans="1:4" ht="66.75" customHeight="1" x14ac:dyDescent="0.25">
      <c r="A29" s="160" t="s">
        <v>504</v>
      </c>
      <c r="B29" s="161"/>
      <c r="C29" s="161"/>
      <c r="D29" s="162"/>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9"/>
  <sheetViews>
    <sheetView view="pageLayout" zoomScaleNormal="100" workbookViewId="0">
      <selection activeCell="B7" sqref="B7"/>
    </sheetView>
  </sheetViews>
  <sheetFormatPr defaultColWidth="0" defaultRowHeight="15" zeroHeight="1" x14ac:dyDescent="0.25"/>
  <cols>
    <col min="1" max="1" width="12.7109375" style="43" customWidth="1"/>
    <col min="2" max="2" width="50.7109375" style="43" customWidth="1"/>
    <col min="3" max="3" width="15" style="43" customWidth="1"/>
    <col min="4" max="4" width="11.7109375" style="43" customWidth="1"/>
    <col min="5" max="5" width="10.7109375" style="43" customWidth="1"/>
    <col min="6" max="6" width="14" style="43" customWidth="1"/>
    <col min="7" max="16384" width="2.140625" style="43" hidden="1"/>
  </cols>
  <sheetData>
    <row r="1" spans="1:27" x14ac:dyDescent="0.25">
      <c r="AA1" s="43" t="s">
        <v>506</v>
      </c>
    </row>
    <row r="2" spans="1:27" ht="15.75" thickBot="1" x14ac:dyDescent="0.3">
      <c r="A2" s="100" t="s">
        <v>521</v>
      </c>
      <c r="B2" s="56"/>
      <c r="C2" s="56"/>
      <c r="D2" s="56"/>
      <c r="E2" s="56"/>
      <c r="F2" s="56"/>
    </row>
    <row r="3" spans="1:27" x14ac:dyDescent="0.25">
      <c r="A3" s="43" t="s">
        <v>289</v>
      </c>
    </row>
    <row r="4" spans="1:27" ht="25.5" x14ac:dyDescent="0.25">
      <c r="A4" s="67" t="s">
        <v>290</v>
      </c>
      <c r="B4" s="67" t="s">
        <v>291</v>
      </c>
      <c r="C4" s="67" t="s">
        <v>292</v>
      </c>
      <c r="D4" s="67" t="s">
        <v>293</v>
      </c>
      <c r="E4" s="67" t="s">
        <v>294</v>
      </c>
      <c r="F4" s="67" t="s">
        <v>274</v>
      </c>
    </row>
    <row r="5" spans="1:27" ht="25.5" x14ac:dyDescent="0.25">
      <c r="A5" s="122" t="s">
        <v>544</v>
      </c>
      <c r="B5" s="122" t="s">
        <v>545</v>
      </c>
      <c r="C5" s="122" t="s">
        <v>555</v>
      </c>
      <c r="D5" s="112">
        <v>41943.710266203707</v>
      </c>
      <c r="E5" s="112">
        <v>42035</v>
      </c>
      <c r="F5" s="122" t="s">
        <v>559</v>
      </c>
    </row>
    <row r="6" spans="1:27" ht="51" x14ac:dyDescent="0.25">
      <c r="A6" s="122" t="s">
        <v>544</v>
      </c>
      <c r="B6" s="122" t="s">
        <v>546</v>
      </c>
      <c r="C6" s="122" t="s">
        <v>555</v>
      </c>
      <c r="D6" s="112">
        <v>41943.707129629627</v>
      </c>
      <c r="E6" s="112">
        <v>42004</v>
      </c>
      <c r="F6" s="122" t="s">
        <v>559</v>
      </c>
    </row>
    <row r="7" spans="1:27" ht="63.75" x14ac:dyDescent="0.25">
      <c r="A7" s="112" t="s">
        <v>544</v>
      </c>
      <c r="B7" s="122" t="s">
        <v>557</v>
      </c>
      <c r="C7" s="122" t="s">
        <v>555</v>
      </c>
      <c r="D7" s="112">
        <v>41943.777777777781</v>
      </c>
      <c r="E7" s="112">
        <v>41973</v>
      </c>
      <c r="F7" s="122" t="s">
        <v>559</v>
      </c>
    </row>
    <row r="8" spans="1:27" ht="51" x14ac:dyDescent="0.25">
      <c r="A8" s="112" t="s">
        <v>544</v>
      </c>
      <c r="B8" s="122" t="s">
        <v>558</v>
      </c>
      <c r="C8" s="122" t="s">
        <v>555</v>
      </c>
      <c r="D8" s="112">
        <v>41943.775914351849</v>
      </c>
      <c r="E8" s="112">
        <v>42004</v>
      </c>
      <c r="F8" s="122" t="s">
        <v>559</v>
      </c>
    </row>
    <row r="9" spans="1:27" ht="25.5" x14ac:dyDescent="0.25">
      <c r="A9" s="123" t="s">
        <v>547</v>
      </c>
      <c r="B9" s="124" t="s">
        <v>556</v>
      </c>
      <c r="C9" s="124" t="s">
        <v>549</v>
      </c>
      <c r="D9" s="123">
        <v>41352</v>
      </c>
      <c r="E9" s="123">
        <v>41363</v>
      </c>
      <c r="F9" s="124" t="s">
        <v>551</v>
      </c>
    </row>
    <row r="10" spans="1:27" ht="127.5" x14ac:dyDescent="0.25">
      <c r="A10" s="112" t="s">
        <v>548</v>
      </c>
      <c r="B10" s="122" t="s">
        <v>560</v>
      </c>
      <c r="C10" s="122" t="s">
        <v>550</v>
      </c>
      <c r="D10" s="112">
        <v>41780</v>
      </c>
      <c r="E10" s="112">
        <v>41851</v>
      </c>
      <c r="F10" s="122" t="s">
        <v>563</v>
      </c>
    </row>
    <row r="11" spans="1:27" ht="63.75" x14ac:dyDescent="0.25">
      <c r="A11" s="112" t="s">
        <v>548</v>
      </c>
      <c r="B11" s="122" t="s">
        <v>561</v>
      </c>
      <c r="C11" s="122" t="s">
        <v>550</v>
      </c>
      <c r="D11" s="112">
        <v>41780</v>
      </c>
      <c r="E11" s="112">
        <v>41851</v>
      </c>
      <c r="F11" s="122" t="s">
        <v>563</v>
      </c>
    </row>
    <row r="12" spans="1:27" ht="38.25" x14ac:dyDescent="0.25">
      <c r="A12" s="122" t="s">
        <v>547</v>
      </c>
      <c r="B12" s="122" t="s">
        <v>552</v>
      </c>
      <c r="C12" s="122" t="s">
        <v>550</v>
      </c>
      <c r="D12" s="112">
        <v>41842</v>
      </c>
      <c r="E12" s="112">
        <v>42004</v>
      </c>
      <c r="F12" s="122" t="s">
        <v>563</v>
      </c>
    </row>
    <row r="13" spans="1:27" ht="38.25" x14ac:dyDescent="0.25">
      <c r="A13" s="122" t="s">
        <v>547</v>
      </c>
      <c r="B13" s="122" t="s">
        <v>553</v>
      </c>
      <c r="C13" s="122" t="s">
        <v>550</v>
      </c>
      <c r="D13" s="112">
        <v>41842</v>
      </c>
      <c r="E13" s="112"/>
      <c r="F13" s="122" t="s">
        <v>563</v>
      </c>
    </row>
    <row r="14" spans="1:27" ht="38.25" x14ac:dyDescent="0.25">
      <c r="A14" s="122" t="s">
        <v>547</v>
      </c>
      <c r="B14" s="122" t="s">
        <v>554</v>
      </c>
      <c r="C14" s="122" t="s">
        <v>550</v>
      </c>
      <c r="D14" s="112">
        <v>41842</v>
      </c>
      <c r="E14" s="112">
        <v>41912</v>
      </c>
      <c r="F14" s="122" t="s">
        <v>563</v>
      </c>
    </row>
    <row r="15" spans="1:27" x14ac:dyDescent="0.25">
      <c r="A15" s="103"/>
      <c r="B15" s="103"/>
      <c r="C15" s="103"/>
      <c r="D15" s="104"/>
      <c r="E15" s="104"/>
      <c r="F15" s="103"/>
    </row>
    <row r="16" spans="1:27" x14ac:dyDescent="0.25">
      <c r="A16" s="103"/>
      <c r="B16" s="103"/>
      <c r="C16" s="103"/>
      <c r="D16" s="104"/>
      <c r="E16" s="104"/>
      <c r="F16" s="103"/>
    </row>
    <row r="17" spans="1:6" x14ac:dyDescent="0.25">
      <c r="A17" s="93"/>
      <c r="B17" s="93"/>
      <c r="C17" s="93"/>
      <c r="D17" s="93"/>
      <c r="E17" s="93"/>
      <c r="F17" s="93"/>
    </row>
    <row r="18" spans="1:6" x14ac:dyDescent="0.25">
      <c r="A18" s="93" t="s">
        <v>531</v>
      </c>
      <c r="B18" s="93"/>
      <c r="C18" s="93"/>
      <c r="D18" s="93"/>
      <c r="E18" s="93"/>
      <c r="F18" s="93"/>
    </row>
    <row r="19" spans="1:6" x14ac:dyDescent="0.25">
      <c r="A19" s="178"/>
      <c r="B19" s="179"/>
      <c r="C19" s="179"/>
      <c r="D19" s="179"/>
      <c r="E19" s="180"/>
      <c r="F19" s="181"/>
    </row>
    <row r="20" spans="1:6" ht="40.5" customHeight="1" x14ac:dyDescent="0.25">
      <c r="A20" s="182"/>
      <c r="B20" s="183"/>
      <c r="C20" s="183"/>
      <c r="D20" s="183"/>
      <c r="E20" s="183"/>
      <c r="F20" s="184"/>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c r="A37" s="93"/>
      <c r="B37" s="93"/>
      <c r="C37" s="93"/>
      <c r="D37" s="93"/>
      <c r="E37" s="93"/>
      <c r="F37" s="93"/>
    </row>
    <row r="38" spans="1:6" x14ac:dyDescent="0.25">
      <c r="A38" s="93"/>
      <c r="B38" s="93"/>
      <c r="C38" s="93"/>
      <c r="D38" s="93"/>
      <c r="E38" s="93"/>
      <c r="F38" s="93"/>
    </row>
    <row r="39" spans="1:6" x14ac:dyDescent="0.25">
      <c r="A39" s="93"/>
      <c r="B39" s="93"/>
      <c r="C39" s="93"/>
      <c r="D39" s="93"/>
      <c r="E39" s="93"/>
      <c r="F39" s="93"/>
    </row>
    <row r="40" spans="1:6" x14ac:dyDescent="0.25">
      <c r="A40" s="93"/>
      <c r="B40" s="93"/>
      <c r="C40" s="93"/>
      <c r="D40" s="93"/>
      <c r="E40" s="93"/>
      <c r="F40" s="93"/>
    </row>
    <row r="41" spans="1:6" x14ac:dyDescent="0.25">
      <c r="A41" s="93"/>
      <c r="B41" s="93"/>
      <c r="C41" s="93"/>
      <c r="D41" s="93"/>
      <c r="E41" s="93"/>
      <c r="F41" s="93"/>
    </row>
    <row r="42" spans="1:6" x14ac:dyDescent="0.25">
      <c r="A42" s="93"/>
      <c r="B42" s="93"/>
      <c r="C42" s="93"/>
      <c r="D42" s="93"/>
      <c r="E42" s="93"/>
      <c r="F42" s="93"/>
    </row>
    <row r="43" spans="1:6" x14ac:dyDescent="0.25"/>
    <row r="44" spans="1:6" x14ac:dyDescent="0.25"/>
    <row r="45" spans="1:6" x14ac:dyDescent="0.25"/>
    <row r="46" spans="1:6" x14ac:dyDescent="0.25"/>
    <row r="47" spans="1:6" x14ac:dyDescent="0.25"/>
    <row r="48" spans="1:6" x14ac:dyDescent="0.25"/>
    <row r="49" x14ac:dyDescent="0.25"/>
  </sheetData>
  <sheetProtection formatCells="0" formatColumns="0" formatRows="0"/>
  <mergeCells count="1">
    <mergeCell ref="A19:F20"/>
  </mergeCells>
  <pageMargins left="0.25" right="0.25" top="0.75" bottom="0.75" header="0.3" footer="0.3"/>
  <pageSetup scale="8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A22" sqref="A22:C22"/>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0" t="s">
        <v>522</v>
      </c>
      <c r="B1" s="56"/>
      <c r="C1" s="56"/>
      <c r="AA1" s="43" t="s">
        <v>506</v>
      </c>
    </row>
    <row r="2" spans="1:27" x14ac:dyDescent="0.25">
      <c r="A2" s="68" t="s">
        <v>511</v>
      </c>
    </row>
    <row r="3" spans="1:27" ht="51" customHeight="1" thickBot="1" x14ac:dyDescent="0.3">
      <c r="A3" s="188" t="s">
        <v>295</v>
      </c>
      <c r="B3" s="189"/>
      <c r="C3" s="189"/>
    </row>
    <row r="4" spans="1:27" ht="15.75" thickBot="1" x14ac:dyDescent="0.3">
      <c r="A4" s="65" t="s">
        <v>3</v>
      </c>
      <c r="B4" s="66" t="s">
        <v>296</v>
      </c>
      <c r="C4" s="66" t="s">
        <v>297</v>
      </c>
    </row>
    <row r="5" spans="1:27" ht="16.5" thickBot="1" x14ac:dyDescent="0.3">
      <c r="A5" s="69" t="s">
        <v>39</v>
      </c>
      <c r="B5" s="114"/>
      <c r="C5" s="114"/>
    </row>
    <row r="6" spans="1:27" ht="16.5" thickBot="1" x14ac:dyDescent="0.3">
      <c r="A6" s="69" t="s">
        <v>38</v>
      </c>
      <c r="B6" s="114"/>
      <c r="C6" s="114"/>
    </row>
    <row r="7" spans="1:27" ht="16.5" thickBot="1" x14ac:dyDescent="0.3">
      <c r="A7" s="69" t="s">
        <v>37</v>
      </c>
      <c r="B7" s="114"/>
      <c r="C7" s="114"/>
    </row>
    <row r="8" spans="1:27" ht="16.5" thickBot="1" x14ac:dyDescent="0.3">
      <c r="A8" s="69" t="s">
        <v>34</v>
      </c>
      <c r="B8" s="114"/>
      <c r="C8" s="114"/>
    </row>
    <row r="9" spans="1:27" ht="16.5" thickBot="1" x14ac:dyDescent="0.3">
      <c r="A9" s="69" t="s">
        <v>33</v>
      </c>
      <c r="B9" s="114"/>
      <c r="C9" s="114"/>
    </row>
    <row r="10" spans="1:27" ht="16.5" thickBot="1" x14ac:dyDescent="0.3">
      <c r="A10" s="69" t="s">
        <v>32</v>
      </c>
      <c r="B10" s="114"/>
      <c r="C10" s="114"/>
    </row>
    <row r="11" spans="1:27" ht="16.5" thickBot="1" x14ac:dyDescent="0.3">
      <c r="A11" s="69" t="s">
        <v>30</v>
      </c>
      <c r="B11" s="114"/>
      <c r="C11" s="114"/>
    </row>
    <row r="12" spans="1:27" x14ac:dyDescent="0.25"/>
    <row r="13" spans="1:27" x14ac:dyDescent="0.25">
      <c r="A13" s="43" t="s">
        <v>298</v>
      </c>
    </row>
    <row r="14" spans="1:27" ht="75.75" customHeight="1" x14ac:dyDescent="0.25">
      <c r="A14" s="157" t="s">
        <v>564</v>
      </c>
      <c r="B14" s="190"/>
      <c r="C14" s="191"/>
    </row>
    <row r="15" spans="1:27" x14ac:dyDescent="0.25"/>
    <row r="16" spans="1:27" x14ac:dyDescent="0.25">
      <c r="A16" s="68" t="s">
        <v>512</v>
      </c>
    </row>
    <row r="17" spans="1:3" x14ac:dyDescent="0.25">
      <c r="A17" s="43" t="s">
        <v>299</v>
      </c>
    </row>
    <row r="18" spans="1:3" ht="50.25" customHeight="1" x14ac:dyDescent="0.25">
      <c r="A18" s="185" t="s">
        <v>300</v>
      </c>
      <c r="B18" s="186"/>
      <c r="C18" s="187"/>
    </row>
    <row r="19" spans="1:3" x14ac:dyDescent="0.25"/>
    <row r="20" spans="1:3" x14ac:dyDescent="0.25">
      <c r="A20" s="68" t="s">
        <v>513</v>
      </c>
    </row>
    <row r="21" spans="1:3" x14ac:dyDescent="0.25">
      <c r="A21" s="43" t="s">
        <v>301</v>
      </c>
    </row>
    <row r="22" spans="1:3" ht="189.75" customHeight="1" x14ac:dyDescent="0.25">
      <c r="A22" s="157" t="s">
        <v>569</v>
      </c>
      <c r="B22" s="190"/>
      <c r="C22" s="191"/>
    </row>
    <row r="23" spans="1:3" x14ac:dyDescent="0.25"/>
    <row r="24" spans="1:3" x14ac:dyDescent="0.25">
      <c r="A24" s="68" t="s">
        <v>514</v>
      </c>
    </row>
    <row r="25" spans="1:3" x14ac:dyDescent="0.25">
      <c r="A25" s="43" t="s">
        <v>299</v>
      </c>
    </row>
    <row r="26" spans="1:3" ht="44.25" customHeight="1" x14ac:dyDescent="0.25">
      <c r="A26" s="185" t="s">
        <v>302</v>
      </c>
      <c r="B26" s="186"/>
      <c r="C26" s="187"/>
    </row>
    <row r="27" spans="1:3" x14ac:dyDescent="0.25"/>
    <row r="28" spans="1:3" x14ac:dyDescent="0.25">
      <c r="A28" s="68" t="s">
        <v>515</v>
      </c>
    </row>
    <row r="29" spans="1:3" x14ac:dyDescent="0.25">
      <c r="A29" s="43" t="s">
        <v>303</v>
      </c>
    </row>
    <row r="30" spans="1:3" ht="38.25" customHeight="1" x14ac:dyDescent="0.25">
      <c r="A30" s="185" t="s">
        <v>304</v>
      </c>
      <c r="B30" s="186"/>
      <c r="C30" s="187"/>
    </row>
    <row r="31" spans="1:3" x14ac:dyDescent="0.25"/>
    <row r="32" spans="1:3" x14ac:dyDescent="0.25">
      <c r="A32" s="68" t="s">
        <v>516</v>
      </c>
    </row>
    <row r="33" spans="1:3" x14ac:dyDescent="0.25">
      <c r="A33" s="43" t="s">
        <v>305</v>
      </c>
    </row>
    <row r="34" spans="1:3" ht="42.75" customHeight="1" x14ac:dyDescent="0.25">
      <c r="A34" s="185" t="s">
        <v>306</v>
      </c>
      <c r="B34" s="186"/>
      <c r="C34" s="187"/>
    </row>
    <row r="35" spans="1:3" x14ac:dyDescent="0.25"/>
    <row r="36" spans="1:3" x14ac:dyDescent="0.25">
      <c r="A36" s="68" t="s">
        <v>517</v>
      </c>
    </row>
    <row r="37" spans="1:3" x14ac:dyDescent="0.25">
      <c r="A37" s="43" t="s">
        <v>307</v>
      </c>
    </row>
    <row r="38" spans="1:3" ht="57.75" customHeight="1" x14ac:dyDescent="0.25">
      <c r="A38" s="185" t="s">
        <v>308</v>
      </c>
      <c r="B38" s="186"/>
      <c r="C38" s="187"/>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A6" sqref="A6"/>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506</v>
      </c>
    </row>
    <row r="2" spans="1:27" x14ac:dyDescent="0.25">
      <c r="A2" s="101" t="s">
        <v>523</v>
      </c>
    </row>
    <row r="3" spans="1:27" ht="15.75" thickBot="1" x14ac:dyDescent="0.3">
      <c r="A3" s="43" t="s">
        <v>309</v>
      </c>
    </row>
    <row r="4" spans="1:27" ht="22.5" customHeight="1" thickBot="1" x14ac:dyDescent="0.3">
      <c r="A4" s="192" t="s">
        <v>310</v>
      </c>
      <c r="B4" s="194" t="s">
        <v>311</v>
      </c>
      <c r="C4" s="195"/>
      <c r="D4" s="195"/>
      <c r="E4" s="196"/>
      <c r="F4" s="194" t="s">
        <v>312</v>
      </c>
      <c r="G4" s="196"/>
    </row>
    <row r="5" spans="1:27" ht="15.75" thickBot="1" x14ac:dyDescent="0.3">
      <c r="A5" s="193"/>
      <c r="B5" s="97" t="s">
        <v>313</v>
      </c>
      <c r="C5" s="97" t="s">
        <v>314</v>
      </c>
      <c r="D5" s="97" t="s">
        <v>315</v>
      </c>
      <c r="E5" s="97" t="s">
        <v>316</v>
      </c>
      <c r="F5" s="97" t="s">
        <v>317</v>
      </c>
      <c r="G5" s="97" t="s">
        <v>318</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319</v>
      </c>
    </row>
    <row r="13" spans="1:27" ht="57.75" customHeight="1" x14ac:dyDescent="0.25">
      <c r="A13" s="185" t="s">
        <v>320</v>
      </c>
      <c r="B13" s="197"/>
      <c r="C13" s="197"/>
      <c r="D13" s="197"/>
      <c r="E13" s="197"/>
      <c r="F13" s="197"/>
      <c r="G13" s="198"/>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532</v>
      </c>
    </row>
    <row r="88" spans="1:4" x14ac:dyDescent="0.25">
      <c r="A88" t="s">
        <v>31</v>
      </c>
      <c r="B88" s="13" t="s">
        <v>183</v>
      </c>
    </row>
    <row r="89" spans="1:4" x14ac:dyDescent="0.25">
      <c r="A89" t="s">
        <v>31</v>
      </c>
      <c r="B89" s="13" t="s">
        <v>533</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321</v>
      </c>
      <c r="C1" s="1" t="s">
        <v>1</v>
      </c>
      <c r="D1" s="2" t="s">
        <v>2</v>
      </c>
      <c r="E1" s="3" t="s">
        <v>3</v>
      </c>
      <c r="F1" s="2" t="s">
        <v>226</v>
      </c>
      <c r="G1" s="2" t="s">
        <v>76</v>
      </c>
      <c r="H1" s="4" t="s">
        <v>6</v>
      </c>
      <c r="I1" s="2" t="s">
        <v>65</v>
      </c>
      <c r="J1" s="1" t="s">
        <v>4</v>
      </c>
      <c r="K1" s="4" t="s">
        <v>224</v>
      </c>
      <c r="L1" s="4" t="s">
        <v>110</v>
      </c>
      <c r="M1" s="1" t="s">
        <v>5</v>
      </c>
      <c r="N1" s="4" t="s">
        <v>518</v>
      </c>
      <c r="O1" s="4" t="s">
        <v>493</v>
      </c>
    </row>
    <row r="2" spans="1:15" ht="105.75" customHeight="1" x14ac:dyDescent="0.25">
      <c r="A2" s="5" t="s">
        <v>0</v>
      </c>
      <c r="B2" s="5" t="s">
        <v>529</v>
      </c>
      <c r="C2" s="5" t="s">
        <v>66</v>
      </c>
      <c r="D2" s="5" t="s">
        <v>7</v>
      </c>
      <c r="E2" s="6" t="s">
        <v>229</v>
      </c>
      <c r="F2" s="5" t="s">
        <v>228</v>
      </c>
      <c r="G2" s="5" t="s">
        <v>230</v>
      </c>
      <c r="H2" s="25" t="s">
        <v>223</v>
      </c>
      <c r="I2" s="5" t="s">
        <v>111</v>
      </c>
      <c r="J2" s="25" t="s">
        <v>231</v>
      </c>
      <c r="K2" s="5" t="s">
        <v>225</v>
      </c>
      <c r="L2" s="5" t="s">
        <v>227</v>
      </c>
      <c r="M2" s="5" t="s">
        <v>250</v>
      </c>
      <c r="N2" s="37" t="s">
        <v>524</v>
      </c>
      <c r="O2" s="37" t="s">
        <v>494</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496</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497</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'1'!$C$1</f>
        <v>0</v>
      </c>
      <c r="E3" s="7">
        <v>1</v>
      </c>
      <c r="F3" s="8" t="str">
        <f>'1'!$C$2</f>
        <v>Operational</v>
      </c>
      <c r="G3" s="8" t="str">
        <f>'1'!$C$3</f>
        <v>Internal Fraud</v>
      </c>
      <c r="H3" s="8" t="str">
        <f>'1'!$C$4</f>
        <v>Internal Fraud during the ordinary course of operations</v>
      </c>
      <c r="I3" s="8" t="str">
        <f>'1'!$A$12</f>
        <v xml:space="preserve">The risk of losses from willful actions designed to defraud, misappropriate goods, misreporting financial information or evade business regulations, laws or policies (excluding diversity/discrimination events) in which at least one person linked to the company is implicated.  Risk of regulatory and legal repercussions due to Internal Fraud which may translate to a direct impact on operations and on the bank's financial statements.  The risks may also include reputational damage and monetary losses.  Although operational losses have not been reported within the Line of Business, there is a latent risk of internal fraud which in a stressed situation could impact the Bank.  
The controls to mitigate this risk include internal control of accounts cash and positions.  Separation of duties and quality control of operations, required at least 10-day consecutive vacation period, Internal Audit and Internal Control reviews. </v>
      </c>
      <c r="J3" s="8">
        <f>'1'!$C$5</f>
        <v>0</v>
      </c>
      <c r="K3" s="8" t="str">
        <f>'1'!$A$9</f>
        <v>Controls include an internal control of accounts cash and positions.  Separation of duties and quality control of operations, required at least 10-day consecutive vacation period, Internal Audit and Internal Control reviews.</v>
      </c>
      <c r="L3" s="8">
        <f>'1'!$C$6</f>
        <v>0</v>
      </c>
      <c r="M3" s="8" t="str">
        <f>'1'!$C$7</f>
        <v>$1 - $5 M</v>
      </c>
      <c r="N3" s="8" t="str">
        <f>'1'!$B$10</f>
        <v>The Stressed Financial Impact considers possible losses from both legal and regulatory fines as well as operational losses this may cause to the Bank.</v>
      </c>
      <c r="O3" s="10"/>
    </row>
    <row r="4" spans="1:15" ht="315" x14ac:dyDescent="0.25">
      <c r="A4" s="7"/>
      <c r="B4" s="7">
        <f>'Approval and Documentation'!C$4</f>
        <v>0</v>
      </c>
      <c r="C4" s="7">
        <f>'Approval and Documentation'!C$6</f>
        <v>0</v>
      </c>
      <c r="D4" s="8">
        <f>'2'!$C$1</f>
        <v>0</v>
      </c>
      <c r="E4" s="11">
        <v>2</v>
      </c>
      <c r="F4" s="8" t="str">
        <f>'2'!$C$2</f>
        <v>Compliance</v>
      </c>
      <c r="G4" s="8" t="str">
        <f>'2'!$C$3</f>
        <v>Regulatory Compliance</v>
      </c>
      <c r="H4" s="8" t="str">
        <f>'2'!$C$4</f>
        <v>Failure to fulfill the fiduciary responsibilities</v>
      </c>
      <c r="I4" s="8" t="str">
        <f>'2'!$A$12</f>
        <v xml:space="preserve">The risk of losses arising from accidental or negligent breaches of professional obligations with specific clients, (including fiduciary or suitability requirements), or from the nature or design of a product. This risk is driven by deficiencies in controls and oversight of the activities affected by these requirements. Failure to fulfill its fiduciary duties on services provided under deed of trust or contract as applied to the following:
1) Retirement Plans - new clients 
2) Retirement related Trust Account – accounts to be liquidated
As a directed trustee in which Trust performs upon receiving expressed instructions from clients, the risk would be not complying with the provided instructions. In this case the risk would be: 1) Reputation, 3) breach of regulations such as ERISA, DOL, Hacienda, IRS, 3) legal claims 4) operational losses.   As a directed trustee of retirement plans, there is no discretion on investment and/or custodial services. These services are provided by a third party selected by the client. 
</v>
      </c>
      <c r="J4" s="8">
        <f>'2'!$C$5</f>
        <v>0</v>
      </c>
      <c r="K4" s="8" t="str">
        <f>'2'!$A$9</f>
        <v xml:space="preserve">As a directed trustee of retirement plans, there is no discretion on investment and/or custodial services. These services are provided by a third party selected by the client. </v>
      </c>
      <c r="L4" s="8">
        <f>'2'!$C$6</f>
        <v>0</v>
      </c>
      <c r="M4" s="8" t="str">
        <f>'2'!$C$7</f>
        <v>$1 - $5 M</v>
      </c>
      <c r="N4" s="8" t="str">
        <f>'2'!$B$10</f>
        <v xml:space="preserve">The stressed financial impact analysis is based on losses due to breach of regulations such as ERISA, DOL, HACIENDA &amp; IRS; legal claims and operational losses.
</v>
      </c>
      <c r="O4" s="10"/>
    </row>
    <row r="5" spans="1:15" ht="180" x14ac:dyDescent="0.25">
      <c r="A5" s="7"/>
      <c r="B5" s="7">
        <f>'Approval and Documentation'!C$4</f>
        <v>0</v>
      </c>
      <c r="C5" s="7">
        <f>'Approval and Documentation'!C$6</f>
        <v>0</v>
      </c>
      <c r="D5" s="8">
        <f>'3'!$C$1</f>
        <v>0</v>
      </c>
      <c r="E5" s="7">
        <v>3</v>
      </c>
      <c r="F5" s="8" t="str">
        <f>'3'!$C$2</f>
        <v>Operational</v>
      </c>
      <c r="G5" s="8" t="str">
        <f>'3'!$C$3</f>
        <v>External Fraud</v>
      </c>
      <c r="H5" s="8" t="str">
        <f>'3'!$C$4</f>
        <v>Misleading Client’s Instructions</v>
      </c>
      <c r="I5" s="8" t="str">
        <f>'3'!$A$12</f>
        <v xml:space="preserve">Risk of financial losses resulting from misleading client instructions.  Failure to perform adequate analysis of Trust documents (such as Deed of Trust) may produce a risk by misleading Trust Officials to make inappropriate decisions. This risk also leads to violations to comply with regulatory requirements and client’s contracts. 
Controls to mitigate this risk include internal controls of validating client’s instructions with Trust documents also by requiring client to provide written instructions. 
</v>
      </c>
      <c r="J5" s="8">
        <f>'3'!$C$5</f>
        <v>0</v>
      </c>
      <c r="K5" s="8" t="str">
        <f>'3'!$A$9</f>
        <v xml:space="preserve">Controls to mitigate this risk include internal controls of validating client’s instructions with Trust documents also by requiring client to provide written instructions. </v>
      </c>
      <c r="L5" s="8">
        <f>'3'!$C$6</f>
        <v>0</v>
      </c>
      <c r="M5" s="8" t="str">
        <f>'3'!$C$7</f>
        <v>$1 - $5 M</v>
      </c>
      <c r="N5" s="8" t="str">
        <f>'3'!$B$10</f>
        <v xml:space="preserve">The financial impact analysis is based on potential losses (in stressed conditions) this risk may produce by misleading information provided by client.
</v>
      </c>
      <c r="O5" s="10"/>
    </row>
    <row r="6" spans="1:15" ht="330" x14ac:dyDescent="0.25">
      <c r="A6" s="7"/>
      <c r="B6" s="7">
        <f>'Approval and Documentation'!C$4</f>
        <v>0</v>
      </c>
      <c r="C6" s="7">
        <f>'Approval and Documentation'!C$6</f>
        <v>0</v>
      </c>
      <c r="D6" s="8">
        <f>'4'!$C$1</f>
        <v>0</v>
      </c>
      <c r="E6" s="11">
        <v>4</v>
      </c>
      <c r="F6" s="8" t="str">
        <f>'4'!$C$2</f>
        <v>Reputational</v>
      </c>
      <c r="G6" s="8" t="str">
        <f>'4'!$C$3</f>
        <v>Brand Image/Customers Experience</v>
      </c>
      <c r="H6" s="8" t="str">
        <f>'4'!$C$4</f>
        <v xml:space="preserve">Deficient customer service and/or non-compliance with regulatory requirements
</v>
      </c>
      <c r="I6" s="8" t="str">
        <f>'4'!$A$12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6" s="8">
        <f>'4'!$C$5</f>
        <v>0</v>
      </c>
      <c r="K6" s="8" t="str">
        <f>'4'!$A$9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6" s="8">
        <f>'4'!$C$6</f>
        <v>0</v>
      </c>
      <c r="M6" s="8" t="str">
        <f>'4'!$C$7</f>
        <v>$1 - $5 M</v>
      </c>
      <c r="N6" s="8" t="str">
        <f>'4'!$B$10</f>
        <v xml:space="preserve">The financial impact analysis considers potential financial losses in stressed scenario due to negative public's perception.
</v>
      </c>
      <c r="O6" s="10"/>
    </row>
    <row r="7" spans="1:15" x14ac:dyDescent="0.25">
      <c r="A7" s="7"/>
      <c r="B7" s="7">
        <f>'Approval and Documentation'!C$4</f>
        <v>0</v>
      </c>
      <c r="C7" s="7">
        <f>'Approval and Documentation'!C$6</f>
        <v>0</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f>'Approval and Documentation'!C$4</f>
        <v>0</v>
      </c>
      <c r="C8" s="7">
        <f>'Approval and Documentation'!C$6</f>
        <v>0</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90" zoomScaleNormal="100" zoomScalePageLayoutView="9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499</v>
      </c>
      <c r="B1" s="149"/>
      <c r="C1" s="73"/>
      <c r="Q1" s="81"/>
      <c r="R1" s="81"/>
      <c r="AA1" s="39" t="str">
        <f>C2</f>
        <v>Operational</v>
      </c>
    </row>
    <row r="2" spans="1:27" ht="30.75" customHeight="1" thickBot="1" x14ac:dyDescent="0.3">
      <c r="A2" s="200" t="s">
        <v>541</v>
      </c>
      <c r="B2" s="201"/>
      <c r="C2" s="90" t="s">
        <v>31</v>
      </c>
      <c r="R2" s="42" t="str">
        <f t="shared" ref="R2:R7" si="0">A2</f>
        <v>Risk Type  - The Risk Type from the ERM Risk Taxonomy</v>
      </c>
    </row>
    <row r="3" spans="1:27" ht="24" customHeight="1" thickBot="1" x14ac:dyDescent="0.3">
      <c r="A3" s="199" t="s">
        <v>542</v>
      </c>
      <c r="B3" s="149"/>
      <c r="C3" s="70" t="s">
        <v>30</v>
      </c>
      <c r="R3" s="42" t="str">
        <f t="shared" si="0"/>
        <v>Risk Sub Type  - The Risk Sub-Category from the ERM Risk Taxonomy</v>
      </c>
    </row>
    <row r="4" spans="1:27" ht="38.25" customHeight="1" thickBot="1" x14ac:dyDescent="0.3">
      <c r="A4" s="199" t="s">
        <v>252</v>
      </c>
      <c r="B4" s="149"/>
      <c r="C4" s="73" t="s">
        <v>538</v>
      </c>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7.5" customHeight="1" thickBot="1" x14ac:dyDescent="0.3">
      <c r="A9" s="210" t="s">
        <v>570</v>
      </c>
      <c r="B9" s="211"/>
      <c r="C9" s="212"/>
      <c r="Q9" s="38" t="str">
        <f>A9</f>
        <v>Controls include an internal control of accounts cash and positions.  Separation of duties and quality control of operations, required at least 10-day consecutive vacation period, Internal Audit and Internal Control reviews.</v>
      </c>
    </row>
    <row r="10" spans="1:27" ht="49.5" customHeight="1" thickBot="1" x14ac:dyDescent="0.3">
      <c r="A10" s="41" t="s">
        <v>501</v>
      </c>
      <c r="B10" s="202" t="s">
        <v>571</v>
      </c>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148.5" customHeight="1" thickBot="1" x14ac:dyDescent="0.3">
      <c r="A12" s="202" t="s">
        <v>572</v>
      </c>
      <c r="B12" s="203"/>
      <c r="C12" s="204"/>
      <c r="Q12" s="38" t="str">
        <f>A12</f>
        <v xml:space="preserve">The risk of losses from willful actions designed to defraud, misappropriate goods, misreporting financial information or evade business regulations, laws or policies (excluding diversity/discrimination events) in which at least one person linked to the company is implicated.  Risk of regulatory and legal repercussions due to Internal Fraud which may translate to a direct impact on operations and on the bank's financial statements.  The risks may also include reputational damage and monetary losses.  Although operational losses have not been reported within the Line of Business, there is a latent risk of internal fraud which in a stressed situation could impact the Bank.  
The controls to mitigate this risk include internal control of accounts cash and positions.  Separation of duties and quality control of operations, required at least 10-day consecutive vacation period, Internal Audit and Internal Control reviews. </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3" t="s">
        <v>499</v>
      </c>
      <c r="B1" s="214"/>
      <c r="C1" s="82"/>
      <c r="Q1" s="81"/>
      <c r="R1" s="81"/>
      <c r="AA1" s="39" t="str">
        <f>C2</f>
        <v>Compliance</v>
      </c>
    </row>
    <row r="2" spans="1:27" ht="30.75" customHeight="1" thickBot="1" x14ac:dyDescent="0.3">
      <c r="A2" s="200" t="s">
        <v>541</v>
      </c>
      <c r="B2" s="201"/>
      <c r="C2" s="90" t="s">
        <v>11</v>
      </c>
      <c r="R2" s="42" t="str">
        <f t="shared" ref="R2:R7" si="0">A2</f>
        <v>Risk Type  - The Risk Type from the ERM Risk Taxonomy</v>
      </c>
    </row>
    <row r="3" spans="1:27" ht="42.75" customHeight="1" thickBot="1" x14ac:dyDescent="0.3">
      <c r="A3" s="199" t="s">
        <v>542</v>
      </c>
      <c r="B3" s="149"/>
      <c r="C3" s="70" t="s">
        <v>60</v>
      </c>
      <c r="R3" s="42" t="str">
        <f t="shared" si="0"/>
        <v>Risk Sub Type  - The Risk Sub-Category from the ERM Risk Taxonomy</v>
      </c>
    </row>
    <row r="4" spans="1:27" ht="33.75" customHeight="1" thickBot="1" x14ac:dyDescent="0.3">
      <c r="A4" s="199" t="s">
        <v>252</v>
      </c>
      <c r="B4" s="149"/>
      <c r="C4" s="73" t="s">
        <v>566</v>
      </c>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75" customHeight="1" thickBot="1" x14ac:dyDescent="0.3">
      <c r="A9" s="210" t="s">
        <v>539</v>
      </c>
      <c r="B9" s="211"/>
      <c r="C9" s="212"/>
      <c r="Q9" s="38" t="str">
        <f>A9</f>
        <v xml:space="preserve">As a directed trustee of retirement plans, there is no discretion on investment and/or custodial services. These services are provided by a third party selected by the client. </v>
      </c>
    </row>
    <row r="10" spans="1:27" ht="60" customHeight="1" thickBot="1" x14ac:dyDescent="0.3">
      <c r="A10" s="41" t="s">
        <v>502</v>
      </c>
      <c r="B10" s="202" t="s">
        <v>582</v>
      </c>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177" customHeight="1" thickBot="1" x14ac:dyDescent="0.3">
      <c r="A12" s="202" t="s">
        <v>583</v>
      </c>
      <c r="B12" s="203"/>
      <c r="C12" s="204"/>
      <c r="Q12" s="38" t="str">
        <f>A12</f>
        <v xml:space="preserve">The risk of losses arising from accidental or negligent breaches of professional obligations with specific clients, (including fiduciary or suitability requirements), or from the nature or design of a product. This risk is driven by deficiencies in controls and oversight of the activities affected by these requirements. Failure to fulfill its fiduciary duties on services provided under deed of trust or contract as applied to the following:
1) Retirement Plans - new clients 
2) Retirement related Trust Account – accounts to be liquidated
As a directed trustee in which Trust performs upon receiving expressed instructions from clients, the risk would be not complying with the provided instructions. In this case the risk would be: 1) Reputation, 3) breach of regulations such as ERISA, DOL, Hacienda, IRS, 3) legal claims 4) operational losses.   As a directed trustee of retirement plans, there is no discretion on investment and/or custodial services. These services are provided by a third party selected by the client.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4"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t="str">
        <f>C2</f>
        <v>Operational</v>
      </c>
    </row>
    <row r="2" spans="1:27" ht="30.75" customHeight="1" thickBot="1" x14ac:dyDescent="0.3">
      <c r="A2" s="200" t="s">
        <v>541</v>
      </c>
      <c r="B2" s="201"/>
      <c r="C2" s="90" t="s">
        <v>31</v>
      </c>
      <c r="R2" s="42" t="str">
        <f t="shared" ref="R2:R7" si="0">A2</f>
        <v>Risk Type  - The Risk Type from the ERM Risk Taxonomy</v>
      </c>
    </row>
    <row r="3" spans="1:27" ht="27.75" customHeight="1" thickBot="1" x14ac:dyDescent="0.3">
      <c r="A3" s="199" t="s">
        <v>542</v>
      </c>
      <c r="B3" s="149"/>
      <c r="C3" s="70" t="s">
        <v>32</v>
      </c>
      <c r="R3" s="42" t="str">
        <f t="shared" si="0"/>
        <v>Risk Sub Type  - The Risk Sub-Category from the ERM Risk Taxonomy</v>
      </c>
    </row>
    <row r="4" spans="1:27" ht="31.5" customHeight="1" thickBot="1" x14ac:dyDescent="0.3">
      <c r="A4" s="199" t="s">
        <v>252</v>
      </c>
      <c r="B4" s="149"/>
      <c r="C4" s="73" t="s">
        <v>575</v>
      </c>
      <c r="R4" s="42" t="str">
        <f t="shared" si="0"/>
        <v>Risk Name - The name of the risk which helps define it and differentiate it from other risks in other Business Lines with a similar Risk Category</v>
      </c>
    </row>
    <row r="5" spans="1:27" ht="27"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37.5" customHeight="1" thickBot="1" x14ac:dyDescent="0.3">
      <c r="A7" s="205" t="s">
        <v>254</v>
      </c>
      <c r="B7" s="201"/>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0.5" customHeight="1" thickBot="1" x14ac:dyDescent="0.3">
      <c r="A9" s="210" t="s">
        <v>578</v>
      </c>
      <c r="B9" s="211"/>
      <c r="C9" s="212"/>
      <c r="Q9" s="38" t="str">
        <f>A9</f>
        <v xml:space="preserve">Controls to mitigate this risk include internal controls of validating client’s instructions with Trust documents also by requiring client to provide written instructions. </v>
      </c>
    </row>
    <row r="10" spans="1:27" ht="66.75" customHeight="1" thickBot="1" x14ac:dyDescent="0.3">
      <c r="A10" s="41" t="s">
        <v>501</v>
      </c>
      <c r="B10" s="202" t="s">
        <v>576</v>
      </c>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102.75" customHeight="1" thickBot="1" x14ac:dyDescent="0.3">
      <c r="A12" s="202" t="s">
        <v>577</v>
      </c>
      <c r="B12" s="203"/>
      <c r="C12" s="204"/>
      <c r="Q12" s="38" t="str">
        <f>A12</f>
        <v xml:space="preserve">Risk of financial losses resulting from misleading client instructions.  Failure to perform adequate analysis of Trust documents (such as Deed of Trust) may produce a risk by misleading Trust Officials to make inappropriate decisions. This risk also leads to violations to comply with regulatory requirements and client’s contracts. 
Controls to mitigate this risk include internal controls of validating client’s instructions with Trust documents also by requiring client to provide written instructions.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t="str">
        <f>C2</f>
        <v>Reputational</v>
      </c>
    </row>
    <row r="2" spans="1:27" ht="30.75" customHeight="1" thickBot="1" x14ac:dyDescent="0.3">
      <c r="A2" s="200" t="s">
        <v>541</v>
      </c>
      <c r="B2" s="201"/>
      <c r="C2" s="90" t="s">
        <v>25</v>
      </c>
      <c r="R2" s="42" t="str">
        <f t="shared" ref="R2:R7" si="0">A2</f>
        <v>Risk Type  - The Risk Type from the ERM Risk Taxonomy</v>
      </c>
    </row>
    <row r="3" spans="1:27" ht="24" customHeight="1" thickBot="1" x14ac:dyDescent="0.3">
      <c r="A3" s="199" t="s">
        <v>542</v>
      </c>
      <c r="B3" s="149"/>
      <c r="C3" s="70" t="s">
        <v>29</v>
      </c>
      <c r="R3" s="42" t="str">
        <f t="shared" si="0"/>
        <v>Risk Sub Type  - The Risk Sub-Category from the ERM Risk Taxonomy</v>
      </c>
    </row>
    <row r="4" spans="1:27" ht="51.75" customHeight="1" thickBot="1" x14ac:dyDescent="0.3">
      <c r="A4" s="199" t="s">
        <v>252</v>
      </c>
      <c r="B4" s="149"/>
      <c r="C4" s="73" t="s">
        <v>585</v>
      </c>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t="s">
        <v>586</v>
      </c>
      <c r="B9" s="211"/>
      <c r="C9" s="212"/>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501</v>
      </c>
      <c r="B10" s="202" t="s">
        <v>587</v>
      </c>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182.25" customHeight="1" thickBot="1" x14ac:dyDescent="0.3">
      <c r="A12" s="202" t="s">
        <v>588</v>
      </c>
      <c r="B12" s="203"/>
      <c r="C12" s="204"/>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A2" sqref="A2:B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541</v>
      </c>
      <c r="B2" s="201"/>
      <c r="C2" s="90"/>
      <c r="R2" s="42" t="str">
        <f t="shared" ref="R2:R7" si="0">A2</f>
        <v>Risk Type  - The Risk Type from the ERM Risk Taxonomy</v>
      </c>
    </row>
    <row r="3" spans="1:27" ht="24" customHeight="1" thickBot="1" x14ac:dyDescent="0.3">
      <c r="A3" s="199" t="s">
        <v>542</v>
      </c>
      <c r="B3" s="149"/>
      <c r="C3" s="70"/>
      <c r="R3" s="42" t="str">
        <f t="shared" si="0"/>
        <v>Risk Sub Type  - The Risk Sub-Category from the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5" t="s">
        <v>498</v>
      </c>
      <c r="B1" s="149"/>
      <c r="C1" s="73"/>
      <c r="Q1" s="81"/>
      <c r="R1" s="81"/>
      <c r="AA1" s="39">
        <f>C2</f>
        <v>0</v>
      </c>
    </row>
    <row r="2" spans="1:27" ht="30.75" customHeight="1" thickBot="1" x14ac:dyDescent="0.3">
      <c r="A2" s="200" t="s">
        <v>257</v>
      </c>
      <c r="B2" s="201"/>
      <c r="C2" s="91"/>
      <c r="R2" s="42" t="str">
        <f t="shared" ref="R2:R7" si="0">A2</f>
        <v>Risk Type  - The Risk Type from the SHUSA ERM Risk Taxonomy</v>
      </c>
    </row>
    <row r="3" spans="1:27" ht="24" customHeight="1" thickBot="1" x14ac:dyDescent="0.3">
      <c r="A3" s="199" t="s">
        <v>251</v>
      </c>
      <c r="B3" s="149"/>
      <c r="C3" s="84"/>
      <c r="R3" s="42" t="str">
        <f t="shared" si="0"/>
        <v>Risk Sub Type  - The Risk Sub-Category from the SHUSA ERM Risk Taxonomy</v>
      </c>
    </row>
    <row r="4" spans="1:27" ht="31.5" customHeight="1" thickBot="1" x14ac:dyDescent="0.3">
      <c r="A4" s="199" t="s">
        <v>252</v>
      </c>
      <c r="B4" s="149"/>
      <c r="C4" s="8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84"/>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1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7"/>
      <c r="Q9" s="38">
        <f>A9</f>
        <v>0</v>
      </c>
    </row>
    <row r="10" spans="1:27" ht="81.75" customHeight="1" thickBot="1" x14ac:dyDescent="0.3">
      <c r="A10" s="41" t="s">
        <v>502</v>
      </c>
      <c r="B10" s="202"/>
      <c r="C10" s="218"/>
    </row>
    <row r="11" spans="1:27" ht="31.5" customHeight="1" thickBot="1" x14ac:dyDescent="0.3">
      <c r="A11" s="207" t="s">
        <v>256</v>
      </c>
      <c r="B11" s="208"/>
      <c r="C11" s="21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19"/>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9"/>
      <c r="C1" s="73"/>
      <c r="Q1" s="81"/>
      <c r="R1" s="81"/>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38">
        <f>A9</f>
        <v>0</v>
      </c>
    </row>
    <row r="10" spans="1:27" ht="81.75" customHeight="1" thickBot="1" x14ac:dyDescent="0.3">
      <c r="A10" s="41" t="s">
        <v>502</v>
      </c>
      <c r="B10" s="202"/>
      <c r="C10" s="206"/>
    </row>
    <row r="11" spans="1:27" ht="31.5" customHeight="1" thickBot="1" x14ac:dyDescent="0.3">
      <c r="A11" s="207" t="s">
        <v>256</v>
      </c>
      <c r="B11" s="208"/>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7" t="s">
        <v>495</v>
      </c>
      <c r="B1" s="149"/>
      <c r="C1" s="73"/>
      <c r="AA1" s="39">
        <f>C2</f>
        <v>0</v>
      </c>
    </row>
    <row r="2" spans="1:27" ht="30.75" customHeight="1" thickBot="1" x14ac:dyDescent="0.3">
      <c r="A2" s="200" t="s">
        <v>257</v>
      </c>
      <c r="B2" s="201"/>
      <c r="C2" s="90"/>
      <c r="R2" s="42" t="str">
        <f t="shared" ref="R2:R7" si="0">A2</f>
        <v>Risk Type  - The Risk Type from the SHUSA ERM Risk Taxonomy</v>
      </c>
    </row>
    <row r="3" spans="1:27" ht="24" customHeight="1" thickBot="1" x14ac:dyDescent="0.3">
      <c r="A3" s="199" t="s">
        <v>251</v>
      </c>
      <c r="B3" s="149"/>
      <c r="C3" s="70"/>
      <c r="R3" s="42" t="str">
        <f t="shared" si="0"/>
        <v>Risk Sub Type  - The Risk Sub-Category from the SHUSA ERM Risk Taxonomy</v>
      </c>
    </row>
    <row r="4" spans="1:27" ht="31.5" customHeight="1" thickBot="1" x14ac:dyDescent="0.3">
      <c r="A4" s="199"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199" t="s">
        <v>500</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9"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5" t="s">
        <v>254</v>
      </c>
      <c r="B7" s="20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08"/>
      <c r="C8" s="20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0"/>
      <c r="B9" s="211"/>
      <c r="C9" s="212"/>
      <c r="Q9" s="86">
        <f>A9</f>
        <v>0</v>
      </c>
    </row>
    <row r="10" spans="1:27" ht="81.75" customHeight="1" thickBot="1" x14ac:dyDescent="0.3">
      <c r="A10" s="41" t="s">
        <v>501</v>
      </c>
      <c r="B10" s="202"/>
      <c r="C10" s="206"/>
    </row>
    <row r="11" spans="1:27" ht="31.5" customHeight="1" thickBot="1" x14ac:dyDescent="0.3">
      <c r="A11" s="207" t="s">
        <v>256</v>
      </c>
      <c r="B11" s="208"/>
      <c r="C11" s="20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2"/>
      <c r="B12" s="203"/>
      <c r="C12" s="20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B3" sqref="B3:B8"/>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2" t="s">
        <v>346</v>
      </c>
      <c r="B1" s="223"/>
      <c r="C1" s="223"/>
    </row>
    <row r="2" spans="1:3" ht="15.75" thickBot="1" x14ac:dyDescent="0.3">
      <c r="A2" s="74" t="s">
        <v>226</v>
      </c>
      <c r="B2" s="75" t="s">
        <v>323</v>
      </c>
      <c r="C2" s="75" t="s">
        <v>324</v>
      </c>
    </row>
    <row r="3" spans="1:3" ht="15.75" thickBot="1" x14ac:dyDescent="0.3">
      <c r="A3" s="224" t="s">
        <v>146</v>
      </c>
      <c r="B3" s="224" t="s">
        <v>325</v>
      </c>
      <c r="C3" s="54" t="s">
        <v>326</v>
      </c>
    </row>
    <row r="4" spans="1:3" ht="15.75" thickBot="1" x14ac:dyDescent="0.3">
      <c r="A4" s="225"/>
      <c r="B4" s="225"/>
      <c r="C4" s="54" t="s">
        <v>327</v>
      </c>
    </row>
    <row r="5" spans="1:3" ht="15.75" thickBot="1" x14ac:dyDescent="0.3">
      <c r="A5" s="225"/>
      <c r="B5" s="225"/>
      <c r="C5" s="54" t="s">
        <v>328</v>
      </c>
    </row>
    <row r="6" spans="1:3" ht="15.75" thickBot="1" x14ac:dyDescent="0.3">
      <c r="A6" s="225"/>
      <c r="B6" s="225"/>
      <c r="C6" s="54" t="s">
        <v>329</v>
      </c>
    </row>
    <row r="7" spans="1:3" ht="15.75" thickBot="1" x14ac:dyDescent="0.3">
      <c r="A7" s="225"/>
      <c r="B7" s="225"/>
      <c r="C7" s="54" t="s">
        <v>330</v>
      </c>
    </row>
    <row r="8" spans="1:3" ht="15.75" thickBot="1" x14ac:dyDescent="0.3">
      <c r="A8" s="226"/>
      <c r="B8" s="226"/>
      <c r="C8" s="54" t="s">
        <v>331</v>
      </c>
    </row>
    <row r="9" spans="1:3" ht="15.75" thickBot="1" x14ac:dyDescent="0.3">
      <c r="A9" s="224" t="s">
        <v>23</v>
      </c>
      <c r="B9" s="224" t="s">
        <v>332</v>
      </c>
      <c r="C9" s="54" t="s">
        <v>333</v>
      </c>
    </row>
    <row r="10" spans="1:3" ht="15.75" thickBot="1" x14ac:dyDescent="0.3">
      <c r="A10" s="225"/>
      <c r="B10" s="225"/>
      <c r="C10" s="54" t="s">
        <v>334</v>
      </c>
    </row>
    <row r="11" spans="1:3" ht="15.75" thickBot="1" x14ac:dyDescent="0.3">
      <c r="A11" s="225"/>
      <c r="B11" s="225"/>
      <c r="C11" s="54" t="s">
        <v>335</v>
      </c>
    </row>
    <row r="12" spans="1:3" ht="15.75" thickBot="1" x14ac:dyDescent="0.3">
      <c r="A12" s="226"/>
      <c r="B12" s="226"/>
      <c r="C12" s="54" t="s">
        <v>336</v>
      </c>
    </row>
    <row r="13" spans="1:3" ht="30.75" thickBot="1" x14ac:dyDescent="0.3">
      <c r="A13" s="46" t="s">
        <v>213</v>
      </c>
      <c r="B13" s="54" t="s">
        <v>213</v>
      </c>
      <c r="C13" s="54" t="s">
        <v>213</v>
      </c>
    </row>
    <row r="14" spans="1:3" ht="15.75" thickBot="1" x14ac:dyDescent="0.3">
      <c r="A14" s="224" t="s">
        <v>10</v>
      </c>
      <c r="B14" s="224" t="s">
        <v>347</v>
      </c>
      <c r="C14" s="54" t="s">
        <v>337</v>
      </c>
    </row>
    <row r="15" spans="1:3" ht="15.75" thickBot="1" x14ac:dyDescent="0.3">
      <c r="A15" s="225"/>
      <c r="B15" s="225"/>
      <c r="C15" s="54" t="s">
        <v>338</v>
      </c>
    </row>
    <row r="16" spans="1:3" ht="15.75" thickBot="1" x14ac:dyDescent="0.3">
      <c r="A16" s="225"/>
      <c r="B16" s="225"/>
      <c r="C16" s="54" t="s">
        <v>339</v>
      </c>
    </row>
    <row r="17" spans="1:3" ht="15.75" thickBot="1" x14ac:dyDescent="0.3">
      <c r="A17" s="226"/>
      <c r="B17" s="226"/>
      <c r="C17" s="54" t="s">
        <v>340</v>
      </c>
    </row>
    <row r="18" spans="1:3" ht="15.75" thickBot="1" x14ac:dyDescent="0.3">
      <c r="A18" s="224" t="s">
        <v>22</v>
      </c>
      <c r="B18" s="224" t="s">
        <v>341</v>
      </c>
      <c r="C18" s="54" t="s">
        <v>342</v>
      </c>
    </row>
    <row r="19" spans="1:3" ht="15.75" thickBot="1" x14ac:dyDescent="0.3">
      <c r="A19" s="225"/>
      <c r="B19" s="225"/>
      <c r="C19" s="54" t="s">
        <v>343</v>
      </c>
    </row>
    <row r="20" spans="1:3" ht="15.75" thickBot="1" x14ac:dyDescent="0.3">
      <c r="A20" s="225"/>
      <c r="B20" s="225"/>
      <c r="C20" s="54" t="s">
        <v>344</v>
      </c>
    </row>
    <row r="21" spans="1:3" ht="15.75" thickBot="1" x14ac:dyDescent="0.3">
      <c r="A21" s="226"/>
      <c r="B21" s="226"/>
      <c r="C21" s="54" t="s">
        <v>348</v>
      </c>
    </row>
    <row r="22" spans="1:3" ht="15.75" thickBot="1" x14ac:dyDescent="0.3">
      <c r="A22" s="46" t="s">
        <v>222</v>
      </c>
      <c r="B22" s="54" t="s">
        <v>345</v>
      </c>
      <c r="C22" s="54" t="s">
        <v>222</v>
      </c>
    </row>
    <row r="23" spans="1:3" x14ac:dyDescent="0.25">
      <c r="A23" s="80"/>
      <c r="B23" s="80"/>
      <c r="C23" s="80"/>
    </row>
    <row r="24" spans="1:3" ht="45.75" customHeight="1" x14ac:dyDescent="0.25">
      <c r="A24" s="220" t="s">
        <v>349</v>
      </c>
      <c r="B24" s="221"/>
      <c r="C24" s="221"/>
    </row>
    <row r="25" spans="1:3" ht="16.5" thickBot="1" x14ac:dyDescent="0.3">
      <c r="A25" s="77"/>
      <c r="B25"/>
      <c r="C25"/>
    </row>
    <row r="26" spans="1:3" ht="15.75" thickBot="1" x14ac:dyDescent="0.3">
      <c r="A26" s="74" t="s">
        <v>226</v>
      </c>
      <c r="B26" s="75" t="s">
        <v>323</v>
      </c>
      <c r="C26" s="75" t="s">
        <v>324</v>
      </c>
    </row>
    <row r="27" spans="1:3" ht="15.75" thickBot="1" x14ac:dyDescent="0.3">
      <c r="A27" s="224" t="s">
        <v>145</v>
      </c>
      <c r="B27" s="224" t="s">
        <v>350</v>
      </c>
      <c r="C27" s="54" t="s">
        <v>351</v>
      </c>
    </row>
    <row r="28" spans="1:3" ht="15.75" thickBot="1" x14ac:dyDescent="0.3">
      <c r="A28" s="225"/>
      <c r="B28" s="225"/>
      <c r="C28" s="54" t="s">
        <v>352</v>
      </c>
    </row>
    <row r="29" spans="1:3" ht="15.75" thickBot="1" x14ac:dyDescent="0.3">
      <c r="A29" s="225"/>
      <c r="B29" s="225"/>
      <c r="C29" s="54" t="s">
        <v>353</v>
      </c>
    </row>
    <row r="30" spans="1:3" ht="15.75" thickBot="1" x14ac:dyDescent="0.3">
      <c r="A30" s="225"/>
      <c r="B30" s="225"/>
      <c r="C30" s="54" t="s">
        <v>28</v>
      </c>
    </row>
    <row r="31" spans="1:3" ht="15.75" thickBot="1" x14ac:dyDescent="0.3">
      <c r="A31" s="225"/>
      <c r="B31" s="225"/>
      <c r="C31" s="54" t="s">
        <v>26</v>
      </c>
    </row>
    <row r="32" spans="1:3" ht="15.75" thickBot="1" x14ac:dyDescent="0.3">
      <c r="A32" s="226"/>
      <c r="B32" s="226"/>
      <c r="C32" s="54" t="s">
        <v>354</v>
      </c>
    </row>
    <row r="33" spans="1:3" ht="15.75" x14ac:dyDescent="0.25">
      <c r="A33" s="77"/>
      <c r="B33"/>
      <c r="C33"/>
    </row>
    <row r="34" spans="1:3" ht="42" customHeight="1" x14ac:dyDescent="0.25">
      <c r="A34" s="220" t="s">
        <v>355</v>
      </c>
      <c r="B34" s="221"/>
      <c r="C34" s="221"/>
    </row>
    <row r="35" spans="1:3" ht="15.75" thickBot="1" x14ac:dyDescent="0.3">
      <c r="A35" s="44"/>
      <c r="B35"/>
      <c r="C35"/>
    </row>
    <row r="36" spans="1:3" ht="15.75" thickBot="1" x14ac:dyDescent="0.3">
      <c r="A36" s="74" t="s">
        <v>226</v>
      </c>
      <c r="B36" s="75" t="s">
        <v>323</v>
      </c>
      <c r="C36" s="75" t="s">
        <v>324</v>
      </c>
    </row>
    <row r="37" spans="1:3" ht="30.75" thickBot="1" x14ac:dyDescent="0.3">
      <c r="A37" s="46" t="s">
        <v>53</v>
      </c>
      <c r="B37" s="54" t="s">
        <v>356</v>
      </c>
      <c r="C37" s="54" t="s">
        <v>53</v>
      </c>
    </row>
    <row r="38" spans="1:3" ht="75" x14ac:dyDescent="0.25">
      <c r="A38" s="224" t="s">
        <v>64</v>
      </c>
      <c r="B38" s="76" t="s">
        <v>357</v>
      </c>
      <c r="C38" s="224" t="s">
        <v>64</v>
      </c>
    </row>
    <row r="39" spans="1:3" ht="30" x14ac:dyDescent="0.25">
      <c r="A39" s="225"/>
      <c r="B39" s="76" t="s">
        <v>358</v>
      </c>
      <c r="C39" s="225"/>
    </row>
    <row r="40" spans="1:3" ht="30" x14ac:dyDescent="0.25">
      <c r="A40" s="225"/>
      <c r="B40" s="76" t="s">
        <v>359</v>
      </c>
      <c r="C40" s="225"/>
    </row>
    <row r="41" spans="1:3" x14ac:dyDescent="0.25">
      <c r="A41" s="225"/>
      <c r="B41" s="76" t="s">
        <v>360</v>
      </c>
      <c r="C41" s="225"/>
    </row>
    <row r="42" spans="1:3" ht="15.75" thickBot="1" x14ac:dyDescent="0.3">
      <c r="A42" s="226"/>
      <c r="B42" s="54" t="s">
        <v>361</v>
      </c>
      <c r="C42" s="226"/>
    </row>
    <row r="43" spans="1:3" ht="135.75" thickBot="1" x14ac:dyDescent="0.3">
      <c r="A43" s="46" t="s">
        <v>56</v>
      </c>
      <c r="B43" s="54" t="s">
        <v>362</v>
      </c>
      <c r="C43" s="54" t="s">
        <v>56</v>
      </c>
    </row>
    <row r="44" spans="1:3" ht="75.75" thickBot="1" x14ac:dyDescent="0.3">
      <c r="A44" s="46" t="s">
        <v>138</v>
      </c>
      <c r="B44" s="54" t="s">
        <v>363</v>
      </c>
      <c r="C44" s="54" t="s">
        <v>138</v>
      </c>
    </row>
    <row r="45" spans="1:3" ht="15.75" thickBot="1" x14ac:dyDescent="0.3">
      <c r="A45" s="224" t="s">
        <v>57</v>
      </c>
      <c r="B45" s="224" t="s">
        <v>364</v>
      </c>
      <c r="C45" s="54" t="s">
        <v>365</v>
      </c>
    </row>
    <row r="46" spans="1:3" ht="15.75" thickBot="1" x14ac:dyDescent="0.3">
      <c r="A46" s="225"/>
      <c r="B46" s="225"/>
      <c r="C46" s="54" t="s">
        <v>338</v>
      </c>
    </row>
    <row r="47" spans="1:3" ht="15.75" thickBot="1" x14ac:dyDescent="0.3">
      <c r="A47" s="225"/>
      <c r="B47" s="225"/>
      <c r="C47" s="54" t="s">
        <v>333</v>
      </c>
    </row>
    <row r="48" spans="1:3" ht="15.75" thickBot="1" x14ac:dyDescent="0.3">
      <c r="A48" s="225"/>
      <c r="B48" s="225"/>
      <c r="C48" s="54" t="s">
        <v>366</v>
      </c>
    </row>
    <row r="49" spans="1:3" ht="15.75" thickBot="1" x14ac:dyDescent="0.3">
      <c r="A49" s="226"/>
      <c r="B49" s="226"/>
      <c r="C49" s="54" t="s">
        <v>367</v>
      </c>
    </row>
    <row r="50" spans="1:3" ht="60.75" thickBot="1" x14ac:dyDescent="0.3">
      <c r="A50" s="46" t="s">
        <v>55</v>
      </c>
      <c r="B50" s="54" t="s">
        <v>368</v>
      </c>
      <c r="C50" s="54" t="s">
        <v>55</v>
      </c>
    </row>
    <row r="51" spans="1:3" ht="30" x14ac:dyDescent="0.25">
      <c r="A51" s="224" t="s">
        <v>52</v>
      </c>
      <c r="B51" s="76" t="s">
        <v>369</v>
      </c>
      <c r="C51" s="224" t="s">
        <v>52</v>
      </c>
    </row>
    <row r="52" spans="1:3" ht="45.75" thickBot="1" x14ac:dyDescent="0.3">
      <c r="A52" s="226"/>
      <c r="B52" s="54" t="s">
        <v>370</v>
      </c>
      <c r="C52" s="226"/>
    </row>
    <row r="53" spans="1:3" ht="45.75" thickBot="1" x14ac:dyDescent="0.3">
      <c r="A53" s="46" t="s">
        <v>18</v>
      </c>
      <c r="B53" s="54" t="s">
        <v>371</v>
      </c>
      <c r="C53" s="54" t="s">
        <v>18</v>
      </c>
    </row>
    <row r="54" spans="1:3" ht="30.75" thickBot="1" x14ac:dyDescent="0.3">
      <c r="A54" s="46" t="s">
        <v>144</v>
      </c>
      <c r="B54" s="54" t="s">
        <v>372</v>
      </c>
      <c r="C54" s="54" t="s">
        <v>373</v>
      </c>
    </row>
    <row r="55" spans="1:3" ht="15.75" x14ac:dyDescent="0.25">
      <c r="A55" s="77"/>
      <c r="B55"/>
      <c r="C55"/>
    </row>
    <row r="56" spans="1:3" ht="39" customHeight="1" x14ac:dyDescent="0.25">
      <c r="A56" s="220" t="s">
        <v>374</v>
      </c>
      <c r="B56" s="221"/>
      <c r="C56" s="221"/>
    </row>
    <row r="57" spans="1:3" ht="16.5" thickBot="1" x14ac:dyDescent="0.3">
      <c r="A57" s="77"/>
      <c r="B57"/>
      <c r="C57"/>
    </row>
    <row r="58" spans="1:3" ht="15.75" thickBot="1" x14ac:dyDescent="0.3">
      <c r="A58" s="74" t="s">
        <v>226</v>
      </c>
      <c r="B58" s="75" t="s">
        <v>323</v>
      </c>
      <c r="C58" s="75" t="s">
        <v>324</v>
      </c>
    </row>
    <row r="59" spans="1:3" ht="15.75" thickBot="1" x14ac:dyDescent="0.3">
      <c r="A59" s="46" t="s">
        <v>158</v>
      </c>
      <c r="B59" s="54" t="s">
        <v>375</v>
      </c>
      <c r="C59" s="54" t="s">
        <v>376</v>
      </c>
    </row>
    <row r="60" spans="1:3" ht="30" x14ac:dyDescent="0.25">
      <c r="A60" s="224" t="s">
        <v>45</v>
      </c>
      <c r="B60" s="76" t="s">
        <v>377</v>
      </c>
      <c r="C60" s="224" t="s">
        <v>383</v>
      </c>
    </row>
    <row r="61" spans="1:3" x14ac:dyDescent="0.25">
      <c r="A61" s="225"/>
      <c r="B61" s="76" t="s">
        <v>378</v>
      </c>
      <c r="C61" s="225"/>
    </row>
    <row r="62" spans="1:3" x14ac:dyDescent="0.25">
      <c r="A62" s="225"/>
      <c r="B62" s="76" t="s">
        <v>379</v>
      </c>
      <c r="C62" s="225"/>
    </row>
    <row r="63" spans="1:3" ht="15.75" thickBot="1" x14ac:dyDescent="0.3">
      <c r="A63" s="225"/>
      <c r="B63" s="76" t="s">
        <v>380</v>
      </c>
      <c r="C63" s="226"/>
    </row>
    <row r="64" spans="1:3" ht="15.75" thickBot="1" x14ac:dyDescent="0.3">
      <c r="A64" s="225"/>
      <c r="B64" s="76" t="s">
        <v>381</v>
      </c>
      <c r="C64" s="54" t="s">
        <v>384</v>
      </c>
    </row>
    <row r="65" spans="1:3" ht="30.75" thickBot="1" x14ac:dyDescent="0.3">
      <c r="A65" s="225"/>
      <c r="B65" s="76" t="s">
        <v>382</v>
      </c>
      <c r="C65" s="54" t="s">
        <v>385</v>
      </c>
    </row>
    <row r="66" spans="1:3" ht="75.75" thickBot="1" x14ac:dyDescent="0.3">
      <c r="A66" s="226"/>
      <c r="B66" s="54" t="s">
        <v>543</v>
      </c>
      <c r="C66" s="54" t="s">
        <v>386</v>
      </c>
    </row>
    <row r="67" spans="1:3" ht="90.75" thickBot="1" x14ac:dyDescent="0.3">
      <c r="A67" s="46" t="s">
        <v>48</v>
      </c>
      <c r="B67" s="54" t="s">
        <v>387</v>
      </c>
      <c r="C67" s="54" t="s">
        <v>48</v>
      </c>
    </row>
    <row r="68" spans="1:3" ht="30.75" thickBot="1" x14ac:dyDescent="0.3">
      <c r="A68" s="46" t="s">
        <v>163</v>
      </c>
      <c r="B68" s="54" t="s">
        <v>388</v>
      </c>
      <c r="C68" s="54" t="s">
        <v>163</v>
      </c>
    </row>
    <row r="69" spans="1:3" ht="15.75" thickBot="1" x14ac:dyDescent="0.3">
      <c r="A69" s="224" t="s">
        <v>46</v>
      </c>
      <c r="B69" s="76" t="s">
        <v>389</v>
      </c>
      <c r="C69" s="54" t="s">
        <v>391</v>
      </c>
    </row>
    <row r="70" spans="1:3" ht="90.75" thickBot="1" x14ac:dyDescent="0.3">
      <c r="A70" s="226"/>
      <c r="B70" s="54" t="s">
        <v>390</v>
      </c>
      <c r="C70" s="54" t="s">
        <v>392</v>
      </c>
    </row>
    <row r="71" spans="1:3" ht="15.75" x14ac:dyDescent="0.25">
      <c r="A71" s="77"/>
      <c r="B71"/>
      <c r="C71"/>
    </row>
    <row r="72" spans="1:3" ht="53.25" customHeight="1" x14ac:dyDescent="0.25">
      <c r="A72" s="220" t="s">
        <v>393</v>
      </c>
      <c r="B72" s="221"/>
      <c r="C72" s="221"/>
    </row>
    <row r="73" spans="1:3" ht="16.5" thickBot="1" x14ac:dyDescent="0.3">
      <c r="A73" s="77"/>
      <c r="B73"/>
      <c r="C73"/>
    </row>
    <row r="74" spans="1:3" ht="15.75" thickBot="1" x14ac:dyDescent="0.3">
      <c r="A74" s="74" t="s">
        <v>226</v>
      </c>
      <c r="B74" s="78" t="s">
        <v>323</v>
      </c>
      <c r="C74" s="75" t="s">
        <v>324</v>
      </c>
    </row>
    <row r="75" spans="1:3" ht="15.75" thickBot="1" x14ac:dyDescent="0.3">
      <c r="A75" s="224" t="s">
        <v>49</v>
      </c>
      <c r="B75" s="227" t="s">
        <v>394</v>
      </c>
      <c r="C75" s="54" t="s">
        <v>395</v>
      </c>
    </row>
    <row r="76" spans="1:3" ht="15.75" thickBot="1" x14ac:dyDescent="0.3">
      <c r="A76" s="225"/>
      <c r="B76" s="228"/>
      <c r="C76" s="54" t="s">
        <v>396</v>
      </c>
    </row>
    <row r="77" spans="1:3" ht="15.75" thickBot="1" x14ac:dyDescent="0.3">
      <c r="A77" s="225"/>
      <c r="B77" s="228"/>
      <c r="C77" s="54" t="s">
        <v>10</v>
      </c>
    </row>
    <row r="78" spans="1:3" ht="15.75" thickBot="1" x14ac:dyDescent="0.3">
      <c r="A78" s="226"/>
      <c r="B78" s="229"/>
      <c r="C78" s="54" t="s">
        <v>397</v>
      </c>
    </row>
    <row r="79" spans="1:3" ht="15.75" thickBot="1" x14ac:dyDescent="0.3">
      <c r="A79" s="224" t="s">
        <v>50</v>
      </c>
      <c r="B79" s="227" t="s">
        <v>398</v>
      </c>
      <c r="C79" s="54" t="s">
        <v>399</v>
      </c>
    </row>
    <row r="80" spans="1:3" ht="15.75" thickBot="1" x14ac:dyDescent="0.3">
      <c r="A80" s="225"/>
      <c r="B80" s="228"/>
      <c r="C80" s="54" t="s">
        <v>400</v>
      </c>
    </row>
    <row r="81" spans="1:3" ht="15.75" thickBot="1" x14ac:dyDescent="0.3">
      <c r="A81" s="226"/>
      <c r="B81" s="229"/>
      <c r="C81" s="54" t="s">
        <v>329</v>
      </c>
    </row>
    <row r="82" spans="1:3" ht="15.75" thickBot="1" x14ac:dyDescent="0.3">
      <c r="A82" s="224" t="s">
        <v>16</v>
      </c>
      <c r="B82" s="227" t="s">
        <v>401</v>
      </c>
      <c r="C82" s="54" t="s">
        <v>402</v>
      </c>
    </row>
    <row r="83" spans="1:3" ht="15.75" thickBot="1" x14ac:dyDescent="0.3">
      <c r="A83" s="225"/>
      <c r="B83" s="228"/>
      <c r="C83" s="54" t="s">
        <v>403</v>
      </c>
    </row>
    <row r="84" spans="1:3" ht="15.75" thickBot="1" x14ac:dyDescent="0.3">
      <c r="A84" s="225"/>
      <c r="B84" s="228"/>
      <c r="C84" s="54" t="s">
        <v>404</v>
      </c>
    </row>
    <row r="85" spans="1:3" ht="15.75" thickBot="1" x14ac:dyDescent="0.3">
      <c r="A85" s="226"/>
      <c r="B85" s="229"/>
      <c r="C85" s="54" t="s">
        <v>405</v>
      </c>
    </row>
    <row r="86" spans="1:3" ht="15.75" x14ac:dyDescent="0.25">
      <c r="A86" s="77"/>
      <c r="B86"/>
      <c r="C86"/>
    </row>
    <row r="87" spans="1:3" ht="22.5" customHeight="1" x14ac:dyDescent="0.25">
      <c r="A87" s="220" t="s">
        <v>406</v>
      </c>
      <c r="B87" s="221"/>
      <c r="C87" s="221"/>
    </row>
    <row r="88" spans="1:3" ht="16.5" thickBot="1" x14ac:dyDescent="0.3">
      <c r="A88" s="77"/>
      <c r="B88"/>
      <c r="C88"/>
    </row>
    <row r="89" spans="1:3" ht="15.75" thickBot="1" x14ac:dyDescent="0.3">
      <c r="A89" s="74" t="s">
        <v>226</v>
      </c>
      <c r="B89" s="75" t="s">
        <v>323</v>
      </c>
      <c r="C89" s="75" t="s">
        <v>324</v>
      </c>
    </row>
    <row r="90" spans="1:3" ht="30.75" thickBot="1" x14ac:dyDescent="0.3">
      <c r="A90" s="224" t="s">
        <v>30</v>
      </c>
      <c r="B90" s="224" t="s">
        <v>407</v>
      </c>
      <c r="C90" s="54" t="s">
        <v>408</v>
      </c>
    </row>
    <row r="91" spans="1:3" ht="15.75" thickBot="1" x14ac:dyDescent="0.3">
      <c r="A91" s="225"/>
      <c r="B91" s="225"/>
      <c r="C91" s="54" t="s">
        <v>409</v>
      </c>
    </row>
    <row r="92" spans="1:3" ht="15.75" thickBot="1" x14ac:dyDescent="0.3">
      <c r="A92" s="225"/>
      <c r="B92" s="225"/>
      <c r="C92" s="54" t="s">
        <v>410</v>
      </c>
    </row>
    <row r="93" spans="1:3" ht="15.75" thickBot="1" x14ac:dyDescent="0.3">
      <c r="A93" s="225"/>
      <c r="B93" s="225"/>
      <c r="C93" s="54" t="s">
        <v>411</v>
      </c>
    </row>
    <row r="94" spans="1:3" ht="15.75" thickBot="1" x14ac:dyDescent="0.3">
      <c r="A94" s="226"/>
      <c r="B94" s="226"/>
      <c r="C94" s="54" t="s">
        <v>412</v>
      </c>
    </row>
    <row r="95" spans="1:3" ht="15.75" thickBot="1" x14ac:dyDescent="0.3">
      <c r="A95" s="224" t="s">
        <v>32</v>
      </c>
      <c r="B95" s="224" t="s">
        <v>413</v>
      </c>
      <c r="C95" s="54" t="s">
        <v>414</v>
      </c>
    </row>
    <row r="96" spans="1:3" ht="15.75" thickBot="1" x14ac:dyDescent="0.3">
      <c r="A96" s="225"/>
      <c r="B96" s="225"/>
      <c r="C96" s="54" t="s">
        <v>415</v>
      </c>
    </row>
    <row r="97" spans="1:3" ht="15.75" thickBot="1" x14ac:dyDescent="0.3">
      <c r="A97" s="225"/>
      <c r="B97" s="225"/>
      <c r="C97" s="79" t="s">
        <v>416</v>
      </c>
    </row>
    <row r="98" spans="1:3" ht="15.75" thickBot="1" x14ac:dyDescent="0.3">
      <c r="A98" s="226"/>
      <c r="B98" s="226"/>
      <c r="C98" s="54" t="s">
        <v>417</v>
      </c>
    </row>
    <row r="99" spans="1:3" ht="15.75" thickBot="1" x14ac:dyDescent="0.3">
      <c r="A99" s="224" t="s">
        <v>34</v>
      </c>
      <c r="B99" s="224" t="s">
        <v>418</v>
      </c>
      <c r="C99" s="54" t="s">
        <v>419</v>
      </c>
    </row>
    <row r="100" spans="1:3" ht="27" customHeight="1" thickBot="1" x14ac:dyDescent="0.3">
      <c r="A100" s="225"/>
      <c r="B100" s="225"/>
      <c r="C100" s="54" t="s">
        <v>420</v>
      </c>
    </row>
    <row r="101" spans="1:3" ht="40.5" customHeight="1" thickBot="1" x14ac:dyDescent="0.3">
      <c r="A101" s="226"/>
      <c r="B101" s="226"/>
      <c r="C101" s="54" t="s">
        <v>421</v>
      </c>
    </row>
    <row r="102" spans="1:3" ht="45.75" thickBot="1" x14ac:dyDescent="0.3">
      <c r="A102" s="224" t="s">
        <v>38</v>
      </c>
      <c r="B102" s="224" t="s">
        <v>422</v>
      </c>
      <c r="C102" s="54" t="s">
        <v>423</v>
      </c>
    </row>
    <row r="103" spans="1:3" ht="15.75" thickBot="1" x14ac:dyDescent="0.3">
      <c r="A103" s="225"/>
      <c r="B103" s="225"/>
      <c r="C103" s="54" t="s">
        <v>424</v>
      </c>
    </row>
    <row r="104" spans="1:3" ht="30.75" thickBot="1" x14ac:dyDescent="0.3">
      <c r="A104" s="225"/>
      <c r="B104" s="225"/>
      <c r="C104" s="54" t="s">
        <v>425</v>
      </c>
    </row>
    <row r="105" spans="1:3" ht="15.75" thickBot="1" x14ac:dyDescent="0.3">
      <c r="A105" s="225"/>
      <c r="B105" s="225"/>
      <c r="C105" s="54" t="s">
        <v>426</v>
      </c>
    </row>
    <row r="106" spans="1:3" ht="15.75" thickBot="1" x14ac:dyDescent="0.3">
      <c r="A106" s="225"/>
      <c r="B106" s="225"/>
      <c r="C106" s="54" t="s">
        <v>427</v>
      </c>
    </row>
    <row r="107" spans="1:3" ht="15.75" thickBot="1" x14ac:dyDescent="0.3">
      <c r="A107" s="225"/>
      <c r="B107" s="225"/>
      <c r="C107" s="54" t="s">
        <v>428</v>
      </c>
    </row>
    <row r="108" spans="1:3" ht="15.75" thickBot="1" x14ac:dyDescent="0.3">
      <c r="A108" s="225"/>
      <c r="B108" s="225"/>
      <c r="C108" s="54" t="s">
        <v>429</v>
      </c>
    </row>
    <row r="109" spans="1:3" ht="30.75" thickBot="1" x14ac:dyDescent="0.3">
      <c r="A109" s="226"/>
      <c r="B109" s="226"/>
      <c r="C109" s="54" t="s">
        <v>430</v>
      </c>
    </row>
    <row r="110" spans="1:3" ht="15.75" thickBot="1" x14ac:dyDescent="0.3">
      <c r="A110" s="224" t="s">
        <v>37</v>
      </c>
      <c r="B110" s="224" t="s">
        <v>431</v>
      </c>
      <c r="C110" s="54" t="s">
        <v>432</v>
      </c>
    </row>
    <row r="111" spans="1:3" ht="15.75" thickBot="1" x14ac:dyDescent="0.3">
      <c r="A111" s="225"/>
      <c r="B111" s="225"/>
      <c r="C111" s="54" t="s">
        <v>433</v>
      </c>
    </row>
    <row r="112" spans="1:3" ht="15.75" thickBot="1" x14ac:dyDescent="0.3">
      <c r="A112" s="226"/>
      <c r="B112" s="226"/>
      <c r="C112" s="54" t="s">
        <v>434</v>
      </c>
    </row>
    <row r="113" spans="1:3" ht="15.75" thickBot="1" x14ac:dyDescent="0.3">
      <c r="A113" s="224" t="s">
        <v>39</v>
      </c>
      <c r="B113" s="224" t="s">
        <v>435</v>
      </c>
      <c r="C113" s="54" t="s">
        <v>436</v>
      </c>
    </row>
    <row r="114" spans="1:3" ht="15.75" thickBot="1" x14ac:dyDescent="0.3">
      <c r="A114" s="225"/>
      <c r="B114" s="225"/>
      <c r="C114" s="54" t="s">
        <v>437</v>
      </c>
    </row>
    <row r="115" spans="1:3" ht="15.75" thickBot="1" x14ac:dyDescent="0.3">
      <c r="A115" s="225"/>
      <c r="B115" s="225"/>
      <c r="C115" s="54" t="s">
        <v>438</v>
      </c>
    </row>
    <row r="116" spans="1:3" ht="15.75" thickBot="1" x14ac:dyDescent="0.3">
      <c r="A116" s="226"/>
      <c r="B116" s="226"/>
      <c r="C116" s="54" t="s">
        <v>439</v>
      </c>
    </row>
    <row r="117" spans="1:3" ht="15.75" thickBot="1" x14ac:dyDescent="0.3">
      <c r="A117" s="224" t="s">
        <v>33</v>
      </c>
      <c r="B117" s="224" t="s">
        <v>440</v>
      </c>
      <c r="C117" s="54" t="s">
        <v>441</v>
      </c>
    </row>
    <row r="118" spans="1:3" ht="15.75" thickBot="1" x14ac:dyDescent="0.3">
      <c r="A118" s="225"/>
      <c r="B118" s="225"/>
      <c r="C118" s="54" t="s">
        <v>442</v>
      </c>
    </row>
    <row r="119" spans="1:3" ht="15.75" thickBot="1" x14ac:dyDescent="0.3">
      <c r="A119" s="225"/>
      <c r="B119" s="225"/>
      <c r="C119" s="54" t="s">
        <v>443</v>
      </c>
    </row>
    <row r="120" spans="1:3" ht="15.75" thickBot="1" x14ac:dyDescent="0.3">
      <c r="A120" s="225"/>
      <c r="B120" s="225"/>
      <c r="C120" s="54" t="s">
        <v>444</v>
      </c>
    </row>
    <row r="121" spans="1:3" ht="15.75" thickBot="1" x14ac:dyDescent="0.3">
      <c r="A121" s="225"/>
      <c r="B121" s="225"/>
      <c r="C121" s="54" t="s">
        <v>445</v>
      </c>
    </row>
    <row r="122" spans="1:3" x14ac:dyDescent="0.25">
      <c r="A122" s="225"/>
      <c r="B122" s="225"/>
      <c r="C122" s="76" t="s">
        <v>446</v>
      </c>
    </row>
    <row r="123" spans="1:3" ht="15.75" thickBot="1" x14ac:dyDescent="0.3">
      <c r="A123" s="225"/>
      <c r="B123" s="225"/>
      <c r="C123" s="54" t="s">
        <v>447</v>
      </c>
    </row>
    <row r="124" spans="1:3" ht="15.75" thickBot="1" x14ac:dyDescent="0.3">
      <c r="A124" s="226"/>
      <c r="B124" s="226"/>
      <c r="C124" s="54" t="s">
        <v>448</v>
      </c>
    </row>
    <row r="125" spans="1:3" x14ac:dyDescent="0.25">
      <c r="A125" s="80"/>
      <c r="B125" s="80"/>
      <c r="C125" s="80"/>
    </row>
    <row r="126" spans="1:3" ht="50.25" customHeight="1" x14ac:dyDescent="0.25">
      <c r="A126" s="220" t="s">
        <v>449</v>
      </c>
      <c r="B126" s="221"/>
      <c r="C126" s="221"/>
    </row>
    <row r="127" spans="1:3" ht="16.5" thickBot="1" x14ac:dyDescent="0.3">
      <c r="A127" s="77"/>
      <c r="B127"/>
      <c r="C127"/>
    </row>
    <row r="128" spans="1:3" ht="15.75" thickBot="1" x14ac:dyDescent="0.3">
      <c r="A128" s="74" t="s">
        <v>226</v>
      </c>
      <c r="B128" s="75" t="s">
        <v>323</v>
      </c>
      <c r="C128" s="75" t="s">
        <v>324</v>
      </c>
    </row>
    <row r="129" spans="1:3" ht="15.75" thickBot="1" x14ac:dyDescent="0.3">
      <c r="A129" s="224" t="s">
        <v>60</v>
      </c>
      <c r="B129" s="224" t="s">
        <v>450</v>
      </c>
      <c r="C129" s="54" t="s">
        <v>451</v>
      </c>
    </row>
    <row r="130" spans="1:3" ht="15.75" thickBot="1" x14ac:dyDescent="0.3">
      <c r="A130" s="225"/>
      <c r="B130" s="225"/>
      <c r="C130" s="54" t="s">
        <v>452</v>
      </c>
    </row>
    <row r="131" spans="1:3" ht="15.75" thickBot="1" x14ac:dyDescent="0.3">
      <c r="A131" s="225"/>
      <c r="B131" s="225"/>
      <c r="C131" s="54" t="s">
        <v>453</v>
      </c>
    </row>
    <row r="132" spans="1:3" ht="15.75" thickBot="1" x14ac:dyDescent="0.3">
      <c r="A132" s="225"/>
      <c r="B132" s="225"/>
      <c r="C132" s="54" t="s">
        <v>454</v>
      </c>
    </row>
    <row r="133" spans="1:3" ht="30.75" thickBot="1" x14ac:dyDescent="0.3">
      <c r="A133" s="226"/>
      <c r="B133" s="226"/>
      <c r="C133" s="54" t="s">
        <v>455</v>
      </c>
    </row>
    <row r="134" spans="1:3" ht="15.75" thickBot="1" x14ac:dyDescent="0.3">
      <c r="A134" s="224" t="s">
        <v>62</v>
      </c>
      <c r="B134" s="224" t="s">
        <v>456</v>
      </c>
      <c r="C134" s="54" t="s">
        <v>457</v>
      </c>
    </row>
    <row r="135" spans="1:3" ht="15.75" thickBot="1" x14ac:dyDescent="0.3">
      <c r="A135" s="225"/>
      <c r="B135" s="225"/>
      <c r="C135" s="54" t="s">
        <v>458</v>
      </c>
    </row>
    <row r="136" spans="1:3" ht="15.75" thickBot="1" x14ac:dyDescent="0.3">
      <c r="A136" s="225"/>
      <c r="B136" s="225"/>
      <c r="C136" s="54" t="s">
        <v>459</v>
      </c>
    </row>
    <row r="137" spans="1:3" ht="15.75" thickBot="1" x14ac:dyDescent="0.3">
      <c r="A137" s="225"/>
      <c r="B137" s="225"/>
      <c r="C137" s="54" t="s">
        <v>460</v>
      </c>
    </row>
    <row r="138" spans="1:3" ht="15.75" thickBot="1" x14ac:dyDescent="0.3">
      <c r="A138" s="225"/>
      <c r="B138" s="225"/>
      <c r="C138" s="54" t="s">
        <v>461</v>
      </c>
    </row>
    <row r="139" spans="1:3" ht="15.75" thickBot="1" x14ac:dyDescent="0.3">
      <c r="A139" s="225"/>
      <c r="B139" s="225"/>
      <c r="C139" s="54" t="s">
        <v>462</v>
      </c>
    </row>
    <row r="140" spans="1:3" ht="15.75" thickBot="1" x14ac:dyDescent="0.3">
      <c r="A140" s="225"/>
      <c r="B140" s="225"/>
      <c r="C140" s="54" t="s">
        <v>463</v>
      </c>
    </row>
    <row r="141" spans="1:3" ht="15.75" thickBot="1" x14ac:dyDescent="0.3">
      <c r="A141" s="225"/>
      <c r="B141" s="225"/>
      <c r="C141" s="54" t="s">
        <v>464</v>
      </c>
    </row>
    <row r="142" spans="1:3" ht="15.75" thickBot="1" x14ac:dyDescent="0.3">
      <c r="A142" s="226"/>
      <c r="B142" s="226"/>
      <c r="C142" s="54" t="s">
        <v>465</v>
      </c>
    </row>
    <row r="143" spans="1:3" ht="15.75" thickBot="1" x14ac:dyDescent="0.3">
      <c r="A143" s="224" t="s">
        <v>63</v>
      </c>
      <c r="B143" s="224" t="s">
        <v>466</v>
      </c>
      <c r="C143" s="54" t="s">
        <v>467</v>
      </c>
    </row>
    <row r="144" spans="1:3" ht="15.75" thickBot="1" x14ac:dyDescent="0.3">
      <c r="A144" s="225"/>
      <c r="B144" s="225"/>
      <c r="C144" s="54" t="s">
        <v>468</v>
      </c>
    </row>
    <row r="145" spans="1:3" ht="15.75" thickBot="1" x14ac:dyDescent="0.3">
      <c r="A145" s="225"/>
      <c r="B145" s="225"/>
      <c r="C145" s="54" t="s">
        <v>469</v>
      </c>
    </row>
    <row r="146" spans="1:3" ht="15.75" thickBot="1" x14ac:dyDescent="0.3">
      <c r="A146" s="225"/>
      <c r="B146" s="225"/>
      <c r="C146" s="54" t="s">
        <v>470</v>
      </c>
    </row>
    <row r="147" spans="1:3" ht="15.75" thickBot="1" x14ac:dyDescent="0.3">
      <c r="A147" s="225"/>
      <c r="B147" s="225"/>
      <c r="C147" s="54" t="s">
        <v>471</v>
      </c>
    </row>
    <row r="148" spans="1:3" ht="15.75" thickBot="1" x14ac:dyDescent="0.3">
      <c r="A148" s="225"/>
      <c r="B148" s="225"/>
      <c r="C148" s="54" t="s">
        <v>472</v>
      </c>
    </row>
    <row r="149" spans="1:3" ht="15.75" thickBot="1" x14ac:dyDescent="0.3">
      <c r="A149" s="225"/>
      <c r="B149" s="225"/>
      <c r="C149" s="54" t="s">
        <v>473</v>
      </c>
    </row>
    <row r="150" spans="1:3" ht="15.75" thickBot="1" x14ac:dyDescent="0.3">
      <c r="A150" s="225"/>
      <c r="B150" s="225"/>
      <c r="C150" s="54" t="s">
        <v>474</v>
      </c>
    </row>
    <row r="151" spans="1:3" ht="15.75" thickBot="1" x14ac:dyDescent="0.3">
      <c r="A151" s="226"/>
      <c r="B151" s="226"/>
      <c r="C151" s="54" t="s">
        <v>40</v>
      </c>
    </row>
    <row r="152" spans="1:3" ht="15.75" thickBot="1" x14ac:dyDescent="0.3">
      <c r="A152" s="224" t="s">
        <v>59</v>
      </c>
      <c r="B152" s="224" t="s">
        <v>475</v>
      </c>
      <c r="C152" s="54" t="s">
        <v>476</v>
      </c>
    </row>
    <row r="153" spans="1:3" ht="15.75" thickBot="1" x14ac:dyDescent="0.3">
      <c r="A153" s="225"/>
      <c r="B153" s="225"/>
      <c r="C153" s="54" t="s">
        <v>477</v>
      </c>
    </row>
    <row r="154" spans="1:3" ht="15.75" thickBot="1" x14ac:dyDescent="0.3">
      <c r="A154" s="226"/>
      <c r="B154" s="226"/>
      <c r="C154" s="54" t="s">
        <v>478</v>
      </c>
    </row>
    <row r="155" spans="1:3" ht="15.75" thickBot="1" x14ac:dyDescent="0.3">
      <c r="A155" s="224" t="s">
        <v>61</v>
      </c>
      <c r="B155" s="224" t="s">
        <v>479</v>
      </c>
      <c r="C155" s="54" t="s">
        <v>480</v>
      </c>
    </row>
    <row r="156" spans="1:3" ht="15.75" thickBot="1" x14ac:dyDescent="0.3">
      <c r="A156" s="226"/>
      <c r="B156" s="226"/>
      <c r="C156" s="54" t="s">
        <v>481</v>
      </c>
    </row>
    <row r="157" spans="1:3" ht="30.75" thickBot="1" x14ac:dyDescent="0.3">
      <c r="A157" s="46" t="s">
        <v>58</v>
      </c>
      <c r="B157" s="54" t="s">
        <v>482</v>
      </c>
      <c r="C157" s="54" t="s">
        <v>58</v>
      </c>
    </row>
    <row r="158" spans="1:3" ht="15.75" thickBot="1" x14ac:dyDescent="0.3">
      <c r="A158" s="46" t="s">
        <v>12</v>
      </c>
      <c r="B158" s="54" t="s">
        <v>483</v>
      </c>
      <c r="C158" s="54" t="s">
        <v>12</v>
      </c>
    </row>
    <row r="159" spans="1:3" ht="15.75" x14ac:dyDescent="0.25">
      <c r="A159" s="77"/>
      <c r="B159"/>
      <c r="C159"/>
    </row>
    <row r="160" spans="1:3" ht="36.75" customHeight="1" x14ac:dyDescent="0.25">
      <c r="A160" s="220" t="s">
        <v>484</v>
      </c>
      <c r="B160" s="221"/>
      <c r="C160" s="221"/>
    </row>
    <row r="161" spans="1:3" ht="16.5" thickBot="1" x14ac:dyDescent="0.3">
      <c r="A161" s="77"/>
      <c r="B161"/>
      <c r="C161"/>
    </row>
    <row r="162" spans="1:3" ht="15.75" thickBot="1" x14ac:dyDescent="0.3">
      <c r="A162" s="74" t="s">
        <v>226</v>
      </c>
      <c r="B162" s="75" t="s">
        <v>323</v>
      </c>
      <c r="C162" s="75" t="s">
        <v>324</v>
      </c>
    </row>
    <row r="163" spans="1:3" ht="30.75" thickBot="1" x14ac:dyDescent="0.3">
      <c r="A163" s="46" t="s">
        <v>44</v>
      </c>
      <c r="B163" s="54" t="s">
        <v>485</v>
      </c>
      <c r="C163" s="54" t="s">
        <v>44</v>
      </c>
    </row>
    <row r="164" spans="1:3" ht="30.75" thickBot="1" x14ac:dyDescent="0.3">
      <c r="A164" s="46" t="s">
        <v>42</v>
      </c>
      <c r="B164" s="54" t="s">
        <v>486</v>
      </c>
      <c r="C164" s="54" t="s">
        <v>42</v>
      </c>
    </row>
    <row r="165" spans="1:3" ht="15.75" thickBot="1" x14ac:dyDescent="0.3">
      <c r="A165" s="46" t="s">
        <v>41</v>
      </c>
      <c r="B165" s="54" t="s">
        <v>487</v>
      </c>
      <c r="C165" s="54" t="s">
        <v>41</v>
      </c>
    </row>
    <row r="166" spans="1:3" ht="15.75" thickBot="1" x14ac:dyDescent="0.3">
      <c r="A166" s="46" t="s">
        <v>43</v>
      </c>
      <c r="B166" s="54" t="s">
        <v>488</v>
      </c>
      <c r="C166" s="54" t="s">
        <v>43</v>
      </c>
    </row>
    <row r="167" spans="1:3" ht="30.75" thickBot="1" x14ac:dyDescent="0.3">
      <c r="A167" s="46" t="s">
        <v>40</v>
      </c>
      <c r="B167" s="54" t="s">
        <v>489</v>
      </c>
      <c r="C167" s="54" t="s">
        <v>40</v>
      </c>
    </row>
  </sheetData>
  <sheetProtection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2015-07-16T14:01:39Z</cp:lastPrinted>
  <dcterms:created xsi:type="dcterms:W3CDTF">2015-03-19T18:31:05Z</dcterms:created>
  <dcterms:modified xsi:type="dcterms:W3CDTF">2015-09-23T17:27:10Z</dcterms:modified>
</cp:coreProperties>
</file>