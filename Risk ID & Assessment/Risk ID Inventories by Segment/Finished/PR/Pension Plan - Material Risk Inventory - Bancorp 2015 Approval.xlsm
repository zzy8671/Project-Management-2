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15120" windowHeight="8325" tabRatio="973"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 sheetId="13" r:id="rId15"/>
    <sheet name="2 " sheetId="12" r:id="rId16"/>
    <sheet name="3 " sheetId="8" r:id="rId17"/>
    <sheet name="4 " sheetId="9" r:id="rId18"/>
    <sheet name="5 " sheetId="10" r:id="rId19"/>
    <sheet name="6" sheetId="11"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 '!$A$2:$C$12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 '!$A$2:$C$12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 '!$A$2:$C$12</definedName>
    <definedName name="_xlnm.Print_Area" localSheetId="43">'30'!$A$1:$C$12</definedName>
    <definedName name="_xlnm.Print_Area" localSheetId="17">'4 '!$A$2:$C$12</definedName>
    <definedName name="_xlnm.Print_Area" localSheetId="18">'5 '!$A$2:$C$12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<sst xmlns="http://schemas.openxmlformats.org/spreadsheetml/2006/main" count="1390" uniqueCount="588">
  <si>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</si>
  <si>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</si>
  <si>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</si>
  <si>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</si>
  <si>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</si>
  <si>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</si>
  <si>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</si>
  <si>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</si>
  <si>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</si>
  <si>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</si>
  <si>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</si>
  <si>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</si>
  <si>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</si>
  <si>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</si>
  <si>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</si>
  <si>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</si>
  <si>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</si>
  <si>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</si>
  <si>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</si>
  <si>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</si>
  <si>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</si>
  <si>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</si>
  <si>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</si>
  <si>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</si>
  <si>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</si>
  <si>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</si>
  <si>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</si>
  <si>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</si>
  <si>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</si>
  <si>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</si>
  <si>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</si>
  <si>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</si>
  <si>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</si>
  <si>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</si>
  <si>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</si>
  <si>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</si>
  <si>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</si>
  <si>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</si>
  <si>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</si>
  <si>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</si>
  <si>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</si>
  <si>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</si>
  <si>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</si>
  <si>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</si>
  <si>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</si>
  <si>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</si>
  <si>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</si>
  <si>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</si>
  <si>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</si>
  <si>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</si>
  <si>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</si>
  <si>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</si>
  <si>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</si>
  <si>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</si>
  <si>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</si>
  <si>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</si>
  <si>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</si>
  <si>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</si>
  <si>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</si>
  <si>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</si>
  <si>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</si>
  <si>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</si>
  <si>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</si>
  <si>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</si>
  <si>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</si>
  <si>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</si>
  <si>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</si>
  <si>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</si>
  <si>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</si>
  <si>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</si>
  <si>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</si>
  <si>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</si>
  <si>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</si>
  <si>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</si>
  <si>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</si>
  <si>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</si>
  <si>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</si>
  <si>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</si>
  <si>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</si>
  <si>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</si>
  <si>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</si>
  <si>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</si>
  <si>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</si>
  <si>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</si>
  <si>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</si>
  <si>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</si>
  <si>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</si>
  <si>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</si>
  <si>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</si>
  <si>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</si>
  <si>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</si>
  <si>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</si>
  <si>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</si>
  <si>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</si>
  <si>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</si>
  <si>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</si>
  <si>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</si>
  <si>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</si>
  <si>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</si>
  <si>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</si>
  <si>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</si>
  <si>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</si>
  <si>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</si>
  <si>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</si>
  <si>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</si>
  <si>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</si>
  <si>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</si>
  <si>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</si>
  <si>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</si>
  <si>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</si>
  <si>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</si>
  <si>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</si>
  <si>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</si>
  <si>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</si>
  <si>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</si>
  <si>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</si>
  <si>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</si>
  <si>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</si>
  <si>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</si>
  <si>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</si>
  <si>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</si>
  <si>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</si>
  <si>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</si>
  <si>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</si>
  <si>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</si>
  <si>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</si>
  <si>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</si>
  <si>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</si>
  <si>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</si>
  <si>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</si>
  <si>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</si>
  <si>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</si>
  <si>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</si>
  <si>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</si>
  <si>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</si>
  <si>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</si>
  <si>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</si>
  <si>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</si>
  <si>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</si>
  <si>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</si>
  <si>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</si>
  <si>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</si>
  <si>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</si>
  <si>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</si>
  <si>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</si>
  <si>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</si>
  <si>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</si>
  <si>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</si>
  <si>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</si>
  <si>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</si>
  <si>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</si>
  <si>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</si>
  <si>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</si>
  <si>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</si>
  <si>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</si>
  <si>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</si>
  <si>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</si>
  <si>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</si>
  <si>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</si>
  <si>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</si>
  <si>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</si>
  <si>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</si>
  <si>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</si>
  <si>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</si>
  <si>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</si>
  <si>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</si>
  <si>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</si>
  <si>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</si>
  <si>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</si>
  <si>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</si>
  <si>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</si>
  <si>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</si>
  <si>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</si>
  <si>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</si>
  <si>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</si>
  <si>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</si>
  <si>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</si>
  <si>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</si>
  <si>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</si>
  <si>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</si>
  <si>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</si>
  <si>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</si>
  <si>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</si>
  <si>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</si>
  <si>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</si>
  <si>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</si>
  <si>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</si>
  <si>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</si>
  <si>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</si>
  <si>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</si>
  <si>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</si>
  <si>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</si>
  <si>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</si>
  <si>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</si>
  <si>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</si>
  <si>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</si>
  <si>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</si>
  <si>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</si>
  <si>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</si>
  <si>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</si>
  <si>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</si>
  <si>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</si>
  <si>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</si>
  <si>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</si>
  <si>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</si>
  <si>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</si>
  <si>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</si>
  <si>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</si>
  <si>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</si>
  <si>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</si>
  <si>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</si>
  <si>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</si>
  <si>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</si>
  <si>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</si>
  <si>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</si>
  <si>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</si>
  <si>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</si>
  <si>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</si>
  <si>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</si>
  <si>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</si>
  <si>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</si>
  <si>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</si>
  <si>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</si>
  <si>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</si>
  <si>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</si>
  <si>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</si>
  <si>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</si>
  <si>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</si>
  <si>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</si>
  <si>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</si>
  <si>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</si>
  <si>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</si>
  <si>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</si>
  <si>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</si>
  <si>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</si>
  <si>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</si>
  <si>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</si>
  <si>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</si>
  <si>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</si>
  <si>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</si>
  <si>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</si>
  <si>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</si>
  <si>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</si>
  <si>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</si>
  <si>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</si>
  <si>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</si>
  <si>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</si>
  <si>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</si>
  <si>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</si>
  <si>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</si>
  <si>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</si>
  <si>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</si>
  <si>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</si>
  <si>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</si>
  <si>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</si>
  <si>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</si>
  <si>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</si>
  <si>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</si>
  <si>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</si>
  <si>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</si>
  <si>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</si>
  <si>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</si>
  <si>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</si>
  <si>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</si>
  <si>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</si>
  <si>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</si>
  <si>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</si>
  <si>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</si>
  <si>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</si>
  <si>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</si>
  <si>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</si>
  <si>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</si>
  <si>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</si>
  <si>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</si>
  <si>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</si>
  <si>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</si>
  <si>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</si>
  <si>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</si>
  <si>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</si>
  <si>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</si>
  <si>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</si>
  <si>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</si>
  <si>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</si>
  <si>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</si>
  <si>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</si>
  <si>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</si>
  <si>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</si>
  <si>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</si>
  <si>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</si>
  <si>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</si>
  <si>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</si>
  <si>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</si>
  <si>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</si>
  <si>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</si>
  <si>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</si>
  <si>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</si>
  <si>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</si>
  <si>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</si>
  <si>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</si>
  <si>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</si>
  <si>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</si>
  <si>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</si>
  <si>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</si>
  <si>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</si>
  <si>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</si>
  <si>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</si>
  <si>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</si>
  <si>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</si>
  <si>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</si>
  <si>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</si>
  <si>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</si>
  <si>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</si>
  <si>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</si>
  <si>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</si>
  <si>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</si>
  <si>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</si>
  <si>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</si>
  <si>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</si>
  <si>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</si>
  <si>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</si>
  <si>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</si>
  <si>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</si>
  <si>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</si>
  <si>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</si>
  <si>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</si>
  <si>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</si>
  <si>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</si>
  <si>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</si>
  <si>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</si>
  <si>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</si>
  <si>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</si>
  <si>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</si>
  <si>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</si>
  <si>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</si>
  <si>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</si>
  <si>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</si>
  <si>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</si>
  <si>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</si>
  <si>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</si>
  <si>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</si>
  <si>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</si>
  <si>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</si>
  <si>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</si>
  <si>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</si>
  <si>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</si>
  <si>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</si>
  <si>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</si>
  <si>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</si>
  <si>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</si>
  <si>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</si>
  <si>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</si>
  <si>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</si>
  <si>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</si>
  <si>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</si>
  <si>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</si>
  <si>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</si>
  <si>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</si>
  <si>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</si>
  <si>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</si>
  <si>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</si>
  <si>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</si>
  <si>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</si>
  <si>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</si>
  <si>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</si>
  <si>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</si>
  <si>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</si>
  <si>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</si>
  <si>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</si>
  <si>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</si>
  <si>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</si>
  <si>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</si>
  <si>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</si>
  <si>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</si>
  <si>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</si>
  <si>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</si>
  <si>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</si>
  <si>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</si>
  <si>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</si>
  <si>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</si>
  <si>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</si>
  <si>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</si>
  <si>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</si>
  <si>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</si>
  <si>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</si>
  <si>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</si>
  <si>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</si>
  <si>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</si>
  <si>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</si>
  <si>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</si>
  <si>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</si>
  <si>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</si>
  <si>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</si>
  <si>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</si>
  <si>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</si>
  <si>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</si>
  <si>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</si>
  <si>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</si>
  <si>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</si>
  <si>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</si>
  <si>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</si>
  <si>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</si>
  <si>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</si>
  <si>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</si>
  <si>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</si>
  <si>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</si>
  <si>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</si>
  <si>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</si>
  <si>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</si>
  <si>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</si>
  <si>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</si>
  <si>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</si>
  <si>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</si>
  <si>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</si>
  <si>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</si>
  <si>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</si>
  <si>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</si>
  <si>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</si>
  <si>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</si>
  <si>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</si>
  <si>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</si>
  <si>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</si>
  <si>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</si>
  <si>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</si>
  <si>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</si>
  <si>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</si>
  <si>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</si>
  <si>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</si>
  <si>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</si>
  <si>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</si>
  <si>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</si>
  <si>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</si>
  <si>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</si>
  <si>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</si>
  <si>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</si>
  <si>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</si>
  <si>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</si>
  <si>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</si>
  <si>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</si>
  <si>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</si>
  <si>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</si>
  <si>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</si>
  <si>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</si>
  <si>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</si>
  <si>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</si>
  <si>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</si>
  <si>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</si>
  <si>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</si>
  <si>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</si>
  <si>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</si>
  <si>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</si>
  <si>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</si>
  <si>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</si>
  <si>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</si>
  <si>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</si>
  <si>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</si>
  <si>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</si>
  <si>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</si>
  <si>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</si>
  <si>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</si>
  <si>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</si>
  <si>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</si>
  <si>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</si>
  <si>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</si>
  <si>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</si>
  <si>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</si>
  <si>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</si>
  <si>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</si>
  <si>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</si>
  <si>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</si>
  <si>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</si>
  <si>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</si>
  <si>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</si>
  <si>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</si>
  <si>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</si>
  <si>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</si>
  <si>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</si>
  <si>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</si>
  <si>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</si>
  <si>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</si>
  <si>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</si>
  <si>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</si>
  <si>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</si>
  <si>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</si>
  <si>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</si>
  <si>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</si>
  <si>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</si>
  <si>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</si>
  <si>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</si>
  <si>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</si>
  <si>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</si>
  <si>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</si>
  <si>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</si>
  <si>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</si>
  <si>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</si>
  <si>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</si>
  <si>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</si>
  <si>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</si>
  <si>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</si>
  <si>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</si>
  <si>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</si>
  <si>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[Summary overview on New products/Services. Enter here if applicable, to create a Carriage Return hold down the [ALT]+[RETURN]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</si>
  <si>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</si>
  <si>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</si>
  <si>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</si>
  <si>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</si>
  <si>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</si>
  <si>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</si>
  <si>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</si>
  <si>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</si>
  <si>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</si>
  <si>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</si>
  <si>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</si>
  <si>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</si>
  <si>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</si>
  <si>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</si>
  <si>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</si>
  <si>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</si>
  <si>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</si>
  <si>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</si>
  <si>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</si>
  <si>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</si>
  <si>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</si>
  <si>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</si>
  <si>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</si>
  <si>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</si>
  <si>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</si>
  <si>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</si>
  <si>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</si>
  <si>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</si>
  <si>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</si>
  <si>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</si>
  <si>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</si>
  <si>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</si>
  <si>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</si>
  <si>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</si>
  <si>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</si>
  <si>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</si>
  <si>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</si>
  <si>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</si>
  <si>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Pension Plan</t>
  </si>
  <si>
    <t>Criselyris Melendez</t>
  </si>
  <si>
    <t>Failure to comply with regulatory requirements</t>
  </si>
  <si>
    <t xml:space="preserve">The financial impact analysis is based on potential monetary compensation, fines and penalties in case of non-compliance with regulatory requirements. </t>
  </si>
  <si>
    <t>Internal Fraud during the ordinary course of operations</t>
  </si>
  <si>
    <t>Plan Asset Devaluation</t>
  </si>
  <si>
    <t>Plan assets valuations, Sound Investment Policy and Pension Plan Committee oversight, scenario analysis</t>
  </si>
  <si>
    <t>For defined benefit (DB) plans, changes in market may affect the value of the assets and discount rate, which in turn will affect the projected benefit obligation (PBO), affecting funding status of the plan and increasing employer contributions/liabilities to the plans to comply with Title IV Employee Retirement Income Security Act (ERISA) regulations.  Market fluctuation may occur that may affect the value of plan assets impacting the Bank's capital.  Plan asset valuations affecting capital are performed annually.
The controls include the following: 
- Plan assets valuations affecting capital are performed annually. 
- Sound Investment Policy 
- Scenario analysis
- Pension Plan Committee oversight to ensure compliance with policy.  Pension Plan Committee meets quarterly to ensure investments performance and diversification are in line with policy and there are no significant changes in assets' values.</t>
  </si>
  <si>
    <t>Misleading Financial Information</t>
  </si>
  <si>
    <t xml:space="preserve">The financial impact analysis is based on potential losses (in stressed conditions) this risk may have to the Line of Business.  </t>
  </si>
  <si>
    <t>N/A</t>
  </si>
  <si>
    <t xml:space="preserve">In order to identify, assess and consider the material risks that may have an impact on the Bank (losses as well as opportunity costs), the Line of Business engaged the services of actuaries to perform the actuarial valuation of the plans, which also help identify risks and opportunity costs related with the obligations under the Plans.  The Line of Business  also reviewed audit &amp; regulatory findings.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</si>
  <si>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Defined benefit plans are frozen both for participation and accrual of benefits.  The objective is to maintain compliance with applicable laws, including the funding status of the Plans and ensuring compliance with the investment objectives.
The identification of risks in this exercise will be taken into consideration in the next review of the strategic plan, both in the projected figures considering the risks and their probability of occurrence, as well as the controls in place to mitigate those risks.</t>
  </si>
  <si>
    <t xml:space="preserve">Projected Benefit Obligation (PBO) increased $17mm due to decrease in discount rate and changes to mortality tables, resulting in $10mm decrease in Other Complehensive Income ("OCI"), net of taxes, and $7mm increase of deferred Tax Asste (DTA). </t>
  </si>
  <si>
    <t>n/a</t>
  </si>
  <si>
    <t xml:space="preserve">Based on actuarial valuations of the Plans using corresponding assumptions, 12-31-14 discount rate and the application of new to mortality tables.  Certain lump-sums paid under the BCH plan triggred recognition of expense from OCI (included in the $17mm).
</t>
  </si>
  <si>
    <t>Current information provided by Asset Managers, including 3-year performance review of funds.and plan assets</t>
  </si>
  <si>
    <t>Updated Participant information, information provided by Actuaries and Trustee.</t>
  </si>
  <si>
    <t>Plan audit reports, periodic reviews of participant information with Actuaries. new regulations or laws, Pension Committee minutes, policies and procedures established.</t>
  </si>
  <si>
    <t>Actuarial reports, external audit reports, new regulations or laws, Pension Committee minutes, policies and procedures established.</t>
  </si>
  <si>
    <t xml:space="preserve"> [Enter external data sources utilized in this exercise to address each risk type, to create a Carriage Return hold down the [ALT]+[RETURN] ]
Actuarial reports, audits and new laws and regulations.</t>
  </si>
  <si>
    <t xml:space="preserve">The Vendor Management area within the Operational Risk area is responsible of engaging and managing vendor relationship.  A Vendor Management Program, Policy and Procedure is in place which describes in detail the vendor management, procurement and outsourcing activities, assign roles and responsibilities, performs the risk management process, among other responsibilities.  As part of the risk management process, the Vendor Management area performs Risk Assessments to classify  vendors in accordance with certain established criterias. 
Empowerment Retirement Services (formerly Great-West Retirement Services)  is classified Tier 1 under the Vendor Management Risk Assessment as it handle critical operations. These critical operations include contribution plan 401K recordkeeping, maintenance and administration.  Also includes technical services online and call center for employees.  The vendor complies with all the administrative and support responsibilities required for the plan and its participants.  No significant events to report in the last months.
</t>
  </si>
  <si>
    <t xml:space="preserve">None. </t>
  </si>
  <si>
    <t>None</t>
  </si>
  <si>
    <t>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for maintaining the model inventory, model control and monitor model performance and adequacy in coordination with the Model Owners.  
The  Pension Plan Evaluation Model has been classified as 'Moderate' according to the Enterprise Model Risk Management Policy.  This Model is included in the Model Validation Plan for 2014-2015.</t>
  </si>
  <si>
    <t xml:space="preserve"> Annual audit, external consultant, providers and attorneys assist with plans compliance</t>
  </si>
  <si>
    <t>The risk to current or anticipated earnings or capital arising from violations of, or nonconformance with laws, rules, regulations, prescribed practices, internal policies and procedures, or ethical standards.   Risk of non-compliance with regulatory requirements resulting in potential monetary compensation, fines and penalties.  Failure to comply with applicable regulations such as Internal Revenue Codes, ERISA, Pension Protection Act (PPA), PBGC, etc.  driven by deficiencies in processes and controls.
The controls to mitigate this risk include processes to ensure compliance including an annual audit, external consultant, providers and attorneys assist with plan compliance.</t>
  </si>
  <si>
    <t xml:space="preserve">No internal separation of duties apply as all assets are managed by asset managers, trustee services are engaged and actuaries maintain participant inforamtion.  Authorization of benefits is confirmed by actuary and signed of by the HR Director. </t>
  </si>
  <si>
    <t>The risk of losses from willful actions designed to defraud, misappropriate goods or evade business regulations, laws or policies in which at least one person linked to the company is implicated.  Risk of Management intentional bias in significant accounting estimates – discount rate and rate of return on plan assets.  Risk of regulatory and legal repercussions due to Internal Fraud which may translate to a direct impact on operations.  The risks may also include reputational damage and monetary losses.  
The controls include separation of duties, external plan audits, engagement of trustee, actuary and asset managers.</t>
  </si>
  <si>
    <t xml:space="preserve">Monitoring of fluctuations, verification during mid-year (september) to try to predict significant variations. End of year valuations for accounting adjustments. </t>
  </si>
  <si>
    <t>The financial impact analysis is based on the potential capital and P&amp;L impact (due to amortization and pension expense) this risk may pose in a stressed scenario.</t>
  </si>
  <si>
    <t>Monitoring new actuary requirements, perform mid year valuations and end-of-year valuations to determine impact of changes in actuary requiremetns, including mortality tables use for valuation.</t>
  </si>
  <si>
    <t>Criselyris Melendez
Juan Pablo Jurado
Dayna Fabricio</t>
  </si>
  <si>
    <t>Increase of Pension Benefit Obligation (PBO) due to changes in the mortality rate</t>
  </si>
  <si>
    <t xml:space="preserve">Increase of Pension Benefit Obligation (PBO) per decline in “Citi Pension Liability Index” </t>
  </si>
  <si>
    <t>The financial impact analysis considers the impact the risk may have on the capital of the Bank. The 2014 annual pension plan valuation required an unfavorable capital adjustment of $10.4MM. According to the Capital Stress Test performed for Pension Benefit Obligations, the impact under stressed scenarios would be within $5MM - $50MM.</t>
  </si>
  <si>
    <t xml:space="preserve">The risk of an increase in the Pension Benefit Obligation (PBO) due to a drop in the interest rate curve  “Citi Pension Liability Index”.  A pension benefit obligation is a calculation of the total amount due to participants of the plans based on actuarial assumptions.  The "Citi Pension Liability Index" (CPLI) is a market standard for valuation of pension liabilities. The Citi pension curve is derived from yields on long-term high-quality corporate bonds and is widely used to determine accounting pension liabilities.  The CPLI reflects the discount rate that can be used to value liabilities for GAAP reporting purposes.  The Plans use the spot rate as of December 31 each year.
The controls include the monitoring of fluctuations, verification during mid-year (September) to try to predict significant variations. End of year valuations for accounting adjustments. </t>
  </si>
  <si>
    <t xml:space="preserve">
The Stressed Financial Impact considers possible losses from the internal fraud as well as from both legal and regulatory repercussions.</t>
  </si>
  <si>
    <t>Risk of financial losses resulting from misleading financial information.  Failure to perform adequate analysis which risks making inappropriate decisions.  
Controls to mitigate this risk include Internal Audit, internal controls, monitoring of fluctuations, verification during mid-year (September) to predict significant variations.</t>
  </si>
  <si>
    <t>Internal Audit, internal controls, monitoring of fluctuations, verification during mid-year (September) to predict significant variations</t>
  </si>
  <si>
    <t xml:space="preserve">There are two defined benefit plans under which the employer contributes on behalf of each participant to provide for certain level of retirement benefit at his normal retirement age.  The employer bears the risk of investment gain or losses under the plan.   The BCH Plan was frozen on November 30, 1996 and the BSPR Plan was frozen in December 2006, both for participation and accrual of benefits.  Plan fiduciaries are the employer BSPR; Trustee- Banco Popular; the Pension Committee and any financial advisor, fund administrator, money manager or investment consultant, to the extent covered by ERISA. 
The Plan Administrator is responsible for the day to day operation of the Plans.  Primary functions are: (i) Compliance with the reporting and disclosure provisions of ERISA; (ii) Interpretation of plan terms; (iii) Claims and administration; (iv) Maintenance of plan records; (v) Evaluation of Qualified Domestic Relations Order; (vi) Establish internal administrative procedures; (vii) Collection of data and publication of plan information; (viii) Appoint advisors with the consent of the employer.  The Plan Administrator for both Plans is the Pension Committee, either by direct appointment or by delegation of duties by the employer.  Adminitrative or operational duties for both plans are performed by the Human Resources department.
Defined benefit plan assets as of 5/20/2015:
Banco Santander PR = $53.2MM
Banco Central Hispano  = $38.9MM
</t>
  </si>
  <si>
    <t xml:space="preserve">The risk of an increase in the Pension Benefit Obligation (PBO) due to changes of applicable rules for actuarial valuation assumption, including for example mortality tables.  A pension benefit obligation is a calculation of the total amount due to participants of the plans based on actuarial assumptions.  Decreases in mortality rates result in an increase in the projected benefit obligation and in pension costs.  The reduction in funded status due to the revised mortality tables will affect the company’s balance sheet through a decrease in shareholder’s equity (net of an income tax adjustment). In addition, the expense in the following years will be larger due to an increase in the interest charge on the larger Projected Benefit Obligation (PBO) and a potential increase in the amortization charge. Mortality tables are reviewed every 15 years and the last review was performed during 2014.
The controls include the monitoring of fluctuations, verification during mid-year (September) to try to predict significant variations. End of year valuations for accounting adjustments. </t>
  </si>
  <si>
    <t>EMC Approval Date</t>
  </si>
  <si>
    <t xml:space="preserve">The financial impact analysis considers potential financial losses in stressed scenario due to negative public's perception.
</t>
  </si>
  <si>
    <t xml:space="preserve">Deficient service and/or non-compliance with regulatory requirements
</t>
  </si>
  <si>
    <t>The risk of a negative impact on the Bank’s reputation due to deficient service resulting in employee dissatisfaction which may lead to an increase in complaints.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complaints
- Compliance controls, Internal Audits and Internal Control reviews
- Policies and procedures aligned to regulatory requirements
- Annual training programs for all employees covering regulatory requirements as well as internal policies and procedures</t>
  </si>
  <si>
    <t>Monitor the root of complaints, Compliance controls, Internal Audits and Internal Control reviews, Policies and procedures aligned to regulatory requirements, Annual training programs for all employees covering regulatory requirements as well as internal policies and procedures</t>
  </si>
  <si>
    <r>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t>
    </r>
    <r>
      <rPr>
        <sz val="11"/>
        <rFont val="Calibri"/>
        <family val="2"/>
        <scheme val="minor"/>
      </rPr>
      <t xml:space="preserve">- STRATEGIC / External Factors = Increase of Pension Benefit Obligation (PBO) due to changes in the mortality rate (Base: $0 / Stressed: $5MM - $50MM)
- MARKET / Interest Rate = Increase of Pension Benefit Obligation (PBO) per decline in “Citi Pension Liability Index” (Base: $0 / Stressed: $5MM - $50MM)
- MARKET / Price Risk = Plan Asset Devaluation (Base: $0 / Stressed: $5MM - $50MM)
- COMPLIANCE / Regulatory Compliance = Failure to comply with regulatory requirements (Base: $0 / Stressed: $1MM - $5MM)
- OPERATIONAL / Internal Fraud = Internal Fraud during the ordinary course of operations (Base: $0 / Stressed: $1MM - $5MM)
- OPERATIONAL / External Fraud= Misleading Financial Information (Base: $0 / Stressed: $1MM - $5MM)
-REPUTATIONAL / Brand Image = Deficient service and/or non-compliance with regulatory requirements (Base: $0 / Stressed: $1MM - $5MM)
</t>
    </r>
    <r>
      <rPr>
        <sz val="11"/>
        <color theme="1"/>
        <rFont val="Calibri"/>
        <family val="2"/>
        <scheme val="minor"/>
      </rPr>
      <t xml:space="preserve">
The Line of Business attempted to identify the economic risk drivers of each event.  However, for risks for which no economic risk driver was identified, the Line of Business identified the appropriate risk driver to be able to develop risk metrics for the Risk Tolerance Statement, Risk Mandates and/or Risk Scorecards, as applicable.  This exercise will be used to monitor the risk profile of the Line of Business, identify the main drivers which could trigger losses/risks, identify deficiencies in processes and controls, as well as develop idiosyncratic scenarios for the Capital Stress Test. </t>
    </r>
  </si>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</sst>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6"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5">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4" fillId="34" borderId="2" xfId="0" applyFont="1" applyFill="1" applyBorder="1" applyAlignment="1" applyProtection="1">
      <alignment horizontal="left" vertical="top"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4" borderId="2" xfId="0" applyFont="1" applyFill="1" applyBorder="1" applyAlignment="1" applyProtection="1">
      <alignment vertical="center" wrapText="1"/>
      <protection locked="0"/>
    </xf>
    <xf numFmtId="0" fontId="64" fillId="4" borderId="2" xfId="0" applyFont="1" applyFill="1" applyBorder="1" applyAlignment="1" applyProtection="1">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86591</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86591"/>
          <a:ext cx="8364682" cy="753340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526</v>
      </c>
      <c r="B1" s="43"/>
      <c r="C1" s="43"/>
      <c r="D1" s="43"/>
      <c r="E1" s="43"/>
      <c r="AA1" s="43">
        <v>0</v>
      </c>
    </row>
    <row r="2" spans="1:27" ht="15" x14ac:dyDescent="0.25">
      <c r="A2" s="43"/>
      <c r="B2" s="43"/>
      <c r="C2" s="43"/>
      <c r="D2" s="43"/>
      <c r="E2" s="118" t="s">
        <v>533</v>
      </c>
    </row>
    <row r="3" spans="1:27" ht="15" x14ac:dyDescent="0.25">
      <c r="A3" s="39"/>
      <c r="B3" s="39"/>
      <c r="C3" s="39"/>
      <c r="D3" s="39"/>
      <c r="E3" s="124" t="s">
        <v>521</v>
      </c>
      <c r="F3" s="125"/>
    </row>
    <row r="4" spans="1:27" ht="15" x14ac:dyDescent="0.25">
      <c r="A4" s="39"/>
      <c r="B4" s="39"/>
      <c r="C4" s="39"/>
      <c r="D4" s="39"/>
      <c r="E4" s="126"/>
      <c r="F4" s="127"/>
    </row>
    <row r="5" spans="1:27" ht="4.5" customHeight="1" x14ac:dyDescent="0.25">
      <c r="A5" s="39"/>
      <c r="B5" s="39"/>
      <c r="C5" s="39"/>
      <c r="D5" s="39"/>
      <c r="E5" s="126"/>
      <c r="F5" s="127"/>
    </row>
    <row r="6" spans="1:27" ht="4.5" customHeight="1" x14ac:dyDescent="0.25">
      <c r="A6" s="39"/>
      <c r="B6" s="39"/>
      <c r="C6" s="39"/>
      <c r="D6" s="39"/>
      <c r="E6" s="126"/>
      <c r="F6" s="127"/>
    </row>
    <row r="7" spans="1:27" ht="15" x14ac:dyDescent="0.25">
      <c r="A7" s="39"/>
      <c r="B7" s="39"/>
      <c r="C7" s="39"/>
      <c r="D7" s="39"/>
      <c r="E7" s="126"/>
      <c r="F7" s="127"/>
    </row>
    <row r="8" spans="1:27" ht="15" x14ac:dyDescent="0.25">
      <c r="A8" s="39"/>
      <c r="B8" s="39"/>
      <c r="C8" s="39"/>
      <c r="D8" s="39"/>
      <c r="E8" s="126"/>
      <c r="F8" s="127"/>
    </row>
    <row r="9" spans="1:27" ht="15" x14ac:dyDescent="0.25">
      <c r="A9" s="39"/>
      <c r="B9" s="39"/>
      <c r="C9" s="39"/>
      <c r="D9" s="39"/>
      <c r="E9" s="126"/>
      <c r="F9" s="127"/>
    </row>
    <row r="10" spans="1:27" ht="15" hidden="1" customHeight="1" x14ac:dyDescent="0.25">
      <c r="A10" s="39"/>
      <c r="B10" s="39"/>
      <c r="C10" s="39"/>
      <c r="D10" s="39"/>
      <c r="E10" s="126"/>
      <c r="F10" s="127"/>
    </row>
    <row r="11" spans="1:27" ht="15" hidden="1" customHeight="1" x14ac:dyDescent="0.25">
      <c r="A11" s="39"/>
      <c r="B11" s="39"/>
      <c r="C11" s="39"/>
      <c r="D11" s="39"/>
      <c r="E11" s="126"/>
      <c r="F11" s="127"/>
    </row>
    <row r="12" spans="1:27" ht="15" hidden="1" customHeight="1" x14ac:dyDescent="0.25">
      <c r="A12" s="108"/>
      <c r="B12" s="39"/>
      <c r="C12" s="39"/>
      <c r="D12" s="39"/>
      <c r="E12" s="126"/>
      <c r="F12" s="127"/>
    </row>
    <row r="13" spans="1:27" ht="15" x14ac:dyDescent="0.25">
      <c r="A13" s="39"/>
      <c r="B13" s="39"/>
      <c r="C13" s="39"/>
      <c r="D13" s="39"/>
      <c r="E13" s="126"/>
      <c r="F13" s="127"/>
    </row>
    <row r="14" spans="1:27" ht="15" customHeight="1" x14ac:dyDescent="0.25">
      <c r="A14" s="130" t="s">
        <v>531</v>
      </c>
      <c r="B14" s="131"/>
      <c r="C14" s="132"/>
      <c r="D14" s="132"/>
      <c r="E14" s="126"/>
      <c r="F14" s="127"/>
    </row>
    <row r="15" spans="1:27" ht="15" customHeight="1" x14ac:dyDescent="0.25">
      <c r="A15" s="133"/>
      <c r="B15" s="134"/>
      <c r="C15" s="135"/>
      <c r="D15" s="135"/>
      <c r="E15" s="126"/>
      <c r="F15" s="127"/>
    </row>
    <row r="16" spans="1:27" ht="15" customHeight="1" x14ac:dyDescent="0.25">
      <c r="A16" s="133"/>
      <c r="B16" s="134"/>
      <c r="C16" s="135"/>
      <c r="D16" s="135"/>
      <c r="E16" s="126"/>
      <c r="F16" s="127"/>
    </row>
    <row r="17" spans="1:6" ht="53.25" customHeight="1" x14ac:dyDescent="0.25">
      <c r="A17" s="133"/>
      <c r="B17" s="134"/>
      <c r="C17" s="135"/>
      <c r="D17" s="135"/>
      <c r="E17" s="126"/>
      <c r="F17" s="127"/>
    </row>
    <row r="18" spans="1:6" ht="15" x14ac:dyDescent="0.25">
      <c r="A18" s="133"/>
      <c r="B18" s="134"/>
      <c r="C18" s="135"/>
      <c r="D18" s="135"/>
      <c r="E18" s="126"/>
      <c r="F18" s="127"/>
    </row>
    <row r="19" spans="1:6" ht="15" x14ac:dyDescent="0.25">
      <c r="A19" s="133"/>
      <c r="B19" s="134"/>
      <c r="C19" s="135"/>
      <c r="D19" s="135"/>
      <c r="E19" s="126"/>
      <c r="F19" s="127"/>
    </row>
    <row r="20" spans="1:6" ht="15" x14ac:dyDescent="0.25">
      <c r="A20" s="133"/>
      <c r="B20" s="134"/>
      <c r="C20" s="135"/>
      <c r="D20" s="135"/>
      <c r="E20" s="126"/>
      <c r="F20" s="127"/>
    </row>
    <row r="21" spans="1:6" ht="15" x14ac:dyDescent="0.25">
      <c r="A21" s="133"/>
      <c r="B21" s="134"/>
      <c r="C21" s="135"/>
      <c r="D21" s="135"/>
      <c r="E21" s="126"/>
      <c r="F21" s="127"/>
    </row>
    <row r="22" spans="1:6" ht="15" x14ac:dyDescent="0.25">
      <c r="A22" s="133"/>
      <c r="B22" s="134"/>
      <c r="C22" s="135"/>
      <c r="D22" s="135"/>
      <c r="E22" s="126"/>
      <c r="F22" s="127"/>
    </row>
    <row r="23" spans="1:6" ht="15" x14ac:dyDescent="0.25">
      <c r="A23" s="133"/>
      <c r="B23" s="134"/>
      <c r="C23" s="135"/>
      <c r="D23" s="135"/>
      <c r="E23" s="126"/>
      <c r="F23" s="127"/>
    </row>
    <row r="24" spans="1:6" ht="15" customHeight="1" x14ac:dyDescent="0.25">
      <c r="A24" s="133"/>
      <c r="B24" s="134"/>
      <c r="C24" s="135"/>
      <c r="D24" s="135"/>
      <c r="E24" s="126"/>
      <c r="F24" s="127"/>
    </row>
    <row r="25" spans="1:6" ht="15" customHeight="1" x14ac:dyDescent="0.25">
      <c r="A25" s="133"/>
      <c r="B25" s="134"/>
      <c r="C25" s="135"/>
      <c r="D25" s="135"/>
      <c r="E25" s="126"/>
      <c r="F25" s="127"/>
    </row>
    <row r="26" spans="1:6" ht="15" customHeight="1" x14ac:dyDescent="0.25">
      <c r="A26" s="133"/>
      <c r="B26" s="134"/>
      <c r="C26" s="135"/>
      <c r="D26" s="135"/>
      <c r="E26" s="126"/>
      <c r="F26" s="127"/>
    </row>
    <row r="27" spans="1:6" ht="36" customHeight="1" x14ac:dyDescent="0.25">
      <c r="A27" s="133"/>
      <c r="B27" s="134"/>
      <c r="C27" s="135"/>
      <c r="D27" s="135"/>
      <c r="E27" s="126"/>
      <c r="F27" s="127"/>
    </row>
    <row r="28" spans="1:6" ht="36" customHeight="1" x14ac:dyDescent="0.25">
      <c r="A28" s="133"/>
      <c r="B28" s="134"/>
      <c r="C28" s="135"/>
      <c r="D28" s="135"/>
      <c r="E28" s="126"/>
      <c r="F28" s="127"/>
    </row>
    <row r="29" spans="1:6" ht="36" customHeight="1" x14ac:dyDescent="0.25">
      <c r="A29" s="133"/>
      <c r="B29" s="134"/>
      <c r="C29" s="135"/>
      <c r="D29" s="135"/>
      <c r="E29" s="126"/>
      <c r="F29" s="127"/>
    </row>
    <row r="30" spans="1:6" ht="36" customHeight="1" x14ac:dyDescent="0.25">
      <c r="A30" s="133"/>
      <c r="B30" s="134"/>
      <c r="C30" s="135"/>
      <c r="D30" s="135"/>
      <c r="E30" s="126"/>
      <c r="F30" s="127"/>
    </row>
    <row r="31" spans="1:6" ht="36" customHeight="1" x14ac:dyDescent="0.25">
      <c r="A31" s="133"/>
      <c r="B31" s="134"/>
      <c r="C31" s="135"/>
      <c r="D31" s="135"/>
      <c r="E31" s="126"/>
      <c r="F31" s="127"/>
    </row>
    <row r="32" spans="1:6" ht="15" x14ac:dyDescent="0.25">
      <c r="A32" s="133"/>
      <c r="B32" s="134"/>
      <c r="C32" s="135"/>
      <c r="D32" s="135"/>
      <c r="E32" s="126"/>
      <c r="F32" s="127"/>
    </row>
    <row r="33" spans="1:6" ht="15" customHeight="1" x14ac:dyDescent="0.25">
      <c r="A33" s="133"/>
      <c r="B33" s="134"/>
      <c r="C33" s="135"/>
      <c r="D33" s="135"/>
      <c r="E33" s="126"/>
      <c r="F33" s="127"/>
    </row>
    <row r="34" spans="1:6" ht="15" customHeight="1" x14ac:dyDescent="0.25">
      <c r="A34" s="133"/>
      <c r="B34" s="134"/>
      <c r="C34" s="135"/>
      <c r="D34" s="135"/>
      <c r="E34" s="126"/>
      <c r="F34" s="127"/>
    </row>
    <row r="35" spans="1:6" ht="15" x14ac:dyDescent="0.25">
      <c r="A35" s="133"/>
      <c r="B35" s="134"/>
      <c r="C35" s="135"/>
      <c r="D35" s="135"/>
      <c r="E35" s="126"/>
      <c r="F35" s="127"/>
    </row>
    <row r="36" spans="1:6" ht="31.5" customHeight="1" x14ac:dyDescent="0.25">
      <c r="A36" s="133"/>
      <c r="B36" s="134"/>
      <c r="C36" s="135"/>
      <c r="D36" s="135"/>
      <c r="E36" s="126"/>
      <c r="F36" s="127"/>
    </row>
    <row r="37" spans="1:6" ht="31.5" customHeight="1" x14ac:dyDescent="0.25">
      <c r="A37" s="133"/>
      <c r="B37" s="134"/>
      <c r="C37" s="135"/>
      <c r="D37" s="135"/>
      <c r="E37" s="126"/>
      <c r="F37" s="127"/>
    </row>
    <row r="38" spans="1:6" ht="31.5" customHeight="1" x14ac:dyDescent="0.25">
      <c r="A38" s="133"/>
      <c r="B38" s="134"/>
      <c r="C38" s="135"/>
      <c r="D38" s="135"/>
      <c r="E38" s="126"/>
      <c r="F38" s="127"/>
    </row>
    <row r="39" spans="1:6" ht="31.5" customHeight="1" x14ac:dyDescent="0.25">
      <c r="A39" s="133"/>
      <c r="B39" s="134"/>
      <c r="C39" s="135"/>
      <c r="D39" s="135"/>
      <c r="E39" s="126"/>
      <c r="F39" s="127"/>
    </row>
    <row r="40" spans="1:6" ht="15" x14ac:dyDescent="0.25">
      <c r="A40" s="136"/>
      <c r="B40" s="137"/>
      <c r="C40" s="138"/>
      <c r="D40" s="138"/>
      <c r="E40" s="128"/>
      <c r="F40" s="129"/>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501</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9" t="s">
        <v>534</v>
      </c>
      <c r="B14" s="140"/>
      <c r="C14" s="140"/>
      <c r="D14" s="140"/>
      <c r="E14" s="140"/>
      <c r="F14" s="140"/>
      <c r="G14" s="140"/>
      <c r="H14" s="140"/>
      <c r="I14" s="140"/>
      <c r="J14" s="140"/>
      <c r="K14" s="120"/>
    </row>
    <row r="15" spans="1:15 16383:16383" x14ac:dyDescent="0.25">
      <c r="A15" s="140"/>
      <c r="B15" s="140"/>
      <c r="C15" s="140"/>
      <c r="D15" s="140"/>
      <c r="E15" s="140"/>
      <c r="F15" s="140"/>
      <c r="G15" s="140"/>
      <c r="H15" s="140"/>
      <c r="I15" s="140"/>
      <c r="J15" s="140"/>
    </row>
    <row r="16" spans="1:15 16383:16383" x14ac:dyDescent="0.25">
      <c r="A16" s="140"/>
      <c r="B16" s="140"/>
      <c r="C16" s="140"/>
      <c r="D16" s="140"/>
      <c r="E16" s="140"/>
      <c r="F16" s="140"/>
      <c r="G16" s="140"/>
      <c r="H16" s="140"/>
      <c r="I16" s="140"/>
      <c r="J16" s="140"/>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1" t="s">
        <v>488</v>
      </c>
      <c r="B24" s="142"/>
      <c r="C24" s="142"/>
      <c r="D24" s="142"/>
      <c r="E24" s="142"/>
      <c r="F24" s="142"/>
      <c r="G24" s="142"/>
      <c r="H24" s="142"/>
      <c r="I24" s="142"/>
      <c r="J24" s="142"/>
    </row>
    <row r="25" spans="1:10" x14ac:dyDescent="0.25">
      <c r="A25" s="142"/>
      <c r="B25" s="142"/>
      <c r="C25" s="142"/>
      <c r="D25" s="142"/>
      <c r="E25" s="142"/>
      <c r="F25" s="142"/>
      <c r="G25" s="142"/>
      <c r="H25" s="142"/>
      <c r="I25" s="142"/>
      <c r="J25" s="142"/>
    </row>
    <row r="26" spans="1:10" x14ac:dyDescent="0.25">
      <c r="A26" s="142"/>
      <c r="B26" s="142"/>
      <c r="C26" s="142"/>
      <c r="D26" s="142"/>
      <c r="E26" s="142"/>
      <c r="F26" s="142"/>
      <c r="G26" s="142"/>
      <c r="H26" s="142"/>
      <c r="I26" s="142"/>
      <c r="J26" s="142"/>
    </row>
    <row r="27" spans="1:10" x14ac:dyDescent="0.25">
      <c r="A27" s="143"/>
      <c r="B27" s="143"/>
      <c r="C27" s="143"/>
      <c r="D27" s="143"/>
      <c r="E27" s="143"/>
      <c r="F27" s="143"/>
      <c r="G27" s="143"/>
      <c r="H27" s="143"/>
      <c r="I27" s="143"/>
      <c r="J27" s="143"/>
    </row>
    <row r="28" spans="1:10" x14ac:dyDescent="0.25">
      <c r="A28" s="143"/>
      <c r="B28" s="143"/>
      <c r="C28" s="143"/>
      <c r="D28" s="143"/>
      <c r="E28" s="143"/>
      <c r="F28" s="143"/>
      <c r="G28" s="143"/>
      <c r="H28" s="143"/>
      <c r="I28" s="143"/>
      <c r="J28" s="143"/>
    </row>
    <row r="29" spans="1:10" x14ac:dyDescent="0.25"/>
    <row r="30" spans="1:10" x14ac:dyDescent="0.25"/>
    <row r="31" spans="1:10" x14ac:dyDescent="0.25"/>
    <row r="32" spans="1:10" x14ac:dyDescent="0.25"/>
    <row r="33" spans="1:10" x14ac:dyDescent="0.25">
      <c r="A33" s="144" t="s">
        <v>539</v>
      </c>
      <c r="B33" s="145"/>
      <c r="C33" s="145"/>
      <c r="D33" s="145"/>
      <c r="E33" s="145"/>
      <c r="F33" s="145"/>
      <c r="G33" s="145"/>
      <c r="H33" s="145"/>
      <c r="I33" s="145"/>
      <c r="J33" s="145"/>
    </row>
    <row r="34" spans="1:10" x14ac:dyDescent="0.25">
      <c r="A34" s="145"/>
      <c r="B34" s="145"/>
      <c r="C34" s="145"/>
      <c r="D34" s="145"/>
      <c r="E34" s="145"/>
      <c r="F34" s="145"/>
      <c r="G34" s="145"/>
      <c r="H34" s="145"/>
      <c r="I34" s="145"/>
      <c r="J34" s="145"/>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55" zoomScaleNormal="100" zoomScalePageLayoutView="55"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501</v>
      </c>
    </row>
    <row r="2" spans="1:27" ht="15.75" thickBot="1" x14ac:dyDescent="0.3"/>
    <row r="3" spans="1:27" ht="29.25" customHeight="1" thickBot="1" x14ac:dyDescent="0.3">
      <c r="A3" s="146" t="s">
        <v>259</v>
      </c>
      <c r="B3" s="147"/>
      <c r="C3" s="106">
        <v>2015</v>
      </c>
    </row>
    <row r="4" spans="1:27" ht="33.75" hidden="1" customHeight="1" thickBot="1" x14ac:dyDescent="0.3">
      <c r="A4" s="146" t="s">
        <v>317</v>
      </c>
      <c r="B4" s="147"/>
      <c r="C4" s="107"/>
    </row>
    <row r="5" spans="1:27" ht="33.75" hidden="1" customHeight="1" thickBot="1" x14ac:dyDescent="0.3">
      <c r="A5" s="146" t="s">
        <v>318</v>
      </c>
      <c r="B5" s="147"/>
      <c r="C5" s="107"/>
    </row>
    <row r="6" spans="1:27" ht="33.75" hidden="1" customHeight="1" thickBot="1" x14ac:dyDescent="0.3">
      <c r="A6" s="146" t="s">
        <v>1</v>
      </c>
      <c r="B6" s="147"/>
      <c r="C6" s="107"/>
    </row>
    <row r="7" spans="1:27" ht="33.75" hidden="1" customHeight="1" thickBot="1" x14ac:dyDescent="0.3">
      <c r="A7" s="146" t="s">
        <v>260</v>
      </c>
      <c r="B7" s="147"/>
      <c r="C7" s="107"/>
    </row>
    <row r="8" spans="1:27" ht="33.75" customHeight="1" thickBot="1" x14ac:dyDescent="0.3">
      <c r="A8" s="146" t="s">
        <v>522</v>
      </c>
      <c r="B8" s="147"/>
      <c r="C8" s="107"/>
    </row>
    <row r="9" spans="1:27" ht="33.75" customHeight="1" thickBot="1" x14ac:dyDescent="0.3">
      <c r="A9" s="146" t="s">
        <v>581</v>
      </c>
      <c r="B9" s="147"/>
      <c r="C9" s="122">
        <v>42195</v>
      </c>
    </row>
    <row r="10" spans="1:27" ht="33.75" customHeight="1" thickBot="1" x14ac:dyDescent="0.3">
      <c r="A10" s="146" t="s">
        <v>261</v>
      </c>
      <c r="B10" s="147"/>
      <c r="C10" s="122">
        <v>42186</v>
      </c>
    </row>
    <row r="11" spans="1:27" ht="44.25" customHeight="1" thickBot="1" x14ac:dyDescent="0.3">
      <c r="A11" s="146" t="s">
        <v>262</v>
      </c>
      <c r="B11" s="147"/>
      <c r="C11" s="107" t="s">
        <v>571</v>
      </c>
    </row>
    <row r="12" spans="1:27" ht="33.75" customHeight="1" thickBot="1" x14ac:dyDescent="0.3">
      <c r="A12" s="146" t="s">
        <v>523</v>
      </c>
      <c r="B12" s="147"/>
      <c r="C12" s="107" t="s">
        <v>540</v>
      </c>
    </row>
    <row r="13" spans="1:27" ht="33.75" customHeight="1" thickBot="1" x14ac:dyDescent="0.3">
      <c r="A13" s="146" t="s">
        <v>263</v>
      </c>
      <c r="B13" s="147"/>
      <c r="C13" s="107" t="s">
        <v>540</v>
      </c>
    </row>
    <row r="14" spans="1:27" x14ac:dyDescent="0.25"/>
    <row r="15" spans="1:27" ht="15.75" thickBot="1" x14ac:dyDescent="0.3">
      <c r="A15" s="68" t="s">
        <v>499</v>
      </c>
      <c r="B15" s="148" t="s">
        <v>540</v>
      </c>
      <c r="C15" s="149"/>
    </row>
    <row r="16" spans="1:27" x14ac:dyDescent="0.25"/>
    <row r="17" spans="1:3" x14ac:dyDescent="0.25">
      <c r="A17" s="89" t="s">
        <v>524</v>
      </c>
      <c r="B17" s="47"/>
    </row>
    <row r="18" spans="1:3" x14ac:dyDescent="0.25">
      <c r="A18" s="89"/>
      <c r="B18" s="47"/>
    </row>
    <row r="19" spans="1:3" x14ac:dyDescent="0.25">
      <c r="A19" s="123" t="s">
        <v>587</v>
      </c>
      <c r="B19" s="47"/>
    </row>
    <row r="20" spans="1:3" x14ac:dyDescent="0.25"/>
    <row r="21" spans="1:3" x14ac:dyDescent="0.25">
      <c r="A21" s="48" t="s">
        <v>264</v>
      </c>
      <c r="B21" s="49"/>
      <c r="C21" s="50"/>
    </row>
    <row r="22" spans="1:3" ht="198.75" customHeight="1" x14ac:dyDescent="0.25">
      <c r="A22" s="150" t="s">
        <v>535</v>
      </c>
      <c r="B22" s="138"/>
      <c r="C22" s="151"/>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&amp;C&amp;"-,Bold"Pension Plan</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5" sqref="A5"/>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502</v>
      </c>
    </row>
    <row r="2" spans="1:27" ht="60" x14ac:dyDescent="0.25">
      <c r="A2" s="42" t="s">
        <v>269</v>
      </c>
    </row>
    <row r="3" spans="1:27" ht="276" customHeight="1" x14ac:dyDescent="0.25">
      <c r="A3" s="98" t="s">
        <v>586</v>
      </c>
    </row>
    <row r="4" spans="1:27" ht="15.75" thickBot="1" x14ac:dyDescent="0.3">
      <c r="A4" s="72" t="s">
        <v>266</v>
      </c>
    </row>
    <row r="5" spans="1:27" ht="75" x14ac:dyDescent="0.25">
      <c r="A5" s="42" t="s">
        <v>265</v>
      </c>
    </row>
    <row r="6" spans="1:27" ht="255" x14ac:dyDescent="0.25">
      <c r="A6" s="121" t="s">
        <v>579</v>
      </c>
    </row>
    <row r="7" spans="1:27" ht="15.75" thickBot="1" x14ac:dyDescent="0.3">
      <c r="A7" s="72" t="s">
        <v>267</v>
      </c>
    </row>
    <row r="8" spans="1:27" ht="150" x14ac:dyDescent="0.25">
      <c r="A8" s="42" t="s">
        <v>486</v>
      </c>
    </row>
    <row r="9" spans="1:27" ht="200.25" customHeight="1" x14ac:dyDescent="0.25">
      <c r="A9" s="121" t="s">
        <v>550</v>
      </c>
    </row>
    <row r="10" spans="1:27" ht="15.75" thickBot="1" x14ac:dyDescent="0.3">
      <c r="A10" s="72" t="s">
        <v>268</v>
      </c>
    </row>
    <row r="11" spans="1:27" ht="135" x14ac:dyDescent="0.25">
      <c r="A11" s="42" t="s">
        <v>487</v>
      </c>
    </row>
    <row r="12" spans="1:27" ht="146.25" customHeight="1" x14ac:dyDescent="0.25">
      <c r="A12" s="121" t="s">
        <v>551</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502</v>
      </c>
    </row>
    <row r="2" spans="1:27" x14ac:dyDescent="0.25">
      <c r="A2" s="152" t="s">
        <v>277</v>
      </c>
      <c r="B2" s="153"/>
      <c r="C2" s="153"/>
      <c r="D2" s="153"/>
      <c r="E2" s="153"/>
      <c r="F2" s="153"/>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6" t="s">
        <v>549</v>
      </c>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52" t="s">
        <v>278</v>
      </c>
      <c r="B11" s="154"/>
      <c r="C11" s="154"/>
      <c r="D11" s="154"/>
      <c r="E11" s="154"/>
    </row>
    <row r="12" spans="1:27" ht="61.5" customHeight="1" x14ac:dyDescent="0.25">
      <c r="A12" s="155" t="s">
        <v>500</v>
      </c>
      <c r="B12" s="156"/>
      <c r="C12" s="156"/>
      <c r="D12" s="156"/>
      <c r="E12" s="157"/>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515</v>
      </c>
      <c r="AA1" s="43" t="s">
        <v>502</v>
      </c>
    </row>
    <row r="2" spans="1:27" ht="57" customHeight="1" x14ac:dyDescent="0.25">
      <c r="A2" s="42" t="s">
        <v>516</v>
      </c>
    </row>
    <row r="3" spans="1:27" ht="52.5" customHeight="1" x14ac:dyDescent="0.25">
      <c r="A3" s="98" t="s">
        <v>549</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3" zoomScaleNormal="100" workbookViewId="0">
      <selection activeCell="A16" sqref="A16:D16"/>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503</v>
      </c>
      <c r="B1" s="56"/>
      <c r="C1" s="56"/>
      <c r="D1" s="56"/>
      <c r="AA1" s="43" t="s">
        <v>502</v>
      </c>
    </row>
    <row r="2" spans="1:27" x14ac:dyDescent="0.25">
      <c r="A2" s="165" t="s">
        <v>284</v>
      </c>
      <c r="B2" s="166"/>
      <c r="C2" s="166"/>
      <c r="D2" s="166"/>
    </row>
    <row r="3" spans="1:27" x14ac:dyDescent="0.25"/>
    <row r="4" spans="1:27" x14ac:dyDescent="0.25">
      <c r="A4" s="61" t="s">
        <v>279</v>
      </c>
      <c r="B4" s="61" t="s">
        <v>280</v>
      </c>
      <c r="C4" s="61" t="s">
        <v>281</v>
      </c>
      <c r="D4" s="61" t="s">
        <v>282</v>
      </c>
    </row>
    <row r="5" spans="1:27" ht="63.75" x14ac:dyDescent="0.25">
      <c r="A5" s="113">
        <v>42004</v>
      </c>
      <c r="B5" s="112" t="s">
        <v>553</v>
      </c>
      <c r="C5" s="114">
        <v>17000000</v>
      </c>
      <c r="D5" s="112" t="s">
        <v>552</v>
      </c>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55" t="s">
        <v>554</v>
      </c>
      <c r="B12" s="163"/>
      <c r="C12" s="163"/>
      <c r="D12" s="164"/>
    </row>
    <row r="13" spans="1:27" ht="20.25" customHeight="1" x14ac:dyDescent="0.25">
      <c r="A13" s="58"/>
      <c r="B13" s="33"/>
      <c r="C13" s="33"/>
      <c r="D13" s="33"/>
    </row>
    <row r="14" spans="1:27" ht="20.25" customHeight="1" thickBot="1" x14ac:dyDescent="0.3">
      <c r="A14" s="111" t="s">
        <v>504</v>
      </c>
      <c r="B14" s="62"/>
      <c r="C14" s="62"/>
      <c r="D14" s="62"/>
    </row>
    <row r="15" spans="1:27" x14ac:dyDescent="0.25">
      <c r="A15" s="63" t="s">
        <v>505</v>
      </c>
      <c r="B15" s="64"/>
      <c r="C15" s="64"/>
      <c r="D15" s="64"/>
    </row>
    <row r="16" spans="1:27" ht="49.5" customHeight="1" x14ac:dyDescent="0.25">
      <c r="A16" s="167" t="s">
        <v>285</v>
      </c>
      <c r="B16" s="135"/>
      <c r="C16" s="135"/>
      <c r="D16" s="135"/>
    </row>
    <row r="17" spans="1:4" x14ac:dyDescent="0.25">
      <c r="A17" s="61" t="s">
        <v>3</v>
      </c>
      <c r="B17" s="168" t="s">
        <v>286</v>
      </c>
      <c r="C17" s="169"/>
      <c r="D17" s="169"/>
    </row>
    <row r="18" spans="1:4" x14ac:dyDescent="0.25">
      <c r="A18" s="60" t="s">
        <v>31</v>
      </c>
      <c r="B18" s="158" t="s">
        <v>556</v>
      </c>
      <c r="C18" s="159"/>
      <c r="D18" s="160"/>
    </row>
    <row r="19" spans="1:4" x14ac:dyDescent="0.25">
      <c r="A19" s="59" t="s">
        <v>13</v>
      </c>
      <c r="B19" s="161" t="s">
        <v>555</v>
      </c>
      <c r="C19" s="162"/>
      <c r="D19" s="162"/>
    </row>
    <row r="20" spans="1:4" x14ac:dyDescent="0.25">
      <c r="A20" s="59" t="s">
        <v>15</v>
      </c>
      <c r="B20" s="161" t="s">
        <v>555</v>
      </c>
      <c r="C20" s="162"/>
      <c r="D20" s="162"/>
    </row>
    <row r="21" spans="1:4" ht="29.25" customHeight="1" x14ac:dyDescent="0.25">
      <c r="A21" s="59" t="s">
        <v>11</v>
      </c>
      <c r="B21" s="161" t="s">
        <v>557</v>
      </c>
      <c r="C21" s="162"/>
      <c r="D21" s="162"/>
    </row>
    <row r="22" spans="1:4" x14ac:dyDescent="0.25">
      <c r="A22" s="59" t="s">
        <v>287</v>
      </c>
      <c r="B22" s="161" t="s">
        <v>558</v>
      </c>
      <c r="C22" s="162"/>
      <c r="D22" s="162"/>
    </row>
    <row r="23" spans="1:4" ht="15" customHeight="1" x14ac:dyDescent="0.25">
      <c r="A23" s="59" t="s">
        <v>25</v>
      </c>
      <c r="B23" s="161" t="s">
        <v>558</v>
      </c>
      <c r="C23" s="162"/>
      <c r="D23" s="162"/>
    </row>
    <row r="24" spans="1:4" x14ac:dyDescent="0.25">
      <c r="A24" s="59" t="s">
        <v>17</v>
      </c>
      <c r="B24" s="161" t="s">
        <v>553</v>
      </c>
      <c r="C24" s="162"/>
      <c r="D24" s="162"/>
    </row>
    <row r="25" spans="1:4" x14ac:dyDescent="0.25">
      <c r="A25" s="59" t="s">
        <v>9</v>
      </c>
      <c r="B25" s="173"/>
      <c r="C25" s="174"/>
      <c r="D25" s="174"/>
    </row>
    <row r="26" spans="1:4" x14ac:dyDescent="0.25"/>
    <row r="27" spans="1:4" ht="15.75" x14ac:dyDescent="0.25">
      <c r="A27" s="109" t="s">
        <v>506</v>
      </c>
    </row>
    <row r="28" spans="1:4" x14ac:dyDescent="0.25">
      <c r="A28" s="110" t="s">
        <v>288</v>
      </c>
    </row>
    <row r="29" spans="1:4" ht="66.75" customHeight="1" x14ac:dyDescent="0.25">
      <c r="A29" s="170" t="s">
        <v>559</v>
      </c>
      <c r="B29" s="171"/>
      <c r="C29" s="171"/>
      <c r="D29" s="172"/>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A13" sqref="A13:F14"/>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502</v>
      </c>
    </row>
    <row r="2" spans="1:27" ht="15.75" thickBot="1" x14ac:dyDescent="0.3">
      <c r="A2" s="101" t="s">
        <v>517</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528</v>
      </c>
      <c r="B12" s="93"/>
      <c r="C12" s="93"/>
      <c r="D12" s="93"/>
      <c r="E12" s="93"/>
      <c r="F12" s="93"/>
    </row>
    <row r="13" spans="1:27" x14ac:dyDescent="0.25">
      <c r="A13" s="175" t="s">
        <v>527</v>
      </c>
      <c r="B13" s="176"/>
      <c r="C13" s="176"/>
      <c r="D13" s="176"/>
      <c r="E13" s="177"/>
      <c r="F13" s="178"/>
    </row>
    <row r="14" spans="1:27" x14ac:dyDescent="0.25">
      <c r="A14" s="179"/>
      <c r="B14" s="180"/>
      <c r="C14" s="180"/>
      <c r="D14" s="180"/>
      <c r="E14" s="180"/>
      <c r="F14" s="181"/>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16" zoomScaleNormal="100" workbookViewId="0">
      <selection activeCell="A30" sqref="A30:C30"/>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518</v>
      </c>
      <c r="B1" s="56"/>
      <c r="C1" s="56"/>
      <c r="AA1" s="43" t="s">
        <v>502</v>
      </c>
    </row>
    <row r="2" spans="1:27" x14ac:dyDescent="0.25">
      <c r="A2" s="68" t="s">
        <v>507</v>
      </c>
    </row>
    <row r="3" spans="1:27" ht="51" customHeight="1" thickBot="1" x14ac:dyDescent="0.3">
      <c r="A3" s="187" t="s">
        <v>295</v>
      </c>
      <c r="B3" s="188"/>
      <c r="C3" s="188"/>
    </row>
    <row r="4" spans="1:27" ht="15.75" thickBot="1" x14ac:dyDescent="0.3">
      <c r="A4" s="65" t="s">
        <v>3</v>
      </c>
      <c r="B4" s="66" t="s">
        <v>296</v>
      </c>
      <c r="C4" s="66" t="s">
        <v>297</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298</v>
      </c>
    </row>
    <row r="14" spans="1:27" ht="71.25" customHeight="1" x14ac:dyDescent="0.25">
      <c r="A14" s="155" t="s">
        <v>532</v>
      </c>
      <c r="B14" s="185"/>
      <c r="C14" s="186"/>
    </row>
    <row r="15" spans="1:27" x14ac:dyDescent="0.25"/>
    <row r="16" spans="1:27" x14ac:dyDescent="0.25">
      <c r="A16" s="68" t="s">
        <v>508</v>
      </c>
    </row>
    <row r="17" spans="1:3" x14ac:dyDescent="0.25">
      <c r="A17" s="43" t="s">
        <v>299</v>
      </c>
    </row>
    <row r="18" spans="1:3" ht="50.25" customHeight="1" x14ac:dyDescent="0.25">
      <c r="A18" s="155" t="s">
        <v>561</v>
      </c>
      <c r="B18" s="185"/>
      <c r="C18" s="186"/>
    </row>
    <row r="19" spans="1:3" x14ac:dyDescent="0.25"/>
    <row r="20" spans="1:3" x14ac:dyDescent="0.25">
      <c r="A20" s="68" t="s">
        <v>509</v>
      </c>
    </row>
    <row r="21" spans="1:3" x14ac:dyDescent="0.25">
      <c r="A21" s="43" t="s">
        <v>300</v>
      </c>
    </row>
    <row r="22" spans="1:3" ht="152.25" customHeight="1" x14ac:dyDescent="0.25">
      <c r="A22" s="182" t="s">
        <v>560</v>
      </c>
      <c r="B22" s="183"/>
      <c r="C22" s="184"/>
    </row>
    <row r="23" spans="1:3" x14ac:dyDescent="0.25"/>
    <row r="24" spans="1:3" x14ac:dyDescent="0.25">
      <c r="A24" s="68" t="s">
        <v>510</v>
      </c>
    </row>
    <row r="25" spans="1:3" x14ac:dyDescent="0.25">
      <c r="A25" s="43" t="s">
        <v>299</v>
      </c>
    </row>
    <row r="26" spans="1:3" ht="44.25" customHeight="1" x14ac:dyDescent="0.25">
      <c r="A26" s="155" t="s">
        <v>562</v>
      </c>
      <c r="B26" s="185"/>
      <c r="C26" s="186"/>
    </row>
    <row r="27" spans="1:3" x14ac:dyDescent="0.25"/>
    <row r="28" spans="1:3" x14ac:dyDescent="0.25">
      <c r="A28" s="68" t="s">
        <v>511</v>
      </c>
    </row>
    <row r="29" spans="1:3" x14ac:dyDescent="0.25">
      <c r="A29" s="43" t="s">
        <v>301</v>
      </c>
    </row>
    <row r="30" spans="1:3" ht="38.25" customHeight="1" x14ac:dyDescent="0.25">
      <c r="A30" s="155" t="s">
        <v>549</v>
      </c>
      <c r="B30" s="185"/>
      <c r="C30" s="186"/>
    </row>
    <row r="31" spans="1:3" x14ac:dyDescent="0.25"/>
    <row r="32" spans="1:3" x14ac:dyDescent="0.25">
      <c r="A32" s="68" t="s">
        <v>512</v>
      </c>
    </row>
    <row r="33" spans="1:3" x14ac:dyDescent="0.25">
      <c r="A33" s="43" t="s">
        <v>302</v>
      </c>
    </row>
    <row r="34" spans="1:3" ht="94.5" customHeight="1" x14ac:dyDescent="0.25">
      <c r="A34" s="182" t="s">
        <v>563</v>
      </c>
      <c r="B34" s="183"/>
      <c r="C34" s="184"/>
    </row>
    <row r="35" spans="1:3" x14ac:dyDescent="0.25"/>
    <row r="36" spans="1:3" x14ac:dyDescent="0.25">
      <c r="A36" s="68" t="s">
        <v>513</v>
      </c>
    </row>
    <row r="37" spans="1:3" x14ac:dyDescent="0.25">
      <c r="A37" s="43" t="s">
        <v>303</v>
      </c>
    </row>
    <row r="38" spans="1:3" ht="57.75" customHeight="1" x14ac:dyDescent="0.25">
      <c r="A38" s="155" t="s">
        <v>304</v>
      </c>
      <c r="B38" s="185"/>
      <c r="C38" s="186"/>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13" sqref="A13:G13"/>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502</v>
      </c>
    </row>
    <row r="2" spans="1:27" x14ac:dyDescent="0.25">
      <c r="A2" s="102" t="s">
        <v>519</v>
      </c>
    </row>
    <row r="3" spans="1:27" ht="15.75" thickBot="1" x14ac:dyDescent="0.3">
      <c r="A3" s="43" t="s">
        <v>305</v>
      </c>
    </row>
    <row r="4" spans="1:27" ht="22.5" customHeight="1" thickBot="1" x14ac:dyDescent="0.3">
      <c r="A4" s="189" t="s">
        <v>306</v>
      </c>
      <c r="B4" s="191" t="s">
        <v>307</v>
      </c>
      <c r="C4" s="192"/>
      <c r="D4" s="192"/>
      <c r="E4" s="193"/>
      <c r="F4" s="191" t="s">
        <v>308</v>
      </c>
      <c r="G4" s="193"/>
    </row>
    <row r="5" spans="1:27" ht="15.75" thickBot="1" x14ac:dyDescent="0.3">
      <c r="A5" s="190"/>
      <c r="B5" s="97" t="s">
        <v>309</v>
      </c>
      <c r="C5" s="97" t="s">
        <v>310</v>
      </c>
      <c r="D5" s="97" t="s">
        <v>311</v>
      </c>
      <c r="E5" s="97" t="s">
        <v>312</v>
      </c>
      <c r="F5" s="97" t="s">
        <v>313</v>
      </c>
      <c r="G5" s="97" t="s">
        <v>314</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315</v>
      </c>
    </row>
    <row r="13" spans="1:27" ht="57.75" customHeight="1" x14ac:dyDescent="0.25">
      <c r="A13" s="155" t="s">
        <v>316</v>
      </c>
      <c r="B13" s="163"/>
      <c r="C13" s="163"/>
      <c r="D13" s="163"/>
      <c r="E13" s="163"/>
      <c r="F13" s="163"/>
      <c r="G13" s="164"/>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529</v>
      </c>
    </row>
    <row r="88" spans="1:4" x14ac:dyDescent="0.25">
      <c r="A88" t="s">
        <v>31</v>
      </c>
      <c r="B88" s="13" t="s">
        <v>183</v>
      </c>
    </row>
    <row r="89" spans="1:4" x14ac:dyDescent="0.25">
      <c r="A89" t="s">
        <v>31</v>
      </c>
      <c r="B89" s="13" t="s">
        <v>530</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317</v>
      </c>
      <c r="C1" s="1" t="s">
        <v>1</v>
      </c>
      <c r="D1" s="2" t="s">
        <v>2</v>
      </c>
      <c r="E1" s="3" t="s">
        <v>3</v>
      </c>
      <c r="F1" s="2" t="s">
        <v>226</v>
      </c>
      <c r="G1" s="2" t="s">
        <v>76</v>
      </c>
      <c r="H1" s="4" t="s">
        <v>6</v>
      </c>
      <c r="I1" s="2" t="s">
        <v>65</v>
      </c>
      <c r="J1" s="1" t="s">
        <v>4</v>
      </c>
      <c r="K1" s="4" t="s">
        <v>224</v>
      </c>
      <c r="L1" s="4" t="s">
        <v>110</v>
      </c>
      <c r="M1" s="1" t="s">
        <v>5</v>
      </c>
      <c r="N1" s="4" t="s">
        <v>514</v>
      </c>
      <c r="O1" s="4" t="s">
        <v>489</v>
      </c>
    </row>
    <row r="2" spans="1:15" ht="105.75" customHeight="1" x14ac:dyDescent="0.25">
      <c r="A2" s="5" t="s">
        <v>0</v>
      </c>
      <c r="B2" s="5" t="s">
        <v>525</v>
      </c>
      <c r="C2" s="5" t="s">
        <v>66</v>
      </c>
      <c r="D2" s="5" t="s">
        <v>7</v>
      </c>
      <c r="E2" s="6" t="s">
        <v>229</v>
      </c>
      <c r="F2" s="5" t="s">
        <v>228</v>
      </c>
      <c r="G2" s="5" t="s">
        <v>230</v>
      </c>
      <c r="H2" s="25" t="s">
        <v>223</v>
      </c>
      <c r="I2" s="5" t="s">
        <v>111</v>
      </c>
      <c r="J2" s="25" t="s">
        <v>231</v>
      </c>
      <c r="K2" s="5" t="s">
        <v>225</v>
      </c>
      <c r="L2" s="5" t="s">
        <v>227</v>
      </c>
      <c r="M2" s="5" t="s">
        <v>250</v>
      </c>
      <c r="N2" s="37" t="s">
        <v>520</v>
      </c>
      <c r="O2" s="37" t="s">
        <v>490</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492</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493</v>
      </c>
      <c r="E2" s="5" t="s">
        <v>7</v>
      </c>
      <c r="F2" s="6" t="s">
        <v>229</v>
      </c>
      <c r="G2" s="5" t="s">
        <v>228</v>
      </c>
      <c r="H2" s="5" t="s">
        <v>230</v>
      </c>
      <c r="I2" s="25" t="s">
        <v>223</v>
      </c>
      <c r="J2" s="5" t="s">
        <v>111</v>
      </c>
      <c r="K2" s="25" t="s">
        <v>231</v>
      </c>
      <c r="L2" s="5" t="s">
        <v>225</v>
      </c>
      <c r="M2" s="5" t="s">
        <v>227</v>
      </c>
      <c r="N2" s="5" t="s">
        <v>250</v>
      </c>
      <c r="O2" s="37" t="s">
        <v>247</v>
      </c>
    </row>
    <row r="3" spans="1:15" ht="300" x14ac:dyDescent="0.25">
      <c r="B3" s="7">
        <f>'Approval and Documentation'!C$4</f>
        <v>0</v>
      </c>
      <c r="C3" s="7">
        <f>'Approval and Documentation'!C$6</f>
        <v>0</v>
      </c>
      <c r="D3" s="8">
        <f>'3 '!$C$1</f>
        <v>0</v>
      </c>
      <c r="E3" s="7">
        <v>1</v>
      </c>
      <c r="F3" s="8" t="str">
        <f>'3 '!$C$2</f>
        <v>Market</v>
      </c>
      <c r="G3" s="8" t="str">
        <f>'3 '!$C$3</f>
        <v>Price Risk</v>
      </c>
      <c r="H3" s="8" t="str">
        <f>'3 '!$C$4</f>
        <v>Plan Asset Devaluation</v>
      </c>
      <c r="I3" s="8" t="str">
        <f>'3 '!$A$12</f>
        <v>For defined benefit (DB) plans, changes in market may affect the value of the assets and discount rate, which in turn will affect the projected benefit obligation (PBO), affecting funding status of the plan and increasing employer contributions/liabilities to the plans to comply with Title IV Employee Retirement Income Security Act (ERISA) regulations.  Market fluctuation may occur that may affect the value of plan assets impacting the Bank's capital.  Plan asset valuations affecting capital are performed annually.
The controls include the following: 
- Plan assets valuations affecting capital are performed annually. 
- Sound Investment Policy 
- Scenario analysis
- Pension Plan Committee oversight to ensure compliance with policy.  Pension Plan Committee meets quarterly to ensure investments performance and diversification are in line with policy and there are no significant changes in assets' values.</v>
      </c>
      <c r="J3" s="8" t="str">
        <f>'3 '!$C$5</f>
        <v>Equity Prices (Down)</v>
      </c>
      <c r="K3" s="8" t="str">
        <f>'3 '!$A$9</f>
        <v>Plan assets valuations, Sound Investment Policy and Pension Plan Committee oversight, scenario analysis</v>
      </c>
      <c r="L3" s="8">
        <f>'3 '!$C$6</f>
        <v>0</v>
      </c>
      <c r="M3" s="8" t="str">
        <f>'3 '!$C$7</f>
        <v>$5 M - $50 M</v>
      </c>
      <c r="N3" s="8" t="str">
        <f>'3 '!$B$10</f>
        <v>The financial impact analysis considers the impact the risk may have on the capital of the Bank. The 2014 annual pension plan valuation required an unfavorable capital adjustment of $10.4MM. According to the Capital Stress Test performed for Pension Benefit Obligations, the impact under stressed scenarios would be within $5MM - $50MM.</v>
      </c>
      <c r="O3" s="10"/>
    </row>
    <row r="4" spans="1:15" ht="210" x14ac:dyDescent="0.25">
      <c r="A4" s="7"/>
      <c r="B4" s="7">
        <f>'Approval and Documentation'!C$4</f>
        <v>0</v>
      </c>
      <c r="C4" s="7">
        <f>'Approval and Documentation'!C$6</f>
        <v>0</v>
      </c>
      <c r="D4" s="8">
        <f>'4 '!$C$1</f>
        <v>0</v>
      </c>
      <c r="E4" s="11">
        <v>2</v>
      </c>
      <c r="F4" s="8" t="str">
        <f>'4 '!$C$2</f>
        <v>Compliance</v>
      </c>
      <c r="G4" s="8" t="str">
        <f>'4 '!$C$3</f>
        <v>Regulatory Compliance</v>
      </c>
      <c r="H4" s="8" t="str">
        <f>'4 '!$C$4</f>
        <v>Failure to comply with regulatory requirements</v>
      </c>
      <c r="I4" s="8" t="str">
        <f>'4 '!$A$12</f>
        <v>The risk to current or anticipated earnings or capital arising from violations of, or nonconformance with laws, rules, regulations, prescribed practices, internal policies and procedures, or ethical standards.   Risk of non-compliance with regulatory requirements resulting in potential monetary compensation, fines and penalties.  Failure to comply with applicable regulations such as Internal Revenue Codes, ERISA, Pension Protection Act (PPA), PBGC, etc.  driven by deficiencies in processes and controls.
The controls to mitigate this risk include processes to ensure compliance including an annual audit, external consultant, providers and attorneys assist with plan compliance.</v>
      </c>
      <c r="J4" s="8">
        <f>'4 '!$C$5</f>
        <v>0</v>
      </c>
      <c r="K4" s="8" t="str">
        <f>'4 '!$A$9</f>
        <v xml:space="preserve"> Annual audit, external consultant, providers and attorneys assist with plans compliance</v>
      </c>
      <c r="L4" s="8">
        <f>'4 '!$C$6</f>
        <v>0</v>
      </c>
      <c r="M4" s="8" t="str">
        <f>'4 '!$C$7</f>
        <v>$1 - $5 M</v>
      </c>
      <c r="N4" s="8" t="str">
        <f>'4 '!$B$10</f>
        <v xml:space="preserve">The financial impact analysis is based on potential monetary compensation, fines and penalties in case of non-compliance with regulatory requirements. </v>
      </c>
      <c r="O4" s="10"/>
    </row>
    <row r="5" spans="1:15" ht="180" x14ac:dyDescent="0.25">
      <c r="A5" s="7"/>
      <c r="B5" s="7">
        <f>'Approval and Documentation'!C$4</f>
        <v>0</v>
      </c>
      <c r="C5" s="7">
        <f>'Approval and Documentation'!C$6</f>
        <v>0</v>
      </c>
      <c r="D5" s="8">
        <f>'5 '!$C$1</f>
        <v>0</v>
      </c>
      <c r="E5" s="7">
        <v>3</v>
      </c>
      <c r="F5" s="8" t="str">
        <f>'5 '!$C$2</f>
        <v>Operational</v>
      </c>
      <c r="G5" s="8" t="str">
        <f>'5 '!$C$3</f>
        <v>Internal Fraud</v>
      </c>
      <c r="H5" s="8" t="str">
        <f>'5 '!$C$4</f>
        <v>Internal Fraud during the ordinary course of operations</v>
      </c>
      <c r="I5" s="8" t="str">
        <f>'5 '!$A$12</f>
        <v>The risk of losses from willful actions designed to defraud, misappropriate goods or evade business regulations, laws or policies in which at least one person linked to the company is implicated.  Risk of Management intentional bias in significant accounting estimates – discount rate and rate of return on plan assets.  Risk of regulatory and legal repercussions due to Internal Fraud which may translate to a direct impact on operations.  The risks may also include reputational damage and monetary losses.  
The controls include separation of duties, external plan audits, engagement of trustee, actuary and asset managers.</v>
      </c>
      <c r="J5" s="8">
        <f>'5 '!$C$5</f>
        <v>0</v>
      </c>
      <c r="K5" s="8" t="str">
        <f>'5 '!$A$9</f>
        <v xml:space="preserve">No internal separation of duties apply as all assets are managed by asset managers, trustee services are engaged and actuaries maintain participant inforamtion.  Authorization of benefits is confirmed by actuary and signed of by the HR Director. </v>
      </c>
      <c r="L5" s="8">
        <f>'5 '!$C$6</f>
        <v>0</v>
      </c>
      <c r="M5" s="8" t="str">
        <f>'5 '!$C$7</f>
        <v>$1 - $5 M</v>
      </c>
      <c r="N5" s="8" t="str">
        <f>'5 '!$B$10</f>
        <v xml:space="preserve">
The Stressed Financial Impact considers possible losses from the internal fraud as well as from both legal and regulatory repercussions.</v>
      </c>
      <c r="O5" s="10"/>
    </row>
    <row r="6" spans="1:15" ht="105" x14ac:dyDescent="0.25">
      <c r="A6" s="7"/>
      <c r="B6" s="7">
        <f>'Approval and Documentation'!C$4</f>
        <v>0</v>
      </c>
      <c r="C6" s="7">
        <f>'Approval and Documentation'!C$6</f>
        <v>0</v>
      </c>
      <c r="D6" s="8">
        <f>'6'!$C$1</f>
        <v>0</v>
      </c>
      <c r="E6" s="11">
        <v>4</v>
      </c>
      <c r="F6" s="8" t="str">
        <f>'6'!$C$2</f>
        <v>Operational</v>
      </c>
      <c r="G6" s="8" t="str">
        <f>'6'!$C$3</f>
        <v>External Fraud</v>
      </c>
      <c r="H6" s="8" t="str">
        <f>'6'!$C$4</f>
        <v>Misleading Financial Information</v>
      </c>
      <c r="I6" s="8" t="str">
        <f>'6'!$A$12</f>
        <v>Risk of financial losses resulting from misleading financial information.  Failure to perform adequate analysis which risks making inappropriate decisions.  
Controls to mitigate this risk include Internal Audit, internal controls, monitoring of fluctuations, verification during mid-year (September) to predict significant variations.</v>
      </c>
      <c r="J6" s="8">
        <f>'6'!$C$5</f>
        <v>0</v>
      </c>
      <c r="K6" s="8" t="str">
        <f>'6'!$A$9</f>
        <v>Internal Audit, internal controls, monitoring of fluctuations, verification during mid-year (September) to predict significant variations</v>
      </c>
      <c r="L6" s="8">
        <f>'6'!$C$6</f>
        <v>0</v>
      </c>
      <c r="M6" s="8" t="str">
        <f>'6'!$C$7</f>
        <v>$1 - $5 M</v>
      </c>
      <c r="N6" s="8" t="str">
        <f>'6'!$B$10</f>
        <v xml:space="preserve">The financial impact analysis is based on potential losses (in stressed conditions) this risk may have to the Line of Business.  </v>
      </c>
      <c r="O6" s="10"/>
    </row>
    <row r="7" spans="1:15" ht="240" x14ac:dyDescent="0.25">
      <c r="A7" s="7"/>
      <c r="B7" s="7">
        <f>'Approval and Documentation'!C$4</f>
        <v>0</v>
      </c>
      <c r="C7" s="7">
        <f>'Approval and Documentation'!C$6</f>
        <v>0</v>
      </c>
      <c r="D7" s="8">
        <f>'2 '!$C$1</f>
        <v>0</v>
      </c>
      <c r="E7" s="7">
        <v>5</v>
      </c>
      <c r="F7" s="8" t="str">
        <f>'2 '!$C$2</f>
        <v>Market</v>
      </c>
      <c r="G7" s="8" t="str">
        <f>'2 '!$C$3</f>
        <v>Interest rates</v>
      </c>
      <c r="H7" s="8" t="str">
        <f>'2 '!$C$4</f>
        <v xml:space="preserve">Increase of Pension Benefit Obligation (PBO) per decline in “Citi Pension Liability Index” </v>
      </c>
      <c r="I7" s="8" t="str">
        <f>'2 '!$A$12</f>
        <v xml:space="preserve">The risk of an increase in the Pension Benefit Obligation (PBO) due to a drop in the interest rate curve  “Citi Pension Liability Index”.  A pension benefit obligation is a calculation of the total amount due to participants of the plans based on actuarial assumptions.  The "Citi Pension Liability Index" (CPLI) is a market standard for valuation of pension liabilities. The Citi pension curve is derived from yields on long-term high-quality corporate bonds and is widely used to determine accounting pension liabilities.  The CPLI reflects the discount rate that can be used to value liabilities for GAAP reporting purposes.  The Plans use the spot rate as of December 31 each year.
The controls include the monitoring of fluctuations, verification during mid-year (September) to try to predict significant variations. End of year valuations for accounting adjustments. </v>
      </c>
      <c r="J7" s="8" t="str">
        <f>'2 '!$C$5</f>
        <v>Interest Rates (Down)</v>
      </c>
      <c r="K7" s="8" t="str">
        <f>'2 '!$A$9</f>
        <v xml:space="preserve">Monitoring of fluctuations, verification during mid-year (september) to try to predict significant variations. End of year valuations for accounting adjustments. </v>
      </c>
      <c r="L7" s="8">
        <f>'2 '!$C$6</f>
        <v>0</v>
      </c>
      <c r="M7" s="8" t="str">
        <f>'2 '!$C$7</f>
        <v>$5 M - $50 M</v>
      </c>
      <c r="N7" s="8" t="str">
        <f>'2 '!$B$10</f>
        <v>The financial impact analysis is based on the potential capital and P&amp;L impact (due to amortization and pension expense) this risk may pose in a stressed scenario.</v>
      </c>
      <c r="O7" s="10"/>
    </row>
    <row r="8" spans="1:15" ht="300" x14ac:dyDescent="0.25">
      <c r="A8" s="7"/>
      <c r="B8" s="7">
        <f>'Approval and Documentation'!C$4</f>
        <v>0</v>
      </c>
      <c r="C8" s="7">
        <f>'Approval and Documentation'!C$6</f>
        <v>0</v>
      </c>
      <c r="D8" s="8">
        <f>'1 '!$C$1</f>
        <v>0</v>
      </c>
      <c r="E8" s="11">
        <v>6</v>
      </c>
      <c r="F8" s="8" t="str">
        <f>'1 '!$C$2</f>
        <v xml:space="preserve">Strategic </v>
      </c>
      <c r="G8" s="8" t="str">
        <f>'1 '!$C$3</f>
        <v>External Factors</v>
      </c>
      <c r="H8" s="8" t="str">
        <f>'1 '!$C$4</f>
        <v>Increase of Pension Benefit Obligation (PBO) due to changes in the mortality rate</v>
      </c>
      <c r="I8" s="8" t="str">
        <f>'1 '!$A$12</f>
        <v xml:space="preserve">The risk of an increase in the Pension Benefit Obligation (PBO) due to changes of applicable rules for actuarial valuation assumption, including for example mortality tables.  A pension benefit obligation is a calculation of the total amount due to participants of the plans based on actuarial assumptions.  Decreases in mortality rates result in an increase in the projected benefit obligation and in pension costs.  The reduction in funded status due to the revised mortality tables will affect the company’s balance sheet through a decrease in shareholder’s equity (net of an income tax adjustment). In addition, the expense in the following years will be larger due to an increase in the interest charge on the larger Projected Benefit Obligation (PBO) and a potential increase in the amortization charge. Mortality tables are reviewed every 15 years and the last review was performed during 2014.
The controls include the monitoring of fluctuations, verification during mid-year (September) to try to predict significant variations. End of year valuations for accounting adjustments. </v>
      </c>
      <c r="J8" s="8">
        <f>'1 '!$C$5</f>
        <v>0</v>
      </c>
      <c r="K8" s="8" t="str">
        <f>'1 '!$A$9</f>
        <v>Monitoring new actuary requirements, perform mid year valuations and end-of-year valuations to determine impact of changes in actuary requiremetns, including mortality tables use for valuation.</v>
      </c>
      <c r="L8" s="8">
        <f>'1 '!$C$6</f>
        <v>0</v>
      </c>
      <c r="M8" s="8" t="str">
        <f>'1 '!$C$7</f>
        <v>$5 M - $50 M</v>
      </c>
      <c r="N8" s="8" t="str">
        <f>'1 '!$B$10</f>
        <v>The financial impact analysis is based on the potential capital and P&amp;L impact (due to amortization and pension expense) this risk may pose in a stressed scenario.</v>
      </c>
      <c r="O8" s="10"/>
    </row>
    <row r="9" spans="1:15" ht="270" x14ac:dyDescent="0.25">
      <c r="A9" s="7"/>
      <c r="B9" s="7">
        <f>'Approval and Documentation'!C$4</f>
        <v>0</v>
      </c>
      <c r="C9" s="7">
        <f>'Approval and Documentation'!C$6</f>
        <v>0</v>
      </c>
      <c r="D9" s="8">
        <f>'7'!$C$1</f>
        <v>0</v>
      </c>
      <c r="E9" s="7">
        <v>7</v>
      </c>
      <c r="F9" s="8" t="str">
        <f>'7'!$C$2</f>
        <v>Reputational</v>
      </c>
      <c r="G9" s="8" t="str">
        <f>'7'!$C$3</f>
        <v>Brand Image/Customers Experience</v>
      </c>
      <c r="H9" s="8" t="str">
        <f>'7'!$C$4</f>
        <v xml:space="preserve">Deficient service and/or non-compliance with regulatory requirements
</v>
      </c>
      <c r="I9" s="8" t="str">
        <f>'7'!$A$12</f>
        <v>The risk of a negative impact on the Bank’s reputation due to deficient service resulting in employee dissatisfaction which may lead to an increase in complaints.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complaints
- Compliance controls, Internal Audits and Internal Control reviews
- Policies and procedures aligned to regulatory requirements
- Annual training programs for all employees covering regulatory requirements as well as internal policies and procedures</v>
      </c>
      <c r="J9" s="8">
        <f>'7'!$C$5</f>
        <v>0</v>
      </c>
      <c r="K9" s="8" t="str">
        <f>'7'!$A$9</f>
        <v>Monitor the root of complaints, Compliance controls, Internal Audits and Internal Control reviews, Policies and procedures aligned to regulatory requirements, Annual training programs for all employees covering regulatory requirements as well as internal policies and procedures</v>
      </c>
      <c r="L9" s="8">
        <f>'7'!$C$6</f>
        <v>0</v>
      </c>
      <c r="M9" s="8" t="str">
        <f>'7'!$C$7</f>
        <v>$1 - $5 M</v>
      </c>
      <c r="N9" s="8" t="str">
        <f>'7'!$B$10</f>
        <v xml:space="preserve">The financial impact analysis considers potential financial losses in stressed scenario due to negative public's perception.
</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t="str">
        <f>C2</f>
        <v xml:space="preserve">Strategic </v>
      </c>
    </row>
    <row r="2" spans="1:27" ht="30.75" customHeight="1" thickBot="1" x14ac:dyDescent="0.3">
      <c r="A2" s="206" t="s">
        <v>537</v>
      </c>
      <c r="B2" s="205"/>
      <c r="C2" s="90" t="s">
        <v>20</v>
      </c>
      <c r="R2" s="42" t="str">
        <f t="shared" ref="R2:R7" si="0">A2</f>
        <v>Risk Type  - The Risk Type from the ERM Risk Taxonomy</v>
      </c>
    </row>
    <row r="3" spans="1:27" ht="24" customHeight="1" thickBot="1" x14ac:dyDescent="0.3">
      <c r="A3" s="207" t="s">
        <v>538</v>
      </c>
      <c r="B3" s="147"/>
      <c r="C3" s="70" t="s">
        <v>10</v>
      </c>
      <c r="R3" s="42" t="str">
        <f t="shared" si="0"/>
        <v>Risk Sub Type  - The Risk Sub-Category from the ERM Risk Taxonomy</v>
      </c>
    </row>
    <row r="4" spans="1:27" ht="53.25" customHeight="1" thickBot="1" x14ac:dyDescent="0.3">
      <c r="A4" s="207" t="s">
        <v>252</v>
      </c>
      <c r="B4" s="147"/>
      <c r="C4" s="73" t="s">
        <v>572</v>
      </c>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75" customHeight="1" thickBot="1" x14ac:dyDescent="0.3">
      <c r="A9" s="197" t="s">
        <v>570</v>
      </c>
      <c r="B9" s="198"/>
      <c r="C9" s="199"/>
      <c r="Q9" s="38" t="str">
        <f>A9</f>
        <v>Monitoring new actuary requirements, perform mid year valuations and end-of-year valuations to determine impact of changes in actuary requiremetns, including mortality tables use for valuation.</v>
      </c>
    </row>
    <row r="10" spans="1:27" ht="72" customHeight="1" thickBot="1" x14ac:dyDescent="0.3">
      <c r="A10" s="41" t="s">
        <v>497</v>
      </c>
      <c r="B10" s="200" t="s">
        <v>569</v>
      </c>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150" customHeight="1" thickBot="1" x14ac:dyDescent="0.3">
      <c r="A12" s="200" t="s">
        <v>580</v>
      </c>
      <c r="B12" s="202"/>
      <c r="C12" s="203"/>
      <c r="Q12" s="38" t="str">
        <f>A12</f>
        <v xml:space="preserve">The risk of an increase in the Pension Benefit Obligation (PBO) due to changes of applicable rules for actuarial valuation assumption, including for example mortality tables.  A pension benefit obligation is a calculation of the total amount due to participants of the plans based on actuarial assumptions.  Decreases in mortality rates result in an increase in the projected benefit obligation and in pension costs.  The reduction in funded status due to the revised mortality tables will affect the company’s balance sheet through a decrease in shareholder’s equity (net of an income tax adjustment). In addition, the expense in the following years will be larger due to an increase in the interest charge on the larger Projected Benefit Obligation (PBO) and a potential increase in the amortization charge. Mortality tables are reviewed every 15 years and the last review was performed during 2014.
The controls include the monitoring of fluctuations, verification during mid-year (September) to try to predict significant variations. End of year valuations for accounting adjustments.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t="str">
        <f>C2</f>
        <v>Market</v>
      </c>
    </row>
    <row r="2" spans="1:27" ht="30.75" customHeight="1" thickBot="1" x14ac:dyDescent="0.3">
      <c r="A2" s="206" t="s">
        <v>537</v>
      </c>
      <c r="B2" s="205"/>
      <c r="C2" s="90" t="s">
        <v>13</v>
      </c>
      <c r="R2" s="42" t="str">
        <f t="shared" ref="R2:R7" si="0">A2</f>
        <v>Risk Type  - The Risk Type from the ERM Risk Taxonomy</v>
      </c>
    </row>
    <row r="3" spans="1:27" ht="24" customHeight="1" thickBot="1" x14ac:dyDescent="0.3">
      <c r="A3" s="207" t="s">
        <v>538</v>
      </c>
      <c r="B3" s="147"/>
      <c r="C3" s="70" t="s">
        <v>158</v>
      </c>
      <c r="R3" s="42" t="str">
        <f t="shared" si="0"/>
        <v>Risk Sub Type  - The Risk Sub-Category from the ERM Risk Taxonomy</v>
      </c>
    </row>
    <row r="4" spans="1:27" ht="48" customHeight="1" thickBot="1" x14ac:dyDescent="0.3">
      <c r="A4" s="207" t="s">
        <v>252</v>
      </c>
      <c r="B4" s="147"/>
      <c r="C4" s="73" t="s">
        <v>573</v>
      </c>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t="s">
        <v>85</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5" customHeight="1" thickBot="1" x14ac:dyDescent="0.3">
      <c r="A9" s="197" t="s">
        <v>568</v>
      </c>
      <c r="B9" s="198"/>
      <c r="C9" s="199"/>
      <c r="Q9" s="38" t="str">
        <f>A9</f>
        <v xml:space="preserve">Monitoring of fluctuations, verification during mid-year (september) to try to predict significant variations. End of year valuations for accounting adjustments. </v>
      </c>
    </row>
    <row r="10" spans="1:27" ht="67.5" customHeight="1" thickBot="1" x14ac:dyDescent="0.3">
      <c r="A10" s="41" t="s">
        <v>498</v>
      </c>
      <c r="B10" s="200" t="s">
        <v>569</v>
      </c>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134.25" customHeight="1" thickBot="1" x14ac:dyDescent="0.3">
      <c r="A12" s="200" t="s">
        <v>575</v>
      </c>
      <c r="B12" s="202"/>
      <c r="C12" s="203"/>
      <c r="Q12" s="38" t="str">
        <f>A12</f>
        <v xml:space="preserve">The risk of an increase in the Pension Benefit Obligation (PBO) due to a drop in the interest rate curve  “Citi Pension Liability Index”.  A pension benefit obligation is a calculation of the total amount due to participants of the plans based on actuarial assumptions.  The "Citi Pension Liability Index" (CPLI) is a market standard for valuation of pension liabilities. The Citi pension curve is derived from yields on long-term high-quality corporate bonds and is widely used to determine accounting pension liabilities.  The CPLI reflects the discount rate that can be used to value liabilities for GAAP reporting purposes.  The Plans use the spot rate as of December 31 each year.
The controls include the monitoring of fluctuations, verification during mid-year (September) to try to predict significant variations. End of year valuations for accounting adjustments.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495</v>
      </c>
      <c r="B1" s="147"/>
      <c r="C1" s="73"/>
      <c r="Q1" s="81"/>
      <c r="R1" s="81"/>
      <c r="AA1" s="39" t="str">
        <f>C2</f>
        <v>Market</v>
      </c>
    </row>
    <row r="2" spans="1:27" ht="30.75" customHeight="1" thickBot="1" x14ac:dyDescent="0.3">
      <c r="A2" s="206" t="s">
        <v>537</v>
      </c>
      <c r="B2" s="205"/>
      <c r="C2" s="90" t="s">
        <v>13</v>
      </c>
      <c r="R2" s="42" t="str">
        <f t="shared" ref="R2:R7" si="0">A2</f>
        <v>Risk Type  - The Risk Type from the ERM Risk Taxonomy</v>
      </c>
    </row>
    <row r="3" spans="1:27" ht="24" customHeight="1" thickBot="1" x14ac:dyDescent="0.3">
      <c r="A3" s="207" t="s">
        <v>538</v>
      </c>
      <c r="B3" s="147"/>
      <c r="C3" s="70" t="s">
        <v>45</v>
      </c>
      <c r="R3" s="42" t="str">
        <f t="shared" si="0"/>
        <v>Risk Sub Type  - The Risk Sub-Category from the ERM Risk Taxonomy</v>
      </c>
    </row>
    <row r="4" spans="1:27" ht="31.5" customHeight="1" thickBot="1" x14ac:dyDescent="0.3">
      <c r="A4" s="207" t="s">
        <v>252</v>
      </c>
      <c r="B4" s="147"/>
      <c r="C4" s="73" t="s">
        <v>544</v>
      </c>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t="s">
        <v>91</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4.5" customHeight="1" thickBot="1" x14ac:dyDescent="0.3">
      <c r="A9" s="197" t="s">
        <v>545</v>
      </c>
      <c r="B9" s="198"/>
      <c r="C9" s="199"/>
      <c r="Q9" s="38" t="str">
        <f>A9</f>
        <v>Plan assets valuations, Sound Investment Policy and Pension Plan Committee oversight, scenario analysis</v>
      </c>
    </row>
    <row r="10" spans="1:27" ht="102.75" customHeight="1" thickBot="1" x14ac:dyDescent="0.3">
      <c r="A10" s="41" t="s">
        <v>497</v>
      </c>
      <c r="B10" s="200" t="s">
        <v>574</v>
      </c>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165.75" customHeight="1" thickBot="1" x14ac:dyDescent="0.3">
      <c r="A12" s="200" t="s">
        <v>546</v>
      </c>
      <c r="B12" s="202"/>
      <c r="C12" s="203"/>
      <c r="Q12" s="38" t="str">
        <f>A12</f>
        <v>For defined benefit (DB) plans, changes in market may affect the value of the assets and discount rate, which in turn will affect the projected benefit obligation (PBO), affecting funding status of the plan and increasing employer contributions/liabilities to the plans to comply with Title IV Employee Retirement Income Security Act (ERISA) regulations.  Market fluctuation may occur that may affect the value of plan assets impacting the Bank's capital.  Plan asset valuations affecting capital are performed annually.
The controls include the following: 
- Plan assets valuations affecting capital are performed annually. 
- Sound Investment Policy 
- Scenario analysis
- Pension Plan Committee oversight to ensure compliance with policy.  Pension Plan Committee meets quarterly to ensure investments performance and diversification are in line with policy and there are no significant changes in assets' values.</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8" t="s">
        <v>495</v>
      </c>
      <c r="B1" s="209"/>
      <c r="C1" s="82"/>
      <c r="Q1" s="81"/>
      <c r="R1" s="81"/>
      <c r="AA1" s="39" t="str">
        <f>C2</f>
        <v>Compliance</v>
      </c>
    </row>
    <row r="2" spans="1:27" ht="30.75" customHeight="1" thickBot="1" x14ac:dyDescent="0.3">
      <c r="A2" s="206" t="s">
        <v>537</v>
      </c>
      <c r="B2" s="205"/>
      <c r="C2" s="90" t="s">
        <v>11</v>
      </c>
      <c r="R2" s="42" t="str">
        <f t="shared" ref="R2:R7" si="0">A2</f>
        <v>Risk Type  - The Risk Type from the ERM Risk Taxonomy</v>
      </c>
    </row>
    <row r="3" spans="1:27" ht="24" customHeight="1" thickBot="1" x14ac:dyDescent="0.3">
      <c r="A3" s="207" t="s">
        <v>538</v>
      </c>
      <c r="B3" s="147"/>
      <c r="C3" s="70" t="s">
        <v>60</v>
      </c>
      <c r="R3" s="42" t="str">
        <f t="shared" si="0"/>
        <v>Risk Sub Type  - The Risk Sub-Category from the ERM Risk Taxonomy</v>
      </c>
    </row>
    <row r="4" spans="1:27" ht="31.5" customHeight="1" thickBot="1" x14ac:dyDescent="0.3">
      <c r="A4" s="207" t="s">
        <v>252</v>
      </c>
      <c r="B4" s="147"/>
      <c r="C4" s="73" t="s">
        <v>541</v>
      </c>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1.5" customHeight="1" thickBot="1" x14ac:dyDescent="0.3">
      <c r="A9" s="197" t="s">
        <v>564</v>
      </c>
      <c r="B9" s="198"/>
      <c r="C9" s="199"/>
      <c r="Q9" s="38" t="str">
        <f>A9</f>
        <v xml:space="preserve"> Annual audit, external consultant, providers and attorneys assist with plans compliance</v>
      </c>
    </row>
    <row r="10" spans="1:27" ht="66" customHeight="1" thickBot="1" x14ac:dyDescent="0.3">
      <c r="A10" s="41" t="s">
        <v>497</v>
      </c>
      <c r="B10" s="197" t="s">
        <v>542</v>
      </c>
      <c r="C10" s="198"/>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116.25" customHeight="1" thickBot="1" x14ac:dyDescent="0.3">
      <c r="A12" s="200" t="s">
        <v>565</v>
      </c>
      <c r="B12" s="202"/>
      <c r="C12" s="203"/>
      <c r="Q12" s="38" t="str">
        <f>A12</f>
        <v>The risk to current or anticipated earnings or capital arising from violations of, or nonconformance with laws, rules, regulations, prescribed practices, internal policies and procedures, or ethical standards.   Risk of non-compliance with regulatory requirements resulting in potential monetary compensation, fines and penalties.  Failure to comply with applicable regulations such as Internal Revenue Codes, ERISA, Pension Protection Act (PPA), PBGC, etc.  driven by deficiencies in processes and controls.
The controls to mitigate this risk include processes to ensure compliance including an annual audit, external consultant, providers and attorneys assist with plan compliance.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t="str">
        <f>C2</f>
        <v>Operational</v>
      </c>
    </row>
    <row r="2" spans="1:27" ht="30.75" customHeight="1" thickBot="1" x14ac:dyDescent="0.3">
      <c r="A2" s="206" t="s">
        <v>537</v>
      </c>
      <c r="B2" s="205"/>
      <c r="C2" s="90" t="s">
        <v>31</v>
      </c>
      <c r="R2" s="42" t="str">
        <f t="shared" ref="R2:R7" si="0">A2</f>
        <v>Risk Type  - The Risk Type from the ERM Risk Taxonomy</v>
      </c>
    </row>
    <row r="3" spans="1:27" ht="24" customHeight="1" thickBot="1" x14ac:dyDescent="0.3">
      <c r="A3" s="207" t="s">
        <v>538</v>
      </c>
      <c r="B3" s="147"/>
      <c r="C3" s="70" t="s">
        <v>30</v>
      </c>
      <c r="R3" s="42" t="str">
        <f t="shared" si="0"/>
        <v>Risk Sub Type  - The Risk Sub-Category from the ERM Risk Taxonomy</v>
      </c>
    </row>
    <row r="4" spans="1:27" ht="31.5" customHeight="1" thickBot="1" x14ac:dyDescent="0.3">
      <c r="A4" s="207" t="s">
        <v>252</v>
      </c>
      <c r="B4" s="147"/>
      <c r="C4" s="73" t="s">
        <v>543</v>
      </c>
      <c r="R4" s="42" t="str">
        <f t="shared" si="0"/>
        <v>Risk Name - The name of the risk which helps define it and differentiate it from other risks in other Business Lines with a similar Risk Category</v>
      </c>
    </row>
    <row r="5" spans="1:27" ht="27"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1.25" customHeight="1" thickBot="1" x14ac:dyDescent="0.3">
      <c r="A9" s="197" t="s">
        <v>566</v>
      </c>
      <c r="B9" s="198"/>
      <c r="C9" s="199"/>
      <c r="Q9" s="38" t="str">
        <f>A9</f>
        <v xml:space="preserve">No internal separation of duties apply as all assets are managed by asset managers, trustee services are engaged and actuaries maintain participant inforamtion.  Authorization of benefits is confirmed by actuary and signed of by the HR Director. </v>
      </c>
    </row>
    <row r="10" spans="1:27" ht="81.75" customHeight="1" thickBot="1" x14ac:dyDescent="0.3">
      <c r="A10" s="41" t="s">
        <v>498</v>
      </c>
      <c r="B10" s="200" t="s">
        <v>576</v>
      </c>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120.75" customHeight="1" thickBot="1" x14ac:dyDescent="0.3">
      <c r="A12" s="200" t="s">
        <v>567</v>
      </c>
      <c r="B12" s="202"/>
      <c r="C12" s="203"/>
      <c r="Q12" s="38" t="str">
        <f>A12</f>
        <v>The risk of losses from willful actions designed to defraud, misappropriate goods or evade business regulations, laws or policies in which at least one person linked to the company is implicated.  Risk of Management intentional bias in significant accounting estimates – discount rate and rate of return on plan assets.  Risk of regulatory and legal repercussions due to Internal Fraud which may translate to a direct impact on operations.  The risks may also include reputational damage and monetary losses.  
The controls include separation of duties, external plan audits, engagement of trustee, actuary and asset managers.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t="str">
        <f>C2</f>
        <v>Operational</v>
      </c>
    </row>
    <row r="2" spans="1:27" ht="30.75" customHeight="1" thickBot="1" x14ac:dyDescent="0.3">
      <c r="A2" s="206" t="s">
        <v>537</v>
      </c>
      <c r="B2" s="205"/>
      <c r="C2" s="90" t="s">
        <v>31</v>
      </c>
      <c r="R2" s="42" t="str">
        <f t="shared" ref="R2:R7" si="0">A2</f>
        <v>Risk Type  - The Risk Type from the ERM Risk Taxonomy</v>
      </c>
    </row>
    <row r="3" spans="1:27" ht="24" customHeight="1" thickBot="1" x14ac:dyDescent="0.3">
      <c r="A3" s="207" t="s">
        <v>538</v>
      </c>
      <c r="B3" s="147"/>
      <c r="C3" s="70" t="s">
        <v>32</v>
      </c>
      <c r="R3" s="42" t="str">
        <f t="shared" si="0"/>
        <v>Risk Sub Type  - The Risk Sub-Category from the ERM Risk Taxonomy</v>
      </c>
    </row>
    <row r="4" spans="1:27" ht="31.5" customHeight="1" thickBot="1" x14ac:dyDescent="0.3">
      <c r="A4" s="207" t="s">
        <v>252</v>
      </c>
      <c r="B4" s="147"/>
      <c r="C4" s="73" t="s">
        <v>547</v>
      </c>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4.5" customHeight="1" thickBot="1" x14ac:dyDescent="0.3">
      <c r="A9" s="197" t="s">
        <v>578</v>
      </c>
      <c r="B9" s="198"/>
      <c r="C9" s="199"/>
      <c r="Q9" s="38" t="str">
        <f>A9</f>
        <v>Internal Audit, internal controls, monitoring of fluctuations, verification during mid-year (September) to predict significant variations</v>
      </c>
    </row>
    <row r="10" spans="1:27" ht="71.25" customHeight="1" thickBot="1" x14ac:dyDescent="0.3">
      <c r="A10" s="41" t="s">
        <v>497</v>
      </c>
      <c r="B10" s="200" t="s">
        <v>548</v>
      </c>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82.5" customHeight="1" thickBot="1" x14ac:dyDescent="0.3">
      <c r="A12" s="200" t="s">
        <v>577</v>
      </c>
      <c r="B12" s="202"/>
      <c r="C12" s="203"/>
      <c r="Q12" s="38" t="str">
        <f>A12</f>
        <v>Risk of financial losses resulting from misleading financial information.  Failure to perform adequate analysis which risks making inappropriate decisions.  
Controls to mitigate this risk include Internal Audit, internal controls, monitoring of fluctuations, verification during mid-year (September) to predict significant variations.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t="str">
        <f>C2</f>
        <v>Reputational</v>
      </c>
    </row>
    <row r="2" spans="1:27" ht="30.75" customHeight="1" thickBot="1" x14ac:dyDescent="0.3">
      <c r="A2" s="206" t="s">
        <v>537</v>
      </c>
      <c r="B2" s="205"/>
      <c r="C2" s="90" t="s">
        <v>25</v>
      </c>
      <c r="R2" s="42" t="str">
        <f t="shared" ref="R2:R7" si="0">A2</f>
        <v>Risk Type  - The Risk Type from the ERM Risk Taxonomy</v>
      </c>
    </row>
    <row r="3" spans="1:27" ht="24" customHeight="1" thickBot="1" x14ac:dyDescent="0.3">
      <c r="A3" s="207" t="s">
        <v>538</v>
      </c>
      <c r="B3" s="147"/>
      <c r="C3" s="70" t="s">
        <v>29</v>
      </c>
      <c r="R3" s="42" t="str">
        <f t="shared" si="0"/>
        <v>Risk Sub Type  - The Risk Sub-Category from the ERM Risk Taxonomy</v>
      </c>
    </row>
    <row r="4" spans="1:27" ht="50.25" customHeight="1" thickBot="1" x14ac:dyDescent="0.3">
      <c r="A4" s="207" t="s">
        <v>252</v>
      </c>
      <c r="B4" s="147"/>
      <c r="C4" s="73" t="s">
        <v>583</v>
      </c>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t="s">
        <v>585</v>
      </c>
      <c r="B9" s="198"/>
      <c r="C9" s="199"/>
      <c r="Q9" s="38" t="str">
        <f>A9</f>
        <v>Monitor the root of complaints,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497</v>
      </c>
      <c r="B10" s="200" t="s">
        <v>582</v>
      </c>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173.25" customHeight="1" thickBot="1" x14ac:dyDescent="0.3">
      <c r="A12" s="200" t="s">
        <v>584</v>
      </c>
      <c r="B12" s="202"/>
      <c r="C12" s="203"/>
      <c r="Q12" s="38" t="str">
        <f>A12</f>
        <v>The risk of a negative impact on the Bank’s reputation due to deficient service resulting in employee dissatisfaction which may lead to an increase in complaints.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complaints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4" t="s">
        <v>494</v>
      </c>
      <c r="B1" s="147"/>
      <c r="C1" s="73"/>
      <c r="Q1" s="81"/>
      <c r="R1" s="81"/>
      <c r="AA1" s="39">
        <f>C2</f>
        <v>0</v>
      </c>
    </row>
    <row r="2" spans="1:27" ht="30.75" customHeight="1" thickBot="1" x14ac:dyDescent="0.3">
      <c r="A2" s="206" t="s">
        <v>257</v>
      </c>
      <c r="B2" s="205"/>
      <c r="C2" s="91"/>
      <c r="R2" s="42" t="str">
        <f t="shared" ref="R2:R7" si="0">A2</f>
        <v>Risk Type  - The Risk Type from the SHUSA ERM Risk Taxonomy</v>
      </c>
    </row>
    <row r="3" spans="1:27" ht="24" customHeight="1" thickBot="1" x14ac:dyDescent="0.3">
      <c r="A3" s="207" t="s">
        <v>251</v>
      </c>
      <c r="B3" s="147"/>
      <c r="C3" s="84"/>
      <c r="R3" s="42" t="str">
        <f t="shared" si="0"/>
        <v>Risk Sub Type  - The Risk Sub-Category from the SHUSA ERM Risk Taxonomy</v>
      </c>
    </row>
    <row r="4" spans="1:27" ht="31.5" customHeight="1" thickBot="1" x14ac:dyDescent="0.3">
      <c r="A4" s="207" t="s">
        <v>252</v>
      </c>
      <c r="B4" s="147"/>
      <c r="C4" s="8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21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211"/>
      <c r="Q9" s="38">
        <f>A9</f>
        <v>0</v>
      </c>
    </row>
    <row r="10" spans="1:27" ht="81.75" customHeight="1" thickBot="1" x14ac:dyDescent="0.3">
      <c r="A10" s="41" t="s">
        <v>498</v>
      </c>
      <c r="B10" s="200"/>
      <c r="C10" s="212"/>
    </row>
    <row r="11" spans="1:27" ht="31.5" customHeight="1" thickBot="1" x14ac:dyDescent="0.3">
      <c r="A11" s="194" t="s">
        <v>256</v>
      </c>
      <c r="B11" s="195"/>
      <c r="C11" s="21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1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4" t="s">
        <v>491</v>
      </c>
      <c r="B1" s="147"/>
      <c r="C1" s="73"/>
      <c r="Q1" s="81"/>
      <c r="R1" s="81"/>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38">
        <f>A9</f>
        <v>0</v>
      </c>
    </row>
    <row r="10" spans="1:27" ht="81.75" customHeight="1" thickBot="1" x14ac:dyDescent="0.3">
      <c r="A10" s="41" t="s">
        <v>498</v>
      </c>
      <c r="B10" s="200"/>
      <c r="C10" s="201"/>
    </row>
    <row r="11" spans="1:27" ht="31.5" customHeight="1" thickBot="1" x14ac:dyDescent="0.3">
      <c r="A11" s="194" t="s">
        <v>256</v>
      </c>
      <c r="B11" s="195"/>
      <c r="C11" s="19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4" t="s">
        <v>491</v>
      </c>
      <c r="B1" s="147"/>
      <c r="C1" s="73"/>
      <c r="AA1" s="39">
        <f>C2</f>
        <v>0</v>
      </c>
    </row>
    <row r="2" spans="1:27" ht="30.75" customHeight="1" thickBot="1" x14ac:dyDescent="0.3">
      <c r="A2" s="206" t="s">
        <v>257</v>
      </c>
      <c r="B2" s="205"/>
      <c r="C2" s="90"/>
      <c r="R2" s="42" t="str">
        <f t="shared" ref="R2:R7" si="0">A2</f>
        <v>Risk Type  - The Risk Type from the SHUSA ERM Risk Taxonomy</v>
      </c>
    </row>
    <row r="3" spans="1:27" ht="24" customHeight="1" thickBot="1" x14ac:dyDescent="0.3">
      <c r="A3" s="207" t="s">
        <v>251</v>
      </c>
      <c r="B3" s="147"/>
      <c r="C3" s="70"/>
      <c r="R3" s="42" t="str">
        <f t="shared" si="0"/>
        <v>Risk Sub Type  - The Risk Sub-Category from the SHUSA ERM Risk Taxonomy</v>
      </c>
    </row>
    <row r="4" spans="1:27" ht="31.5" customHeight="1" thickBot="1" x14ac:dyDescent="0.3">
      <c r="A4" s="207" t="s">
        <v>252</v>
      </c>
      <c r="B4" s="147"/>
      <c r="C4" s="73"/>
      <c r="R4" s="42" t="str">
        <f t="shared" si="0"/>
        <v>Risk Name - The name of the risk which helps define it and differentiate it from other risks in other Business Lines with a similar Risk Category</v>
      </c>
    </row>
    <row r="5" spans="1:27" ht="39" customHeight="1" thickBot="1" x14ac:dyDescent="0.3">
      <c r="A5" s="207" t="s">
        <v>496</v>
      </c>
      <c r="B5" s="14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7" t="s">
        <v>253</v>
      </c>
      <c r="B6" s="14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4" t="s">
        <v>254</v>
      </c>
      <c r="B7" s="205"/>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4" t="s">
        <v>255</v>
      </c>
      <c r="B8" s="195"/>
      <c r="C8" s="196"/>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197"/>
      <c r="B9" s="198"/>
      <c r="C9" s="199"/>
      <c r="Q9" s="86">
        <f>A9</f>
        <v>0</v>
      </c>
    </row>
    <row r="10" spans="1:27" ht="81.75" customHeight="1" thickBot="1" x14ac:dyDescent="0.3">
      <c r="A10" s="41" t="s">
        <v>497</v>
      </c>
      <c r="B10" s="200"/>
      <c r="C10" s="201"/>
    </row>
    <row r="11" spans="1:27" ht="31.5" customHeight="1" thickBot="1" x14ac:dyDescent="0.3">
      <c r="A11" s="194" t="s">
        <v>256</v>
      </c>
      <c r="B11" s="195"/>
      <c r="C11" s="196"/>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0"/>
      <c r="B12" s="202"/>
      <c r="C12" s="203"/>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80" workbookViewId="0">
      <selection activeCell="B90" sqref="B90:B94"/>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3" t="s">
        <v>342</v>
      </c>
      <c r="B1" s="224"/>
      <c r="C1" s="224"/>
    </row>
    <row r="2" spans="1:3" ht="15.75" thickBot="1" x14ac:dyDescent="0.3">
      <c r="A2" s="74" t="s">
        <v>226</v>
      </c>
      <c r="B2" s="75" t="s">
        <v>319</v>
      </c>
      <c r="C2" s="75" t="s">
        <v>320</v>
      </c>
    </row>
    <row r="3" spans="1:3" ht="15.75" thickBot="1" x14ac:dyDescent="0.3">
      <c r="A3" s="215" t="s">
        <v>146</v>
      </c>
      <c r="B3" s="215" t="s">
        <v>321</v>
      </c>
      <c r="C3" s="54" t="s">
        <v>322</v>
      </c>
    </row>
    <row r="4" spans="1:3" ht="15.75" thickBot="1" x14ac:dyDescent="0.3">
      <c r="A4" s="216"/>
      <c r="B4" s="216"/>
      <c r="C4" s="54" t="s">
        <v>323</v>
      </c>
    </row>
    <row r="5" spans="1:3" ht="15.75" thickBot="1" x14ac:dyDescent="0.3">
      <c r="A5" s="216"/>
      <c r="B5" s="216"/>
      <c r="C5" s="54" t="s">
        <v>324</v>
      </c>
    </row>
    <row r="6" spans="1:3" ht="15.75" thickBot="1" x14ac:dyDescent="0.3">
      <c r="A6" s="216"/>
      <c r="B6" s="216"/>
      <c r="C6" s="54" t="s">
        <v>325</v>
      </c>
    </row>
    <row r="7" spans="1:3" ht="15.75" thickBot="1" x14ac:dyDescent="0.3">
      <c r="A7" s="216"/>
      <c r="B7" s="216"/>
      <c r="C7" s="54" t="s">
        <v>326</v>
      </c>
    </row>
    <row r="8" spans="1:3" ht="15.75" thickBot="1" x14ac:dyDescent="0.3">
      <c r="A8" s="217"/>
      <c r="B8" s="217"/>
      <c r="C8" s="54" t="s">
        <v>327</v>
      </c>
    </row>
    <row r="9" spans="1:3" ht="15.75" thickBot="1" x14ac:dyDescent="0.3">
      <c r="A9" s="215" t="s">
        <v>23</v>
      </c>
      <c r="B9" s="215" t="s">
        <v>328</v>
      </c>
      <c r="C9" s="54" t="s">
        <v>329</v>
      </c>
    </row>
    <row r="10" spans="1:3" ht="15.75" thickBot="1" x14ac:dyDescent="0.3">
      <c r="A10" s="216"/>
      <c r="B10" s="216"/>
      <c r="C10" s="54" t="s">
        <v>330</v>
      </c>
    </row>
    <row r="11" spans="1:3" ht="15.75" thickBot="1" x14ac:dyDescent="0.3">
      <c r="A11" s="216"/>
      <c r="B11" s="216"/>
      <c r="C11" s="54" t="s">
        <v>331</v>
      </c>
    </row>
    <row r="12" spans="1:3" ht="15.75" thickBot="1" x14ac:dyDescent="0.3">
      <c r="A12" s="217"/>
      <c r="B12" s="217"/>
      <c r="C12" s="54" t="s">
        <v>332</v>
      </c>
    </row>
    <row r="13" spans="1:3" ht="30.75" thickBot="1" x14ac:dyDescent="0.3">
      <c r="A13" s="46" t="s">
        <v>213</v>
      </c>
      <c r="B13" s="54" t="s">
        <v>213</v>
      </c>
      <c r="C13" s="54" t="s">
        <v>213</v>
      </c>
    </row>
    <row r="14" spans="1:3" ht="15.75" thickBot="1" x14ac:dyDescent="0.3">
      <c r="A14" s="215" t="s">
        <v>10</v>
      </c>
      <c r="B14" s="215" t="s">
        <v>343</v>
      </c>
      <c r="C14" s="54" t="s">
        <v>333</v>
      </c>
    </row>
    <row r="15" spans="1:3" ht="15.75" thickBot="1" x14ac:dyDescent="0.3">
      <c r="A15" s="216"/>
      <c r="B15" s="216"/>
      <c r="C15" s="54" t="s">
        <v>334</v>
      </c>
    </row>
    <row r="16" spans="1:3" ht="15.75" thickBot="1" x14ac:dyDescent="0.3">
      <c r="A16" s="216"/>
      <c r="B16" s="216"/>
      <c r="C16" s="54" t="s">
        <v>335</v>
      </c>
    </row>
    <row r="17" spans="1:3" ht="15.75" thickBot="1" x14ac:dyDescent="0.3">
      <c r="A17" s="217"/>
      <c r="B17" s="217"/>
      <c r="C17" s="54" t="s">
        <v>336</v>
      </c>
    </row>
    <row r="18" spans="1:3" ht="15.75" thickBot="1" x14ac:dyDescent="0.3">
      <c r="A18" s="215" t="s">
        <v>22</v>
      </c>
      <c r="B18" s="215" t="s">
        <v>337</v>
      </c>
      <c r="C18" s="54" t="s">
        <v>338</v>
      </c>
    </row>
    <row r="19" spans="1:3" ht="15.75" thickBot="1" x14ac:dyDescent="0.3">
      <c r="A19" s="216"/>
      <c r="B19" s="216"/>
      <c r="C19" s="54" t="s">
        <v>339</v>
      </c>
    </row>
    <row r="20" spans="1:3" ht="15.75" thickBot="1" x14ac:dyDescent="0.3">
      <c r="A20" s="216"/>
      <c r="B20" s="216"/>
      <c r="C20" s="54" t="s">
        <v>340</v>
      </c>
    </row>
    <row r="21" spans="1:3" ht="15.75" thickBot="1" x14ac:dyDescent="0.3">
      <c r="A21" s="217"/>
      <c r="B21" s="217"/>
      <c r="C21" s="54" t="s">
        <v>344</v>
      </c>
    </row>
    <row r="22" spans="1:3" ht="15.75" thickBot="1" x14ac:dyDescent="0.3">
      <c r="A22" s="46" t="s">
        <v>222</v>
      </c>
      <c r="B22" s="54" t="s">
        <v>341</v>
      </c>
      <c r="C22" s="54" t="s">
        <v>222</v>
      </c>
    </row>
    <row r="23" spans="1:3" x14ac:dyDescent="0.25">
      <c r="A23" s="80"/>
      <c r="B23" s="80"/>
      <c r="C23" s="80"/>
    </row>
    <row r="24" spans="1:3" ht="45.75" customHeight="1" x14ac:dyDescent="0.25">
      <c r="A24" s="221" t="s">
        <v>345</v>
      </c>
      <c r="B24" s="222"/>
      <c r="C24" s="222"/>
    </row>
    <row r="25" spans="1:3" ht="16.5" thickBot="1" x14ac:dyDescent="0.3">
      <c r="A25" s="77"/>
      <c r="B25"/>
      <c r="C25"/>
    </row>
    <row r="26" spans="1:3" ht="15.75" thickBot="1" x14ac:dyDescent="0.3">
      <c r="A26" s="74" t="s">
        <v>226</v>
      </c>
      <c r="B26" s="75" t="s">
        <v>319</v>
      </c>
      <c r="C26" s="75" t="s">
        <v>320</v>
      </c>
    </row>
    <row r="27" spans="1:3" ht="15.75" thickBot="1" x14ac:dyDescent="0.3">
      <c r="A27" s="215" t="s">
        <v>145</v>
      </c>
      <c r="B27" s="215" t="s">
        <v>346</v>
      </c>
      <c r="C27" s="54" t="s">
        <v>347</v>
      </c>
    </row>
    <row r="28" spans="1:3" ht="15.75" thickBot="1" x14ac:dyDescent="0.3">
      <c r="A28" s="216"/>
      <c r="B28" s="216"/>
      <c r="C28" s="54" t="s">
        <v>348</v>
      </c>
    </row>
    <row r="29" spans="1:3" ht="15.75" thickBot="1" x14ac:dyDescent="0.3">
      <c r="A29" s="216"/>
      <c r="B29" s="216"/>
      <c r="C29" s="54" t="s">
        <v>349</v>
      </c>
    </row>
    <row r="30" spans="1:3" ht="15.75" thickBot="1" x14ac:dyDescent="0.3">
      <c r="A30" s="216"/>
      <c r="B30" s="216"/>
      <c r="C30" s="54" t="s">
        <v>28</v>
      </c>
    </row>
    <row r="31" spans="1:3" ht="15.75" thickBot="1" x14ac:dyDescent="0.3">
      <c r="A31" s="216"/>
      <c r="B31" s="216"/>
      <c r="C31" s="54" t="s">
        <v>26</v>
      </c>
    </row>
    <row r="32" spans="1:3" ht="15.75" thickBot="1" x14ac:dyDescent="0.3">
      <c r="A32" s="217"/>
      <c r="B32" s="217"/>
      <c r="C32" s="54" t="s">
        <v>350</v>
      </c>
    </row>
    <row r="33" spans="1:3" ht="15.75" x14ac:dyDescent="0.25">
      <c r="A33" s="77"/>
      <c r="B33"/>
      <c r="C33"/>
    </row>
    <row r="34" spans="1:3" ht="42" customHeight="1" x14ac:dyDescent="0.25">
      <c r="A34" s="221" t="s">
        <v>351</v>
      </c>
      <c r="B34" s="222"/>
      <c r="C34" s="222"/>
    </row>
    <row r="35" spans="1:3" ht="15.75" thickBot="1" x14ac:dyDescent="0.3">
      <c r="A35" s="44"/>
      <c r="B35"/>
      <c r="C35"/>
    </row>
    <row r="36" spans="1:3" ht="15.75" thickBot="1" x14ac:dyDescent="0.3">
      <c r="A36" s="74" t="s">
        <v>226</v>
      </c>
      <c r="B36" s="75" t="s">
        <v>319</v>
      </c>
      <c r="C36" s="75" t="s">
        <v>320</v>
      </c>
    </row>
    <row r="37" spans="1:3" ht="30.75" thickBot="1" x14ac:dyDescent="0.3">
      <c r="A37" s="46" t="s">
        <v>53</v>
      </c>
      <c r="B37" s="54" t="s">
        <v>352</v>
      </c>
      <c r="C37" s="54" t="s">
        <v>53</v>
      </c>
    </row>
    <row r="38" spans="1:3" ht="75" x14ac:dyDescent="0.25">
      <c r="A38" s="215" t="s">
        <v>64</v>
      </c>
      <c r="B38" s="76" t="s">
        <v>353</v>
      </c>
      <c r="C38" s="215" t="s">
        <v>64</v>
      </c>
    </row>
    <row r="39" spans="1:3" ht="30" x14ac:dyDescent="0.25">
      <c r="A39" s="216"/>
      <c r="B39" s="76" t="s">
        <v>354</v>
      </c>
      <c r="C39" s="216"/>
    </row>
    <row r="40" spans="1:3" ht="30" x14ac:dyDescent="0.25">
      <c r="A40" s="216"/>
      <c r="B40" s="76" t="s">
        <v>355</v>
      </c>
      <c r="C40" s="216"/>
    </row>
    <row r="41" spans="1:3" x14ac:dyDescent="0.25">
      <c r="A41" s="216"/>
      <c r="B41" s="76" t="s">
        <v>356</v>
      </c>
      <c r="C41" s="216"/>
    </row>
    <row r="42" spans="1:3" ht="15.75" thickBot="1" x14ac:dyDescent="0.3">
      <c r="A42" s="217"/>
      <c r="B42" s="54" t="s">
        <v>357</v>
      </c>
      <c r="C42" s="217"/>
    </row>
    <row r="43" spans="1:3" ht="135.75" thickBot="1" x14ac:dyDescent="0.3">
      <c r="A43" s="46" t="s">
        <v>56</v>
      </c>
      <c r="B43" s="54" t="s">
        <v>358</v>
      </c>
      <c r="C43" s="54" t="s">
        <v>56</v>
      </c>
    </row>
    <row r="44" spans="1:3" ht="75.75" thickBot="1" x14ac:dyDescent="0.3">
      <c r="A44" s="46" t="s">
        <v>138</v>
      </c>
      <c r="B44" s="54" t="s">
        <v>359</v>
      </c>
      <c r="C44" s="54" t="s">
        <v>138</v>
      </c>
    </row>
    <row r="45" spans="1:3" ht="15.75" thickBot="1" x14ac:dyDescent="0.3">
      <c r="A45" s="215" t="s">
        <v>57</v>
      </c>
      <c r="B45" s="215" t="s">
        <v>360</v>
      </c>
      <c r="C45" s="54" t="s">
        <v>361</v>
      </c>
    </row>
    <row r="46" spans="1:3" ht="15.75" thickBot="1" x14ac:dyDescent="0.3">
      <c r="A46" s="216"/>
      <c r="B46" s="216"/>
      <c r="C46" s="54" t="s">
        <v>334</v>
      </c>
    </row>
    <row r="47" spans="1:3" ht="15.75" thickBot="1" x14ac:dyDescent="0.3">
      <c r="A47" s="216"/>
      <c r="B47" s="216"/>
      <c r="C47" s="54" t="s">
        <v>329</v>
      </c>
    </row>
    <row r="48" spans="1:3" ht="15.75" thickBot="1" x14ac:dyDescent="0.3">
      <c r="A48" s="216"/>
      <c r="B48" s="216"/>
      <c r="C48" s="54" t="s">
        <v>362</v>
      </c>
    </row>
    <row r="49" spans="1:3" ht="15.75" thickBot="1" x14ac:dyDescent="0.3">
      <c r="A49" s="217"/>
      <c r="B49" s="217"/>
      <c r="C49" s="54" t="s">
        <v>363</v>
      </c>
    </row>
    <row r="50" spans="1:3" ht="60.75" thickBot="1" x14ac:dyDescent="0.3">
      <c r="A50" s="46" t="s">
        <v>55</v>
      </c>
      <c r="B50" s="54" t="s">
        <v>364</v>
      </c>
      <c r="C50" s="54" t="s">
        <v>55</v>
      </c>
    </row>
    <row r="51" spans="1:3" ht="30" x14ac:dyDescent="0.25">
      <c r="A51" s="215" t="s">
        <v>52</v>
      </c>
      <c r="B51" s="76" t="s">
        <v>365</v>
      </c>
      <c r="C51" s="215" t="s">
        <v>52</v>
      </c>
    </row>
    <row r="52" spans="1:3" ht="45.75" thickBot="1" x14ac:dyDescent="0.3">
      <c r="A52" s="217"/>
      <c r="B52" s="54" t="s">
        <v>366</v>
      </c>
      <c r="C52" s="217"/>
    </row>
    <row r="53" spans="1:3" ht="45.75" thickBot="1" x14ac:dyDescent="0.3">
      <c r="A53" s="46" t="s">
        <v>18</v>
      </c>
      <c r="B53" s="54" t="s">
        <v>367</v>
      </c>
      <c r="C53" s="54" t="s">
        <v>18</v>
      </c>
    </row>
    <row r="54" spans="1:3" ht="30.75" thickBot="1" x14ac:dyDescent="0.3">
      <c r="A54" s="46" t="s">
        <v>144</v>
      </c>
      <c r="B54" s="54" t="s">
        <v>368</v>
      </c>
      <c r="C54" s="54" t="s">
        <v>369</v>
      </c>
    </row>
    <row r="55" spans="1:3" ht="15.75" x14ac:dyDescent="0.25">
      <c r="A55" s="77"/>
      <c r="B55"/>
      <c r="C55"/>
    </row>
    <row r="56" spans="1:3" ht="39" customHeight="1" x14ac:dyDescent="0.25">
      <c r="A56" s="221" t="s">
        <v>370</v>
      </c>
      <c r="B56" s="222"/>
      <c r="C56" s="222"/>
    </row>
    <row r="57" spans="1:3" ht="16.5" thickBot="1" x14ac:dyDescent="0.3">
      <c r="A57" s="77"/>
      <c r="B57"/>
      <c r="C57"/>
    </row>
    <row r="58" spans="1:3" ht="15.75" thickBot="1" x14ac:dyDescent="0.3">
      <c r="A58" s="74" t="s">
        <v>226</v>
      </c>
      <c r="B58" s="75" t="s">
        <v>319</v>
      </c>
      <c r="C58" s="75" t="s">
        <v>320</v>
      </c>
    </row>
    <row r="59" spans="1:3" ht="15.75" thickBot="1" x14ac:dyDescent="0.3">
      <c r="A59" s="46" t="s">
        <v>158</v>
      </c>
      <c r="B59" s="54" t="s">
        <v>371</v>
      </c>
      <c r="C59" s="54" t="s">
        <v>372</v>
      </c>
    </row>
    <row r="60" spans="1:3" ht="30" x14ac:dyDescent="0.25">
      <c r="A60" s="215" t="s">
        <v>45</v>
      </c>
      <c r="B60" s="76" t="s">
        <v>373</v>
      </c>
      <c r="C60" s="215" t="s">
        <v>379</v>
      </c>
    </row>
    <row r="61" spans="1:3" x14ac:dyDescent="0.25">
      <c r="A61" s="216"/>
      <c r="B61" s="76" t="s">
        <v>374</v>
      </c>
      <c r="C61" s="216"/>
    </row>
    <row r="62" spans="1:3" x14ac:dyDescent="0.25">
      <c r="A62" s="216"/>
      <c r="B62" s="76" t="s">
        <v>375</v>
      </c>
      <c r="C62" s="216"/>
    </row>
    <row r="63" spans="1:3" ht="15.75" thickBot="1" x14ac:dyDescent="0.3">
      <c r="A63" s="216"/>
      <c r="B63" s="76" t="s">
        <v>376</v>
      </c>
      <c r="C63" s="217"/>
    </row>
    <row r="64" spans="1:3" ht="15.75" thickBot="1" x14ac:dyDescent="0.3">
      <c r="A64" s="216"/>
      <c r="B64" s="76" t="s">
        <v>377</v>
      </c>
      <c r="C64" s="54" t="s">
        <v>380</v>
      </c>
    </row>
    <row r="65" spans="1:3" ht="30.75" thickBot="1" x14ac:dyDescent="0.3">
      <c r="A65" s="216"/>
      <c r="B65" s="76" t="s">
        <v>378</v>
      </c>
      <c r="C65" s="54" t="s">
        <v>381</v>
      </c>
    </row>
    <row r="66" spans="1:3" ht="75.75" thickBot="1" x14ac:dyDescent="0.3">
      <c r="A66" s="217"/>
      <c r="B66" s="54" t="s">
        <v>536</v>
      </c>
      <c r="C66" s="54" t="s">
        <v>382</v>
      </c>
    </row>
    <row r="67" spans="1:3" ht="90.75" thickBot="1" x14ac:dyDescent="0.3">
      <c r="A67" s="46" t="s">
        <v>48</v>
      </c>
      <c r="B67" s="54" t="s">
        <v>383</v>
      </c>
      <c r="C67" s="54" t="s">
        <v>48</v>
      </c>
    </row>
    <row r="68" spans="1:3" ht="30.75" thickBot="1" x14ac:dyDescent="0.3">
      <c r="A68" s="46" t="s">
        <v>163</v>
      </c>
      <c r="B68" s="54" t="s">
        <v>384</v>
      </c>
      <c r="C68" s="54" t="s">
        <v>163</v>
      </c>
    </row>
    <row r="69" spans="1:3" ht="15.75" thickBot="1" x14ac:dyDescent="0.3">
      <c r="A69" s="215" t="s">
        <v>46</v>
      </c>
      <c r="B69" s="76" t="s">
        <v>385</v>
      </c>
      <c r="C69" s="54" t="s">
        <v>387</v>
      </c>
    </row>
    <row r="70" spans="1:3" ht="90.75" thickBot="1" x14ac:dyDescent="0.3">
      <c r="A70" s="217"/>
      <c r="B70" s="54" t="s">
        <v>386</v>
      </c>
      <c r="C70" s="54" t="s">
        <v>388</v>
      </c>
    </row>
    <row r="71" spans="1:3" ht="15.75" x14ac:dyDescent="0.25">
      <c r="A71" s="77"/>
      <c r="B71"/>
      <c r="C71"/>
    </row>
    <row r="72" spans="1:3" ht="53.25" customHeight="1" x14ac:dyDescent="0.25">
      <c r="A72" s="221" t="s">
        <v>389</v>
      </c>
      <c r="B72" s="222"/>
      <c r="C72" s="222"/>
    </row>
    <row r="73" spans="1:3" ht="16.5" thickBot="1" x14ac:dyDescent="0.3">
      <c r="A73" s="77"/>
      <c r="B73"/>
      <c r="C73"/>
    </row>
    <row r="74" spans="1:3" ht="15.75" thickBot="1" x14ac:dyDescent="0.3">
      <c r="A74" s="74" t="s">
        <v>226</v>
      </c>
      <c r="B74" s="78" t="s">
        <v>319</v>
      </c>
      <c r="C74" s="75" t="s">
        <v>320</v>
      </c>
    </row>
    <row r="75" spans="1:3" ht="15.75" thickBot="1" x14ac:dyDescent="0.3">
      <c r="A75" s="215" t="s">
        <v>49</v>
      </c>
      <c r="B75" s="218" t="s">
        <v>390</v>
      </c>
      <c r="C75" s="54" t="s">
        <v>391</v>
      </c>
    </row>
    <row r="76" spans="1:3" ht="15.75" thickBot="1" x14ac:dyDescent="0.3">
      <c r="A76" s="216"/>
      <c r="B76" s="219"/>
      <c r="C76" s="54" t="s">
        <v>392</v>
      </c>
    </row>
    <row r="77" spans="1:3" ht="15.75" thickBot="1" x14ac:dyDescent="0.3">
      <c r="A77" s="216"/>
      <c r="B77" s="219"/>
      <c r="C77" s="54" t="s">
        <v>10</v>
      </c>
    </row>
    <row r="78" spans="1:3" ht="15.75" thickBot="1" x14ac:dyDescent="0.3">
      <c r="A78" s="217"/>
      <c r="B78" s="220"/>
      <c r="C78" s="54" t="s">
        <v>393</v>
      </c>
    </row>
    <row r="79" spans="1:3" ht="15.75" thickBot="1" x14ac:dyDescent="0.3">
      <c r="A79" s="215" t="s">
        <v>50</v>
      </c>
      <c r="B79" s="218" t="s">
        <v>394</v>
      </c>
      <c r="C79" s="54" t="s">
        <v>395</v>
      </c>
    </row>
    <row r="80" spans="1:3" ht="15.75" thickBot="1" x14ac:dyDescent="0.3">
      <c r="A80" s="216"/>
      <c r="B80" s="219"/>
      <c r="C80" s="54" t="s">
        <v>396</v>
      </c>
    </row>
    <row r="81" spans="1:3" ht="15.75" thickBot="1" x14ac:dyDescent="0.3">
      <c r="A81" s="217"/>
      <c r="B81" s="220"/>
      <c r="C81" s="54" t="s">
        <v>325</v>
      </c>
    </row>
    <row r="82" spans="1:3" ht="15.75" thickBot="1" x14ac:dyDescent="0.3">
      <c r="A82" s="215" t="s">
        <v>16</v>
      </c>
      <c r="B82" s="218" t="s">
        <v>397</v>
      </c>
      <c r="C82" s="54" t="s">
        <v>398</v>
      </c>
    </row>
    <row r="83" spans="1:3" ht="15.75" thickBot="1" x14ac:dyDescent="0.3">
      <c r="A83" s="216"/>
      <c r="B83" s="219"/>
      <c r="C83" s="54" t="s">
        <v>399</v>
      </c>
    </row>
    <row r="84" spans="1:3" ht="15.75" thickBot="1" x14ac:dyDescent="0.3">
      <c r="A84" s="216"/>
      <c r="B84" s="219"/>
      <c r="C84" s="54" t="s">
        <v>400</v>
      </c>
    </row>
    <row r="85" spans="1:3" ht="15.75" thickBot="1" x14ac:dyDescent="0.3">
      <c r="A85" s="217"/>
      <c r="B85" s="220"/>
      <c r="C85" s="54" t="s">
        <v>401</v>
      </c>
    </row>
    <row r="86" spans="1:3" ht="15.75" x14ac:dyDescent="0.25">
      <c r="A86" s="77"/>
      <c r="B86"/>
      <c r="C86"/>
    </row>
    <row r="87" spans="1:3" ht="22.5" customHeight="1" x14ac:dyDescent="0.25">
      <c r="A87" s="221" t="s">
        <v>402</v>
      </c>
      <c r="B87" s="222"/>
      <c r="C87" s="222"/>
    </row>
    <row r="88" spans="1:3" ht="16.5" thickBot="1" x14ac:dyDescent="0.3">
      <c r="A88" s="77"/>
      <c r="B88"/>
      <c r="C88"/>
    </row>
    <row r="89" spans="1:3" ht="15.75" thickBot="1" x14ac:dyDescent="0.3">
      <c r="A89" s="74" t="s">
        <v>226</v>
      </c>
      <c r="B89" s="75" t="s">
        <v>319</v>
      </c>
      <c r="C89" s="75" t="s">
        <v>320</v>
      </c>
    </row>
    <row r="90" spans="1:3" ht="30.75" thickBot="1" x14ac:dyDescent="0.3">
      <c r="A90" s="215" t="s">
        <v>30</v>
      </c>
      <c r="B90" s="215" t="s">
        <v>403</v>
      </c>
      <c r="C90" s="54" t="s">
        <v>404</v>
      </c>
    </row>
    <row r="91" spans="1:3" ht="15.75" thickBot="1" x14ac:dyDescent="0.3">
      <c r="A91" s="216"/>
      <c r="B91" s="216"/>
      <c r="C91" s="54" t="s">
        <v>405</v>
      </c>
    </row>
    <row r="92" spans="1:3" ht="15.75" thickBot="1" x14ac:dyDescent="0.3">
      <c r="A92" s="216"/>
      <c r="B92" s="216"/>
      <c r="C92" s="54" t="s">
        <v>406</v>
      </c>
    </row>
    <row r="93" spans="1:3" ht="15.75" thickBot="1" x14ac:dyDescent="0.3">
      <c r="A93" s="216"/>
      <c r="B93" s="216"/>
      <c r="C93" s="54" t="s">
        <v>407</v>
      </c>
    </row>
    <row r="94" spans="1:3" ht="15.75" thickBot="1" x14ac:dyDescent="0.3">
      <c r="A94" s="217"/>
      <c r="B94" s="217"/>
      <c r="C94" s="54" t="s">
        <v>408</v>
      </c>
    </row>
    <row r="95" spans="1:3" ht="15.75" thickBot="1" x14ac:dyDescent="0.3">
      <c r="A95" s="215" t="s">
        <v>32</v>
      </c>
      <c r="B95" s="215" t="s">
        <v>409</v>
      </c>
      <c r="C95" s="54" t="s">
        <v>410</v>
      </c>
    </row>
    <row r="96" spans="1:3" ht="15.75" thickBot="1" x14ac:dyDescent="0.3">
      <c r="A96" s="216"/>
      <c r="B96" s="216"/>
      <c r="C96" s="54" t="s">
        <v>411</v>
      </c>
    </row>
    <row r="97" spans="1:3" ht="15.75" thickBot="1" x14ac:dyDescent="0.3">
      <c r="A97" s="216"/>
      <c r="B97" s="216"/>
      <c r="C97" s="79" t="s">
        <v>412</v>
      </c>
    </row>
    <row r="98" spans="1:3" ht="15.75" thickBot="1" x14ac:dyDescent="0.3">
      <c r="A98" s="217"/>
      <c r="B98" s="217"/>
      <c r="C98" s="54" t="s">
        <v>413</v>
      </c>
    </row>
    <row r="99" spans="1:3" ht="15.75" thickBot="1" x14ac:dyDescent="0.3">
      <c r="A99" s="215" t="s">
        <v>34</v>
      </c>
      <c r="B99" s="215" t="s">
        <v>414</v>
      </c>
      <c r="C99" s="54" t="s">
        <v>415</v>
      </c>
    </row>
    <row r="100" spans="1:3" ht="27" customHeight="1" thickBot="1" x14ac:dyDescent="0.3">
      <c r="A100" s="216"/>
      <c r="B100" s="216"/>
      <c r="C100" s="54" t="s">
        <v>416</v>
      </c>
    </row>
    <row r="101" spans="1:3" ht="40.5" customHeight="1" thickBot="1" x14ac:dyDescent="0.3">
      <c r="A101" s="217"/>
      <c r="B101" s="217"/>
      <c r="C101" s="54" t="s">
        <v>417</v>
      </c>
    </row>
    <row r="102" spans="1:3" ht="45.75" thickBot="1" x14ac:dyDescent="0.3">
      <c r="A102" s="215" t="s">
        <v>38</v>
      </c>
      <c r="B102" s="215" t="s">
        <v>418</v>
      </c>
      <c r="C102" s="54" t="s">
        <v>419</v>
      </c>
    </row>
    <row r="103" spans="1:3" ht="15.75" thickBot="1" x14ac:dyDescent="0.3">
      <c r="A103" s="216"/>
      <c r="B103" s="216"/>
      <c r="C103" s="54" t="s">
        <v>420</v>
      </c>
    </row>
    <row r="104" spans="1:3" ht="30.75" thickBot="1" x14ac:dyDescent="0.3">
      <c r="A104" s="216"/>
      <c r="B104" s="216"/>
      <c r="C104" s="54" t="s">
        <v>421</v>
      </c>
    </row>
    <row r="105" spans="1:3" ht="15.75" thickBot="1" x14ac:dyDescent="0.3">
      <c r="A105" s="216"/>
      <c r="B105" s="216"/>
      <c r="C105" s="54" t="s">
        <v>422</v>
      </c>
    </row>
    <row r="106" spans="1:3" ht="15.75" thickBot="1" x14ac:dyDescent="0.3">
      <c r="A106" s="216"/>
      <c r="B106" s="216"/>
      <c r="C106" s="54" t="s">
        <v>423</v>
      </c>
    </row>
    <row r="107" spans="1:3" ht="15.75" thickBot="1" x14ac:dyDescent="0.3">
      <c r="A107" s="216"/>
      <c r="B107" s="216"/>
      <c r="C107" s="54" t="s">
        <v>424</v>
      </c>
    </row>
    <row r="108" spans="1:3" ht="15.75" thickBot="1" x14ac:dyDescent="0.3">
      <c r="A108" s="216"/>
      <c r="B108" s="216"/>
      <c r="C108" s="54" t="s">
        <v>425</v>
      </c>
    </row>
    <row r="109" spans="1:3" ht="30.75" thickBot="1" x14ac:dyDescent="0.3">
      <c r="A109" s="217"/>
      <c r="B109" s="217"/>
      <c r="C109" s="54" t="s">
        <v>426</v>
      </c>
    </row>
    <row r="110" spans="1:3" ht="15.75" thickBot="1" x14ac:dyDescent="0.3">
      <c r="A110" s="215" t="s">
        <v>37</v>
      </c>
      <c r="B110" s="215" t="s">
        <v>427</v>
      </c>
      <c r="C110" s="54" t="s">
        <v>428</v>
      </c>
    </row>
    <row r="111" spans="1:3" ht="15.75" thickBot="1" x14ac:dyDescent="0.3">
      <c r="A111" s="216"/>
      <c r="B111" s="216"/>
      <c r="C111" s="54" t="s">
        <v>429</v>
      </c>
    </row>
    <row r="112" spans="1:3" ht="15.75" thickBot="1" x14ac:dyDescent="0.3">
      <c r="A112" s="217"/>
      <c r="B112" s="217"/>
      <c r="C112" s="54" t="s">
        <v>430</v>
      </c>
    </row>
    <row r="113" spans="1:3" ht="15.75" thickBot="1" x14ac:dyDescent="0.3">
      <c r="A113" s="215" t="s">
        <v>39</v>
      </c>
      <c r="B113" s="215" t="s">
        <v>431</v>
      </c>
      <c r="C113" s="54" t="s">
        <v>432</v>
      </c>
    </row>
    <row r="114" spans="1:3" ht="15.75" thickBot="1" x14ac:dyDescent="0.3">
      <c r="A114" s="216"/>
      <c r="B114" s="216"/>
      <c r="C114" s="54" t="s">
        <v>433</v>
      </c>
    </row>
    <row r="115" spans="1:3" ht="15.75" thickBot="1" x14ac:dyDescent="0.3">
      <c r="A115" s="216"/>
      <c r="B115" s="216"/>
      <c r="C115" s="54" t="s">
        <v>434</v>
      </c>
    </row>
    <row r="116" spans="1:3" ht="15.75" thickBot="1" x14ac:dyDescent="0.3">
      <c r="A116" s="217"/>
      <c r="B116" s="217"/>
      <c r="C116" s="54" t="s">
        <v>435</v>
      </c>
    </row>
    <row r="117" spans="1:3" ht="15.75" thickBot="1" x14ac:dyDescent="0.3">
      <c r="A117" s="215" t="s">
        <v>33</v>
      </c>
      <c r="B117" s="215" t="s">
        <v>436</v>
      </c>
      <c r="C117" s="54" t="s">
        <v>437</v>
      </c>
    </row>
    <row r="118" spans="1:3" ht="15.75" thickBot="1" x14ac:dyDescent="0.3">
      <c r="A118" s="216"/>
      <c r="B118" s="216"/>
      <c r="C118" s="54" t="s">
        <v>438</v>
      </c>
    </row>
    <row r="119" spans="1:3" ht="15.75" thickBot="1" x14ac:dyDescent="0.3">
      <c r="A119" s="216"/>
      <c r="B119" s="216"/>
      <c r="C119" s="54" t="s">
        <v>439</v>
      </c>
    </row>
    <row r="120" spans="1:3" ht="15.75" thickBot="1" x14ac:dyDescent="0.3">
      <c r="A120" s="216"/>
      <c r="B120" s="216"/>
      <c r="C120" s="54" t="s">
        <v>440</v>
      </c>
    </row>
    <row r="121" spans="1:3" ht="15.75" thickBot="1" x14ac:dyDescent="0.3">
      <c r="A121" s="216"/>
      <c r="B121" s="216"/>
      <c r="C121" s="54" t="s">
        <v>441</v>
      </c>
    </row>
    <row r="122" spans="1:3" x14ac:dyDescent="0.25">
      <c r="A122" s="216"/>
      <c r="B122" s="216"/>
      <c r="C122" s="76" t="s">
        <v>442</v>
      </c>
    </row>
    <row r="123" spans="1:3" ht="15.75" thickBot="1" x14ac:dyDescent="0.3">
      <c r="A123" s="216"/>
      <c r="B123" s="216"/>
      <c r="C123" s="54" t="s">
        <v>443</v>
      </c>
    </row>
    <row r="124" spans="1:3" ht="15.75" thickBot="1" x14ac:dyDescent="0.3">
      <c r="A124" s="217"/>
      <c r="B124" s="217"/>
      <c r="C124" s="54" t="s">
        <v>444</v>
      </c>
    </row>
    <row r="125" spans="1:3" x14ac:dyDescent="0.25">
      <c r="A125" s="80"/>
      <c r="B125" s="80"/>
      <c r="C125" s="80"/>
    </row>
    <row r="126" spans="1:3" ht="50.25" customHeight="1" x14ac:dyDescent="0.25">
      <c r="A126" s="221" t="s">
        <v>445</v>
      </c>
      <c r="B126" s="222"/>
      <c r="C126" s="222"/>
    </row>
    <row r="127" spans="1:3" ht="16.5" thickBot="1" x14ac:dyDescent="0.3">
      <c r="A127" s="77"/>
      <c r="B127"/>
      <c r="C127"/>
    </row>
    <row r="128" spans="1:3" ht="15.75" thickBot="1" x14ac:dyDescent="0.3">
      <c r="A128" s="74" t="s">
        <v>226</v>
      </c>
      <c r="B128" s="75" t="s">
        <v>319</v>
      </c>
      <c r="C128" s="75" t="s">
        <v>320</v>
      </c>
    </row>
    <row r="129" spans="1:3" ht="15.75" thickBot="1" x14ac:dyDescent="0.3">
      <c r="A129" s="215" t="s">
        <v>60</v>
      </c>
      <c r="B129" s="215" t="s">
        <v>446</v>
      </c>
      <c r="C129" s="54" t="s">
        <v>447</v>
      </c>
    </row>
    <row r="130" spans="1:3" ht="15.75" thickBot="1" x14ac:dyDescent="0.3">
      <c r="A130" s="216"/>
      <c r="B130" s="216"/>
      <c r="C130" s="54" t="s">
        <v>448</v>
      </c>
    </row>
    <row r="131" spans="1:3" ht="15.75" thickBot="1" x14ac:dyDescent="0.3">
      <c r="A131" s="216"/>
      <c r="B131" s="216"/>
      <c r="C131" s="54" t="s">
        <v>449</v>
      </c>
    </row>
    <row r="132" spans="1:3" ht="15.75" thickBot="1" x14ac:dyDescent="0.3">
      <c r="A132" s="216"/>
      <c r="B132" s="216"/>
      <c r="C132" s="54" t="s">
        <v>450</v>
      </c>
    </row>
    <row r="133" spans="1:3" ht="30.75" thickBot="1" x14ac:dyDescent="0.3">
      <c r="A133" s="217"/>
      <c r="B133" s="217"/>
      <c r="C133" s="54" t="s">
        <v>451</v>
      </c>
    </row>
    <row r="134" spans="1:3" ht="15.75" thickBot="1" x14ac:dyDescent="0.3">
      <c r="A134" s="215" t="s">
        <v>62</v>
      </c>
      <c r="B134" s="215" t="s">
        <v>452</v>
      </c>
      <c r="C134" s="54" t="s">
        <v>453</v>
      </c>
    </row>
    <row r="135" spans="1:3" ht="15.75" thickBot="1" x14ac:dyDescent="0.3">
      <c r="A135" s="216"/>
      <c r="B135" s="216"/>
      <c r="C135" s="54" t="s">
        <v>454</v>
      </c>
    </row>
    <row r="136" spans="1:3" ht="15.75" thickBot="1" x14ac:dyDescent="0.3">
      <c r="A136" s="216"/>
      <c r="B136" s="216"/>
      <c r="C136" s="54" t="s">
        <v>455</v>
      </c>
    </row>
    <row r="137" spans="1:3" ht="15.75" thickBot="1" x14ac:dyDescent="0.3">
      <c r="A137" s="216"/>
      <c r="B137" s="216"/>
      <c r="C137" s="54" t="s">
        <v>456</v>
      </c>
    </row>
    <row r="138" spans="1:3" ht="15.75" thickBot="1" x14ac:dyDescent="0.3">
      <c r="A138" s="216"/>
      <c r="B138" s="216"/>
      <c r="C138" s="54" t="s">
        <v>457</v>
      </c>
    </row>
    <row r="139" spans="1:3" ht="15.75" thickBot="1" x14ac:dyDescent="0.3">
      <c r="A139" s="216"/>
      <c r="B139" s="216"/>
      <c r="C139" s="54" t="s">
        <v>458</v>
      </c>
    </row>
    <row r="140" spans="1:3" ht="15.75" thickBot="1" x14ac:dyDescent="0.3">
      <c r="A140" s="216"/>
      <c r="B140" s="216"/>
      <c r="C140" s="54" t="s">
        <v>459</v>
      </c>
    </row>
    <row r="141" spans="1:3" ht="15.75" thickBot="1" x14ac:dyDescent="0.3">
      <c r="A141" s="216"/>
      <c r="B141" s="216"/>
      <c r="C141" s="54" t="s">
        <v>460</v>
      </c>
    </row>
    <row r="142" spans="1:3" ht="15.75" thickBot="1" x14ac:dyDescent="0.3">
      <c r="A142" s="217"/>
      <c r="B142" s="217"/>
      <c r="C142" s="54" t="s">
        <v>461</v>
      </c>
    </row>
    <row r="143" spans="1:3" ht="15.75" thickBot="1" x14ac:dyDescent="0.3">
      <c r="A143" s="215" t="s">
        <v>63</v>
      </c>
      <c r="B143" s="215" t="s">
        <v>462</v>
      </c>
      <c r="C143" s="54" t="s">
        <v>463</v>
      </c>
    </row>
    <row r="144" spans="1:3" ht="15.75" thickBot="1" x14ac:dyDescent="0.3">
      <c r="A144" s="216"/>
      <c r="B144" s="216"/>
      <c r="C144" s="54" t="s">
        <v>464</v>
      </c>
    </row>
    <row r="145" spans="1:3" ht="15.75" thickBot="1" x14ac:dyDescent="0.3">
      <c r="A145" s="216"/>
      <c r="B145" s="216"/>
      <c r="C145" s="54" t="s">
        <v>465</v>
      </c>
    </row>
    <row r="146" spans="1:3" ht="15.75" thickBot="1" x14ac:dyDescent="0.3">
      <c r="A146" s="216"/>
      <c r="B146" s="216"/>
      <c r="C146" s="54" t="s">
        <v>466</v>
      </c>
    </row>
    <row r="147" spans="1:3" ht="15.75" thickBot="1" x14ac:dyDescent="0.3">
      <c r="A147" s="216"/>
      <c r="B147" s="216"/>
      <c r="C147" s="54" t="s">
        <v>467</v>
      </c>
    </row>
    <row r="148" spans="1:3" ht="15.75" thickBot="1" x14ac:dyDescent="0.3">
      <c r="A148" s="216"/>
      <c r="B148" s="216"/>
      <c r="C148" s="54" t="s">
        <v>468</v>
      </c>
    </row>
    <row r="149" spans="1:3" ht="15.75" thickBot="1" x14ac:dyDescent="0.3">
      <c r="A149" s="216"/>
      <c r="B149" s="216"/>
      <c r="C149" s="54" t="s">
        <v>469</v>
      </c>
    </row>
    <row r="150" spans="1:3" ht="15.75" thickBot="1" x14ac:dyDescent="0.3">
      <c r="A150" s="216"/>
      <c r="B150" s="216"/>
      <c r="C150" s="54" t="s">
        <v>470</v>
      </c>
    </row>
    <row r="151" spans="1:3" ht="15.75" thickBot="1" x14ac:dyDescent="0.3">
      <c r="A151" s="217"/>
      <c r="B151" s="217"/>
      <c r="C151" s="54" t="s">
        <v>40</v>
      </c>
    </row>
    <row r="152" spans="1:3" ht="15.75" thickBot="1" x14ac:dyDescent="0.3">
      <c r="A152" s="215" t="s">
        <v>59</v>
      </c>
      <c r="B152" s="215" t="s">
        <v>471</v>
      </c>
      <c r="C152" s="54" t="s">
        <v>472</v>
      </c>
    </row>
    <row r="153" spans="1:3" ht="15.75" thickBot="1" x14ac:dyDescent="0.3">
      <c r="A153" s="216"/>
      <c r="B153" s="216"/>
      <c r="C153" s="54" t="s">
        <v>473</v>
      </c>
    </row>
    <row r="154" spans="1:3" ht="15.75" thickBot="1" x14ac:dyDescent="0.3">
      <c r="A154" s="217"/>
      <c r="B154" s="217"/>
      <c r="C154" s="54" t="s">
        <v>474</v>
      </c>
    </row>
    <row r="155" spans="1:3" ht="15.75" thickBot="1" x14ac:dyDescent="0.3">
      <c r="A155" s="215" t="s">
        <v>61</v>
      </c>
      <c r="B155" s="215" t="s">
        <v>475</v>
      </c>
      <c r="C155" s="54" t="s">
        <v>476</v>
      </c>
    </row>
    <row r="156" spans="1:3" ht="15.75" thickBot="1" x14ac:dyDescent="0.3">
      <c r="A156" s="217"/>
      <c r="B156" s="217"/>
      <c r="C156" s="54" t="s">
        <v>477</v>
      </c>
    </row>
    <row r="157" spans="1:3" ht="30.75" thickBot="1" x14ac:dyDescent="0.3">
      <c r="A157" s="46" t="s">
        <v>58</v>
      </c>
      <c r="B157" s="54" t="s">
        <v>478</v>
      </c>
      <c r="C157" s="54" t="s">
        <v>58</v>
      </c>
    </row>
    <row r="158" spans="1:3" ht="15.75" thickBot="1" x14ac:dyDescent="0.3">
      <c r="A158" s="46" t="s">
        <v>12</v>
      </c>
      <c r="B158" s="54" t="s">
        <v>479</v>
      </c>
      <c r="C158" s="54" t="s">
        <v>12</v>
      </c>
    </row>
    <row r="159" spans="1:3" ht="15.75" x14ac:dyDescent="0.25">
      <c r="A159" s="77"/>
      <c r="B159"/>
      <c r="C159"/>
    </row>
    <row r="160" spans="1:3" ht="36.75" customHeight="1" x14ac:dyDescent="0.25">
      <c r="A160" s="221" t="s">
        <v>480</v>
      </c>
      <c r="B160" s="222"/>
      <c r="C160" s="222"/>
    </row>
    <row r="161" spans="1:3" ht="16.5" thickBot="1" x14ac:dyDescent="0.3">
      <c r="A161" s="77"/>
      <c r="B161"/>
      <c r="C161"/>
    </row>
    <row r="162" spans="1:3" ht="15.75" thickBot="1" x14ac:dyDescent="0.3">
      <c r="A162" s="74" t="s">
        <v>226</v>
      </c>
      <c r="B162" s="75" t="s">
        <v>319</v>
      </c>
      <c r="C162" s="75" t="s">
        <v>320</v>
      </c>
    </row>
    <row r="163" spans="1:3" ht="30.75" thickBot="1" x14ac:dyDescent="0.3">
      <c r="A163" s="46" t="s">
        <v>44</v>
      </c>
      <c r="B163" s="54" t="s">
        <v>481</v>
      </c>
      <c r="C163" s="54" t="s">
        <v>44</v>
      </c>
    </row>
    <row r="164" spans="1:3" ht="30.75" thickBot="1" x14ac:dyDescent="0.3">
      <c r="A164" s="46" t="s">
        <v>42</v>
      </c>
      <c r="B164" s="54" t="s">
        <v>482</v>
      </c>
      <c r="C164" s="54" t="s">
        <v>42</v>
      </c>
    </row>
    <row r="165" spans="1:3" ht="15.75" thickBot="1" x14ac:dyDescent="0.3">
      <c r="A165" s="46" t="s">
        <v>41</v>
      </c>
      <c r="B165" s="54" t="s">
        <v>483</v>
      </c>
      <c r="C165" s="54" t="s">
        <v>41</v>
      </c>
    </row>
    <row r="166" spans="1:3" ht="15.75" thickBot="1" x14ac:dyDescent="0.3">
      <c r="A166" s="46" t="s">
        <v>43</v>
      </c>
      <c r="B166" s="54" t="s">
        <v>484</v>
      </c>
      <c r="C166" s="54" t="s">
        <v>43</v>
      </c>
    </row>
    <row r="167" spans="1:3" ht="30.75" thickBot="1" x14ac:dyDescent="0.3">
      <c r="A167" s="46" t="s">
        <v>40</v>
      </c>
      <c r="B167" s="54" t="s">
        <v>485</v>
      </c>
      <c r="C167" s="54" t="s">
        <v>40</v>
      </c>
    </row>
  </sheetData>
  <sheetProtection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 </vt:lpstr>
      <vt:lpstr>2 </vt:lpstr>
      <vt:lpstr>3 </vt:lpstr>
      <vt:lpstr>4 </vt:lpstr>
      <vt:lpstr>5 </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 '!Print_Area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 '!Print_Area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 '!Print_Area</vt:lpstr>
      <vt:lpstr>'30'!Print_Area</vt:lpstr>
      <vt:lpstr>'4 '!Print_Area</vt:lpstr>
      <vt:lpstr>'5 '!Print_Area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2015-07-02T15:33:52Z</cp:lastPrinted>
  <dcterms:created xsi:type="dcterms:W3CDTF">2015-03-19T18:31:05Z</dcterms:created>
  <dcterms:modified xsi:type="dcterms:W3CDTF">2015-09-23T17:24:32Z</dcterms:modified>
</cp:coreProperties>
</file>