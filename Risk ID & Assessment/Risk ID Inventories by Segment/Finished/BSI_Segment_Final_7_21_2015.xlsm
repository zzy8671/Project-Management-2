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DE2" lockStructure="1"/>
  <bookViews>
    <workbookView xWindow="240" yWindow="180" windowWidth="15120" windowHeight="8205" tabRatio="928" activeTab="13"/>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r:id="rId14"/>
    <sheet name="1" sheetId="8" r:id="rId15"/>
    <sheet name="2" sheetId="9" r:id="rId16"/>
    <sheet name="3" sheetId="10" r:id="rId17"/>
    <sheet name="4" sheetId="11" r:id="rId18"/>
    <sheet name="5" sheetId="12"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'1'!$A$1:$C$12</definedName>
    <definedName name="_xlnm.Print_Area" localSheetId="23">'10'!$A$1:$C$12</definedName>
    <definedName name="_xlnm.Print_Area" localSheetId="24">'11'!$A$1:$C$12</definedName>
    <definedName name="_xlnm.Print_Area" localSheetId="25">'12'!$A$1:$C$12</definedName>
    <definedName name="_xlnm.Print_Area" localSheetId="26">'13'!$A$1:$C$12</definedName>
    <definedName name="_xlnm.Print_Area" localSheetId="27">'14'!$A$1:$C$12</definedName>
    <definedName name="_xlnm.Print_Area" localSheetId="28">'15'!$A$1:$C$12</definedName>
    <definedName name="_xlnm.Print_Area" localSheetId="29">'16'!$A$1:$C$12</definedName>
    <definedName name="_xlnm.Print_Area" localSheetId="30">'17'!$A$1:$C$12</definedName>
    <definedName name="_xlnm.Print_Area" localSheetId="31">'18'!$A$1:$C$12</definedName>
    <definedName name="_xlnm.Print_Area" localSheetId="32">'19'!$A$1:$C$12</definedName>
    <definedName name="_xlnm.Print_Area" localSheetId="15">'2'!$A$1:$C$12</definedName>
    <definedName name="_xlnm.Print_Area" localSheetId="33">'20'!$A$1:$C$12</definedName>
    <definedName name="_xlnm.Print_Area" localSheetId="34">'21'!$A$1:$C$12</definedName>
    <definedName name="_xlnm.Print_Area" localSheetId="35">'22'!$A$1:$C$12</definedName>
    <definedName name="_xlnm.Print_Area" localSheetId="36">'23'!$A$1:$C$12</definedName>
    <definedName name="_xlnm.Print_Area" localSheetId="37">'24'!$A$1:$C$12</definedName>
    <definedName name="_xlnm.Print_Area" localSheetId="38">'25'!$A$1:$C$12</definedName>
    <definedName name="_xlnm.Print_Area" localSheetId="39">'26'!$A$1:$C$12</definedName>
    <definedName name="_xlnm.Print_Area" localSheetId="40">'27'!$A$1:$C$12</definedName>
    <definedName name="_xlnm.Print_Area" localSheetId="41">'28'!$A$1:$C$12</definedName>
    <definedName name="_xlnm.Print_Area" localSheetId="42">'29'!$A$1:$C$12</definedName>
    <definedName name="_xlnm.Print_Area" localSheetId="16">'3'!$A$1:$C$12</definedName>
    <definedName name="_xlnm.Print_Area" localSheetId="43">'30'!$A$1:$C$12</definedName>
    <definedName name="_xlnm.Print_Area" localSheetId="18">'5'!$A$1:$C$12</definedName>
    <definedName name="_xlnm.Print_Area" localSheetId="19">'6'!$A$1:$C$12</definedName>
    <definedName name="_xlnm.Print_Area" localSheetId="20">'7'!$A$1:$C$12</definedName>
    <definedName name="_xlnm.Print_Area" localSheetId="21">'8'!$A$1:$C$12</definedName>
    <definedName name="_xlnm.Print_Area" localSheetId="22">'9'!$A$1:$C$12</definedName>
    <definedName name="_xlnm.Print_Area" localSheetId="54">'Appendix - Risks'!$A$1:$C$167</definedName>
    <definedName name="_xlnm.Print_Area" localSheetId="2">'Approval and Documentation'!$1:$20</definedName>
    <definedName name="_xlnm.Print_Area" localSheetId="8">Assessments!$A$1:$C$44</definedName>
    <definedName name="_xlnm.Print_Area" localSheetId="7">'Audit Findings'!$A$1:$F$41</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Metrics!$A$1:$G$53</definedName>
    <definedName name="_xlnm.Print_Area" localSheetId="4">'New Products'!$A$1:$F$12</definedName>
    <definedName name="_xlnm.Print_Area" localSheetId="5">'Off-Balance Sheet'!$A$1:$A$12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I15" i="1" l="1"/>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<sst xmlns="http://schemas.openxmlformats.org/spreadsheetml/2006/main" count="1600" uniqueCount="724">
  <si>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</si>
  <si>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</si>
  <si>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</si>
  <si>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</si>
  <si>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</si>
  <si>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</si>
  <si>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</si>
  <si>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</si>
  <si>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</si>
  <si>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</si>
  <si>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</si>
  <si>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</si>
  <si>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</si>
  <si>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</si>
  <si>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</si>
  <si>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</si>
  <si>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</si>
  <si>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</si>
  <si>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</si>
  <si>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</si>
  <si>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</si>
  <si>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</si>
  <si>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</si>
  <si>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</si>
  <si>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</si>
  <si>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</si>
  <si>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</si>
  <si>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</si>
  <si>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</si>
  <si>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</si>
  <si>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</si>
  <si>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</si>
  <si>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</si>
  <si>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</si>
  <si>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</si>
  <si>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</si>
  <si>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</si>
  <si>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</si>
  <si>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</si>
  <si>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</si>
  <si>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</si>
  <si>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</si>
  <si>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</si>
  <si>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</si>
  <si>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</si>
  <si>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</si>
  <si>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</si>
  <si>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</si>
  <si>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</si>
  <si>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</si>
  <si>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</si>
  <si>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</si>
  <si>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</si>
  <si>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</si>
  <si>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</si>
  <si>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</si>
  <si>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</si>
  <si>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</si>
  <si>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</si>
  <si>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</si>
  <si>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</si>
  <si>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</si>
  <si>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</si>
  <si>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</si>
  <si>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</si>
  <si>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</si>
  <si>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</si>
  <si>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</si>
  <si>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</si>
  <si>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</si>
  <si>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</si>
  <si>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</si>
  <si>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</si>
  <si>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</si>
  <si>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</si>
  <si>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</si>
  <si>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</si>
  <si>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</si>
  <si>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</si>
  <si>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</si>
  <si>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</si>
  <si>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</si>
  <si>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</si>
  <si>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</si>
  <si>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</si>
  <si>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</si>
  <si>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</si>
  <si>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</si>
  <si>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</si>
  <si>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</si>
  <si>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</si>
  <si>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</si>
  <si>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</si>
  <si>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</si>
  <si>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</si>
  <si>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</si>
  <si>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</si>
  <si>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</si>
  <si>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</si>
  <si>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</si>
  <si>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</si>
  <si>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</si>
  <si>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</si>
  <si>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</si>
  <si>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</si>
  <si>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</si>
  <si>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</si>
  <si>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</si>
  <si>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</si>
  <si>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</si>
  <si>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</si>
  <si>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</si>
  <si>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</si>
  <si>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</si>
  <si>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</si>
  <si>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</si>
  <si>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</si>
  <si>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</si>
  <si>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</si>
  <si>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</si>
  <si>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</si>
  <si>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</si>
  <si>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</si>
  <si>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</si>
  <si>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</si>
  <si>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</si>
  <si>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</si>
  <si>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</si>
  <si>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</si>
  <si>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</si>
  <si>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</si>
  <si>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</si>
  <si>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</si>
  <si>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</si>
  <si>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</si>
  <si>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</si>
  <si>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</si>
  <si>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</si>
  <si>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</si>
  <si>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</si>
  <si>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</si>
  <si>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</si>
  <si>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</si>
  <si>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</si>
  <si>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</si>
  <si>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</si>
  <si>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</si>
  <si>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</si>
  <si>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</si>
  <si>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</si>
  <si>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</si>
  <si>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</si>
  <si>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</si>
  <si>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</si>
  <si>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</si>
  <si>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</si>
  <si>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</si>
  <si>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</si>
  <si>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</si>
  <si>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</si>
  <si>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</si>
  <si>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</si>
  <si>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</si>
  <si>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</si>
  <si>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</si>
  <si>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</si>
  <si>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</si>
  <si>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</si>
  <si>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</si>
  <si>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</si>
  <si>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</si>
  <si>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</si>
  <si>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</si>
  <si>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</si>
  <si>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</si>
  <si>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</si>
  <si>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</si>
  <si>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</si>
  <si>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</si>
  <si>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</si>
  <si>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</si>
  <si>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</si>
  <si>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</si>
  <si>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</si>
  <si>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</si>
  <si>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</si>
  <si>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</si>
  <si>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</si>
  <si>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</si>
  <si>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</si>
  <si>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</si>
  <si>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</si>
  <si>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</si>
  <si>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</si>
  <si>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</si>
  <si>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</si>
  <si>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</si>
  <si>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</si>
  <si>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</si>
  <si>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</si>
  <si>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</si>
  <si>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</si>
  <si>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</si>
  <si>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</si>
  <si>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</si>
  <si>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</si>
  <si>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</si>
  <si>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</si>
  <si>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</si>
  <si>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</si>
  <si>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</si>
  <si>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</si>
  <si>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</si>
  <si>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</si>
  <si>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</si>
  <si>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</si>
  <si>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</si>
  <si>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</si>
  <si>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</si>
  <si>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</si>
  <si>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</si>
  <si>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</si>
  <si>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</si>
  <si>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</si>
  <si>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</si>
  <si>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</si>
  <si>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</si>
  <si>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</si>
  <si>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</si>
  <si>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</si>
  <si>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</si>
  <si>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</si>
  <si>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</si>
  <si>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</si>
  <si>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</si>
  <si>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</si>
  <si>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</si>
  <si>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</si>
  <si>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</si>
  <si>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</si>
  <si>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</si>
  <si>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</si>
  <si>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</si>
  <si>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</si>
  <si>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</si>
  <si>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</si>
  <si>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</si>
  <si>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</si>
  <si>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</si>
  <si>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</si>
  <si>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</si>
  <si>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</si>
  <si>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</si>
  <si>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</si>
  <si>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</si>
  <si>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</si>
  <si>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</si>
  <si>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</si>
  <si>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</si>
  <si>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</si>
  <si>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</si>
  <si>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</si>
  <si>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</si>
  <si>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2. Business Overview</t>
  </si>
  <si>
    <t>3. Process Followed</t>
  </si>
  <si>
    <t>4. Strategic Plan</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</si>
  <si>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</si>
  <si>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</si>
  <si>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</si>
  <si>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</si>
  <si>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</si>
  <si>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</si>
  <si>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</si>
  <si>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</si>
  <si>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</si>
  <si>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</si>
  <si>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</si>
  <si>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</si>
  <si>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</si>
  <si>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</si>
  <si>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</si>
  <si>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Source Data Used and Time period of data</t>
  </si>
  <si>
    <t>Strategic</t>
  </si>
  <si>
    <t>Summary of external data sources used to understand, analyze and validate the quantification of the Material Risk, for each risk type: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</si>
  <si>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</si>
  <si>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</si>
  <si>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</si>
  <si>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</si>
  <si>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</si>
  <si>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</si>
  <si>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</si>
  <si>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</si>
  <si>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</si>
  <si>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</si>
  <si>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High level summary of vendor management program highlighting any significant events over the past 12 months:</t>
  </si>
  <si>
    <t>Summary results of most recent Credit Assessment:</t>
  </si>
  <si>
    <t>Summary results of most recent Model Assessment:</t>
  </si>
  <si>
    <t>Highlight any other key inputs which informed the assessment and how they were used:</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</si>
  <si>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</si>
  <si>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</si>
  <si>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</si>
  <si>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</si>
  <si>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</si>
  <si>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</si>
  <si>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</si>
  <si>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</si>
  <si>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</si>
  <si>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</si>
  <si>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</si>
  <si>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Santander Holdings USA</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</si>
  <si>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</si>
  <si>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</si>
  <si>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</si>
  <si>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</si>
  <si>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</si>
  <si>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</si>
  <si>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</si>
  <si>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</si>
  <si>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</si>
  <si>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</si>
  <si>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</si>
  <si>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</si>
  <si>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</si>
  <si>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</si>
  <si>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</si>
  <si>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</si>
  <si>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</si>
  <si>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</si>
  <si>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</si>
  <si>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</si>
  <si>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</si>
  <si>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</si>
  <si>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</si>
  <si>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</si>
  <si>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</si>
  <si>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</si>
  <si>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</si>
  <si>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</si>
  <si>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</si>
  <si>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</si>
  <si>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</si>
  <si>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</si>
  <si>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</si>
  <si>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</si>
  <si>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</si>
  <si>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</si>
  <si>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</si>
  <si>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</si>
  <si>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</si>
  <si>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</si>
  <si>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</si>
  <si>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</si>
  <si>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</si>
  <si>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</si>
  <si>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</si>
  <si>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</si>
  <si>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</si>
  <si>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</si>
  <si>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</si>
  <si>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</si>
  <si>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</si>
  <si>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</si>
  <si>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</si>
  <si>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</si>
  <si>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</si>
  <si>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</si>
  <si>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</si>
  <si>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</si>
  <si>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</si>
  <si>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</si>
  <si>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</si>
  <si>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</si>
  <si>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Price Risk Includes the potential economic impact (decrease in the value of assets) that could be derived from SHUSA’s Subsidiaries participating in the underwriting of equity or debt capital markets transactions that are not fully sold into the market, and where the Subsidiary retains on its balance sheet a higher amount of exposure than anticipated.</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</si>
  <si>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</si>
  <si>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</si>
  <si>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</si>
  <si>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</si>
  <si>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</si>
  <si>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</si>
  <si>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</si>
  <si>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</si>
  <si>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</si>
  <si>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</si>
  <si>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</si>
  <si>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</si>
  <si>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</si>
  <si>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</si>
  <si>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</si>
  <si>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</si>
  <si>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</si>
  <si>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</si>
  <si>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</si>
  <si>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</si>
  <si>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</si>
  <si>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</si>
  <si>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</si>
  <si>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</si>
  <si>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</si>
  <si>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</si>
  <si>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</si>
  <si>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</si>
  <si>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</si>
  <si>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</si>
  <si>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</si>
  <si>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</si>
  <si>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</si>
  <si>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</si>
  <si>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</si>
  <si>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</si>
  <si>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</si>
  <si>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</si>
  <si>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</si>
  <si>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</si>
  <si>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</si>
  <si>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</si>
  <si>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</si>
  <si>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</si>
  <si>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</si>
  <si>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</si>
  <si>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</si>
  <si>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</si>
  <si>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</si>
  <si>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</si>
  <si>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</si>
  <si>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</si>
  <si>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</si>
  <si>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</si>
  <si>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</si>
  <si>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</si>
  <si>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</si>
  <si>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</si>
  <si>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</si>
  <si>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</si>
  <si>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</si>
  <si>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</si>
  <si>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</si>
  <si>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</si>
  <si>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</si>
  <si>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</si>
  <si>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</si>
  <si>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</si>
  <si>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</si>
  <si>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</si>
  <si>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</si>
  <si>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</si>
  <si>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</si>
  <si>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</si>
  <si>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</si>
  <si>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</si>
  <si>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</si>
  <si>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</si>
  <si>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</si>
  <si>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</si>
  <si>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</si>
  <si>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</si>
  <si>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</si>
  <si>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</si>
  <si>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</si>
  <si>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</si>
  <si>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</si>
  <si>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</si>
  <si>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</si>
  <si>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</si>
  <si>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</si>
  <si>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</si>
  <si>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</si>
  <si>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</si>
  <si>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</si>
  <si>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</si>
  <si>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</si>
  <si>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</si>
  <si>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</si>
  <si>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</si>
  <si>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</si>
  <si>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</si>
  <si>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</si>
  <si>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</si>
  <si>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</si>
  <si>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</si>
  <si>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</si>
  <si>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</si>
  <si>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</si>
  <si>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</si>
  <si>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</si>
  <si>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</si>
  <si>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</si>
  <si>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</si>
  <si>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</si>
  <si>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</si>
  <si>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</si>
  <si>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</si>
  <si>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</si>
  <si>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</si>
  <si>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</si>
  <si>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</si>
  <si>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</si>
  <si>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</si>
  <si>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</si>
  <si>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</si>
  <si>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</si>
  <si>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</si>
  <si>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</si>
  <si>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</si>
  <si>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</si>
  <si>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</si>
  <si>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</si>
  <si>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</si>
  <si>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</si>
  <si>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</si>
  <si>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</si>
  <si>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</si>
  <si>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</si>
  <si>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</si>
  <si>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</si>
  <si>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</si>
  <si>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</si>
  <si>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</si>
  <si>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</si>
  <si>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</si>
  <si>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</si>
  <si>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</si>
  <si>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This section should be a high level overview of Material Risks identified:</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</si>
  <si>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the business:
</t>
  </si>
  <si>
    <r>
      <t xml:space="preserve">Risk Driver </t>
    </r>
    <r>
      <rPr>
        <sz val="10"/>
        <color theme="1"/>
        <rFont val="Calibri"/>
        <family val="2"/>
        <scheme val="minor"/>
      </rPr>
      <t>- The economic, business or regulatory force(s) leading to the potential increase(s) in the Risk profile as capture under the 'Stressed Financial Impact'. Drivers(s) must be supported in the 'Financial Impact Rationale'.</t>
    </r>
  </si>
  <si>
    <r>
      <t xml:space="preserve">Risk Driver </t>
    </r>
    <r>
      <rPr>
        <sz val="10"/>
        <color theme="1"/>
        <rFont val="Calibri"/>
        <family val="2"/>
        <scheme val="minor"/>
      </rPr>
      <t>- The economic, business or regulatory force(s) leading to the potential increase(s) in the Risk profile as capture under the 'Stressed Financial Impact'. Driver(s) must be supported in the 'Financial Impact Rationale'.</t>
    </r>
  </si>
  <si>
    <t>Enter significant Audit/Regulatory finds and/or resolutions since the last annual assessment cycle (and those still open).</t>
  </si>
  <si>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xml:space="preserve">- An annual expected loss that considers a severe combination of circumstances that could reasonably be expected to occur in one annual period out of ten.  </t>
    </r>
  </si>
  <si>
    <r>
      <t>Annual Expected Loss (Base)</t>
    </r>
    <r>
      <rPr>
        <sz val="10"/>
        <color theme="1"/>
        <rFont val="Calibri"/>
        <family val="2"/>
        <scheme val="minor"/>
      </rPr>
      <t xml:space="preserve"> - A reasonable expectation of a negative impact to revenues/expenses within the next 12 month period in baseline conditions. This considers the amount at risk along with the current control environment both the design and effectiveness.
</t>
    </r>
  </si>
  <si>
    <t>Material Risk Tool version 1.3 updated May 27, 2015</t>
  </si>
  <si>
    <t>10.7  Compliance Assessment</t>
  </si>
  <si>
    <t>Summary results of most recent Compliance Assessment:</t>
  </si>
  <si>
    <t>10.8  Other</t>
  </si>
  <si>
    <t>Risk of Geographical Concentration</t>
  </si>
  <si>
    <t>Parent Influence Limiting BSI Products &amp; Services</t>
  </si>
  <si>
    <t>The priority and compatibility of personnel, technology, and capital resources allocation with strategic initiatives.</t>
  </si>
  <si>
    <t>Risk of over-relying on one system</t>
  </si>
  <si>
    <t xml:space="preserve">Heavy Regulation in the Banking Industry </t>
  </si>
  <si>
    <t>Lack of Expertise in Making Strategic Product Decisions</t>
  </si>
  <si>
    <t>Performance Compensation Tied to Risk Taking</t>
  </si>
  <si>
    <t>HR Policies</t>
  </si>
  <si>
    <t>Loss of clients due to loss of reliability of the bank's products and services</t>
  </si>
  <si>
    <t>Loss of clients due to the bank's vulnerability to fraud (external or internal)</t>
  </si>
  <si>
    <t>Risk of collateral dependent lending model and collateral being insufficient or unavailable.</t>
  </si>
  <si>
    <t>Risk in interest rate spreads compressing negatively effecting the margins</t>
  </si>
  <si>
    <t xml:space="preserve">Breach of Fiduciary Duties </t>
  </si>
  <si>
    <t xml:space="preserve">As an alternative to diversify investment portfolios,  BSI maintains an "open architecture" of products.  Additionally, BSI recommends a variety of third party products and mutual funds according to clients investment needs and preferences. These investments are managed by a third party Mutual Funds and Corporate due diligences is performed periodically. The risk of losses could arise from accidental or intentional failure of following their own governing document  (Prospectus, marketing material, investment policies).
Controls include preventative and detective controls performed by Compliance with Investment Committee oversight.  
There is no history of such events at directed by BSI with the exception being the global fraud case related to a Single Manager Hedge Fund (Madoff).  Based on past events and the current exposure to one single fund ($200MM) the estimate of the largest stressed loss could be $5-50MM. 
</t>
  </si>
  <si>
    <t>Baseline: Considering all controls where in place and appropriate documentation is done there would be no breach in our Fiduciary Responsibility. Currently do not include Hedge Funds in our catalog of recommended products.  Therefore the cost could arise from the lawsuits/attorney fees. 
Stressed impact: Based on previous experiences in the industry and the Bank we  estimate a loss of 20% of the overall market exposure with our largest volume Mutual Fund Manager. This loss scenario is considering the largest possible loss considering the Fund Manager that currently has the largest exposure in our clients portfolio ($200MM).</t>
  </si>
  <si>
    <t>Inappropriate/Unsuitable products -  Structure notes with no capital protection</t>
  </si>
  <si>
    <t>Preventative controls include strong approval procedures and continuing education &amp; training of personnel. Detective controls include reviews of products &amp; exposures every 4 months, Oversight by applicable Committees and Internal Audit on a yearly basis.</t>
  </si>
  <si>
    <t>Loss or damage to Physical Assets due to the Hurricane</t>
  </si>
  <si>
    <t>Errors in trading and wire transfers</t>
  </si>
  <si>
    <t xml:space="preserve">Controls include: associate training, dual validation, trading limits, management reviews , escalation process for large transfers. </t>
  </si>
  <si>
    <t xml:space="preserve">Unauthorized trades or transactions </t>
  </si>
  <si>
    <t>Third party misrepresentation or Deception</t>
  </si>
  <si>
    <t>BSA, AML and OFAC non-compliance due with regards to Customer Type, Geography &amp; Transactions.</t>
  </si>
  <si>
    <t>Failing to implement  emerging regulatory requirements</t>
  </si>
  <si>
    <t>BSI has a regulatory compliance framework that includes a regulatory risk assessment, a regulatory monitoring/testing programs which reviews all applicable  non-BSA regulations.  The frequency of these test are based on the residual risk assigned to each regulation.  The results of the monitoring are presented to the Compliance Committee which is then escalated to the current Audit and Risk Committee of the Board of Directors.</t>
  </si>
  <si>
    <t>Failing to maintain current regulatory compliance (Regulation S exemption)</t>
  </si>
  <si>
    <t xml:space="preserve">Risk of inadequately trained personnel and model misuse </t>
  </si>
  <si>
    <t>Banco Santander International</t>
  </si>
  <si>
    <t>Alvaro Morales, CEO</t>
  </si>
  <si>
    <r>
      <rPr>
        <b/>
        <sz val="11"/>
        <color theme="1"/>
        <rFont val="Calibri"/>
        <family val="2"/>
        <scheme val="minor"/>
      </rPr>
      <t>Aggregation:</t>
    </r>
    <r>
      <rPr>
        <sz val="11"/>
        <color theme="1"/>
        <rFont val="Calibri"/>
        <family val="2"/>
        <scheme val="minor"/>
      </rPr>
      <t xml:space="preserve"> This Risk was derived from the following Lines of Business or Segments (not required for Line of Business Inventories)</t>
    </r>
  </si>
  <si>
    <t xml:space="preserve">Preventative controls include strong approval procedures at a corporate and unit level. Detective controls include reviews of products &amp; exposures every 4 months from Compliance and monthly by Investment Committees, Oversight by applicable Committees and Internal Audit on a yearly basis. </t>
  </si>
  <si>
    <t>Internal Fraud - Unauthorized Trading Activity</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</si>
  <si>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SHUSA ERM in accordance with established timeframes
• Used by Regulators and Second and Third Line of Defense to assess the Identification and assessment of Material Risks
• Used to document, via commentary sections, how inputs, such as 'New Products', 'Off-Balance Sheet', etc... resulted in the identification and inclusion of Material Risk</t>
  </si>
  <si>
    <t>ERMC Approval Date</t>
  </si>
  <si>
    <t>TBD</t>
  </si>
  <si>
    <t>MVE / NIM Stress Testing</t>
  </si>
  <si>
    <t>Open</t>
  </si>
  <si>
    <t>BSI Fiduciary  Principles and Standards 2015</t>
  </si>
  <si>
    <t>Satisfactory</t>
  </si>
  <si>
    <t>No Rating</t>
  </si>
  <si>
    <t>0 per year</t>
  </si>
  <si>
    <t>Total customer complaints received from regulatory agencies and government officials</t>
  </si>
  <si>
    <t>Concentration of issuers</t>
  </si>
  <si>
    <t>($3.9) MM</t>
  </si>
  <si>
    <t>($4.82) MM</t>
  </si>
  <si>
    <t>($3.88) MM</t>
  </si>
  <si>
    <t>($2.71) MM</t>
  </si>
  <si>
    <t>($3.69) MM</t>
  </si>
  <si>
    <t>($10.4) MM</t>
  </si>
  <si>
    <t>($16.05) MM</t>
  </si>
  <si>
    <t>($25.8) MM</t>
  </si>
  <si>
    <t>($14.7)MM</t>
  </si>
  <si>
    <t>($14.7) MM</t>
  </si>
  <si>
    <t>Total Operational Losses as a % of PPNR</t>
  </si>
  <si>
    <t>Employee Voluntary Attrition to Avergave Number of Employees</t>
  </si>
  <si>
    <t>Gross Losses to Gross Margin Ratio</t>
  </si>
  <si>
    <t>0.0.4%</t>
  </si>
  <si>
    <t>Credit to AuM</t>
  </si>
  <si>
    <t>ALM:  Net interest income (NII) (+/- 100bps)</t>
  </si>
  <si>
    <t>ALM: Market value of equity (MVE) (+/- 100bps)</t>
  </si>
  <si>
    <t>Liquidity Coverage Ratio (LCR Modified)</t>
  </si>
  <si>
    <t>Percentage of employees who have completed the compliance training program on a yearly basis</t>
  </si>
  <si>
    <t xml:space="preserve"> Willful violations of law</t>
  </si>
  <si>
    <t xml:space="preserve"> Past due remediation plans to supervisory findings</t>
  </si>
  <si>
    <t>Tier 1 leverage (Capital)</t>
  </si>
  <si>
    <t>Loans to Deposits</t>
  </si>
  <si>
    <t xml:space="preserve">Return on risk-weighted assets </t>
  </si>
  <si>
    <t>Maximum Bearable Loss</t>
  </si>
  <si>
    <t xml:space="preserve">These are BSI core Risk Tolerance Metrics </t>
  </si>
  <si>
    <t xml:space="preserve"> Total reserves against 12-month projected credit losses</t>
  </si>
  <si>
    <t>Tier 1 common*</t>
  </si>
  <si>
    <t xml:space="preserve">The expected annual loss is $0 and BSI has been successfully maintaining the exception. 
In the stress scenario, the potential revenue lost due to using broker - dealer could be  $5-$50MM. The estimate is based on the 2013 and  2014 Reg R monitoring assessments. The annual transactional revenue from securities activities is $20-$30MM.  In the stressed scenario BSI would push put the activity to the broker-dealer and lose this revenue. </t>
  </si>
  <si>
    <t xml:space="preserve">The controls include quarterly  reviews  to monitor the exemption revenue (types of transactions included) to maintain the ratio above the regulatory  threshold and the escalation process to address the exemption revenue approaching the limits.
</t>
  </si>
  <si>
    <t xml:space="preserve">Risk of non-compliance and properly executing the current regulatory requirements that affect the products and services offered at BSI.  BSI currently  utilizes the Trust and Fiduciary Activities exception from the definition of “broker" under Regulation R as long as the "exemption revenue is above the 70% of the total compensation for all securities activities regulatory limit".  Risk of non-compliance with the exception of the "broker" definition included in Regulation R would imply that BSI would have to "push-out" this type of activity to a broker-dealer and the lose the revenue from this activity. Incorrect sales practice would trigger non-compliance with the regulatory limit.
There are controls (quarterly monitoring) in place to monitor the limit and types of transactions included in this calculation and the escalation process to address the exemption revenue approaching the limits.
The expected annual loss is $0 and BSI has been successfully maintaining the exception (Reg R monitoring reports 2010-2014). 
In the stress scenario, the potential revenue lost due to using the broker - dealer could be $5-$50MM. The estimate is based on the 2013 and  2014 Reg R monitoring assessments: annual revenue from securities activities (transactional fees) is $20-$30MM.  In the stressed scenario BSI would lose this revenue. </t>
  </si>
  <si>
    <t>Controls include AML/OFAC monitoring processes in accordance to the banks BSA/AML policies and procedures, Compliance &amp; Audit Committees,  the Internal Audit program and  the AML/OFAC oversight program conducted by the Federal Reserve Bank of Atlanta.
Based on the overall elevated level of inherent risk, BSI has implemented a comprehensive BSA/AML Compliance Program containing strong compensating controls that encompass appropriate risk-focused policies, procedures, and processes associated with the bank’s customers, products, services, and geographic locations. The strength and effectiveness of these mitigating controls provide for a moderate BSA/AML/TF/OFAC overall or residual risk rating for BSI.</t>
  </si>
  <si>
    <t xml:space="preserve">The estimated annual loss is $0 as BSI has strong controls in place and there is no history of such operational loss events exceeding $1MM annually (Operational loss data history 2009-2014).
In the stressed scenario internal fraud transactions could lead to $5-$50MM losses. The estimate is based considering single trader limits for capital markets/mutual funds ($30-$50MM) or a treasury trade scenario where the FX/Derivatives trade could be a very  large position and with market volatility could lead to $5-$50MM losses before it gets noticed by the back office. </t>
  </si>
  <si>
    <t xml:space="preserve"> The level of trust involved in the client-banker relationship and large transactions (avg. $244K per transfer) make it very susceptible to fraud. Internal fraud can occur when bankers are making unauthorized transactions or traders are making unauthorized trades with the purpose to benefit (embezzlement of client money, manipulating dormant accounts) or to cover up a mistake, especially in a discretionary portfolios.  Unauthorized treasury trades on the bank's book can also occur and lead to losses before the activity is noticed by the back office. The losses from unauthorized trades could be a compensation to the client or trading losses in unhedged positions. 
Current controls include trading limits, transaction reviews and approvals. 
The estimated annual loss is $0 as BSI has strong controls in place and there is no history of such operational loss events exceeding $1MM annually (Operational loss data history 2009-2014).
In the stressed scenario internal fraud transactions could lead to $5-$50MM losses. The estimate is based considering single trader limits for capital markets/mutual funds ($30-$50MM) or a treasury trade scenario where the FX/Derivatives trade could be a very  large position and with market volatility could lead to $5-$50MM losses before it gets noticed by the back office. </t>
  </si>
  <si>
    <t>Preventative Controls and mitigation include Business Continuity Plan and Insurance Policies. BSI is in the process updating its physical inventory.</t>
  </si>
  <si>
    <t>Risk of loss due to negative regulator opinion</t>
  </si>
  <si>
    <t xml:space="preserve">Private Banking clients are very sensitive to the Bank's reputation. This risk is arising when negative regulator opinion leads to losing clients and revenue. Competition can easily use the adverse regulatory opinion to solicit our clients, or our bankers can decide to leave to competitor banks and take their clients away. 
Currently BSI has strong controls in place to comply with regulatory programs and laws and preserve the bank's reputation. 
The bank does not expect any losses during next 12 months as the bank has no history of such events. 
In the stressed scenario, negative regulatory opinion could potentially cause $1-$5MM annual losses. The estimate is based on external examples at the peer banks where negative regulatory opinion and actions helped to drive the revenue from competitors to BSI.  BSI 2006-2014  financial statements were used for assessment. 
</t>
  </si>
  <si>
    <t xml:space="preserve">The bank does not expect any losses during next 12 months as the bank has no history of such events. 
In the stressed scenario, negative regulatory opinion could potentially cause $1-$5MM annual losses. The estimate is based on external examples at the peer banks where negative regulatory opinion and actions helped to drive the revenue from competitors to BSI.  BSI 2006-2014  financial statements were used for assessment. 
</t>
  </si>
  <si>
    <t>Inadequate governance in new product/investment offerings approval process</t>
  </si>
  <si>
    <t>The current new product approval process has two levels: first the new product is approved by the local BSI  committee considering all aspects - operational, financial, and other risk factors. Then it goes for the approval at the parent level (Madrid Office). BSI also has strong internal control process.  New investment fund offerings also go though the investment committee review and approval process before these new investment options are offered to the clients.</t>
  </si>
  <si>
    <t xml:space="preserve">After further evaluation and discussion with HR it was decided that performance management and  compensation  risk is not a material risk to BSI - the compensation plans are not tied to risk taking (HR Policies). </t>
  </si>
  <si>
    <t xml:space="preserve">BSI Branches Internal Note 2015
</t>
  </si>
  <si>
    <t xml:space="preserve">After further evaluation it was decided that market risk is not a material risk to BSI due to the structure of BSI balance sheet - the risk of lost revenue due to interest rates movements and credit spreads will be imbedded in the strategic risk. </t>
  </si>
  <si>
    <t xml:space="preserve">The expected annual loss is $0 as the bank maintain a strong liquidity buffer ($2-3BN). 
In the stressed scenario the losses could be $5-$50. The assessment is based on our current liquidity stress testing. The most severe scenario assumes the combination of a Banco Santander S.A. downgrade  to junk along with high funding concentration would cause an overall larger drop in deposits and loans. This would lead to losing ~ $1.7BN in deposits (0.02% cost to margin 0.02% 0r ~$4mm) and $~$590MM loans (cost to margin 0.95% or $11.5MM), the total loss adding up to ~$15.4MM.
</t>
  </si>
  <si>
    <t>BSI has a limited access to wholesale funding, domestic markets (some institutional clients) and no access to domestic deposits. The funding source is concentrated to international client deposits/fiduciary deposits.  Risk is arising from having a deposit outflow -  due to the concentrated funding source and the limited access to other type of funding,  BSI would be forced to cut lending (our projected cash outflows) or offer more competitive deposit rates to maintain liquidity and this would lead to losing the margin. This could be triggered by economic deterioration in Spain followed by the downgrade at the Group level, as it could lead to loss of trust in BSI due to the parent company.
Current controls include monthly liquidity stress testing and the maintenance/reviews of the contingency  funding plan. 
The expected annual loss is $0 as the bank maintain a strong liquidity buffer ($2-3BN). 
In the stressed scenario the losses could be $5-$50. The assessment is based on our current liquidity stress testing. The most severe scenario assumes the combination of a Banco Santander S.A. downgrade  to junk along with high funding concentration would cause an overall larger drop in deposits and loans. This would lead to losing ~ $1.7BN in deposits (0.02% cost to margin 0.02% 0r ~$4mm) and $~$590MM loans (cost to margin 0.95% or $11.5MM), the total loss adding up to ~$15.4MM.</t>
  </si>
  <si>
    <t>Private Banking International</t>
  </si>
  <si>
    <t xml:space="preserve">There are no new products being planned in the near-term future.  </t>
  </si>
  <si>
    <t>BSI Financial Statements 2015</t>
  </si>
  <si>
    <t>IACR recommends that BSI enhances the use of the existing loan classification system</t>
  </si>
  <si>
    <t>B</t>
  </si>
  <si>
    <t>Implemented</t>
  </si>
  <si>
    <t>ICAR Recommends that the documentation be translated to English or, at a minimum, that a summary of document (English version) be prepared.</t>
  </si>
  <si>
    <t>Perform a physical inventory for all the offices</t>
  </si>
  <si>
    <t>IA: Enhanced the control in order to ensure that e-banking platform effectively detect whether the client is in USA or not.</t>
  </si>
  <si>
    <t>IA: Regarding governance and policies and procedures:
1.1 Define the Committee that consolidates and addresses all fiduciary related matters.
1.2 Develop consolidated policies and procedures detailing all of the bank's fiduciary operations, responsibilities and the controls established to ensure proper oversight.</t>
  </si>
  <si>
    <t>IA:  Regarding fees charged by BSI to clients for investment advice:
3.1 As a best practice, obtain formal approval of the current 2015 fee schedule and future revisions and for the fee discount policy.
3.2 Develop controls that enable BSI to evidence that the fee schedule has been sent to each customer.</t>
  </si>
  <si>
    <t>IA: Ensure that blocking controls in Globus effectively avoid the sale of securities affected by an early tender are effective.</t>
  </si>
  <si>
    <t>IA: Update the consolidated policies and procedures detailing the BSI branches operations and the controls established to ensure proper oversight.</t>
  </si>
  <si>
    <t>MRA</t>
  </si>
  <si>
    <t xml:space="preserve">Regulatory Findings in 2014 and Internal Audit findings in 2015. There are no findings that could not be resolved during the normal course of business. </t>
  </si>
  <si>
    <t xml:space="preserve"> Event with an equivalent impact of $2mm in losses </t>
  </si>
  <si>
    <t>Special Loan to Value (loans with collateral values requiring an exception as a percentage of total loans)</t>
  </si>
  <si>
    <t xml:space="preserve"> Loan to Value (market value of the pledged assets) </t>
  </si>
  <si>
    <t>ALM: Market value of equity (MVE) (+/-200bps)</t>
  </si>
  <si>
    <t>($-32) MM</t>
  </si>
  <si>
    <t>($51.5) MM</t>
  </si>
  <si>
    <t>($29.5) MM</t>
  </si>
  <si>
    <t>Structural Liquidity Ratio</t>
  </si>
  <si>
    <t>Higher Risk clients must not exceed 10% of total accounts (%of high risk client over the total client base)</t>
  </si>
  <si>
    <t>Controls for external factors affecting BSI are limited but BSI has strong monitoring and mitigation processes: Strategic planning process  with consideration to the economic environment, monitoring risky countries through BSA/ AML/ OFAC  process, daily AUM and market monitoring, concentration reviews in ALCO monthly meetings, timely recommendations to the clients to mitigate their risks.</t>
  </si>
  <si>
    <t xml:space="preserve">Majority of BSI business is with foreign individuals and corporations in a concentrated area  -  primarily in Latin America countries. The risk of one of the countries becoming a high-risk country or listed as sanctioned in the OFAC list could materially impact BSI revenue stream and strategy implementation. If there are any restrictions of doing business with one of the countries (e.g. Venezuela) BSI could lose the opportunity to grow business in that area. The loss would be the lost revenue growth projected in the strategic plan. Also BSI client investments having a large exposure to one concentrated area also poses a risk of losing AUM volume
The controls include a daily monitoring of the markets and OFAC monitoring of risky countries and various and mitigations strategies , e.g. recommendations to clients on the possible arising risks for their investments. 
Expected loss is $0  in nest 12 months given BSI has good controls and mitigation in the case  there is  a risk arising in one of the countries or product groups, e.g. recommendations to clients to take action on the possible arising risks to their investments. 
In the stressed scenario if there are some restrictions for growing business in one of the countries the lost annual revenue impact could be $1-$5MM. The assessment was done considering to lose the growth potential in Venezuela: given the current average annual revenue from Venezuela is ~ $36MM and the overall projected organic grow is ~3% annually  - the cost of opportunity could be between $1-$5MM annually.    The assessment is based on BSI financial statements (2006-2014) and the strategic plan (2018).
</t>
  </si>
  <si>
    <t>Expected loss is $0  in nest 12 months given BSI has good controls and mitigation in the case  there is  a risk arising in one of the countries or product groups, e.g. recommendations to clients to take action on the possible arising risks to their investments. 
In the stressed scenario if there are some restrictions for growing business in one of the countries the lost annual revenue impact could be $1-$5MM. The assessment was done considering to lose the growth potential in Venezuela: given the current average annual revenue from Venezuela is ~ $36MM and the overall projected organic grow is ~3% annually  - the cost of opportunity could be between $1-$5MM annually.    The assessment is based on BSI financial statements (2006-2014) and the strategic plan (2018).</t>
  </si>
  <si>
    <t xml:space="preserve">Controls for external factors affecting BSI are limited. BSI is maintaining effective communication and coordination with the parent company about the activities that affect BSI. </t>
  </si>
  <si>
    <t>After a further evaluation  and discussion with HR, T&amp;O team, Compliance and Private Banking it was decided that this is NOT a material risk. BSI has well aligned resources and technology, a stable organization and a good business model. Regarding BSI resource alignment - the employee turnover is very low.</t>
  </si>
  <si>
    <t xml:space="preserve">Current controls include the process of Vendor Management;  IT Assessments ( GBLA, Self-Initiated), Business Impact Analysis (annually), Business Continuity Plan (Annual assessment). Various enhancements are being currently introduced to keep strengthening the control processes in regards to process documentation. </t>
  </si>
  <si>
    <t>There are no expected losses in the next 12 months. 
In the stressed scenario if BSI needs to change the system it could cost between $5-$50MM. The assessment is based on the historical events as well as current cost of system replacement - the estimated replacement cost could be as much as $10MM (cash out). Based on BSI historical example with one Vendor going away and having to implement a new system.</t>
  </si>
  <si>
    <t>Risk of losing AUM volume in adverse market conditions</t>
  </si>
  <si>
    <t xml:space="preserve">The current controls include daily AUM monitoring, Treasury monitoring, VaR monitoring, Investment committee reviews, concentration reviews. BSI has proven mitigation in process  with recommendations to the clients on their investments if certain risks arise in the market. </t>
  </si>
  <si>
    <t>In the stressed scenario if one ir more economies (US, Eurozone, especially Spain) are in the downturn it would negatively impact on BSI AUMs and fee revenue.  
A scenario like a financial crices or a downgrade in Spain would have a spill-over effect of losing the AUMs, margin calls, canceling loans, having to restructure the business and the cost of opportunity. This can easily lead to $5-$50MM annual losses based on the historical financial statements:  during the years of 2008-2009 economic crises - the AUM (excluding deposits) volume declined by ~33%  ($5.6BN) driven by adverse market conditions and annual fee revenue declined by  ~$18MM . 2006-2014 Financial Statements and Strategic Plan (2018) was used for the assessment.</t>
  </si>
  <si>
    <t xml:space="preserve">BSI has a regulatory compliance framework that includes a regulatory risk assessment, a regulatory monitoring/testing programs which reviews all applicable  regulations.  The results of the monitoring are presented to the Compliance Committee which is then escalated to the current Audit and Risk Committee of the Board of Directors. Timely implementation of  a new regulation reduces the risk of losses. BSI has a good track record when it comes to new regulation implementation. </t>
  </si>
  <si>
    <t>BSI strategy is to grow AUMs and convert to more strategic investment products. The current 3-year strategic plan assumes average organic AUM growth at 3% ($1BN) annually. BSI business performance is highly correlated to the localized market performances -  FX /Credit Spreads and Equities in US, Spain and LATAM markets. The risk is arising  from losing the AUM volume, having to execute margin calls and possible canceling loans  and lost cost of opportunity. 
The current controls include daily AUM monitoring, Treasury monitoring, VaR monitoring, Investment committee reviews, concentration reviews. 
In the stressed scenario if one ir more economies (US, Eurozone, especially Spain) are in the downturn it would negatively impact on BSI AUMs and fee revenue.  
In the stressed scenario if one ir more economies (US, Eurozone, especially Spain) are in the downturn it would negatively impact on BSI AUMs and fee revenue.  
A scenario like a financial crices or a downgrade in Spain would have a spill-over effect of losing the AUMs, margin calls, canceling loans, potentially having to restructure the business and the cost of opportunity. This can easily lead to $5-$50MM annual losses based on the historical financial statements:  during the years of 2008-2009 economic crises - the AUM (excluding deposits) volume declined by ~33%  ($5.6BN) driven by adverse market conditions and annual fee revenue declined by  ~$18MM . 2006-2014 Financial Statements and Strategic Plan (2018) was used for the assessment.</t>
  </si>
  <si>
    <t xml:space="preserve">Banking is a heavily regulated industry. New regulations keep emerging and are further reshaping the way banks are doing business. The risk is arising from new regulations being costly to implement and potentially impacting BSI strategy. The clients often get nervous about new regulations potentially affecting their assets, however this hasn't been a material risk to BSI in the past. The largest cost is the regulation implementation cost. There is also a possibility of new regulation impacting BSI product &amp; services. 
BSI has a regulatory compliance framework that  that includes a regulatory risk assessment, a regulatory monitoring/testing programs and effective implementation of newly emerged regulations. The timely implementation of regulations reduces the risk of losses. 
The new regulations could have impact as much as $5-$50MM.  The assessment is based on recently emerged US regulatory standards requiring BSI to consolidate to the IHC.  The estimated IHC implementation cost is $9.5MM first year and $6MM annually thereafter.  Strategic Plan was used for assessment (P2018)
</t>
  </si>
  <si>
    <t>The new regulations could have impact as much as $5-$50MM.  The assessment is based on recently emerged US regulatory standards requiring BSI to consolidate to the IHC.  The estimated IHC implementation cost is $9.5MM first year and $6MM annually thereafter. Strategic Plan was used for assessment (P2018)</t>
  </si>
  <si>
    <t>AlCO Presentations, Collateral Monitoring and Margin Call Reports, Secured Lending Model Documentation</t>
  </si>
  <si>
    <t>The current new product approval process has two levels: first the new product is approved by the local BSI  committee considering all aspects - operational, financial, and other risk factors. Then it goes for the approval at the head office (Madrid Office). New investment fund offerings also go to  the investment committee review and approval process before these new investment options are offered to the clients.</t>
  </si>
  <si>
    <t>In the stress scenario  if not all the controls are working and the new products/investment offerings are not properly evaluated the revenue shortfall/ losses could potentially be $1-$5MM. When clients are losing their investments BSI is losing fee revenue generated by AUM volume. It is the opportunity cost. For the assessment the historical financials were used, the example of the strategic investment offering in 2008 (private equity fund).  But the estimated future loss would be mitigated considering stronger controls currently in place.</t>
  </si>
  <si>
    <t>The risk could arise from lack of governance around new product approvals and incentive plan. There must be a strong  governance processes for approving new products or new investment options, ensuring  proper due-diligence and operational execution plan as well as  appropriate incentive compensation plan. Failing to have effective governance around these processes can lead to approving products that are too risky and do not meet client needs and bring losses to the clients as well as BSI. 
The current new product approval process has two levels: first the new product is approved by the local BSI  committee considering all aspects - operational, financial, and other risk factors. Then it goes for the approval at the head office (Madrid Office). New investment fund offerings also go though the investment committee review and approval process before these new investment options are offered to the clients.
In the stress scenario  if not all the controls are working and the new products/investment offerings are not properly evaluated the revenue shortfall/ losses could potentially be $1-$5MM. When clients are losing their investments BSI is losing fee revenue generated by AUM volume. It is the opportunity cost. For the assessment the historical financials were used, the example of the strategic investment offering in 2008 (private equity fund).  But the estimated future loss would be mitigated considering stronger controls currently in place.place.</t>
  </si>
  <si>
    <t xml:space="preserve"> Controls include associate training; product review and approval process which identifies the potential risk held by the clients, especially those held as collateral;  BSI has shown effective mitigation actions in the past to preserve the clients investments as well as the bank's reputation </t>
  </si>
  <si>
    <t>Preventive controls include associate training; IT /security system assessments, multiple level transaction approval processes.</t>
  </si>
  <si>
    <t>Risk of loss of the financial margin due to the shrinking balance sheet</t>
  </si>
  <si>
    <t xml:space="preserve">Controls  include early liquidity warning indicators, limits, MVE and IRR stress test monthly, reviews in ALCO meetings; Liquidity Management policies and frameworks. Liquidity contingency plan that contemplates 3 levels of severity and escalation. </t>
  </si>
  <si>
    <t xml:space="preserve">There are no history of such events at BSI. Based on external events (Santander Securities of Puerto Rico ) in the past, regulatory fines for deficiencies in the structured product business could be $1-$5MM.  In addition, due to the sensibility of the product and the type of client, any issue could lead to litigation and client reimbursement additional losses in the range of  $5-$50MM. </t>
  </si>
  <si>
    <t xml:space="preserve">BSI designed products based on specific customer requests and ideas.  These products are mainly structured notes to UHNW clients and they invest large amount in this asset type, for instance,  20 clients have approximately $300MM invested. 
The risk of losses could arise from accidental breaches in the commercialization of Reverse Convertibles, Autocallables, and any other Complex Structure, (including fiduciary or suitability requirements). This Asset Type has been defined as Special Monitoring asset type and exposures are reviewed every 4 months. Controls also include oversight by committees and internal audit.
There are no history of such events at BSI. Based on external events (Santander Securities of Puerto Rico ) in the past, regulatory fines for deficiencies in the structured product business could be $1-$5MM.  In addition, due to the sensibility of the product and the type of client, any issue could lead to litigation and client reimbursement additional losses in the range of  $5-$50MM. </t>
  </si>
  <si>
    <t xml:space="preserve">External sources used for :
1. For compliances risks assessment ( BSA/AML/OFAC risks) the websites used:  www.treasury.gov;  www.fincen.gov; www.justice.gov
2. Events at other entities of Banco Santander. S.A. for Reputational/Strategic/Operational Risk
3. Bloomberg stress scenarios for Credit risk (Collateral) and Strategic Risk (AUM)
4. For Operational / Fiduciary risk website used: www.finra.org (https://www.finra.org/newsroom/2011/finra-fines-santander-securities-2-million-deficiencies-its-structured-product
</t>
  </si>
  <si>
    <t>BSI controls include model control and validation: U.S. Market Risk Model Control for ALM and Liquidity Models and Head Office validation and quarterly reviews of the LV Secured Lending model annual assessment of corporate assumptions, BSI annual assessment of BSA/AML/OFAC scoring model, personnel training.</t>
  </si>
  <si>
    <t>Controls include IT Security Controls and Assessments,  Client Identity verification process, Client Documentation Updates Log and reviews, Compliance reviews, OFAC filter for the third party contracts, SAR reports, Vendor management process and assessment.</t>
  </si>
  <si>
    <t>The controls include associate training and third party OFAC screening, SAR reports,  OFAC due diligence programs are designed to detect and report money laundering and terrorist financing and the existence of the proceeds of foreign corruption.</t>
  </si>
  <si>
    <t xml:space="preserve">Current controls include trading limits, transaction reviews by the back office and approvals. Errors show on clients account and help to detect any unauthorized activity; Associate Training; </t>
  </si>
  <si>
    <t xml:space="preserve">All credit risk at BSI is related to Collateral - and the Collateral is being monitored daily for potential margin calls. The Secured Lending model lending values are reviewed quarterly and the corporate credit policy assessed annually. </t>
  </si>
  <si>
    <t xml:space="preserve">
The controls include daily collateral/margin call monitoring locally, monthly margin call activity report; quarterly LV haircuts review (liquidity and the volatility of securities) by the head office;  annual review and assessment of the lending criteria by the head office; Collateral concentration reviews at the Risk Committee,  monitoring credit quality  and concentration of the issuers;  Margin call process provides effective mitigation controls.  </t>
  </si>
  <si>
    <t>In the worst case scenario if the parent company sets the risk appetite that limits BSI strategy it could lead to the loss of annual revenue as much as $5-50MM. Although BSI does not have a history of such events impacting BSI P&amp;L, the loss estimate is based on ongoing IHC consolidation effort - the costs and  potential imapact on BSI future revenue.</t>
  </si>
  <si>
    <t>BSI is a wholly owned subsidiary and depends on the strategic decisions made at the parent company.  The risk could arise if the parent company makes strategic decisions related to the risk appetite/tolerance or capital or liquidity that limit BSI strategy execution, especially given that BSI has a unique business model of non-resident international banking. For example, the risk tolerance limits set by the parent might establish that doing business with certain countries or offering certain products and services is too risky for the holding company. This would impact BSI strategy implementation. The loss would be the cost of opportunity -  lost revenue that was forecasted in the strategic plan. 
Controls for external factors affecting BSI are limited. BSI is maintaining effective communication and coordination with the parent company about the activities that affect BSI. 
In the worst case scenario if the parent company sets the risk appetite that limits BSI strategy it could lead to the loss of annual revenue as much as $5-50MM. Although BSI does not have a history of such events impacting BSI P&amp;L, the loss estimate is based on ongoing IHC consolidation effort - the costs and  potential imapact on BSI future revenue.</t>
  </si>
  <si>
    <t xml:space="preserve">BSI enters into various strategic investment partnerships and create various promotional offers to market new products to clients and grow AUM. The expertise of management is critical in these type of strategic decisions. The risk of making a  decision that is not properly evaluated or aligned with the BSI overall strategy due to lack of management expertise could lead to losses.  
After further review the risk was combined with Strategic Risk - Corporate Governance - "Inadequate governance in new product/investment offerings approval process"
</t>
  </si>
  <si>
    <t>The expected annual loss is $1-$5MM  - amount booked in allowance for credit losses. No material credit losses  2010-2014 per financial statements.
Current pledged assets are ~7.3BN (34% issued by Grupo Santander) for ~3.8BN of loans giving LTV ratio of 52%. By asset type collateral consists of 41% Fixed Income, 22% Equity, 20% Other Funds, 9% Cash, 5% Alternative Funds and 2.5% Structured Products. The secured lending model applies very conservative LV haircuts based on asset volatility, liquidity, issuer credit quality and other parameters.  In the stressed market conditions, the LV would fall prior the actual MV of the collateral below the Loan amount triggering MCs and subsequently remedial actions immediately to avoid the losses and would be covered by ALLL. The secured lending model with the margin call process has been proven to be effective mitigating control during the 2008-2009 financial crises.</t>
  </si>
  <si>
    <t xml:space="preserve"> BSI business model is collateral (form of securities and cash) based lending. Lending values (LV) are calculated based on the head office model which is very conservative applying haircuts to the collateral for by each asset type and uses 99.97% level of confidence. The risk could arise when large moves in the market initiate the margin call (MC) and the client is not able to pay; then BSI will need to execute the collateral and potentially will incur losses if collateral value is not sufficient to cover the outstanding loan, especially in the case of a very concentrated position; or if the collateral is not accessible as it may be subject to governmental lien (including OFAC blocked collateral). 
Key risk drivers are corporate spreads widen, interest rates up and  equity prices down. 
The controls include daily collateral/margin call monitoring locally, monthly margin call activity report; quarterly LV haircuts review (liquidity and the volatility of securities) by the head office;  annual review and assessment of the lending criteria by the head office; Collateral concentration reviews at the Risk Committee,  monitoring credit quality  and concentration of the issuers;  Margin call process provides effective mitigation controls.  
The expected annual loss is $1-$5MM  - amount booked in allowance for credit losses. No material credit losses  2010-2014 per financial statements.
Current pledged assets are ~7.3BN (34% issued by Grupo Santander) for ~3.8BN of loans giving LTV ratio of 52%. By asset type collateral consists of 41% Fixed Income, 22% Equity, 20% Other Funds, 9% Cash, 5% Alternative Funds and 2.5% Structured Products. The secured lending model applies very conservative LV haircuts based on asset volatility, liquidity, issuer credit quality and other parameters.  In the stressed market conditions, the LV would fall prior the actual MV of the collateral below the Loan amount triggering MCs and subsequently remedial actions immediately to avoid the losses and would be covered by ALLL. The secured lending model with the margin call process has been proven to be effective mitigating control during the 2008-2009 financial crises. 
</t>
  </si>
  <si>
    <t>Corporate Credit Spreads (Widen), Equity Prices (Down), Interest Rates (Up)</t>
  </si>
  <si>
    <t>BSI business depends on the clients' trust and perception of the bank's ability to offer reliable services and custom-tailored solutions.  The risk is arising from losing client volume due to the bad perception of the bank's products and services, frequent client complaints or litigations. The triggers could be bank's improper due diligence or information provided to the clients to make informed decisions. This could lead to bad publicity and ultimately clients shifting to the competitors. The risk is arising differently  in  discretionary and non-discretionary portfolios.
In the discretionary portfolio the risk is reduced (diversified) with asset allocation but does exist if the controls are not working properly, especially risk of improper documentation/disclosures. In non-discretionary portfolios there is more risk  since the clients do make the ultimate decision and could ask for a non-recommended product leading to a disappointment, complaints and the client shifting to competitors.
Controls include associate training; product/portfolio reviews to identify the potential risks, especially assets held as collateral.  The effective mitigation is the key to  preserving the reputation. Once the risk of certain products is identified, the management needs to execute timely and mitigate the potential losses. BSI has shown it's effective mitigation actions in the past. 
The expected loss in the next 12 months is $0 as the bank has strong controls in place and currently there is no provision for reputational loss. 
In the worst case scenario when the bank's products and services reliability is damaged the annual losses could extend $5-$50MM. The estimate is based on 2006 -2014  financial statements, history of reputational events (legal logs), the historical growth of AUM and fee income.  The largest loss is the opportunity cost of losing the potential revenue after the clients leave the bank due to the damaged reputation.  The lost revenue growth takes years to reach the same growth as before the reputational events. The loss estimate is based assuming BSI would not achieve a projected 3% annual revenue growth (at least  $8MM based on current annual revenue) in addition there might be some clients leaving the bank.</t>
  </si>
  <si>
    <t xml:space="preserve">Private Banking: Alvaro Morales, Jon Diaz Valdenebro,  Marilyn Moll, Eugenio Alvarez
Compliance: Paulo Prado, Lourdes Madariaga, Jimena Perez, Roger Jimenez
Finance/Accounting: Eloina-Franco Espinosa, Mario Acosta, Frances Vega
Treasury/Credit, Market &amp; Liquidity Risk: Ted Fernandez, Martha Sullivan, Ivan Caisapanta; Francisco Gonzalez-Rivera, Daniel Rodriguez; Teresita Ysasi
T&amp;O: Marcos Galigarcia,  Rodolfo Bucaro, Carlos De Lemos, Israel Vegas, 
Legal: John Villamil-Morel, Gabriela Urbina-Reinfeld
HR: Martha Mancini, Raquel Kaakdjian
ERM: Birute Scobee
CART PMO: Elizabeth Noda
</t>
  </si>
  <si>
    <t xml:space="preserve">
Paulo Prado (CRO &amp; Compliance, Reputational/ Strategic Risk),
Francisco Gonzalez-Rivera (Credit/Market/Liquidity Risk)
Marcos Galigarcia (Ops Risk)
</t>
  </si>
  <si>
    <t xml:space="preserve">BSI is in International Private Banking Business and most material risks are related to the type of clients (high networth non-US residents), geographies (primarily LATAM), services/products (investment advisory) and the level of trust involved in client-banker relationship (discretionary portfolio management and specialized services).  The material risks identified at BSI are Compliance Risk  related to OFAC / BSA / AML and Regulatory Compliance (3 sub-risks); Fiduciary Risk  related to breach of fiduciary duties and product suitability (2 sub-risks); Reputational Risk related to BSI brand name and product offerings (3 sub-risks);  Operational risk related to execution, delivery and process management and internal/external fraud  given the size of the transactions (5 sub-risks); Credit and Liquidity risks related to unfavorable market conditions impacting AUM/Loans/Collateral (2 risks); as well as Strategic Risks related to geographic concentration, market conditions, governance and systems/data architecture  and the dependency on the parent company (6 sub-risks); </t>
  </si>
  <si>
    <t xml:space="preserve">May 7, 2015 - An Official kick-off meeting and Risk Taxonomy Review
May 22, 2015 - First executive training by SHUSA;
April - June 2015 about 20 workshops by function/risk area
June 17, 2015 - PB Strategic Risk Review Meeting
</t>
  </si>
  <si>
    <t>Liquidity Stress Testing;  ALCO Presentations (2014-2015)</t>
  </si>
  <si>
    <t>BSI Model List, Secured Lending Model Assumptions; Market Risk Model Contorl Report (SHUSA 2015)</t>
  </si>
  <si>
    <t>BSA/AML/ OFAC Annual Risk Assessment (2014); Audits, Regulatory Findings (2014-2015), Reg R Assessment (2010-2014)</t>
  </si>
  <si>
    <t xml:space="preserve">Historical Financial Statements ( 2006-2014), Litigation Logs (2011-2015), </t>
  </si>
  <si>
    <t>Historical Financial Statements ( 2006-2014), Strategic Plan (P2018), RTS Metrics (2014-2015), Audited Financial Statement (2008-2014)</t>
  </si>
  <si>
    <t xml:space="preserve">BSI off-balance sheet exposures and risk associated with them include:
1. Off-balance sheet Assets Under Management (AUM): the bank offers Discretionary portfolio Management &amp; Advisory services that involve fiduciary functions. The main risks associated with this off-balance sheet activity are related to Strategic, Reputational and Operational (Fiduciary) risks covered in the appropriate risk sections. BSI has approximately $17.4BN off-balance sheet AUMs of which $3.2BN is in the discretionary portfolio. Asset management fees and commission account for ~60% of BSI revenue.
2. Credit Risk off-balance sheet activities include  Uncommitted (advised) credit lines and letters of credit. 
BSI currently does not have committed credit lines. The uncommitted unused credit lines (~560MM) are not legal obligations and do not pose liquidity risk but could present reputational risk and that is covered under the reputational risk and Brand Image/Customers Experience sub-risk. 
Letters of credit - the bank issues letters of credit to meet financing needs of its customers. BSI issues two types of letters of credit: 
 - Commercial Letters of Credit . The Bank's acceptance of these instruments is contingent upon the presentation of the necessary documents to execute such contracts. The contractual amount as of December 31, 2014 was $11MM
 - Standby Letters of Credit. These guarantees are used primarily to support borrowing arrangements. The contractual amount as of December 31, 2014 was  $305MM.
Given BSI has a secured lending model  and a very strong liquidity position, the management does not anticipate any material losses from these activities.
3. FX derivate exposures include transactions made with and on behalf of clients (FX Desk) and transactions made to manage balance sheet exposures (ALCO Desk).  Bank counterparts are Banco Santander S. A. entities and other large global banks.   Credit risk for FX derivative exposures to clients is minimized by collateral requirements imposed by the bank (covered under credit risk - collateral).    Credit risk for FX derivative exposures to counterparts is reduced to certain counterparts by having in place ISDA Credit Support Annex requiring exchange of collateral; and the majority of FX derivative exposure to counterparts is within the Santander group.   Of the $ 3.3 BN in total notional (purchases and sales) outstanding as of December 2014, approximately $ 200 MM represents transactions made to manage balance sheet exposures.   The interest rate risk associated with the transactions  is captured by the bank’s interest rate risk model. The interest rate risk captured as a strategic risk of losing the margin due to the economic downturn. </t>
  </si>
  <si>
    <t xml:space="preserve">Banco Santander International (BSI) is engaging in international banking and financial operations with foreign individuals (non-US residents) and corporations based primarily in Latin America. BSI has four (4) branches licenses that operate as representative offices in New York, Houston, San Diego, and Seattle and the main office located in Miami, FL. BSI is an Edge Act corporation and a wholly  owned subsidiary of Banco Santander, S.A.(the Parent). 
BSI objective is to provide world-class service and financial advice to high net worth individuals and family groups. BSI services include Banking &amp; Investment Services, Portfolio Advisory, Discretionary Portfolio Management and Active Investment Services. 
Current total BSI assets are ~7.3BN of which ~$3.5BN are securities backed loans. Current off-balance sheet assets under management are ~$17.4BN of which ~$3.2BN in the discretionary portfolio. 
</t>
  </si>
  <si>
    <t xml:space="preserve">BSI has one business segment - Private Banking - and various supporting function teams: Finance &amp; Accounting, Legal, HR, Compliance, Technology &amp; Operations. All of the teams were involved in material risk identification and assessment process. 
BSI  MRP process included few steps:
As a first step,  "Test MRP program" was rolled-out in one supporting function area (Compliance/ Fiduciary Risk) to test what approach works best before introducing it in other LOB/Supporting Function Areas. Two methods were used to identify material risks - reviewing the provided Risk Taxonomy for potential material risk as well as having brainstorming sessions while using the foundational inputs. Both first and second lines were involved in the analysis. 
The second step was a kick-of meeting including both First and Second line of defense representatives from Private Banking, HR, Legal, Credit/Market/Liquidity Risk, Operational Risk, Compliance, Accounting &amp; Finance to introduce the MRP goals and the approach. The Risk Taxonomy was reviewed to identify potential material risks for BSI (out of 140 about 30 sub-risks were identified). 
The third step was a series of smaller workshops divided by LOB/Functions (about 20 total workshops) to assess the financial impact and challenge each of the identified material sub-risks with second line of defense. During these workshops some sub-risks were combined, excluded or added to the final list of 22 material risk inventory for BSI.
</t>
  </si>
  <si>
    <t>Regulatory Examinations: Internal Controls - FX Transaction</t>
  </si>
  <si>
    <t>FED: The Board and Senior Management are required to identify and remediate internal control and system weaknesses in the FX process by addressing the following:
• Perform a comprehensive assessment to identify the control deficiencies (i.e. weaknesses and/or breakdowns) that led to the overstate)!nt ofFX forward contracts in Corporation's books and records.
• Address any weaknesses identified in the above assessment and implement appropriate policies, procedures, and controls, including IT solutions, over the FX process.
• Reaffirm whether or not approval and/or error reporting thresholds are in line with Corporation's risk tolerance; and if not, adjust accordingly.
• Ensure that internal audit reviews the internal assessment and implemented actions in the next scheduled internal audit of the affected areas.</t>
  </si>
  <si>
    <t>BSI is currently relying on one main system: T24 – Core Banking System used for Customer, Account, Loans, Transfer,Teller, Bill Payment, Money Market, Forex, Trade Finance, Fiduciary,Finance Report, General Reports information. The system is critical for a successful strategy implementation. The risk is arising if the system (vendor) goes away. Although  BSI would be able to continue to operate, due to the lost support it would have to implement a new system that is time and resource-consuming. 
BSI has effective controls in place- vendor management, IT Assessment  and BCP.
There are no expected losses in the next 12 months. 
In the stressed scenario if BSI needs to change the system it could cost between $5-$50MM. The assessment is based on the historical events as well as current cost of system replacement - the estimated replacement cost could be as much as $10MM (cash out). Based on BSI historical example with one Vendor going away and having to implement a new system.</t>
  </si>
  <si>
    <t>Liquidity Stress Test  Models are Owned by SHUSA Market Risk Team  The most recent model validation was done June, 2015
Credit Secure Lending model Market Risk( NIM/ MVE / Liquidity Gap) Models are owned by the Head Office. The model assumptions and validations are performed annually outside BSI control/scope.</t>
  </si>
  <si>
    <t>N/A</t>
  </si>
  <si>
    <t xml:space="preserve">2014 Assessment : OFAC Risk is a measure of its client’s, geographies, products/services and transactions that could potentially expose the company to risk, against the effectiveness in which these OFAC risks are identified and mitigated. The mitigating controls are strong and reliable. These attributes contribute to a Moderate OFAC risk rating.
Internal Audit (2015) and Regulator Examinations (2014) - Findings and recommendations in the appropriate section.
</t>
  </si>
  <si>
    <t xml:space="preserve">Majority of the models currently used at BSI were developed by the parent company and assumption creation is out of BSI control. However the risk at BSI is arising from having inadequately trained personnel and misuse of the models. The most sensitive model at BSI that could lead to material potential losses is the secured lending model. Misusing the model could lead to miscalculating the underlying collateral for the lending value an breaching the internal as well as regulator set LTV limits for securities-based lending.
BSI controls include model control and validation: U.S. Market Risk Model Control for ALM and Liquidity Models and Head Office validation and quarterly reviews of the LV Secured Lending model annual assessment of corporate assumptions, BSI annual assessment of BSA/AML/OFAC scoring model, personnel training.
The assessment was done considering the secured lending model policy and taking into account  the average loan amount ( ~$800K) and annual loan volume ~$2BN. </t>
  </si>
  <si>
    <t xml:space="preserve">The annual expected loss from model misuse is expected at $0MM: no history of material events at BSI, key model personnel turnover is minimal.
In the stressed scenario if some controls do not work and the model is misused in granting loans the potential loss could be $1-$5MM. The assessment was done considering the secured lending model policy and taking into account  the average loan amount ( ~$800K) and annual loan volume ~$2BN. </t>
  </si>
  <si>
    <t xml:space="preserve">No events with &gt; $1MM loss recognized in the past 12 months.  </t>
  </si>
  <si>
    <t xml:space="preserve">BSI resides in a rented office space from the Group company that owns the building.  BSI is in the process of purchasing the building from the Group.  BSI does own the furniture and equipment. There are currently insurance policies in place. However, the risk of loss is arising  in the case of the total loss/damage to the assets and the insurance coverage not being sufficient to cover the replacement cost, especially after the on-going renovations ( BSI is in the process updating its physical inventory).
Current controls include a detailed and tested Business Continuity Plan (BCP) and the insurance policy. 
The expected annual loss is $0MM as currently there is no provision booked for operational losses due to damage to physical assets. Based on operations loss history 2008-2014 there were no annual  losses exceeding $1MM for damage to physical assets.
The potential stressed scenario could be losing the building completely in the case of major hurricane with all the furniture and equipment's and having to rebuild.  The loss estimate would be the insurance coverage gap - the difference between the market value of the assets and the insurance payout. Based on recent renovation cost  (~ $2MM per floor)  and the insurance policy can cover up to $23.2MM (Miami Office Only). Potentially we might have a gap of $1-5MM.
</t>
  </si>
  <si>
    <t>The expected annual loss is $0MM. Based on operations loss history 2009-2014 there were no annual  losses exceeding $1MM for damage to physical assets.
The potential stressed scenario could be losing the building completely in the case of major hurricane with all the furniture and equipment's and having to rebuild.  The loss estimate would be the insurance coverage gap - the difference between the market value of the assets and the insurance payout. Based on recent renovation cost  (~ $2MM per floor) the insurance policy can cover up to $23.2MM (Miami Office Only). Potentially BSI might have a gap of $1-5MM.</t>
  </si>
  <si>
    <t xml:space="preserve">No significant issues, or incidents to report.  
Most current GLBA is tracking 16 action plans all addressing medium and low risks.
</t>
  </si>
  <si>
    <t xml:space="preserve">No significant issues, or incidents to report.  
Current Vendor Management program is tracking 34 “Critical” Third Party Providers.  Rating methodology, and assessment requirements currently under review
</t>
  </si>
  <si>
    <t xml:space="preserve">In the last 12 months there has been one activation of the Business Continuity team.  On Tuesday May 26th, 2015 the office in Houston, TX branch closed early due to flood warning issued by the US National Weather Service.  Local staff  were able to work from home, and there wires or trades impacted.  The office remained closed through the remainder of the day, and re-opened the follow day.  </t>
  </si>
  <si>
    <t>The expected annual loss is $0MM, no history of such events at BSI. 
In the stressed scenario the loss could be $1-$5MM. The estimates is based on the cost to implement regulator recommendations for BSI size entity (FATCA cost), external sources - fines for the similar size entities or potential restrictions on BSI products and services.</t>
  </si>
  <si>
    <t xml:space="preserve"> The risk is arising from failing to act on a new regulation that affects the products and services offered at BSI.  A failure to property and timely implement new regulator requirements (e.g. current emerging rules like Volcker Rule, FATCA ) and having a non-compliance status could lead to various regulator recommendations and ultimately regulatory fines. The loss could arise from additional expense  to satisfy regulator recommendations, regulator fines  as well as loss of revenue due to restrictions on certain products or services. 
BSI has a strong regulatory compliance framework that includes a regulatory risk assessment, a regulatory monitoring/testing programs which reviews all applicable  non-BSA regulations. The controls for new emerging regulations involve assessment at different layers: at BSI or SHUSA level. 
The expected annual loss is $0MM, no history of such events at BSI. 
In the stressed scenario the loss could be $1-$5MM. The estimates is based on the cost to implement regulator recommendations for BSI size entity (e.g.  FATCA ), external sources - fines for the similar size entities or potential restrictions on BSI products and services.</t>
  </si>
  <si>
    <t xml:space="preserve">Annual expected loss is $0MM
In a stress scenario the losses could amount to $5-$50MM  based on client account large cash balances, average daily transfers (258) and largest top 10 transfers being $10MM-$30MM, as well as external fraud attempts that were prevented by BSI controls. In 2014 BSI filed 25 SARs related to wire transfer fraud attempts.  Assessment is based considering few smaller instances per year. OFAC 2014 Annual Assessment, Operational Loss history was used for the loss assessment. </t>
  </si>
  <si>
    <t xml:space="preserve">Private banking clients are wealthy individuals with large cash balances in their accounts that often makes them a desirable target for external fraud. The risk is arising from referral agents or any third party that could have knowledge of the client's account info. A third party that has an advisory/ asset management or discretion management over the account for the client e.g. custody agreements, could commit identity theft or other type of deception to steal the client's money. The loss for the bank is potentially having to reimburse the client. 
Current controls in place include associate training, compliances reviews of the third party contracts that also have to pass OFAC filter. 
Annual expected loss is $0MM, no Hisitory of material events. 
In a stress scenario the losses could amount to $5-$50MM  based on client account large cash balances, average daily transfers (258) and largest top 10 transfers being $10MM-$30MM, as well as external fraud attempts that were prevented by BSI controls. In 2014 BSI filed 25 SARs related to wire transfer fraud attempts.  Assessment is based considering few smaller instances per year. OFAC 2014 Annual Assessment, Operational Loss history was used for the loss assessment. </t>
  </si>
  <si>
    <t>The expected annual loss is $0MM. BSI has  effective controls and no history of such events.
In the stressed scenario if BSI finds itself associated with bribery &amp; corruption case the losses could be $1-5MM based on the transaction volume amounts with high-risk countries (~29% of total annual transactions), transaction volume(~258 daily transfers) and the average of $240K per wire transfer, average daily trades 3,689, events at other Santander entities and other peer banks. Per OFAC Risk 2014 Assessment there were 8 SARs filed related to negative media (foreign corruption). The loss assessment considers strong controls and mitigants.</t>
  </si>
  <si>
    <t>The risk of bribery &amp; corruption is arising due to BSI international business nature - large transactions with clients  identified as having high foreign corruption index rates, including high ranking public officials. BSI is  exposed to jurisdictions considered to be of high risk for money laundering crimes, as categorized in various reputable publications, such as the Transparency International Corruption Perception Index (CPI). The loss could arise from frozen client accounts,  fines, litigation expense and loss of  clients.  
OFAC due diligence programs are designed to detect and report money laundering and terrorist financing and the existence of the proceeds of foreign corruption.
The expected annual loss is $0MM. BSI has  effective controls and no history of such events.
In the stressed scenario if BSI finds itself associated with bribery &amp; corruption case the losses could be $1-5MM based on the transaction volume amounts with high-risk countries (~29% of total annual transactions), transaction volume(~258 daily transfers) and the average of $240K per wire transfer, average daily trades 3,689, events at other Santander entities and other peer banks. Per OFAC Risk 2014 Assessment there were 8 SARs filed related to negative media (foreign corruption). The loss asse</t>
  </si>
  <si>
    <t>The expected annual loss for trade/wire transfer errors is $0MM, there are no past operational loss events larger than $1MM annual losses ( operational loss history 2009-2014).
In the stress scenario case an error in a larger transaction or few smaller instances could potentially bring $1-$5MM losses.  The estimate is based assuming few smaller events happen during the year. The operational loss history shows and average loss $230K per year related to Execution, Delivery, and Process Management. Also,  based on BSI daily transaction volume - average ~258 daily transfers  and dollar amount per wire transfer  ($244K). Also, loss events at affiliated entitles were taken into account as an example.</t>
  </si>
  <si>
    <t>BSI performs trading and wire transfers with average daily ~720 wire transactions, average  $244K per transfer. Manual or systems errors could happen when processing the transactions. The risk of losses is arising mainly due to the nature of BSI private banking transactions  where large dollar wire transfer and investment trades are involved.   
Controls include: associate training, dual validation, trading limits, management reviews , escalation process for large transfers. 
The expected annual loss for trade/wire transfer errors is $0MM, there are no past operational loss events larger than $1MM annual losses ( operational loss history 2009-2014).
In the stress scenario case an error in a larger transaction or few smaller instances could potentially bring $1-$5MM losses.  The estimate is based assuming few smaller events happen during the year. The operational loss history shows and average loss $230K per year related to Execution, Delivery, and Process Management. Also,  based on BSI daily transaction volume - average ~258 daily transfers  and dollar amount per wire transfer  ($244K). Also, loss events at affiliated entitles were taken into account as an example.</t>
  </si>
  <si>
    <t>The expected reputational loss in the next 12motnhs is $0. 
The potential annual stressed loss could be $1-$5MM. The assessment is also considering BSI having a wide-spread international client based and news on reputational/operational  events are usually very contained.  BSI 2006-2014  financial statements, litigation logs, operational loss history were used for the assessment. Assuming one or few top clients leaving the bank with annual revenue (top clients bring as much as $4MM annual revenue)</t>
  </si>
  <si>
    <t>Private Banking clients are very sensitive to the Bank's reputation due to the level of trust and the closeness involved in the client-banker relationship which makes it very susceptible to fraud. BSI could be also be exposed to external fraud doing business as the custodian -  acting as an asset manager for other bank's assets that is involved in fraudulent activities. The risk is arising from losing clients and revenue do to negative publicity caused by internal or external fraud events. Once the reputation is damaged it is very hard to gain the clients trust and  regrow the business. 
Current controls include  associate training,  system security controls, transaction verification and approval processes. Mitigation actions to maintain the reputation  might include reimbursing the clients for their loss due to the fraud. 
The expected reputational loss in the next 12motnhs is $0. 
The potential annual stressed loss could be $1-$5MM. The assessment is also considering BSI having a wide-spread international client based and news on reputational/operational  events are usually very contained.  BSI 2006-2014  financial statements, litigation logs, operational loss history were used for the assessment. Assuming one or few top clients leaving the bank with annual revenue (top clients bring as much as $4MM annual revenue)</t>
  </si>
  <si>
    <t>The latest RCSA performed in 2013.   Results are by Business Process, no material impacts, total expected annaul loss for all risk types ~$0.5MM</t>
  </si>
  <si>
    <t>Operational loss data history (2009-2014), BCP (2015), BIA (2015), IT Assesment - GBLA (2015)</t>
  </si>
  <si>
    <t xml:space="preserve">The expected loss in the next 12 months is $0 as the bank has strong controls in place and currently there is no provision for reputational loss. 
In the worst case scenario when the bank's products and services reliability is damaged the annual losses could extend $5-$50MM. The estimate is based on 2006 -2014  financial statements, Startegic 3 year financial plan (P18),  history of reputational events (legal logs), the historical growth of AUM and fee income.  The loss estimate is assuming BSI would not achieve a projected 3% annual revenue growth (at least  $8MM based on current annual revenue) in addition there might be some clients leaving the bank. </t>
  </si>
  <si>
    <t xml:space="preserve">The strategy of BSI for next 3 years is to continue grow organically in our current markets at an average 3% annual growth rate in Assest Under Management with a gradual increasece in the financial margin from 1.1% to 1.2%. No changes in the operating model are being planned. </t>
  </si>
  <si>
    <t>Annual expected loss is $0.  There are no history of such events at BSI  (Annual BSA/ AML/ OFAC Risk Assessments)
Stressed scenario: The  highest impact in a 10 year period could be a BSA/AML related fine issued by the US government/regulators. Based on external events and several of the fines that have been issued relating to AML/OFAC were to institutions who knowingly conducted illegal activities (JP Morgan case in 2011 with $88MM fine), taking this into consideration we feel that BSI would be subject to a lower worse case scenario fine $5-$50MM  due to its smaller size and strict controls and excellent track record.</t>
  </si>
  <si>
    <t>Given BSI  international business nature, the risk of loss ir arising  from insufficient due diligence and transaction monitoring that could potentially open the door for a undesired customer from a sanctioned country to have an account at the bank conducting AML related activies (the sub-risks of Customer Type, Geography and Products Channels are combined). This could be driven by lack of resources/technology to properly monitor customers. T BSI conducts and annual BSA/AML/OFAC Risk Assessment to document all potential risks and mitigating controls.
Controls include AML/OFAC monitoring processes in accordance to the banks BSA/AML policies and procedures, Compliance &amp; Audit Committees,  the Internal Audit program and  the AML/OFAC oversight program conducted by the Federal Reserve Bank of Atlanta.
Based on the overall elevated level of inherent risk, BSI has implemented a comprehensive BSA/AML Compliance Program containing strong compensating controls that encompass appropriate risk-focused policies, procedures, and processes associated with the bank’s customers, products, services, and geographic locations. The strength and effectiveness of these mitigating controls provide for a moderate BSA/AML/TF/OFAC overall or residual risk rating for BSI.
Annual expected loss is $0.  There are no history of such events at BSI  (Annual BSA/ AML/ OFAC Risk Assessments)
Stressed scenario: The  highest impact in a 10 year period could be a BSA/AML related fine issued by the US government/regulators. Based on external events and several of the fines that have been issued relating to AML/OFAC were to institutions who knowingly conducted illegal activities (JP Morgan case in 2011 with $88MM fin), taking this into consideration we feel that BSI would be subject to a lower worse case scenario fine $5-$50MM  due to its smaller size and strict controls and excellent track record.</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</si>
</sst>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67"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9"/>
      <color rgb="FF000000"/>
      <name val="Calibri"/>
      <family val="2"/>
      <scheme val="minor"/>
    </font>
    <font>
      <sz val="9"/>
      <color rgb="FF000000"/>
      <name val="Calibri"/>
      <family val="2"/>
    </font>
    <font>
      <sz val="9"/>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36">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49"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4" fillId="35" borderId="4" xfId="0" applyFont="1" applyFill="1" applyBorder="1" applyAlignment="1">
      <alignment vertical="center" wrapText="1"/>
    </xf>
    <xf numFmtId="0" fontId="54" fillId="35" borderId="19" xfId="0" applyFont="1" applyFill="1" applyBorder="1" applyAlignment="1">
      <alignment vertical="center" wrapText="1"/>
    </xf>
    <xf numFmtId="0" fontId="0" fillId="0" borderId="42" xfId="0" applyBorder="1" applyAlignment="1">
      <alignment vertical="center" wrapText="1"/>
    </xf>
    <xf numFmtId="0" fontId="49" fillId="0" borderId="0" xfId="0" applyFont="1" applyAlignment="1">
      <alignment vertical="center"/>
    </xf>
    <xf numFmtId="0" fontId="56"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8"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2" fillId="0" borderId="2" xfId="0" applyFont="1" applyBorder="1" applyAlignment="1" applyProtection="1">
      <alignment vertical="center" wrapText="1"/>
      <protection locked="0"/>
    </xf>
    <xf numFmtId="14" fontId="62" fillId="0" borderId="2" xfId="0" applyNumberFormat="1" applyFont="1" applyBorder="1" applyAlignment="1" applyProtection="1">
      <alignment vertical="center" wrapText="1"/>
      <protection locked="0"/>
    </xf>
    <xf numFmtId="6" fontId="62" fillId="0" borderId="2" xfId="0" applyNumberFormat="1" applyFont="1" applyBorder="1" applyAlignment="1" applyProtection="1">
      <alignment vertical="center" wrapText="1"/>
      <protection locked="0"/>
    </xf>
    <xf numFmtId="0" fontId="62" fillId="0" borderId="21" xfId="0" applyFont="1" applyBorder="1" applyAlignment="1" applyProtection="1">
      <alignment vertical="center" wrapText="1"/>
      <protection locked="0"/>
    </xf>
    <xf numFmtId="0" fontId="62" fillId="0" borderId="26" xfId="0" applyFont="1" applyBorder="1" applyAlignment="1" applyProtection="1">
      <alignment vertical="center" wrapText="1"/>
      <protection locked="0"/>
    </xf>
    <xf numFmtId="14" fontId="62" fillId="0" borderId="21" xfId="0" applyNumberFormat="1" applyFont="1" applyBorder="1" applyAlignment="1" applyProtection="1">
      <alignment vertical="center" wrapText="1"/>
      <protection locked="0"/>
    </xf>
    <xf numFmtId="0" fontId="55" fillId="31" borderId="0" xfId="0" applyFont="1" applyFill="1"/>
    <xf numFmtId="0" fontId="0" fillId="0" borderId="0" xfId="0" applyAlignment="1">
      <alignment vertical="top"/>
    </xf>
    <xf numFmtId="0" fontId="0" fillId="31" borderId="0" xfId="0" applyFill="1" applyAlignment="1">
      <alignment vertical="top"/>
    </xf>
    <xf numFmtId="0" fontId="19" fillId="33" borderId="21" xfId="0" applyFont="1" applyFill="1" applyBorder="1" applyAlignment="1" applyProtection="1">
      <alignment horizontal="right" vertical="center" wrapText="1"/>
      <protection locked="0"/>
    </xf>
    <xf numFmtId="0" fontId="19" fillId="33" borderId="21" xfId="0" applyFont="1" applyFill="1" applyBorder="1" applyAlignment="1" applyProtection="1">
      <alignment horizontal="left" vertical="center" wrapText="1"/>
      <protection locked="0"/>
    </xf>
    <xf numFmtId="0" fontId="63" fillId="34" borderId="2" xfId="0" applyFont="1" applyFill="1" applyBorder="1" applyAlignment="1" applyProtection="1">
      <alignment horizontal="left" vertical="top" wrapText="1"/>
      <protection locked="0"/>
    </xf>
    <xf numFmtId="14" fontId="19" fillId="0" borderId="2" xfId="0" applyNumberFormat="1" applyFont="1" applyBorder="1" applyAlignment="1" applyProtection="1">
      <alignment vertical="center" wrapText="1"/>
      <protection locked="0"/>
    </xf>
    <xf numFmtId="0" fontId="0" fillId="31" borderId="0" xfId="0" applyFill="1" applyAlignment="1">
      <alignment wrapText="1"/>
    </xf>
    <xf numFmtId="0" fontId="0" fillId="31" borderId="0" xfId="0" applyFill="1" applyAlignment="1" applyProtection="1">
      <alignment wrapText="1"/>
      <protection locked="0"/>
    </xf>
    <xf numFmtId="0" fontId="0" fillId="30" borderId="0" xfId="0" applyFill="1" applyBorder="1" applyAlignment="1">
      <alignment horizontal="left" vertical="top" wrapText="1"/>
    </xf>
    <xf numFmtId="0" fontId="62" fillId="0" borderId="2" xfId="0" applyFont="1" applyBorder="1" applyAlignment="1" applyProtection="1">
      <alignment vertical="center" wrapText="1"/>
      <protection locked="0"/>
    </xf>
    <xf numFmtId="0" fontId="19" fillId="0" borderId="0" xfId="0" applyFont="1" applyBorder="1" applyAlignment="1" applyProtection="1">
      <alignment vertical="center" wrapText="1"/>
      <protection locked="0"/>
    </xf>
    <xf numFmtId="14" fontId="19" fillId="0" borderId="0" xfId="0" applyNumberFormat="1" applyFont="1" applyBorder="1" applyAlignment="1" applyProtection="1">
      <alignment vertical="center" wrapText="1"/>
      <protection locked="0"/>
    </xf>
    <xf numFmtId="0" fontId="0" fillId="31" borderId="0" xfId="0" applyFill="1" applyAlignment="1">
      <alignment horizontal="center"/>
    </xf>
    <xf numFmtId="0" fontId="0" fillId="31" borderId="0" xfId="0" applyFill="1" applyAlignment="1" applyProtection="1">
      <alignment horizontal="center"/>
      <protection locked="0"/>
    </xf>
    <xf numFmtId="0" fontId="0" fillId="31" borderId="0" xfId="0" applyFill="1" applyAlignment="1" applyProtection="1">
      <alignment horizontal="center" vertical="top"/>
      <protection locked="0"/>
    </xf>
    <xf numFmtId="0" fontId="64" fillId="0" borderId="2" xfId="0" applyFont="1" applyBorder="1" applyAlignment="1">
      <alignment horizontal="left" vertical="center" wrapText="1" readingOrder="1"/>
    </xf>
    <xf numFmtId="10" fontId="19" fillId="0" borderId="2" xfId="0" applyNumberFormat="1" applyFont="1" applyBorder="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9" fontId="19" fillId="0" borderId="2" xfId="0" applyNumberFormat="1" applyFont="1" applyBorder="1" applyAlignment="1" applyProtection="1">
      <alignment horizontal="center" vertical="center" wrapText="1"/>
      <protection locked="0"/>
    </xf>
    <xf numFmtId="0" fontId="66" fillId="0" borderId="2" xfId="0" applyFont="1" applyBorder="1"/>
    <xf numFmtId="0" fontId="65" fillId="0" borderId="2" xfId="0" applyFont="1" applyBorder="1" applyAlignment="1">
      <alignment horizontal="left" vertical="center" wrapText="1" readingOrder="1"/>
    </xf>
    <xf numFmtId="0" fontId="64" fillId="0" borderId="2" xfId="0" applyFont="1" applyBorder="1" applyAlignment="1">
      <alignment horizontal="left" vertical="center" readingOrder="1"/>
    </xf>
    <xf numFmtId="0" fontId="64" fillId="0" borderId="2" xfId="0" applyFont="1" applyBorder="1"/>
    <xf numFmtId="0" fontId="43" fillId="35" borderId="2" xfId="0" applyFont="1" applyFill="1" applyBorder="1" applyAlignment="1" applyProtection="1">
      <alignment horizontal="center" vertical="center" wrapText="1"/>
      <protection locked="0"/>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0" fillId="31" borderId="0" xfId="0" applyFont="1" applyFill="1" applyAlignment="1">
      <alignment horizontal="center" vertical="center" wrapText="1"/>
    </xf>
    <xf numFmtId="0" fontId="50" fillId="0" borderId="0" xfId="0" applyFont="1" applyAlignment="1">
      <alignment horizontal="center" vertical="center"/>
    </xf>
    <xf numFmtId="0" fontId="52" fillId="31" borderId="0" xfId="0" applyFont="1" applyFill="1" applyAlignment="1">
      <alignment horizontal="center" vertical="center" wrapText="1"/>
    </xf>
    <xf numFmtId="0" fontId="52" fillId="0" borderId="0" xfId="0" applyFont="1" applyAlignment="1">
      <alignment horizontal="center" vertical="center"/>
    </xf>
    <xf numFmtId="0" fontId="51" fillId="0" borderId="0" xfId="0" applyFont="1" applyAlignment="1">
      <alignment horizontal="center" vertical="center"/>
    </xf>
    <xf numFmtId="0" fontId="53" fillId="31" borderId="0" xfId="0" applyFont="1" applyFill="1" applyAlignment="1" applyProtection="1">
      <alignment horizontal="center" vertical="center"/>
      <protection locked="0"/>
    </xf>
    <xf numFmtId="0" fontId="53"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2" fillId="0" borderId="2" xfId="0" applyFont="1" applyBorder="1" applyAlignment="1" applyProtection="1">
      <alignment vertical="center" wrapText="1"/>
      <protection locked="0"/>
    </xf>
    <xf numFmtId="0" fontId="63" fillId="0" borderId="2" xfId="0" applyFont="1" applyBorder="1" applyAlignment="1" applyProtection="1">
      <protection locked="0"/>
    </xf>
    <xf numFmtId="0" fontId="62" fillId="0" borderId="30" xfId="0" applyFont="1" applyBorder="1" applyAlignment="1" applyProtection="1">
      <alignment vertical="center" wrapText="1"/>
      <protection locked="0"/>
    </xf>
    <xf numFmtId="0" fontId="63" fillId="0" borderId="31" xfId="0" applyFont="1" applyBorder="1" applyAlignment="1" applyProtection="1">
      <protection locked="0"/>
    </xf>
    <xf numFmtId="0" fontId="63" fillId="0" borderId="32"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3" fillId="35" borderId="2" xfId="0" applyFont="1" applyFill="1" applyBorder="1" applyAlignment="1">
      <alignment horizontal="center" vertical="center" wrapText="1"/>
    </xf>
    <xf numFmtId="0" fontId="43" fillId="35" borderId="2" xfId="0" applyFont="1" applyFill="1" applyBorder="1" applyAlignment="1" applyProtection="1">
      <alignment horizontal="center" vertical="center" wrapText="1"/>
      <protection locked="0"/>
    </xf>
    <xf numFmtId="0" fontId="6" fillId="31" borderId="18" xfId="0" applyFont="1" applyFill="1" applyBorder="1" applyAlignment="1">
      <alignment vertical="top" wrapText="1"/>
    </xf>
    <xf numFmtId="0" fontId="0" fillId="31" borderId="20" xfId="0" applyFill="1" applyBorder="1" applyAlignment="1">
      <alignment vertical="top" wrapText="1"/>
    </xf>
    <xf numFmtId="0" fontId="0" fillId="0" borderId="21" xfId="0" applyBorder="1" applyAlignment="1">
      <alignment vertical="top" wrapText="1"/>
    </xf>
    <xf numFmtId="0" fontId="41" fillId="31" borderId="18" xfId="0" applyFont="1" applyFill="1" applyBorder="1" applyAlignment="1">
      <alignment vertical="top" wrapText="1"/>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19" xfId="0" applyBorder="1" applyAlignment="1" applyProtection="1">
      <alignment vertical="top" wrapText="1"/>
      <protection locked="0"/>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18" xfId="0" applyFill="1" applyBorder="1" applyAlignment="1">
      <alignment wrapText="1"/>
    </xf>
    <xf numFmtId="0" fontId="0" fillId="0" borderId="44" xfId="0" applyBorder="1" applyAlignment="1">
      <alignment wrapText="1"/>
    </xf>
    <xf numFmtId="0" fontId="0" fillId="31" borderId="18" xfId="0" applyFill="1" applyBorder="1" applyAlignment="1">
      <alignment vertical="top"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63" fillId="32" borderId="18" xfId="0" applyFont="1" applyFill="1" applyBorder="1" applyAlignment="1" applyProtection="1">
      <alignment horizontal="left" vertical="top" wrapText="1"/>
      <protection locked="0"/>
    </xf>
    <xf numFmtId="0" fontId="63" fillId="0" borderId="19" xfId="0" applyFont="1" applyBorder="1" applyAlignment="1" applyProtection="1">
      <alignment vertical="top" wrapText="1"/>
      <protection locked="0"/>
    </xf>
    <xf numFmtId="0" fontId="0" fillId="32" borderId="18" xfId="0" quotePrefix="1" applyFill="1" applyBorder="1" applyAlignment="1" applyProtection="1">
      <alignment horizontal="left" vertical="top" wrapText="1"/>
      <protection locked="0"/>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0" fillId="0" borderId="16" xfId="0" applyFont="1" applyBorder="1" applyAlignment="1">
      <alignment vertical="center" wrapText="1"/>
    </xf>
    <xf numFmtId="0" fontId="0" fillId="0" borderId="41" xfId="0" applyFont="1" applyBorder="1" applyAlignment="1">
      <alignment vertical="center" wrapText="1"/>
    </xf>
    <xf numFmtId="0" fontId="0" fillId="0" borderId="26" xfId="0" applyFont="1" applyBorder="1" applyAlignment="1">
      <alignment vertical="center" wrapText="1"/>
    </xf>
    <xf numFmtId="0" fontId="0" fillId="0" borderId="0" xfId="0" applyAlignment="1">
      <alignment horizontal="left" vertical="top" wrapText="1"/>
    </xf>
    <xf numFmtId="0" fontId="1" fillId="0" borderId="2" xfId="0" applyFont="1" applyBorder="1" applyAlignment="1" applyProtection="1">
      <alignment horizontal="left" vertical="top" wrapText="1"/>
      <protection locked="0"/>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219075</xdr:colOff>
          <xdr:row>0</xdr:row>
          <xdr:rowOff>228600</xdr:rowOff>
        </xdr:from>
        <xdr:to>
          <xdr:col>2</xdr:col>
          <xdr:colOff>9525</xdr:colOff>
          <xdr:row>2</xdr:row>
          <xdr:rowOff>47625</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238125</xdr:colOff>
          <xdr:row>2</xdr:row>
          <xdr:rowOff>133350</xdr:rowOff>
        </xdr:from>
        <xdr:to>
          <xdr:col>2</xdr:col>
          <xdr:colOff>19050</xdr:colOff>
          <xdr:row>3</xdr:row>
          <xdr:rowOff>171450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3</xdr:row>
          <xdr:rowOff>123825</xdr:rowOff>
        </xdr:from>
        <xdr:to>
          <xdr:col>4</xdr:col>
          <xdr:colOff>676275</xdr:colOff>
          <xdr:row>7</xdr:row>
          <xdr:rowOff>9525</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85725</xdr:rowOff>
        </xdr:from>
        <xdr:to>
          <xdr:col>4</xdr:col>
          <xdr:colOff>695325</xdr:colOff>
          <xdr:row>13</xdr:row>
          <xdr:rowOff>76200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14</xdr:row>
          <xdr:rowOff>133350</xdr:rowOff>
        </xdr:from>
        <xdr:to>
          <xdr:col>4</xdr:col>
          <xdr:colOff>723900</xdr:colOff>
          <xdr:row>16</xdr:row>
          <xdr:rowOff>114300</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20</xdr:row>
          <xdr:rowOff>114300</xdr:rowOff>
        </xdr:from>
        <xdr:to>
          <xdr:col>4</xdr:col>
          <xdr:colOff>809625</xdr:colOff>
          <xdr:row>22</xdr:row>
          <xdr:rowOff>28575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view="pageLayout" topLeftCell="A22" zoomScaleNormal="90" workbookViewId="0">
      <selection activeCell="E3" sqref="E3:F40"/>
    </sheetView>
  </sheetViews>
  <sheetFormatPr defaultColWidth="0" defaultRowHeight="0" customHeight="1" zeroHeight="1" x14ac:dyDescent="0.25"/>
  <cols>
    <col min="1" max="1" width="28.85546875" style="99" customWidth="1"/>
    <col min="2" max="2" width="9.140625" style="99" customWidth="1"/>
    <col min="3" max="3" width="13" style="99" customWidth="1"/>
    <col min="4" max="4" width="13.140625" style="99" customWidth="1"/>
    <col min="5" max="5" width="47.7109375" style="99"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516</v>
      </c>
      <c r="B1" s="43"/>
      <c r="C1" s="43"/>
      <c r="D1" s="43"/>
      <c r="E1" s="43"/>
      <c r="AA1" s="43">
        <v>0</v>
      </c>
    </row>
    <row r="2" spans="1:27" ht="15" x14ac:dyDescent="0.25">
      <c r="A2" s="43"/>
      <c r="B2" s="43"/>
      <c r="C2" s="43"/>
      <c r="D2" s="43"/>
      <c r="E2" s="113" t="s">
        <v>528</v>
      </c>
    </row>
    <row r="3" spans="1:27" ht="15" x14ac:dyDescent="0.25">
      <c r="A3" s="39"/>
      <c r="B3" s="39"/>
      <c r="C3" s="39"/>
      <c r="D3" s="39"/>
      <c r="E3" s="138" t="s">
        <v>511</v>
      </c>
      <c r="F3" s="139"/>
    </row>
    <row r="4" spans="1:27" ht="15" x14ac:dyDescent="0.25">
      <c r="A4" s="39"/>
      <c r="B4" s="39"/>
      <c r="C4" s="39"/>
      <c r="D4" s="39"/>
      <c r="E4" s="140"/>
      <c r="F4" s="141"/>
    </row>
    <row r="5" spans="1:27" ht="4.5" customHeight="1" x14ac:dyDescent="0.25">
      <c r="A5" s="39"/>
      <c r="B5" s="39"/>
      <c r="C5" s="39"/>
      <c r="D5" s="39"/>
      <c r="E5" s="140"/>
      <c r="F5" s="141"/>
    </row>
    <row r="6" spans="1:27" ht="4.5" customHeight="1" x14ac:dyDescent="0.25">
      <c r="A6" s="39"/>
      <c r="B6" s="39"/>
      <c r="C6" s="39"/>
      <c r="D6" s="39"/>
      <c r="E6" s="140"/>
      <c r="F6" s="141"/>
    </row>
    <row r="7" spans="1:27" ht="15" x14ac:dyDescent="0.25">
      <c r="A7" s="39"/>
      <c r="B7" s="39"/>
      <c r="C7" s="39"/>
      <c r="D7" s="39"/>
      <c r="E7" s="140"/>
      <c r="F7" s="141"/>
    </row>
    <row r="8" spans="1:27" ht="15" x14ac:dyDescent="0.25">
      <c r="A8" s="39"/>
      <c r="B8" s="39"/>
      <c r="C8" s="39"/>
      <c r="D8" s="39"/>
      <c r="E8" s="140"/>
      <c r="F8" s="141"/>
    </row>
    <row r="9" spans="1:27" ht="15" x14ac:dyDescent="0.25">
      <c r="A9" s="39"/>
      <c r="B9" s="39"/>
      <c r="C9" s="39"/>
      <c r="D9" s="39"/>
      <c r="E9" s="140"/>
      <c r="F9" s="141"/>
    </row>
    <row r="10" spans="1:27" ht="15" hidden="1" customHeight="1" x14ac:dyDescent="0.25">
      <c r="A10" s="39"/>
      <c r="B10" s="39"/>
      <c r="C10" s="39"/>
      <c r="D10" s="39"/>
      <c r="E10" s="140"/>
      <c r="F10" s="141"/>
    </row>
    <row r="11" spans="1:27" ht="15" hidden="1" customHeight="1" x14ac:dyDescent="0.25">
      <c r="A11" s="39"/>
      <c r="B11" s="39"/>
      <c r="C11" s="39"/>
      <c r="D11" s="39"/>
      <c r="E11" s="140"/>
      <c r="F11" s="141"/>
    </row>
    <row r="12" spans="1:27" ht="15" hidden="1" customHeight="1" x14ac:dyDescent="0.25">
      <c r="A12" s="103"/>
      <c r="B12" s="39"/>
      <c r="C12" s="39"/>
      <c r="D12" s="39"/>
      <c r="E12" s="140"/>
      <c r="F12" s="141"/>
    </row>
    <row r="13" spans="1:27" ht="15" x14ac:dyDescent="0.25">
      <c r="A13" s="39"/>
      <c r="B13" s="39"/>
      <c r="C13" s="39"/>
      <c r="D13" s="39"/>
      <c r="E13" s="140"/>
      <c r="F13" s="141"/>
    </row>
    <row r="14" spans="1:27" ht="15" customHeight="1" x14ac:dyDescent="0.25">
      <c r="A14" s="144" t="s">
        <v>520</v>
      </c>
      <c r="B14" s="145"/>
      <c r="C14" s="146"/>
      <c r="D14" s="146"/>
      <c r="E14" s="140"/>
      <c r="F14" s="141"/>
    </row>
    <row r="15" spans="1:27" ht="15" customHeight="1" x14ac:dyDescent="0.25">
      <c r="A15" s="147"/>
      <c r="B15" s="148"/>
      <c r="C15" s="149"/>
      <c r="D15" s="149"/>
      <c r="E15" s="140"/>
      <c r="F15" s="141"/>
    </row>
    <row r="16" spans="1:27" ht="15" customHeight="1" x14ac:dyDescent="0.25">
      <c r="A16" s="147"/>
      <c r="B16" s="148"/>
      <c r="C16" s="149"/>
      <c r="D16" s="149"/>
      <c r="E16" s="140"/>
      <c r="F16" s="141"/>
    </row>
    <row r="17" spans="1:6" ht="53.25" customHeight="1" x14ac:dyDescent="0.25">
      <c r="A17" s="147"/>
      <c r="B17" s="148"/>
      <c r="C17" s="149"/>
      <c r="D17" s="149"/>
      <c r="E17" s="140"/>
      <c r="F17" s="141"/>
    </row>
    <row r="18" spans="1:6" ht="15" x14ac:dyDescent="0.25">
      <c r="A18" s="147"/>
      <c r="B18" s="148"/>
      <c r="C18" s="149"/>
      <c r="D18" s="149"/>
      <c r="E18" s="140"/>
      <c r="F18" s="141"/>
    </row>
    <row r="19" spans="1:6" ht="15" x14ac:dyDescent="0.25">
      <c r="A19" s="147"/>
      <c r="B19" s="148"/>
      <c r="C19" s="149"/>
      <c r="D19" s="149"/>
      <c r="E19" s="140"/>
      <c r="F19" s="141"/>
    </row>
    <row r="20" spans="1:6" ht="15" x14ac:dyDescent="0.25">
      <c r="A20" s="147"/>
      <c r="B20" s="148"/>
      <c r="C20" s="149"/>
      <c r="D20" s="149"/>
      <c r="E20" s="140"/>
      <c r="F20" s="141"/>
    </row>
    <row r="21" spans="1:6" ht="15" x14ac:dyDescent="0.25">
      <c r="A21" s="147"/>
      <c r="B21" s="148"/>
      <c r="C21" s="149"/>
      <c r="D21" s="149"/>
      <c r="E21" s="140"/>
      <c r="F21" s="141"/>
    </row>
    <row r="22" spans="1:6" ht="15" x14ac:dyDescent="0.25">
      <c r="A22" s="147"/>
      <c r="B22" s="148"/>
      <c r="C22" s="149"/>
      <c r="D22" s="149"/>
      <c r="E22" s="140"/>
      <c r="F22" s="141"/>
    </row>
    <row r="23" spans="1:6" ht="15" x14ac:dyDescent="0.25">
      <c r="A23" s="147"/>
      <c r="B23" s="148"/>
      <c r="C23" s="149"/>
      <c r="D23" s="149"/>
      <c r="E23" s="140"/>
      <c r="F23" s="141"/>
    </row>
    <row r="24" spans="1:6" ht="15" customHeight="1" x14ac:dyDescent="0.25">
      <c r="A24" s="147"/>
      <c r="B24" s="148"/>
      <c r="C24" s="149"/>
      <c r="D24" s="149"/>
      <c r="E24" s="140"/>
      <c r="F24" s="141"/>
    </row>
    <row r="25" spans="1:6" ht="15" customHeight="1" x14ac:dyDescent="0.25">
      <c r="A25" s="147"/>
      <c r="B25" s="148"/>
      <c r="C25" s="149"/>
      <c r="D25" s="149"/>
      <c r="E25" s="140"/>
      <c r="F25" s="141"/>
    </row>
    <row r="26" spans="1:6" ht="15" customHeight="1" x14ac:dyDescent="0.25">
      <c r="A26" s="147"/>
      <c r="B26" s="148"/>
      <c r="C26" s="149"/>
      <c r="D26" s="149"/>
      <c r="E26" s="140"/>
      <c r="F26" s="141"/>
    </row>
    <row r="27" spans="1:6" ht="36" customHeight="1" x14ac:dyDescent="0.25">
      <c r="A27" s="147"/>
      <c r="B27" s="148"/>
      <c r="C27" s="149"/>
      <c r="D27" s="149"/>
      <c r="E27" s="140"/>
      <c r="F27" s="141"/>
    </row>
    <row r="28" spans="1:6" ht="36" customHeight="1" x14ac:dyDescent="0.25">
      <c r="A28" s="147"/>
      <c r="B28" s="148"/>
      <c r="C28" s="149"/>
      <c r="D28" s="149"/>
      <c r="E28" s="140"/>
      <c r="F28" s="141"/>
    </row>
    <row r="29" spans="1:6" ht="36" customHeight="1" x14ac:dyDescent="0.25">
      <c r="A29" s="147"/>
      <c r="B29" s="148"/>
      <c r="C29" s="149"/>
      <c r="D29" s="149"/>
      <c r="E29" s="140"/>
      <c r="F29" s="141"/>
    </row>
    <row r="30" spans="1:6" ht="36" customHeight="1" x14ac:dyDescent="0.25">
      <c r="A30" s="147"/>
      <c r="B30" s="148"/>
      <c r="C30" s="149"/>
      <c r="D30" s="149"/>
      <c r="E30" s="140"/>
      <c r="F30" s="141"/>
    </row>
    <row r="31" spans="1:6" ht="36" customHeight="1" x14ac:dyDescent="0.25">
      <c r="A31" s="147"/>
      <c r="B31" s="148"/>
      <c r="C31" s="149"/>
      <c r="D31" s="149"/>
      <c r="E31" s="140"/>
      <c r="F31" s="141"/>
    </row>
    <row r="32" spans="1:6" ht="15" x14ac:dyDescent="0.25">
      <c r="A32" s="147"/>
      <c r="B32" s="148"/>
      <c r="C32" s="149"/>
      <c r="D32" s="149"/>
      <c r="E32" s="140"/>
      <c r="F32" s="141"/>
    </row>
    <row r="33" spans="1:6" ht="15" customHeight="1" x14ac:dyDescent="0.25">
      <c r="A33" s="147"/>
      <c r="B33" s="148"/>
      <c r="C33" s="149"/>
      <c r="D33" s="149"/>
      <c r="E33" s="140"/>
      <c r="F33" s="141"/>
    </row>
    <row r="34" spans="1:6" ht="15" customHeight="1" x14ac:dyDescent="0.25">
      <c r="A34" s="147"/>
      <c r="B34" s="148"/>
      <c r="C34" s="149"/>
      <c r="D34" s="149"/>
      <c r="E34" s="140"/>
      <c r="F34" s="141"/>
    </row>
    <row r="35" spans="1:6" ht="15" x14ac:dyDescent="0.25">
      <c r="A35" s="147"/>
      <c r="B35" s="148"/>
      <c r="C35" s="149"/>
      <c r="D35" s="149"/>
      <c r="E35" s="140"/>
      <c r="F35" s="141"/>
    </row>
    <row r="36" spans="1:6" ht="31.5" customHeight="1" x14ac:dyDescent="0.25">
      <c r="A36" s="147"/>
      <c r="B36" s="148"/>
      <c r="C36" s="149"/>
      <c r="D36" s="149"/>
      <c r="E36" s="140"/>
      <c r="F36" s="141"/>
    </row>
    <row r="37" spans="1:6" ht="31.5" customHeight="1" x14ac:dyDescent="0.25">
      <c r="A37" s="147"/>
      <c r="B37" s="148"/>
      <c r="C37" s="149"/>
      <c r="D37" s="149"/>
      <c r="E37" s="140"/>
      <c r="F37" s="141"/>
    </row>
    <row r="38" spans="1:6" ht="31.5" customHeight="1" x14ac:dyDescent="0.25">
      <c r="A38" s="147"/>
      <c r="B38" s="148"/>
      <c r="C38" s="149"/>
      <c r="D38" s="149"/>
      <c r="E38" s="140"/>
      <c r="F38" s="141"/>
    </row>
    <row r="39" spans="1:6" ht="31.5" customHeight="1" x14ac:dyDescent="0.25">
      <c r="A39" s="147"/>
      <c r="B39" s="148"/>
      <c r="C39" s="149"/>
      <c r="D39" s="149"/>
      <c r="E39" s="140"/>
      <c r="F39" s="141"/>
    </row>
    <row r="40" spans="1:6" ht="15" x14ac:dyDescent="0.25">
      <c r="A40" s="150"/>
      <c r="B40" s="151"/>
      <c r="C40" s="152"/>
      <c r="D40" s="152"/>
      <c r="E40" s="142"/>
      <c r="F40" s="143"/>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219075</xdr:colOff>
                    <xdr:row>0</xdr:row>
                    <xdr:rowOff>228600</xdr:rowOff>
                  </from>
                  <to>
                    <xdr:col>2</xdr:col>
                    <xdr:colOff>9525</xdr:colOff>
                    <xdr:row>2</xdr:row>
                    <xdr:rowOff>47625</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238125</xdr:colOff>
                    <xdr:row>2</xdr:row>
                    <xdr:rowOff>133350</xdr:rowOff>
                  </from>
                  <to>
                    <xdr:col>2</xdr:col>
                    <xdr:colOff>19050</xdr:colOff>
                    <xdr:row>3</xdr:row>
                    <xdr:rowOff>171450</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3</xdr:col>
                    <xdr:colOff>352425</xdr:colOff>
                    <xdr:row>3</xdr:row>
                    <xdr:rowOff>123825</xdr:rowOff>
                  </from>
                  <to>
                    <xdr:col>4</xdr:col>
                    <xdr:colOff>676275</xdr:colOff>
                    <xdr:row>7</xdr:row>
                    <xdr:rowOff>9525</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3</xdr:col>
                    <xdr:colOff>361950</xdr:colOff>
                    <xdr:row>8</xdr:row>
                    <xdr:rowOff>85725</xdr:rowOff>
                  </from>
                  <to>
                    <xdr:col>4</xdr:col>
                    <xdr:colOff>695325</xdr:colOff>
                    <xdr:row>13</xdr:row>
                    <xdr:rowOff>76200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3</xdr:col>
                    <xdr:colOff>361950</xdr:colOff>
                    <xdr:row>14</xdr:row>
                    <xdr:rowOff>133350</xdr:rowOff>
                  </from>
                  <to>
                    <xdr:col>4</xdr:col>
                    <xdr:colOff>723900</xdr:colOff>
                    <xdr:row>16</xdr:row>
                    <xdr:rowOff>114300</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3</xdr:col>
                    <xdr:colOff>381000</xdr:colOff>
                    <xdr:row>20</xdr:row>
                    <xdr:rowOff>114300</xdr:rowOff>
                  </from>
                  <to>
                    <xdr:col>4</xdr:col>
                    <xdr:colOff>809625</xdr:colOff>
                    <xdr:row>22</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92D050"/>
    <pageSetUpPr fitToPage="1"/>
  </sheetPr>
  <dimension ref="A1:XFC40"/>
  <sheetViews>
    <sheetView view="pageLayout" topLeftCell="A16" zoomScaleNormal="100" zoomScaleSheetLayoutView="100" workbookViewId="0">
      <selection activeCell="C11" sqref="C11"/>
    </sheetView>
  </sheetViews>
  <sheetFormatPr defaultColWidth="0" defaultRowHeight="15" zeroHeight="1" x14ac:dyDescent="0.25"/>
  <cols>
    <col min="1" max="8" width="9.140625" style="43" customWidth="1"/>
    <col min="9" max="10" width="7.7109375" style="43" customWidth="1"/>
    <col min="11" max="11" width="7.7109375" style="114" hidden="1" customWidth="1"/>
    <col min="12" max="15" width="3.85546875" style="114" hidden="1" customWidth="1"/>
    <col min="16" max="16384" width="0.85546875" style="43" hidden="1"/>
  </cols>
  <sheetData>
    <row r="1" spans="1:15 16383:16383" ht="21" x14ac:dyDescent="0.35">
      <c r="B1" s="88"/>
      <c r="L1" s="39"/>
      <c r="M1" s="39"/>
      <c r="N1" s="39"/>
      <c r="O1" s="39"/>
      <c r="XFC1" s="43" t="s">
        <v>492</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3"/>
      <c r="L12" s="36"/>
      <c r="M12" s="36"/>
      <c r="N12" s="36"/>
      <c r="O12" s="36"/>
    </row>
    <row r="13" spans="1:15 16383:16383" x14ac:dyDescent="0.25">
      <c r="K13" s="36"/>
      <c r="L13" s="36"/>
      <c r="M13" s="36"/>
      <c r="N13" s="36"/>
      <c r="O13" s="36"/>
    </row>
    <row r="14" spans="1:15 16383:16383" x14ac:dyDescent="0.25">
      <c r="A14" s="153" t="s">
        <v>309</v>
      </c>
      <c r="B14" s="154"/>
      <c r="C14" s="154"/>
      <c r="D14" s="154"/>
      <c r="E14" s="154"/>
      <c r="F14" s="154"/>
      <c r="G14" s="154"/>
      <c r="H14" s="154"/>
      <c r="I14" s="154"/>
      <c r="J14" s="154"/>
      <c r="K14" s="115"/>
    </row>
    <row r="15" spans="1:15 16383:16383" x14ac:dyDescent="0.25">
      <c r="A15" s="154"/>
      <c r="B15" s="154"/>
      <c r="C15" s="154"/>
      <c r="D15" s="154"/>
      <c r="E15" s="154"/>
      <c r="F15" s="154"/>
      <c r="G15" s="154"/>
      <c r="H15" s="154"/>
      <c r="I15" s="154"/>
      <c r="J15" s="154"/>
    </row>
    <row r="16" spans="1:15 16383:16383" x14ac:dyDescent="0.25">
      <c r="A16" s="154"/>
      <c r="B16" s="154"/>
      <c r="C16" s="154"/>
      <c r="D16" s="154"/>
      <c r="E16" s="154"/>
      <c r="F16" s="154"/>
      <c r="G16" s="154"/>
      <c r="H16" s="154"/>
      <c r="I16" s="154"/>
      <c r="J16" s="154"/>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55" t="s">
        <v>482</v>
      </c>
      <c r="B24" s="156"/>
      <c r="C24" s="156"/>
      <c r="D24" s="156"/>
      <c r="E24" s="156"/>
      <c r="F24" s="156"/>
      <c r="G24" s="156"/>
      <c r="H24" s="156"/>
      <c r="I24" s="156"/>
      <c r="J24" s="156"/>
    </row>
    <row r="25" spans="1:10" x14ac:dyDescent="0.25">
      <c r="A25" s="156"/>
      <c r="B25" s="156"/>
      <c r="C25" s="156"/>
      <c r="D25" s="156"/>
      <c r="E25" s="156"/>
      <c r="F25" s="156"/>
      <c r="G25" s="156"/>
      <c r="H25" s="156"/>
      <c r="I25" s="156"/>
      <c r="J25" s="156"/>
    </row>
    <row r="26" spans="1:10" x14ac:dyDescent="0.25">
      <c r="A26" s="156"/>
      <c r="B26" s="156"/>
      <c r="C26" s="156"/>
      <c r="D26" s="156"/>
      <c r="E26" s="156"/>
      <c r="F26" s="156"/>
      <c r="G26" s="156"/>
      <c r="H26" s="156"/>
      <c r="I26" s="156"/>
      <c r="J26" s="156"/>
    </row>
    <row r="27" spans="1:10" x14ac:dyDescent="0.25">
      <c r="A27" s="157"/>
      <c r="B27" s="157"/>
      <c r="C27" s="157"/>
      <c r="D27" s="157"/>
      <c r="E27" s="157"/>
      <c r="F27" s="157"/>
      <c r="G27" s="157"/>
      <c r="H27" s="157"/>
      <c r="I27" s="157"/>
      <c r="J27" s="157"/>
    </row>
    <row r="28" spans="1:10" x14ac:dyDescent="0.25">
      <c r="A28" s="157"/>
      <c r="B28" s="157"/>
      <c r="C28" s="157"/>
      <c r="D28" s="157"/>
      <c r="E28" s="157"/>
      <c r="F28" s="157"/>
      <c r="G28" s="157"/>
      <c r="H28" s="157"/>
      <c r="I28" s="157"/>
      <c r="J28" s="157"/>
    </row>
    <row r="29" spans="1:10" x14ac:dyDescent="0.25"/>
    <row r="30" spans="1:10" x14ac:dyDescent="0.25"/>
    <row r="31" spans="1:10" x14ac:dyDescent="0.25"/>
    <row r="32" spans="1:10" x14ac:dyDescent="0.25"/>
    <row r="33" spans="1:10" x14ac:dyDescent="0.25">
      <c r="A33" s="158" t="s">
        <v>559</v>
      </c>
      <c r="B33" s="159"/>
      <c r="C33" s="159"/>
      <c r="D33" s="159"/>
      <c r="E33" s="159"/>
      <c r="F33" s="159"/>
      <c r="G33" s="159"/>
      <c r="H33" s="159"/>
      <c r="I33" s="159"/>
      <c r="J33" s="159"/>
    </row>
    <row r="34" spans="1:10" x14ac:dyDescent="0.25">
      <c r="A34" s="159"/>
      <c r="B34" s="159"/>
      <c r="C34" s="159"/>
      <c r="D34" s="159"/>
      <c r="E34" s="159"/>
      <c r="F34" s="159"/>
      <c r="G34" s="159"/>
      <c r="H34" s="159"/>
      <c r="I34" s="159"/>
      <c r="J34" s="159"/>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92D050"/>
    <pageSetUpPr fitToPage="1"/>
  </sheetPr>
  <dimension ref="A1:XFC20"/>
  <sheetViews>
    <sheetView view="pageLayout" topLeftCell="A10" zoomScaleNormal="100" workbookViewId="0">
      <selection activeCell="C11" sqref="C11"/>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256</v>
      </c>
      <c r="B1" s="45"/>
      <c r="AA1" s="43" t="s">
        <v>492</v>
      </c>
    </row>
    <row r="2" spans="1:27" ht="15.75" thickBot="1" x14ac:dyDescent="0.3"/>
    <row r="3" spans="1:27" ht="29.25" customHeight="1" thickBot="1" x14ac:dyDescent="0.3">
      <c r="A3" s="160" t="s">
        <v>257</v>
      </c>
      <c r="B3" s="161"/>
      <c r="C3" s="101">
        <v>2015</v>
      </c>
    </row>
    <row r="4" spans="1:27" ht="33.75" customHeight="1" thickBot="1" x14ac:dyDescent="0.3">
      <c r="A4" s="160" t="s">
        <v>310</v>
      </c>
      <c r="B4" s="161"/>
      <c r="C4" s="116" t="s">
        <v>620</v>
      </c>
    </row>
    <row r="5" spans="1:27" ht="33.75" customHeight="1" thickBot="1" x14ac:dyDescent="0.3">
      <c r="A5" s="160" t="s">
        <v>311</v>
      </c>
      <c r="B5" s="161"/>
      <c r="C5" s="116" t="s">
        <v>560</v>
      </c>
    </row>
    <row r="6" spans="1:27" ht="43.5" customHeight="1" thickBot="1" x14ac:dyDescent="0.3">
      <c r="A6" s="160" t="s">
        <v>1</v>
      </c>
      <c r="B6" s="161"/>
      <c r="C6" s="116" t="s">
        <v>620</v>
      </c>
    </row>
    <row r="7" spans="1:27" ht="33.75" customHeight="1" thickBot="1" x14ac:dyDescent="0.3">
      <c r="A7" s="160" t="s">
        <v>258</v>
      </c>
      <c r="B7" s="161"/>
      <c r="C7" s="116" t="s">
        <v>560</v>
      </c>
    </row>
    <row r="8" spans="1:27" ht="33.75" hidden="1" customHeight="1" thickBot="1" x14ac:dyDescent="0.3">
      <c r="A8" s="160" t="s">
        <v>512</v>
      </c>
      <c r="B8" s="161"/>
      <c r="C8" s="102"/>
    </row>
    <row r="9" spans="1:27" ht="33.75" hidden="1" customHeight="1" thickBot="1" x14ac:dyDescent="0.3">
      <c r="A9" s="160" t="s">
        <v>565</v>
      </c>
      <c r="B9" s="161"/>
      <c r="C9" s="102"/>
    </row>
    <row r="10" spans="1:27" ht="90" customHeight="1" thickBot="1" x14ac:dyDescent="0.3">
      <c r="A10" s="160" t="s">
        <v>259</v>
      </c>
      <c r="B10" s="161"/>
      <c r="C10" s="116" t="s">
        <v>685</v>
      </c>
    </row>
    <row r="11" spans="1:27" ht="161.25" customHeight="1" thickBot="1" x14ac:dyDescent="0.3">
      <c r="A11" s="160" t="s">
        <v>260</v>
      </c>
      <c r="B11" s="161"/>
      <c r="C11" s="117" t="s">
        <v>682</v>
      </c>
    </row>
    <row r="12" spans="1:27" ht="83.25" customHeight="1" thickBot="1" x14ac:dyDescent="0.3">
      <c r="A12" s="160" t="s">
        <v>513</v>
      </c>
      <c r="B12" s="161"/>
      <c r="C12" s="117" t="s">
        <v>683</v>
      </c>
    </row>
    <row r="13" spans="1:27" ht="33.75" customHeight="1" thickBot="1" x14ac:dyDescent="0.3">
      <c r="A13" s="160" t="s">
        <v>261</v>
      </c>
      <c r="B13" s="161"/>
      <c r="C13" s="116" t="s">
        <v>560</v>
      </c>
    </row>
    <row r="14" spans="1:27" x14ac:dyDescent="0.25"/>
    <row r="15" spans="1:27" ht="15.75" thickBot="1" x14ac:dyDescent="0.3">
      <c r="A15" s="68" t="s">
        <v>491</v>
      </c>
      <c r="B15" s="162"/>
      <c r="C15" s="163"/>
    </row>
    <row r="16" spans="1:27" x14ac:dyDescent="0.25"/>
    <row r="17" spans="1:3" x14ac:dyDescent="0.25">
      <c r="A17" s="89" t="s">
        <v>514</v>
      </c>
      <c r="B17" s="47"/>
    </row>
    <row r="18" spans="1:3" x14ac:dyDescent="0.25"/>
    <row r="19" spans="1:3" x14ac:dyDescent="0.25">
      <c r="A19" s="48" t="s">
        <v>262</v>
      </c>
      <c r="B19" s="49"/>
      <c r="C19" s="50"/>
    </row>
    <row r="20" spans="1:3" ht="154.5" customHeight="1" x14ac:dyDescent="0.25">
      <c r="A20" s="164" t="s">
        <v>564</v>
      </c>
      <c r="B20" s="152"/>
      <c r="C20" s="165"/>
    </row>
  </sheetData>
  <sheetProtection formatCells="0" formatColumns="0" formatRows="0"/>
  <mergeCells count="13">
    <mergeCell ref="A10:B10"/>
    <mergeCell ref="A3:B3"/>
    <mergeCell ref="A4:B4"/>
    <mergeCell ref="A5:B5"/>
    <mergeCell ref="A6:B6"/>
    <mergeCell ref="A7:B7"/>
    <mergeCell ref="A8:B8"/>
    <mergeCell ref="A9:B9"/>
    <mergeCell ref="A11:B11"/>
    <mergeCell ref="A12:B12"/>
    <mergeCell ref="A13:B13"/>
    <mergeCell ref="B15:C15"/>
    <mergeCell ref="A20:C20"/>
  </mergeCells>
  <dataValidations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92D050"/>
    <pageSetUpPr fitToPage="1"/>
  </sheetPr>
  <dimension ref="A1:AA18"/>
  <sheetViews>
    <sheetView view="pageLayout" topLeftCell="A11" zoomScaleNormal="100" zoomScaleSheetLayoutView="100" workbookViewId="0">
      <selection activeCell="A12" sqref="A12"/>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266</v>
      </c>
      <c r="AA1" s="43" t="s">
        <v>493</v>
      </c>
    </row>
    <row r="2" spans="1:27" ht="30" x14ac:dyDescent="0.25">
      <c r="A2" s="42" t="s">
        <v>521</v>
      </c>
    </row>
    <row r="3" spans="1:27" ht="122.25" customHeight="1" x14ac:dyDescent="0.25">
      <c r="A3" s="118" t="s">
        <v>684</v>
      </c>
    </row>
    <row r="4" spans="1:27" ht="15.75" thickBot="1" x14ac:dyDescent="0.3">
      <c r="A4" s="72" t="s">
        <v>263</v>
      </c>
    </row>
    <row r="5" spans="1:27" ht="75" x14ac:dyDescent="0.25">
      <c r="A5" s="42" t="s">
        <v>522</v>
      </c>
    </row>
    <row r="6" spans="1:27" ht="135" customHeight="1" x14ac:dyDescent="0.25">
      <c r="A6" s="118" t="s">
        <v>692</v>
      </c>
    </row>
    <row r="7" spans="1:27" ht="15.75" thickBot="1" x14ac:dyDescent="0.3">
      <c r="A7" s="72" t="s">
        <v>264</v>
      </c>
    </row>
    <row r="8" spans="1:27" ht="150" x14ac:dyDescent="0.25">
      <c r="A8" s="42" t="s">
        <v>480</v>
      </c>
    </row>
    <row r="9" spans="1:27" ht="210.75" customHeight="1" x14ac:dyDescent="0.25">
      <c r="A9" s="118" t="s">
        <v>693</v>
      </c>
    </row>
    <row r="10" spans="1:27" ht="15.75" thickBot="1" x14ac:dyDescent="0.3">
      <c r="A10" s="72" t="s">
        <v>265</v>
      </c>
    </row>
    <row r="11" spans="1:27" ht="135" x14ac:dyDescent="0.25">
      <c r="A11" s="42" t="s">
        <v>481</v>
      </c>
    </row>
    <row r="12" spans="1:27" ht="30" x14ac:dyDescent="0.25">
      <c r="A12" s="118" t="s">
        <v>721</v>
      </c>
    </row>
    <row r="14" spans="1:27" ht="26.25" customHeight="1" x14ac:dyDescent="0.25"/>
    <row r="18" spans="1:1" ht="159" customHeight="1" x14ac:dyDescent="0.25">
      <c r="A18" s="42"/>
    </row>
  </sheetData>
  <sheetProtection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92D050"/>
    <pageSetUpPr fitToPage="1"/>
  </sheetPr>
  <dimension ref="A1:SD18"/>
  <sheetViews>
    <sheetView view="pageLayout" zoomScaleNormal="100" zoomScaleSheetLayoutView="100" workbookViewId="0">
      <selection activeCell="A11" sqref="A11:E11"/>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272</v>
      </c>
      <c r="B1" s="56"/>
      <c r="C1" s="56"/>
      <c r="D1" s="56"/>
      <c r="E1" s="56"/>
      <c r="AA1" s="43" t="s">
        <v>493</v>
      </c>
    </row>
    <row r="2" spans="1:27" x14ac:dyDescent="0.25">
      <c r="A2" s="166" t="s">
        <v>273</v>
      </c>
      <c r="B2" s="167"/>
      <c r="C2" s="167"/>
      <c r="D2" s="167"/>
      <c r="E2" s="167"/>
      <c r="F2" s="167"/>
      <c r="G2" s="55"/>
      <c r="H2" s="55"/>
      <c r="I2" s="55"/>
      <c r="J2" s="55"/>
      <c r="K2" s="55"/>
      <c r="L2" s="55"/>
      <c r="M2" s="55"/>
      <c r="N2" s="55"/>
    </row>
    <row r="3" spans="1:27" ht="15.75" thickBot="1" x14ac:dyDescent="0.3"/>
    <row r="4" spans="1:27" ht="15.75" thickBot="1" x14ac:dyDescent="0.3">
      <c r="A4" s="52" t="s">
        <v>267</v>
      </c>
      <c r="B4" s="53" t="s">
        <v>268</v>
      </c>
      <c r="C4" s="53" t="s">
        <v>269</v>
      </c>
      <c r="D4" s="53" t="s">
        <v>270</v>
      </c>
      <c r="E4" s="53" t="s">
        <v>271</v>
      </c>
    </row>
    <row r="5" spans="1:27" ht="15.75" thickBot="1" x14ac:dyDescent="0.3">
      <c r="A5" s="111"/>
      <c r="B5" s="110"/>
      <c r="C5" s="112"/>
      <c r="D5" s="110"/>
      <c r="E5" s="110"/>
    </row>
    <row r="6" spans="1:27" ht="15.75" thickBot="1" x14ac:dyDescent="0.3">
      <c r="A6" s="111"/>
      <c r="B6" s="110"/>
      <c r="C6" s="110"/>
      <c r="D6" s="110"/>
      <c r="E6" s="110"/>
    </row>
    <row r="7" spans="1:27" ht="15.75" thickBot="1" x14ac:dyDescent="0.3">
      <c r="A7" s="111"/>
      <c r="B7" s="110"/>
      <c r="C7" s="110"/>
      <c r="D7" s="110"/>
      <c r="E7" s="110"/>
    </row>
    <row r="8" spans="1:27" ht="15.75" thickBot="1" x14ac:dyDescent="0.3">
      <c r="A8" s="111"/>
      <c r="B8" s="110"/>
      <c r="C8" s="110"/>
      <c r="D8" s="110"/>
      <c r="E8" s="110"/>
    </row>
    <row r="9" spans="1:27" ht="15.75" thickBot="1" x14ac:dyDescent="0.3">
      <c r="A9" s="111"/>
      <c r="B9" s="110"/>
      <c r="C9" s="110"/>
      <c r="D9" s="110"/>
      <c r="E9" s="110"/>
    </row>
    <row r="10" spans="1:27" x14ac:dyDescent="0.25">
      <c r="A10" s="44"/>
      <c r="B10"/>
      <c r="C10"/>
      <c r="D10"/>
      <c r="E10"/>
    </row>
    <row r="11" spans="1:27" ht="48.75" customHeight="1" x14ac:dyDescent="0.25">
      <c r="A11" s="166" t="s">
        <v>274</v>
      </c>
      <c r="B11" s="168"/>
      <c r="C11" s="168"/>
      <c r="D11" s="168"/>
      <c r="E11" s="168"/>
    </row>
    <row r="12" spans="1:27" ht="61.5" customHeight="1" x14ac:dyDescent="0.25">
      <c r="A12" s="169" t="s">
        <v>621</v>
      </c>
      <c r="B12" s="170"/>
      <c r="C12" s="170"/>
      <c r="D12" s="170"/>
      <c r="E12" s="171"/>
    </row>
    <row r="14" spans="1:27" ht="26.25" customHeight="1" x14ac:dyDescent="0.25"/>
    <row r="18" spans="1:1" ht="159" customHeight="1" x14ac:dyDescent="0.25">
      <c r="A18" s="120"/>
    </row>
  </sheetData>
  <sheetProtection formatCells="0" formatColumns="0" formatRows="0" inser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92D050"/>
  </sheetPr>
  <dimension ref="A1:AA18"/>
  <sheetViews>
    <sheetView topLeftCell="A3" zoomScaleNormal="100" zoomScalePageLayoutView="80" workbookViewId="0">
      <selection activeCell="A3" sqref="A3"/>
    </sheetView>
  </sheetViews>
  <sheetFormatPr defaultColWidth="0" defaultRowHeight="15" zeroHeight="1" x14ac:dyDescent="0.25"/>
  <cols>
    <col min="1" max="1" width="146.7109375" style="92" customWidth="1"/>
    <col min="2" max="16384" width="2" style="43" hidden="1"/>
  </cols>
  <sheetData>
    <row r="1" spans="1:27" ht="21.75" customHeight="1" thickBot="1" x14ac:dyDescent="0.3">
      <c r="A1" s="72" t="s">
        <v>505</v>
      </c>
      <c r="AA1" s="43" t="s">
        <v>493</v>
      </c>
    </row>
    <row r="2" spans="1:27" ht="57" customHeight="1" x14ac:dyDescent="0.25">
      <c r="A2" s="42" t="s">
        <v>506</v>
      </c>
    </row>
    <row r="3" spans="1:27" ht="345" x14ac:dyDescent="0.25">
      <c r="A3" s="94" t="s">
        <v>691</v>
      </c>
    </row>
    <row r="4" spans="1:27" ht="24.75" customHeight="1" x14ac:dyDescent="0.25">
      <c r="A4" s="95"/>
    </row>
    <row r="5" spans="1:27" x14ac:dyDescent="0.25">
      <c r="A5" s="96"/>
    </row>
    <row r="6" spans="1:27" x14ac:dyDescent="0.25">
      <c r="A6" s="96"/>
    </row>
    <row r="7" spans="1:27" ht="27.75" customHeight="1" x14ac:dyDescent="0.25">
      <c r="A7" s="95"/>
    </row>
    <row r="8" spans="1:27" ht="21.75" customHeight="1" x14ac:dyDescent="0.25">
      <c r="A8" s="96"/>
    </row>
    <row r="9" spans="1:27" ht="20.25" customHeight="1" x14ac:dyDescent="0.25">
      <c r="A9" s="96"/>
    </row>
    <row r="10" spans="1:27" ht="24.75" customHeight="1" x14ac:dyDescent="0.25">
      <c r="A10" s="95"/>
    </row>
    <row r="11" spans="1:27" ht="22.5" customHeight="1" x14ac:dyDescent="0.25">
      <c r="A11" s="96"/>
    </row>
    <row r="12" spans="1:27" ht="20.25" customHeight="1" x14ac:dyDescent="0.25">
      <c r="A12" s="96"/>
    </row>
    <row r="14" spans="1:27" ht="26.25" customHeight="1" x14ac:dyDescent="0.25"/>
    <row r="18" spans="1:1" ht="159" customHeight="1" x14ac:dyDescent="0.25">
      <c r="A18" s="122"/>
    </row>
  </sheetData>
  <sheetProtection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92D050"/>
    <pageSetUpPr fitToPage="1"/>
  </sheetPr>
  <dimension ref="A1:AA29"/>
  <sheetViews>
    <sheetView view="pageLayout" zoomScaleNormal="100" workbookViewId="0">
      <selection activeCell="C11" sqref="C11"/>
    </sheetView>
  </sheetViews>
  <sheetFormatPr defaultColWidth="0" defaultRowHeight="15" zeroHeight="1" x14ac:dyDescent="0.25"/>
  <cols>
    <col min="1" max="2" width="28.85546875" style="43" customWidth="1"/>
    <col min="3" max="3" width="13.5703125" style="43" bestFit="1" customWidth="1"/>
    <col min="4" max="4" width="43.7109375" style="43" customWidth="1"/>
    <col min="5" max="16384" width="2.5703125" style="43" hidden="1"/>
  </cols>
  <sheetData>
    <row r="1" spans="1:27" ht="15.75" thickBot="1" x14ac:dyDescent="0.3">
      <c r="A1" s="57" t="s">
        <v>494</v>
      </c>
      <c r="B1" s="56"/>
      <c r="C1" s="56"/>
      <c r="D1" s="56"/>
      <c r="AA1" s="43" t="s">
        <v>493</v>
      </c>
    </row>
    <row r="2" spans="1:27" x14ac:dyDescent="0.25">
      <c r="A2" s="182" t="s">
        <v>280</v>
      </c>
      <c r="B2" s="183"/>
      <c r="C2" s="183"/>
      <c r="D2" s="183"/>
    </row>
    <row r="3" spans="1:27" x14ac:dyDescent="0.25"/>
    <row r="4" spans="1:27" x14ac:dyDescent="0.25">
      <c r="A4" s="61" t="s">
        <v>275</v>
      </c>
      <c r="B4" s="61" t="s">
        <v>276</v>
      </c>
      <c r="C4" s="61" t="s">
        <v>277</v>
      </c>
      <c r="D4" s="61" t="s">
        <v>278</v>
      </c>
    </row>
    <row r="5" spans="1:27" x14ac:dyDescent="0.25">
      <c r="A5" s="107"/>
      <c r="B5" s="107"/>
      <c r="C5" s="107"/>
      <c r="D5" s="107"/>
    </row>
    <row r="6" spans="1:27" x14ac:dyDescent="0.25">
      <c r="A6" s="107"/>
      <c r="B6" s="107"/>
      <c r="C6" s="107"/>
      <c r="D6" s="107"/>
    </row>
    <row r="7" spans="1:27" x14ac:dyDescent="0.25">
      <c r="A7" s="108"/>
      <c r="B7" s="108"/>
      <c r="C7" s="109"/>
      <c r="D7" s="107"/>
    </row>
    <row r="8" spans="1:27" x14ac:dyDescent="0.25">
      <c r="A8" s="107"/>
      <c r="B8" s="107"/>
      <c r="C8" s="107"/>
      <c r="D8" s="107"/>
    </row>
    <row r="9" spans="1:27" x14ac:dyDescent="0.25">
      <c r="A9" s="107"/>
      <c r="B9" s="107"/>
      <c r="C9" s="107"/>
      <c r="D9" s="107"/>
    </row>
    <row r="10" spans="1:27" x14ac:dyDescent="0.25"/>
    <row r="11" spans="1:27" x14ac:dyDescent="0.25">
      <c r="A11" s="43" t="s">
        <v>279</v>
      </c>
    </row>
    <row r="12" spans="1:27" ht="39.75" customHeight="1" x14ac:dyDescent="0.25">
      <c r="A12" s="169" t="s">
        <v>702</v>
      </c>
      <c r="B12" s="180"/>
      <c r="C12" s="180"/>
      <c r="D12" s="181"/>
    </row>
    <row r="13" spans="1:27" ht="20.25" customHeight="1" x14ac:dyDescent="0.25">
      <c r="A13" s="58"/>
      <c r="B13" s="33"/>
      <c r="C13" s="33"/>
      <c r="D13" s="33"/>
    </row>
    <row r="14" spans="1:27" ht="26.25" customHeight="1" thickBot="1" x14ac:dyDescent="0.3">
      <c r="A14" s="106" t="s">
        <v>495</v>
      </c>
      <c r="B14" s="62"/>
      <c r="C14" s="62"/>
      <c r="D14" s="62"/>
    </row>
    <row r="15" spans="1:27" x14ac:dyDescent="0.25">
      <c r="A15" s="63" t="s">
        <v>496</v>
      </c>
      <c r="B15" s="64"/>
      <c r="C15" s="64"/>
      <c r="D15" s="64"/>
    </row>
    <row r="16" spans="1:27" ht="49.5" customHeight="1" x14ac:dyDescent="0.25">
      <c r="A16" s="184"/>
      <c r="B16" s="149"/>
      <c r="C16" s="149"/>
      <c r="D16" s="149"/>
    </row>
    <row r="17" spans="1:4" x14ac:dyDescent="0.25">
      <c r="A17" s="61" t="s">
        <v>3</v>
      </c>
      <c r="B17" s="185" t="s">
        <v>281</v>
      </c>
      <c r="C17" s="186"/>
      <c r="D17" s="186"/>
    </row>
    <row r="18" spans="1:4" ht="15.75" customHeight="1" x14ac:dyDescent="0.25">
      <c r="A18" s="60" t="s">
        <v>31</v>
      </c>
      <c r="B18" s="177" t="s">
        <v>719</v>
      </c>
      <c r="C18" s="178"/>
      <c r="D18" s="179"/>
    </row>
    <row r="19" spans="1:4" x14ac:dyDescent="0.25">
      <c r="A19" s="59" t="s">
        <v>13</v>
      </c>
      <c r="B19" s="175" t="s">
        <v>567</v>
      </c>
      <c r="C19" s="176"/>
      <c r="D19" s="176"/>
    </row>
    <row r="20" spans="1:4" x14ac:dyDescent="0.25">
      <c r="A20" s="59" t="s">
        <v>15</v>
      </c>
      <c r="B20" s="175" t="s">
        <v>686</v>
      </c>
      <c r="C20" s="176"/>
      <c r="D20" s="176"/>
    </row>
    <row r="21" spans="1:4" ht="31.5" customHeight="1" x14ac:dyDescent="0.25">
      <c r="A21" s="59" t="s">
        <v>11</v>
      </c>
      <c r="B21" s="175" t="s">
        <v>688</v>
      </c>
      <c r="C21" s="176"/>
      <c r="D21" s="176"/>
    </row>
    <row r="22" spans="1:4" ht="26.25" customHeight="1" x14ac:dyDescent="0.25">
      <c r="A22" s="59" t="s">
        <v>282</v>
      </c>
      <c r="B22" s="175" t="s">
        <v>690</v>
      </c>
      <c r="C22" s="176"/>
      <c r="D22" s="176"/>
    </row>
    <row r="23" spans="1:4" ht="26.25" customHeight="1" x14ac:dyDescent="0.25">
      <c r="A23" s="59" t="s">
        <v>25</v>
      </c>
      <c r="B23" s="175" t="s">
        <v>689</v>
      </c>
      <c r="C23" s="176"/>
      <c r="D23" s="176"/>
    </row>
    <row r="24" spans="1:4" x14ac:dyDescent="0.25">
      <c r="A24" s="59" t="s">
        <v>17</v>
      </c>
      <c r="B24" s="175" t="s">
        <v>658</v>
      </c>
      <c r="C24" s="176"/>
      <c r="D24" s="176"/>
    </row>
    <row r="25" spans="1:4" x14ac:dyDescent="0.25">
      <c r="A25" s="59" t="s">
        <v>9</v>
      </c>
      <c r="B25" s="175" t="s">
        <v>687</v>
      </c>
      <c r="C25" s="176"/>
      <c r="D25" s="176"/>
    </row>
    <row r="26" spans="1:4" x14ac:dyDescent="0.25"/>
    <row r="27" spans="1:4" ht="15.75" x14ac:dyDescent="0.25">
      <c r="A27" s="104" t="s">
        <v>497</v>
      </c>
    </row>
    <row r="28" spans="1:4" x14ac:dyDescent="0.25">
      <c r="A28" s="105" t="s">
        <v>283</v>
      </c>
    </row>
    <row r="29" spans="1:4" ht="137.25" customHeight="1" x14ac:dyDescent="0.25">
      <c r="A29" s="172" t="s">
        <v>668</v>
      </c>
      <c r="B29" s="173"/>
      <c r="C29" s="173"/>
      <c r="D29" s="174"/>
    </row>
  </sheetData>
  <sheetProtection formatCells="0" formatColumns="0" formatRows="0" insertRows="0"/>
  <mergeCells count="13">
    <mergeCell ref="B18:D18"/>
    <mergeCell ref="B23:D23"/>
    <mergeCell ref="A12:D12"/>
    <mergeCell ref="A2:D2"/>
    <mergeCell ref="A16:D16"/>
    <mergeCell ref="B17:D17"/>
    <mergeCell ref="B19:D19"/>
    <mergeCell ref="B20:D20"/>
    <mergeCell ref="A29:D29"/>
    <mergeCell ref="B21:D21"/>
    <mergeCell ref="B22:D22"/>
    <mergeCell ref="B24:D24"/>
    <mergeCell ref="B25:D25"/>
  </mergeCells>
  <pageMargins left="0.2" right="0.2" top="0.75" bottom="0.75" header="0.3" footer="0.3"/>
  <pageSetup scale="88"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92D050"/>
    <pageSetUpPr fitToPage="1"/>
  </sheetPr>
  <dimension ref="A1:AA49"/>
  <sheetViews>
    <sheetView view="pageLayout" zoomScaleNormal="100" workbookViewId="0">
      <selection activeCell="C11" sqref="C11"/>
    </sheetView>
  </sheetViews>
  <sheetFormatPr defaultColWidth="0" defaultRowHeight="15" zeroHeight="1" x14ac:dyDescent="0.25"/>
  <cols>
    <col min="1" max="1" width="22" style="43" customWidth="1"/>
    <col min="2" max="2" width="53.7109375" style="43" customWidth="1"/>
    <col min="3" max="3" width="15" style="43" customWidth="1"/>
    <col min="4" max="4" width="21.7109375" style="43" customWidth="1"/>
    <col min="5" max="5" width="26" style="43" customWidth="1"/>
    <col min="6" max="6" width="20.140625" style="43" customWidth="1"/>
    <col min="7" max="16384" width="2.140625" style="43" hidden="1"/>
  </cols>
  <sheetData>
    <row r="1" spans="1:27" x14ac:dyDescent="0.25">
      <c r="AA1" s="43" t="s">
        <v>493</v>
      </c>
    </row>
    <row r="2" spans="1:27" ht="15.75" thickBot="1" x14ac:dyDescent="0.3">
      <c r="A2" s="97" t="s">
        <v>507</v>
      </c>
      <c r="B2" s="56"/>
      <c r="C2" s="56"/>
      <c r="D2" s="56"/>
      <c r="E2" s="56"/>
      <c r="F2" s="56"/>
    </row>
    <row r="3" spans="1:27" x14ac:dyDescent="0.25">
      <c r="A3" s="43" t="s">
        <v>525</v>
      </c>
    </row>
    <row r="4" spans="1:27" x14ac:dyDescent="0.25">
      <c r="A4" s="67" t="s">
        <v>284</v>
      </c>
      <c r="B4" s="67" t="s">
        <v>285</v>
      </c>
      <c r="C4" s="67" t="s">
        <v>286</v>
      </c>
      <c r="D4" s="67" t="s">
        <v>287</v>
      </c>
      <c r="E4" s="67" t="s">
        <v>288</v>
      </c>
      <c r="F4" s="67" t="s">
        <v>270</v>
      </c>
    </row>
    <row r="5" spans="1:27" ht="204" x14ac:dyDescent="0.25">
      <c r="A5" s="100" t="s">
        <v>694</v>
      </c>
      <c r="B5" s="100" t="s">
        <v>695</v>
      </c>
      <c r="C5" s="100" t="s">
        <v>633</v>
      </c>
      <c r="D5" s="119">
        <v>41911</v>
      </c>
      <c r="E5" s="119">
        <v>42032</v>
      </c>
      <c r="F5" s="100" t="s">
        <v>625</v>
      </c>
    </row>
    <row r="6" spans="1:27" ht="25.5" x14ac:dyDescent="0.25">
      <c r="A6" s="123" t="s">
        <v>622</v>
      </c>
      <c r="B6" s="123" t="s">
        <v>623</v>
      </c>
      <c r="C6" s="123" t="s">
        <v>624</v>
      </c>
      <c r="D6" s="108">
        <v>42069</v>
      </c>
      <c r="E6" s="108">
        <v>42216</v>
      </c>
      <c r="F6" s="123" t="s">
        <v>625</v>
      </c>
    </row>
    <row r="7" spans="1:27" ht="38.25" x14ac:dyDescent="0.25">
      <c r="A7" s="123" t="s">
        <v>622</v>
      </c>
      <c r="B7" s="123" t="s">
        <v>626</v>
      </c>
      <c r="C7" s="123" t="s">
        <v>624</v>
      </c>
      <c r="D7" s="108">
        <v>42069</v>
      </c>
      <c r="E7" s="108">
        <v>42216</v>
      </c>
      <c r="F7" s="123" t="s">
        <v>625</v>
      </c>
    </row>
    <row r="8" spans="1:27" ht="25.5" x14ac:dyDescent="0.25">
      <c r="A8" s="123" t="s">
        <v>622</v>
      </c>
      <c r="B8" s="123" t="s">
        <v>627</v>
      </c>
      <c r="C8" s="123" t="s">
        <v>624</v>
      </c>
      <c r="D8" s="108">
        <v>42069</v>
      </c>
      <c r="E8" s="108">
        <v>42216</v>
      </c>
      <c r="F8" s="123" t="s">
        <v>568</v>
      </c>
    </row>
    <row r="9" spans="1:27" ht="76.5" x14ac:dyDescent="0.25">
      <c r="A9" s="100" t="s">
        <v>569</v>
      </c>
      <c r="B9" s="100" t="s">
        <v>629</v>
      </c>
      <c r="C9" s="100" t="s">
        <v>570</v>
      </c>
      <c r="D9" s="119">
        <v>42139</v>
      </c>
      <c r="E9" s="119">
        <v>42277</v>
      </c>
      <c r="F9" s="100" t="s">
        <v>568</v>
      </c>
    </row>
    <row r="10" spans="1:27" ht="25.5" x14ac:dyDescent="0.25">
      <c r="A10" s="100" t="s">
        <v>569</v>
      </c>
      <c r="B10" s="100" t="s">
        <v>628</v>
      </c>
      <c r="C10" s="100" t="s">
        <v>570</v>
      </c>
      <c r="D10" s="119">
        <v>42139</v>
      </c>
      <c r="E10" s="119">
        <v>42277</v>
      </c>
      <c r="F10" s="100" t="s">
        <v>568</v>
      </c>
    </row>
    <row r="11" spans="1:27" ht="89.25" x14ac:dyDescent="0.25">
      <c r="A11" s="100" t="s">
        <v>569</v>
      </c>
      <c r="B11" s="100" t="s">
        <v>630</v>
      </c>
      <c r="C11" s="100" t="s">
        <v>570</v>
      </c>
      <c r="D11" s="119">
        <v>42139</v>
      </c>
      <c r="E11" s="119">
        <v>42277</v>
      </c>
      <c r="F11" s="100" t="s">
        <v>568</v>
      </c>
    </row>
    <row r="12" spans="1:27" ht="59.25" customHeight="1" x14ac:dyDescent="0.25">
      <c r="A12" s="100" t="s">
        <v>569</v>
      </c>
      <c r="B12" s="100" t="s">
        <v>631</v>
      </c>
      <c r="C12" s="100" t="s">
        <v>570</v>
      </c>
      <c r="D12" s="119">
        <v>42139</v>
      </c>
      <c r="E12" s="119">
        <v>42277</v>
      </c>
      <c r="F12" s="100" t="s">
        <v>568</v>
      </c>
    </row>
    <row r="13" spans="1:27" ht="51" x14ac:dyDescent="0.25">
      <c r="A13" s="100" t="s">
        <v>616</v>
      </c>
      <c r="B13" s="100" t="s">
        <v>632</v>
      </c>
      <c r="C13" s="100" t="s">
        <v>571</v>
      </c>
      <c r="D13" s="119">
        <v>42156</v>
      </c>
      <c r="E13" s="119">
        <v>42216</v>
      </c>
      <c r="F13" s="100" t="s">
        <v>568</v>
      </c>
    </row>
    <row r="14" spans="1:27" x14ac:dyDescent="0.25">
      <c r="A14" s="124"/>
      <c r="B14" s="124"/>
      <c r="C14" s="124"/>
      <c r="D14" s="125"/>
      <c r="E14" s="125"/>
      <c r="F14" s="124"/>
    </row>
    <row r="15" spans="1:27" x14ac:dyDescent="0.25">
      <c r="A15" s="93"/>
      <c r="B15" s="93"/>
      <c r="C15" s="93"/>
      <c r="D15" s="93"/>
      <c r="E15" s="93"/>
      <c r="F15" s="93"/>
    </row>
    <row r="16" spans="1:27" x14ac:dyDescent="0.25">
      <c r="A16" s="93" t="s">
        <v>517</v>
      </c>
      <c r="B16" s="93"/>
      <c r="C16" s="93"/>
      <c r="D16" s="93"/>
      <c r="E16" s="93"/>
      <c r="F16" s="93"/>
    </row>
    <row r="17" spans="1:6" x14ac:dyDescent="0.25">
      <c r="A17" s="187" t="s">
        <v>634</v>
      </c>
      <c r="B17" s="188"/>
      <c r="C17" s="188"/>
      <c r="D17" s="188"/>
      <c r="E17" s="189"/>
      <c r="F17" s="190"/>
    </row>
    <row r="18" spans="1:6" x14ac:dyDescent="0.25">
      <c r="A18" s="191"/>
      <c r="B18" s="192"/>
      <c r="C18" s="192"/>
      <c r="D18" s="192"/>
      <c r="E18" s="192"/>
      <c r="F18" s="193"/>
    </row>
    <row r="19" spans="1:6" ht="26.25" customHeight="1" x14ac:dyDescent="0.25">
      <c r="A19" s="93"/>
      <c r="B19" s="93"/>
      <c r="C19" s="93"/>
      <c r="D19" s="93"/>
      <c r="E19" s="93"/>
      <c r="F19" s="93"/>
    </row>
    <row r="20" spans="1:6" x14ac:dyDescent="0.25">
      <c r="A20" s="121"/>
      <c r="B20" s="93"/>
      <c r="C20" s="93"/>
      <c r="D20" s="93"/>
      <c r="E20" s="93"/>
      <c r="F20" s="93"/>
    </row>
    <row r="21" spans="1:6" x14ac:dyDescent="0.25">
      <c r="A21" s="93"/>
      <c r="B21" s="93"/>
      <c r="C21" s="93"/>
      <c r="D21" s="93"/>
      <c r="E21" s="93"/>
      <c r="F21" s="93"/>
    </row>
    <row r="22" spans="1:6" x14ac:dyDescent="0.25">
      <c r="A22" s="93"/>
      <c r="B22" s="93"/>
      <c r="C22" s="93"/>
      <c r="D22" s="93"/>
      <c r="E22" s="93"/>
      <c r="F22" s="93"/>
    </row>
    <row r="23" spans="1:6" ht="159" customHeight="1" x14ac:dyDescent="0.25">
      <c r="A23" s="93"/>
      <c r="B23" s="93"/>
      <c r="C23" s="93"/>
      <c r="D23" s="93"/>
      <c r="E23" s="93"/>
      <c r="F23" s="93"/>
    </row>
    <row r="24" spans="1:6" x14ac:dyDescent="0.25">
      <c r="A24" s="93"/>
      <c r="B24" s="93"/>
      <c r="C24" s="93"/>
      <c r="D24" s="93"/>
      <c r="E24" s="93"/>
      <c r="F24" s="93"/>
    </row>
    <row r="25" spans="1:6" x14ac:dyDescent="0.25">
      <c r="A25" s="93"/>
      <c r="B25" s="93"/>
      <c r="C25" s="93"/>
      <c r="D25" s="93"/>
      <c r="E25" s="93"/>
      <c r="F25" s="93"/>
    </row>
    <row r="26" spans="1:6" x14ac:dyDescent="0.25">
      <c r="A26" s="93"/>
      <c r="B26" s="93"/>
      <c r="C26" s="93"/>
      <c r="D26" s="93"/>
      <c r="E26" s="93"/>
      <c r="F26" s="93"/>
    </row>
    <row r="27" spans="1:6" x14ac:dyDescent="0.25">
      <c r="A27" s="93"/>
      <c r="B27" s="93"/>
      <c r="C27" s="93"/>
      <c r="D27" s="93"/>
      <c r="E27" s="93"/>
      <c r="F27" s="93"/>
    </row>
    <row r="28" spans="1:6" x14ac:dyDescent="0.25">
      <c r="A28" s="93"/>
      <c r="B28" s="93"/>
      <c r="C28" s="93"/>
      <c r="D28" s="93"/>
      <c r="E28" s="93"/>
      <c r="F28" s="93"/>
    </row>
    <row r="29" spans="1:6" x14ac:dyDescent="0.25">
      <c r="A29" s="93"/>
      <c r="B29" s="93"/>
      <c r="C29" s="93"/>
      <c r="D29" s="93"/>
      <c r="E29" s="93"/>
      <c r="F29" s="93"/>
    </row>
    <row r="30" spans="1:6" x14ac:dyDescent="0.25">
      <c r="A30" s="93"/>
      <c r="B30" s="93"/>
      <c r="C30" s="93"/>
      <c r="D30" s="93"/>
      <c r="E30" s="93"/>
      <c r="F30" s="93"/>
    </row>
    <row r="31" spans="1:6" x14ac:dyDescent="0.25">
      <c r="A31" s="93"/>
      <c r="B31" s="93"/>
      <c r="C31" s="93"/>
      <c r="D31" s="93"/>
      <c r="E31" s="93"/>
      <c r="F31" s="93"/>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c r="A37" s="93"/>
      <c r="B37" s="93"/>
      <c r="C37" s="93"/>
      <c r="D37" s="93"/>
      <c r="E37" s="93"/>
      <c r="F37" s="93"/>
    </row>
    <row r="38" spans="1:6" x14ac:dyDescent="0.25">
      <c r="A38" s="93"/>
      <c r="B38" s="93"/>
      <c r="C38" s="93"/>
      <c r="D38" s="93"/>
      <c r="E38" s="93"/>
      <c r="F38" s="93"/>
    </row>
    <row r="39" spans="1:6" x14ac:dyDescent="0.25">
      <c r="A39" s="93"/>
      <c r="B39" s="93"/>
      <c r="C39" s="93"/>
      <c r="D39" s="93"/>
      <c r="E39" s="93"/>
      <c r="F39" s="93"/>
    </row>
    <row r="40" spans="1:6" x14ac:dyDescent="0.25">
      <c r="A40" s="93"/>
      <c r="B40" s="93"/>
      <c r="C40" s="93"/>
      <c r="D40" s="93"/>
      <c r="E40" s="93"/>
      <c r="F40" s="93"/>
    </row>
    <row r="41" spans="1:6" x14ac:dyDescent="0.25"/>
    <row r="42" spans="1:6" x14ac:dyDescent="0.25"/>
    <row r="43" spans="1:6" x14ac:dyDescent="0.25"/>
    <row r="44" spans="1:6" x14ac:dyDescent="0.25"/>
    <row r="45" spans="1:6" x14ac:dyDescent="0.25"/>
    <row r="46" spans="1:6" x14ac:dyDescent="0.25"/>
    <row r="47" spans="1:6" x14ac:dyDescent="0.25"/>
    <row r="48" spans="1:6" x14ac:dyDescent="0.25"/>
    <row r="49" x14ac:dyDescent="0.25"/>
  </sheetData>
  <sheetProtection formatCells="0" formatColumns="0" formatRows="0" insertRows="0"/>
  <mergeCells count="1">
    <mergeCell ref="A17:F18"/>
  </mergeCells>
  <pageMargins left="0.25" right="0.25" top="0.75" bottom="0.75" header="0.3" footer="0.3"/>
  <pageSetup scale="64"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92D050"/>
    <pageSetUpPr fitToPage="1"/>
  </sheetPr>
  <dimension ref="A1:AA46"/>
  <sheetViews>
    <sheetView view="pageLayout" topLeftCell="A28" zoomScaleNormal="100" workbookViewId="0">
      <selection activeCell="C11" sqref="C11"/>
    </sheetView>
  </sheetViews>
  <sheetFormatPr defaultColWidth="0" defaultRowHeight="15" zeroHeight="1" x14ac:dyDescent="0.25"/>
  <cols>
    <col min="1" max="1" width="48.7109375" style="43" customWidth="1"/>
    <col min="2" max="2" width="35.85546875" style="43" customWidth="1"/>
    <col min="3" max="3" width="12.42578125" style="43" bestFit="1" customWidth="1"/>
    <col min="4" max="16384" width="3.28515625" style="43" hidden="1"/>
  </cols>
  <sheetData>
    <row r="1" spans="1:27" ht="15.75" thickBot="1" x14ac:dyDescent="0.3">
      <c r="A1" s="97" t="s">
        <v>508</v>
      </c>
      <c r="B1" s="56"/>
      <c r="C1" s="56"/>
      <c r="AA1" s="43" t="s">
        <v>493</v>
      </c>
    </row>
    <row r="2" spans="1:27" x14ac:dyDescent="0.25">
      <c r="A2" s="68" t="s">
        <v>498</v>
      </c>
    </row>
    <row r="3" spans="1:27" ht="51" customHeight="1" thickBot="1" x14ac:dyDescent="0.3">
      <c r="A3" s="196" t="s">
        <v>289</v>
      </c>
      <c r="B3" s="197"/>
      <c r="C3" s="197"/>
    </row>
    <row r="4" spans="1:27" ht="15.75" thickBot="1" x14ac:dyDescent="0.3">
      <c r="A4" s="65" t="s">
        <v>3</v>
      </c>
      <c r="B4" s="66" t="s">
        <v>290</v>
      </c>
      <c r="C4" s="66" t="s">
        <v>291</v>
      </c>
    </row>
    <row r="5" spans="1:27" ht="16.5" thickBot="1" x14ac:dyDescent="0.3">
      <c r="A5" s="69" t="s">
        <v>39</v>
      </c>
      <c r="B5" s="110"/>
      <c r="C5" s="110"/>
    </row>
    <row r="6" spans="1:27" ht="16.5" thickBot="1" x14ac:dyDescent="0.3">
      <c r="A6" s="69" t="s">
        <v>38</v>
      </c>
      <c r="B6" s="110"/>
      <c r="C6" s="110"/>
    </row>
    <row r="7" spans="1:27" ht="16.5" thickBot="1" x14ac:dyDescent="0.3">
      <c r="A7" s="69" t="s">
        <v>37</v>
      </c>
      <c r="B7" s="110"/>
      <c r="C7" s="110"/>
    </row>
    <row r="8" spans="1:27" ht="16.5" thickBot="1" x14ac:dyDescent="0.3">
      <c r="A8" s="69" t="s">
        <v>34</v>
      </c>
      <c r="B8" s="110"/>
      <c r="C8" s="110"/>
    </row>
    <row r="9" spans="1:27" ht="16.5" thickBot="1" x14ac:dyDescent="0.3">
      <c r="A9" s="69" t="s">
        <v>33</v>
      </c>
      <c r="B9" s="110"/>
      <c r="C9" s="110"/>
    </row>
    <row r="10" spans="1:27" ht="16.5" thickBot="1" x14ac:dyDescent="0.3">
      <c r="A10" s="69" t="s">
        <v>32</v>
      </c>
      <c r="B10" s="110"/>
      <c r="C10" s="110"/>
    </row>
    <row r="11" spans="1:27" ht="16.5" thickBot="1" x14ac:dyDescent="0.3">
      <c r="A11" s="69" t="s">
        <v>30</v>
      </c>
      <c r="B11" s="110"/>
      <c r="C11" s="110"/>
    </row>
    <row r="12" spans="1:27" x14ac:dyDescent="0.25"/>
    <row r="13" spans="1:27" x14ac:dyDescent="0.25">
      <c r="A13" s="43" t="s">
        <v>292</v>
      </c>
    </row>
    <row r="14" spans="1:27" ht="34.5" customHeight="1" x14ac:dyDescent="0.25">
      <c r="A14" s="169" t="s">
        <v>718</v>
      </c>
      <c r="B14" s="194"/>
      <c r="C14" s="195"/>
    </row>
    <row r="15" spans="1:27" x14ac:dyDescent="0.25"/>
    <row r="16" spans="1:27" x14ac:dyDescent="0.25">
      <c r="A16" s="68" t="s">
        <v>499</v>
      </c>
    </row>
    <row r="17" spans="1:3" x14ac:dyDescent="0.25">
      <c r="A17" s="43" t="s">
        <v>293</v>
      </c>
    </row>
    <row r="18" spans="1:3" ht="107.25" customHeight="1" x14ac:dyDescent="0.25">
      <c r="A18" s="169" t="s">
        <v>707</v>
      </c>
      <c r="B18" s="194"/>
      <c r="C18" s="195"/>
    </row>
    <row r="19" spans="1:3" x14ac:dyDescent="0.25"/>
    <row r="20" spans="1:3" x14ac:dyDescent="0.25">
      <c r="A20" s="68" t="s">
        <v>500</v>
      </c>
    </row>
    <row r="21" spans="1:3" x14ac:dyDescent="0.25">
      <c r="A21" s="43" t="s">
        <v>294</v>
      </c>
    </row>
    <row r="22" spans="1:3" ht="48.75" customHeight="1" x14ac:dyDescent="0.25">
      <c r="A22" s="169" t="s">
        <v>706</v>
      </c>
      <c r="B22" s="194"/>
      <c r="C22" s="195"/>
    </row>
    <row r="23" spans="1:3" x14ac:dyDescent="0.25"/>
    <row r="24" spans="1:3" x14ac:dyDescent="0.25">
      <c r="A24" s="68" t="s">
        <v>501</v>
      </c>
    </row>
    <row r="25" spans="1:3" x14ac:dyDescent="0.25">
      <c r="A25" s="43" t="s">
        <v>293</v>
      </c>
    </row>
    <row r="26" spans="1:3" ht="44.25" customHeight="1" x14ac:dyDescent="0.25">
      <c r="A26" s="169" t="s">
        <v>705</v>
      </c>
      <c r="B26" s="194"/>
      <c r="C26" s="195"/>
    </row>
    <row r="27" spans="1:3" x14ac:dyDescent="0.25"/>
    <row r="28" spans="1:3" x14ac:dyDescent="0.25">
      <c r="A28" s="68" t="s">
        <v>502</v>
      </c>
    </row>
    <row r="29" spans="1:3" x14ac:dyDescent="0.25">
      <c r="A29" s="43" t="s">
        <v>295</v>
      </c>
    </row>
    <row r="30" spans="1:3" ht="52.5" customHeight="1" x14ac:dyDescent="0.25">
      <c r="A30" s="169" t="s">
        <v>673</v>
      </c>
      <c r="B30" s="194"/>
      <c r="C30" s="195"/>
    </row>
    <row r="31" spans="1:3" x14ac:dyDescent="0.25"/>
    <row r="32" spans="1:3" x14ac:dyDescent="0.25">
      <c r="A32" s="68" t="s">
        <v>503</v>
      </c>
    </row>
    <row r="33" spans="1:3" x14ac:dyDescent="0.25">
      <c r="A33" s="43" t="s">
        <v>296</v>
      </c>
    </row>
    <row r="34" spans="1:3" ht="67.5" customHeight="1" x14ac:dyDescent="0.25">
      <c r="A34" s="169" t="s">
        <v>697</v>
      </c>
      <c r="B34" s="194"/>
      <c r="C34" s="195"/>
    </row>
    <row r="35" spans="1:3" x14ac:dyDescent="0.25"/>
    <row r="36" spans="1:3" x14ac:dyDescent="0.25">
      <c r="A36" s="68" t="s">
        <v>529</v>
      </c>
    </row>
    <row r="37" spans="1:3" x14ac:dyDescent="0.25">
      <c r="A37" s="43" t="s">
        <v>530</v>
      </c>
    </row>
    <row r="38" spans="1:3" ht="86.25" customHeight="1" x14ac:dyDescent="0.25">
      <c r="A38" s="169" t="s">
        <v>699</v>
      </c>
      <c r="B38" s="194"/>
      <c r="C38" s="195"/>
    </row>
    <row r="39" spans="1:3" x14ac:dyDescent="0.25"/>
    <row r="40" spans="1:3" x14ac:dyDescent="0.25">
      <c r="A40" s="68" t="s">
        <v>531</v>
      </c>
    </row>
    <row r="41" spans="1:3" x14ac:dyDescent="0.25">
      <c r="A41" s="43" t="s">
        <v>297</v>
      </c>
    </row>
    <row r="42" spans="1:3" ht="57.75" customHeight="1" x14ac:dyDescent="0.25">
      <c r="A42" s="169" t="s">
        <v>698</v>
      </c>
      <c r="B42" s="194"/>
      <c r="C42" s="195"/>
    </row>
    <row r="43" spans="1:3" x14ac:dyDescent="0.25">
      <c r="A43" s="93"/>
      <c r="B43" s="93"/>
      <c r="C43" s="93"/>
    </row>
    <row r="44" spans="1:3" x14ac:dyDescent="0.25">
      <c r="A44" s="93"/>
      <c r="B44" s="93"/>
      <c r="C44" s="93"/>
    </row>
    <row r="45" spans="1:3" x14ac:dyDescent="0.25">
      <c r="A45" s="93"/>
      <c r="B45" s="93"/>
      <c r="C45" s="93"/>
    </row>
    <row r="46" spans="1:3" x14ac:dyDescent="0.25">
      <c r="A46" s="93"/>
      <c r="B46" s="93"/>
      <c r="C46" s="93"/>
    </row>
  </sheetData>
  <sheetProtection formatCells="0" formatColumns="0" formatRows="0"/>
  <mergeCells count="9">
    <mergeCell ref="A34:C34"/>
    <mergeCell ref="A42:C42"/>
    <mergeCell ref="A3:C3"/>
    <mergeCell ref="A14:C14"/>
    <mergeCell ref="A18:C18"/>
    <mergeCell ref="A22:C22"/>
    <mergeCell ref="A26:C26"/>
    <mergeCell ref="A30:C30"/>
    <mergeCell ref="A38:C38"/>
  </mergeCells>
  <pageMargins left="0.2" right="0.2" top="0.5" bottom="0.5" header="0.3" footer="0.3"/>
  <pageSetup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92D050"/>
    <pageSetUpPr fitToPage="1"/>
  </sheetPr>
  <dimension ref="A1:AA54"/>
  <sheetViews>
    <sheetView view="pageLayout" topLeftCell="A10" zoomScaleNormal="100" workbookViewId="0">
      <selection activeCell="C11" sqref="C11"/>
    </sheetView>
  </sheetViews>
  <sheetFormatPr defaultColWidth="0" defaultRowHeight="15" zeroHeight="1" x14ac:dyDescent="0.25"/>
  <cols>
    <col min="1" max="1" width="31.5703125" style="43" customWidth="1"/>
    <col min="2" max="7" width="16.140625" style="126" customWidth="1"/>
    <col min="8" max="16384" width="2" style="43" hidden="1"/>
  </cols>
  <sheetData>
    <row r="1" spans="1:27" x14ac:dyDescent="0.25">
      <c r="AA1" s="43" t="s">
        <v>493</v>
      </c>
    </row>
    <row r="2" spans="1:27" x14ac:dyDescent="0.25">
      <c r="A2" s="98" t="s">
        <v>509</v>
      </c>
    </row>
    <row r="3" spans="1:27" x14ac:dyDescent="0.25">
      <c r="A3" s="43" t="s">
        <v>298</v>
      </c>
    </row>
    <row r="4" spans="1:27" ht="22.5" customHeight="1" x14ac:dyDescent="0.25">
      <c r="A4" s="198" t="s">
        <v>299</v>
      </c>
      <c r="B4" s="199" t="s">
        <v>300</v>
      </c>
      <c r="C4" s="199"/>
      <c r="D4" s="199"/>
      <c r="E4" s="199"/>
      <c r="F4" s="199" t="s">
        <v>301</v>
      </c>
      <c r="G4" s="199"/>
    </row>
    <row r="5" spans="1:27" x14ac:dyDescent="0.25">
      <c r="A5" s="198"/>
      <c r="B5" s="137" t="s">
        <v>302</v>
      </c>
      <c r="C5" s="137" t="s">
        <v>303</v>
      </c>
      <c r="D5" s="137" t="s">
        <v>304</v>
      </c>
      <c r="E5" s="137" t="s">
        <v>305</v>
      </c>
      <c r="F5" s="137" t="s">
        <v>306</v>
      </c>
      <c r="G5" s="137" t="s">
        <v>307</v>
      </c>
    </row>
    <row r="6" spans="1:27" x14ac:dyDescent="0.25">
      <c r="A6" s="129" t="s">
        <v>597</v>
      </c>
      <c r="B6" s="130">
        <v>0.65</v>
      </c>
      <c r="C6" s="130">
        <v>0.63949999999999996</v>
      </c>
      <c r="D6" s="130">
        <v>0.64300000000000002</v>
      </c>
      <c r="E6" s="130">
        <v>0.67</v>
      </c>
      <c r="F6" s="130">
        <v>0.65590000000000004</v>
      </c>
      <c r="G6" s="131"/>
    </row>
    <row r="7" spans="1:27" x14ac:dyDescent="0.25">
      <c r="A7" s="129" t="s">
        <v>598</v>
      </c>
      <c r="B7" s="132">
        <v>7.0000000000000007E-2</v>
      </c>
      <c r="C7" s="132">
        <v>0.06</v>
      </c>
      <c r="D7" s="132">
        <v>7.0000000000000007E-2</v>
      </c>
      <c r="E7" s="132">
        <v>7.0000000000000007E-2</v>
      </c>
      <c r="F7" s="132">
        <v>7.0000000000000007E-2</v>
      </c>
      <c r="G7" s="131"/>
    </row>
    <row r="8" spans="1:27" x14ac:dyDescent="0.25">
      <c r="A8" s="129" t="s">
        <v>599</v>
      </c>
      <c r="B8" s="130">
        <v>3.0000000000000001E-3</v>
      </c>
      <c r="C8" s="130">
        <v>3.2000000000000002E-3</v>
      </c>
      <c r="D8" s="130">
        <v>4.4999999999999997E-3</v>
      </c>
      <c r="E8" s="130">
        <v>3.3E-3</v>
      </c>
      <c r="F8" s="130">
        <v>4.0000000000000001E-3</v>
      </c>
      <c r="G8" s="131"/>
    </row>
    <row r="9" spans="1:27" ht="24" x14ac:dyDescent="0.25">
      <c r="A9" s="129" t="s">
        <v>635</v>
      </c>
      <c r="B9" s="131" t="s">
        <v>572</v>
      </c>
      <c r="C9" s="131" t="s">
        <v>572</v>
      </c>
      <c r="D9" s="131" t="s">
        <v>572</v>
      </c>
      <c r="E9" s="131" t="s">
        <v>572</v>
      </c>
      <c r="F9" s="131" t="s">
        <v>572</v>
      </c>
      <c r="G9" s="131"/>
    </row>
    <row r="10" spans="1:27" ht="38.25" x14ac:dyDescent="0.25">
      <c r="A10" s="100" t="s">
        <v>573</v>
      </c>
      <c r="B10" s="131">
        <v>0</v>
      </c>
      <c r="C10" s="131">
        <v>0</v>
      </c>
      <c r="D10" s="131">
        <v>0</v>
      </c>
      <c r="E10" s="131">
        <v>0</v>
      </c>
      <c r="F10" s="131">
        <v>1</v>
      </c>
      <c r="G10" s="131"/>
    </row>
    <row r="11" spans="1:27" ht="24" x14ac:dyDescent="0.25">
      <c r="A11" s="129" t="s">
        <v>601</v>
      </c>
      <c r="B11" s="132">
        <v>1.39</v>
      </c>
      <c r="C11" s="132">
        <v>1.39</v>
      </c>
      <c r="D11" s="132">
        <v>1.39</v>
      </c>
      <c r="E11" s="132">
        <v>1.27</v>
      </c>
      <c r="F11" s="132">
        <v>1.24</v>
      </c>
      <c r="G11" s="131"/>
    </row>
    <row r="12" spans="1:27" ht="24" x14ac:dyDescent="0.25">
      <c r="A12" s="129" t="s">
        <v>637</v>
      </c>
      <c r="B12" s="130">
        <v>0.53</v>
      </c>
      <c r="C12" s="130">
        <v>0.52210000000000001</v>
      </c>
      <c r="D12" s="130">
        <v>0.50609999999999999</v>
      </c>
      <c r="E12" s="130">
        <v>0.50639999999999996</v>
      </c>
      <c r="F12" s="130">
        <v>0.51770000000000005</v>
      </c>
      <c r="G12" s="131"/>
    </row>
    <row r="13" spans="1:27" x14ac:dyDescent="0.25">
      <c r="A13" s="100" t="s">
        <v>589</v>
      </c>
      <c r="B13" s="132">
        <v>0.17</v>
      </c>
      <c r="C13" s="132">
        <v>0.17</v>
      </c>
      <c r="D13" s="132">
        <v>0.18</v>
      </c>
      <c r="E13" s="132">
        <v>0.18</v>
      </c>
      <c r="F13" s="132">
        <v>0.18</v>
      </c>
      <c r="G13" s="131"/>
    </row>
    <row r="14" spans="1:27" ht="26.25" customHeight="1" x14ac:dyDescent="0.25">
      <c r="A14" s="133" t="s">
        <v>574</v>
      </c>
      <c r="B14" s="132">
        <v>0.03</v>
      </c>
      <c r="C14" s="132">
        <v>0.02</v>
      </c>
      <c r="D14" s="132">
        <v>0.03</v>
      </c>
      <c r="E14" s="132">
        <v>0.03</v>
      </c>
      <c r="F14" s="132">
        <v>0.03</v>
      </c>
      <c r="G14" s="131"/>
    </row>
    <row r="15" spans="1:27" ht="51" x14ac:dyDescent="0.25">
      <c r="A15" s="100" t="s">
        <v>636</v>
      </c>
      <c r="B15" s="132">
        <v>0.06</v>
      </c>
      <c r="C15" s="132">
        <v>7.0000000000000007E-2</v>
      </c>
      <c r="D15" s="132">
        <v>0.04</v>
      </c>
      <c r="E15" s="132">
        <v>0.05</v>
      </c>
      <c r="F15" s="132">
        <v>0.04</v>
      </c>
      <c r="G15" s="131"/>
    </row>
    <row r="16" spans="1:27" ht="24" x14ac:dyDescent="0.25">
      <c r="A16" s="134" t="s">
        <v>590</v>
      </c>
      <c r="B16" s="131" t="s">
        <v>575</v>
      </c>
      <c r="C16" s="131" t="s">
        <v>576</v>
      </c>
      <c r="D16" s="131" t="s">
        <v>577</v>
      </c>
      <c r="E16" s="131" t="s">
        <v>578</v>
      </c>
      <c r="F16" s="131" t="s">
        <v>579</v>
      </c>
      <c r="G16" s="131"/>
    </row>
    <row r="17" spans="1:7" ht="24" x14ac:dyDescent="0.25">
      <c r="A17" s="134" t="s">
        <v>591</v>
      </c>
      <c r="B17" s="131" t="s">
        <v>580</v>
      </c>
      <c r="C17" s="131" t="s">
        <v>581</v>
      </c>
      <c r="D17" s="131" t="s">
        <v>582</v>
      </c>
      <c r="E17" s="131" t="s">
        <v>583</v>
      </c>
      <c r="F17" s="131" t="s">
        <v>584</v>
      </c>
      <c r="G17" s="131"/>
    </row>
    <row r="18" spans="1:7" ht="24" x14ac:dyDescent="0.25">
      <c r="A18" s="134" t="s">
        <v>638</v>
      </c>
      <c r="B18" s="131" t="s">
        <v>566</v>
      </c>
      <c r="C18" s="131" t="s">
        <v>639</v>
      </c>
      <c r="D18" s="131" t="s">
        <v>640</v>
      </c>
      <c r="E18" s="131" t="s">
        <v>641</v>
      </c>
      <c r="F18" s="131" t="s">
        <v>641</v>
      </c>
      <c r="G18" s="131"/>
    </row>
    <row r="19" spans="1:7" ht="44.25" customHeight="1" x14ac:dyDescent="0.25">
      <c r="A19" s="134" t="s">
        <v>642</v>
      </c>
      <c r="B19" s="132">
        <v>2.04</v>
      </c>
      <c r="C19" s="132">
        <v>1.96</v>
      </c>
      <c r="D19" s="132">
        <v>1.88</v>
      </c>
      <c r="E19" s="132">
        <v>1.78</v>
      </c>
      <c r="F19" s="132">
        <v>1.71</v>
      </c>
      <c r="G19" s="131"/>
    </row>
    <row r="20" spans="1:7" ht="25.5" x14ac:dyDescent="0.25">
      <c r="A20" s="100" t="s">
        <v>592</v>
      </c>
      <c r="B20" s="131" t="s">
        <v>566</v>
      </c>
      <c r="C20" s="132">
        <v>9.51</v>
      </c>
      <c r="D20" s="132">
        <v>4.82</v>
      </c>
      <c r="E20" s="132">
        <v>4.2300000000000004</v>
      </c>
      <c r="F20" s="132">
        <v>3.59</v>
      </c>
      <c r="G20" s="131"/>
    </row>
    <row r="21" spans="1:7" ht="38.25" x14ac:dyDescent="0.25">
      <c r="A21" s="100" t="s">
        <v>593</v>
      </c>
      <c r="B21" s="132">
        <v>1</v>
      </c>
      <c r="C21" s="132">
        <v>1</v>
      </c>
      <c r="D21" s="132">
        <v>1</v>
      </c>
      <c r="E21" s="132">
        <v>1</v>
      </c>
      <c r="F21" s="132">
        <v>1</v>
      </c>
      <c r="G21" s="131"/>
    </row>
    <row r="22" spans="1:7" x14ac:dyDescent="0.25">
      <c r="A22" s="100" t="s">
        <v>594</v>
      </c>
      <c r="B22" s="131">
        <v>0</v>
      </c>
      <c r="C22" s="131">
        <v>0</v>
      </c>
      <c r="D22" s="131">
        <v>0</v>
      </c>
      <c r="E22" s="131">
        <v>0</v>
      </c>
      <c r="F22" s="131">
        <v>0</v>
      </c>
      <c r="G22" s="131"/>
    </row>
    <row r="23" spans="1:7" ht="25.5" x14ac:dyDescent="0.25">
      <c r="A23" s="100" t="s">
        <v>595</v>
      </c>
      <c r="B23" s="131">
        <v>0</v>
      </c>
      <c r="C23" s="131">
        <v>0</v>
      </c>
      <c r="D23" s="131">
        <v>0</v>
      </c>
      <c r="E23" s="131">
        <v>0</v>
      </c>
      <c r="F23" s="131">
        <v>0</v>
      </c>
      <c r="G23" s="131"/>
    </row>
    <row r="24" spans="1:7" ht="38.25" x14ac:dyDescent="0.25">
      <c r="A24" s="100" t="s">
        <v>643</v>
      </c>
      <c r="B24" s="132">
        <v>0.09</v>
      </c>
      <c r="C24" s="130">
        <v>8.8999999999999996E-2</v>
      </c>
      <c r="D24" s="132">
        <v>0.09</v>
      </c>
      <c r="E24" s="132">
        <v>0.09</v>
      </c>
      <c r="F24" s="132">
        <v>0.09</v>
      </c>
      <c r="G24" s="131"/>
    </row>
    <row r="25" spans="1:7" x14ac:dyDescent="0.25">
      <c r="A25" s="135" t="s">
        <v>602</v>
      </c>
      <c r="B25" s="132">
        <v>0.78900000000000003</v>
      </c>
      <c r="C25" s="130">
        <v>0.71009999999999995</v>
      </c>
      <c r="D25" s="132">
        <v>0.75</v>
      </c>
      <c r="E25" s="132">
        <v>0.81369999999999998</v>
      </c>
      <c r="F25" s="132">
        <v>0.74919999999999998</v>
      </c>
      <c r="G25" s="131"/>
    </row>
    <row r="26" spans="1:7" x14ac:dyDescent="0.25">
      <c r="A26" s="136" t="s">
        <v>596</v>
      </c>
      <c r="B26" s="130">
        <v>0.115</v>
      </c>
      <c r="C26" s="130">
        <v>0.1099</v>
      </c>
      <c r="D26" s="130">
        <v>0.111</v>
      </c>
      <c r="E26" s="130">
        <v>0.1203</v>
      </c>
      <c r="F26" s="130">
        <v>0.1229</v>
      </c>
      <c r="G26" s="131"/>
    </row>
    <row r="27" spans="1:7" ht="25.5" x14ac:dyDescent="0.25">
      <c r="A27" s="100" t="s">
        <v>585</v>
      </c>
      <c r="B27" s="130">
        <v>1.5E-3</v>
      </c>
      <c r="C27" s="130">
        <v>2.5000000000000001E-3</v>
      </c>
      <c r="D27" s="130">
        <v>2E-3</v>
      </c>
      <c r="E27" s="130">
        <v>3.5000000000000001E-3</v>
      </c>
      <c r="F27" s="130">
        <v>4.0000000000000002E-4</v>
      </c>
      <c r="G27" s="131"/>
    </row>
    <row r="28" spans="1:7" ht="25.5" x14ac:dyDescent="0.25">
      <c r="A28" s="100" t="s">
        <v>586</v>
      </c>
      <c r="B28" s="132">
        <v>0.09</v>
      </c>
      <c r="C28" s="132">
        <v>0.11</v>
      </c>
      <c r="D28" s="130">
        <v>0.1212</v>
      </c>
      <c r="E28" s="130">
        <v>6.9500000000000006E-2</v>
      </c>
      <c r="F28" s="130">
        <v>8.0100000000000005E-2</v>
      </c>
      <c r="G28" s="131"/>
    </row>
    <row r="29" spans="1:7" x14ac:dyDescent="0.25">
      <c r="A29" s="100" t="s">
        <v>587</v>
      </c>
      <c r="B29" s="131" t="s">
        <v>588</v>
      </c>
      <c r="C29" s="130">
        <v>5.9999999999999995E-4</v>
      </c>
      <c r="D29" s="130">
        <v>3.5000000000000001E-3</v>
      </c>
      <c r="E29" s="130">
        <v>2.0999999999999999E-3</v>
      </c>
      <c r="F29" s="130">
        <v>8.0000000000000004E-4</v>
      </c>
      <c r="G29" s="131"/>
    </row>
    <row r="30" spans="1:7" x14ac:dyDescent="0.25"/>
    <row r="31" spans="1:7" x14ac:dyDescent="0.25">
      <c r="A31" s="43" t="s">
        <v>308</v>
      </c>
    </row>
    <row r="32" spans="1:7" ht="57.75" customHeight="1" x14ac:dyDescent="0.25">
      <c r="A32" s="169" t="s">
        <v>600</v>
      </c>
      <c r="B32" s="180"/>
      <c r="C32" s="180"/>
      <c r="D32" s="180"/>
      <c r="E32" s="180"/>
      <c r="F32" s="180"/>
      <c r="G32" s="181"/>
    </row>
    <row r="33" spans="1:7" x14ac:dyDescent="0.25">
      <c r="A33" s="93"/>
      <c r="B33" s="127"/>
      <c r="C33" s="127"/>
      <c r="D33" s="127"/>
      <c r="E33" s="127"/>
      <c r="F33" s="127"/>
      <c r="G33" s="127"/>
    </row>
    <row r="34" spans="1:7" x14ac:dyDescent="0.25">
      <c r="A34" s="93"/>
      <c r="B34" s="127"/>
      <c r="C34" s="127"/>
      <c r="D34" s="127"/>
      <c r="E34" s="127"/>
      <c r="F34" s="127"/>
      <c r="G34" s="127"/>
    </row>
    <row r="35" spans="1:7" x14ac:dyDescent="0.25">
      <c r="A35" s="93"/>
      <c r="B35" s="127"/>
      <c r="C35" s="127"/>
      <c r="D35" s="127"/>
      <c r="E35" s="127"/>
      <c r="F35" s="127"/>
      <c r="G35" s="127"/>
    </row>
    <row r="36" spans="1:7" x14ac:dyDescent="0.25">
      <c r="A36" s="93"/>
      <c r="B36" s="127"/>
      <c r="C36" s="127"/>
      <c r="D36" s="127"/>
      <c r="E36" s="127"/>
      <c r="F36" s="127"/>
      <c r="G36" s="127"/>
    </row>
    <row r="37" spans="1:7" x14ac:dyDescent="0.25">
      <c r="A37" s="93"/>
      <c r="B37" s="127"/>
      <c r="C37" s="127"/>
      <c r="D37" s="128"/>
      <c r="E37" s="127"/>
      <c r="F37" s="127"/>
      <c r="G37" s="127"/>
    </row>
    <row r="38" spans="1:7" x14ac:dyDescent="0.25">
      <c r="A38" s="93"/>
      <c r="B38" s="127"/>
      <c r="C38" s="127"/>
      <c r="D38" s="127"/>
      <c r="E38" s="127"/>
      <c r="F38" s="127"/>
      <c r="G38" s="127"/>
    </row>
    <row r="39" spans="1:7" x14ac:dyDescent="0.25">
      <c r="A39" s="93"/>
      <c r="B39" s="127"/>
      <c r="C39" s="127"/>
      <c r="D39" s="127"/>
      <c r="E39" s="127"/>
      <c r="F39" s="127"/>
      <c r="G39" s="127"/>
    </row>
    <row r="40" spans="1:7" x14ac:dyDescent="0.25">
      <c r="A40" s="93"/>
      <c r="B40" s="127"/>
      <c r="C40" s="127"/>
      <c r="D40" s="127"/>
      <c r="E40" s="127"/>
      <c r="F40" s="127"/>
      <c r="G40" s="127"/>
    </row>
    <row r="41" spans="1:7" x14ac:dyDescent="0.25">
      <c r="A41" s="93"/>
      <c r="B41" s="127"/>
      <c r="C41" s="127"/>
      <c r="D41" s="127"/>
      <c r="E41" s="127"/>
      <c r="F41" s="127"/>
      <c r="G41" s="127"/>
    </row>
    <row r="42" spans="1:7" x14ac:dyDescent="0.25">
      <c r="A42" s="93"/>
      <c r="B42" s="127"/>
      <c r="C42" s="127"/>
      <c r="D42" s="127"/>
      <c r="E42" s="127"/>
      <c r="F42" s="127"/>
      <c r="G42" s="127"/>
    </row>
    <row r="43" spans="1:7" x14ac:dyDescent="0.25">
      <c r="A43" s="93"/>
      <c r="B43" s="127"/>
      <c r="C43" s="127"/>
      <c r="D43" s="127"/>
      <c r="E43" s="127"/>
      <c r="F43" s="127"/>
      <c r="G43" s="127"/>
    </row>
    <row r="44" spans="1:7" x14ac:dyDescent="0.25">
      <c r="A44" s="93"/>
      <c r="B44" s="127"/>
      <c r="C44" s="127"/>
      <c r="D44" s="127"/>
      <c r="E44" s="127"/>
      <c r="F44" s="127"/>
      <c r="G44" s="127"/>
    </row>
    <row r="45" spans="1:7" x14ac:dyDescent="0.25">
      <c r="A45" s="93"/>
      <c r="B45" s="127"/>
      <c r="C45" s="127"/>
      <c r="D45" s="127"/>
      <c r="E45" s="127"/>
      <c r="F45" s="127"/>
      <c r="G45" s="127"/>
    </row>
    <row r="46" spans="1:7" x14ac:dyDescent="0.25">
      <c r="A46" s="93"/>
      <c r="B46" s="127"/>
      <c r="C46" s="127"/>
      <c r="D46" s="127"/>
      <c r="E46" s="127"/>
      <c r="F46" s="127"/>
      <c r="G46" s="127"/>
    </row>
    <row r="47" spans="1:7" x14ac:dyDescent="0.25">
      <c r="A47" s="93"/>
      <c r="B47" s="127"/>
      <c r="C47" s="127"/>
      <c r="D47" s="127"/>
      <c r="E47" s="127"/>
      <c r="F47" s="127"/>
      <c r="G47" s="127"/>
    </row>
    <row r="48" spans="1:7" x14ac:dyDescent="0.25">
      <c r="A48" s="93"/>
      <c r="B48" s="127"/>
      <c r="C48" s="127"/>
      <c r="D48" s="127"/>
      <c r="E48" s="127"/>
      <c r="F48" s="127"/>
      <c r="G48" s="127"/>
    </row>
    <row r="49" spans="1:7" x14ac:dyDescent="0.25">
      <c r="A49" s="93"/>
      <c r="B49" s="127"/>
      <c r="C49" s="127"/>
      <c r="D49" s="127"/>
      <c r="E49" s="127"/>
      <c r="F49" s="127"/>
      <c r="G49" s="127"/>
    </row>
    <row r="50" spans="1:7" x14ac:dyDescent="0.25">
      <c r="A50" s="93"/>
      <c r="B50" s="127"/>
      <c r="C50" s="127"/>
      <c r="D50" s="127"/>
      <c r="E50" s="127"/>
      <c r="F50" s="127"/>
      <c r="G50" s="127"/>
    </row>
    <row r="51" spans="1:7" x14ac:dyDescent="0.25">
      <c r="A51" s="93"/>
      <c r="B51" s="127"/>
      <c r="C51" s="127"/>
      <c r="D51" s="127"/>
      <c r="E51" s="127"/>
      <c r="F51" s="127"/>
      <c r="G51" s="127"/>
    </row>
    <row r="52" spans="1:7" x14ac:dyDescent="0.25">
      <c r="A52" s="93"/>
      <c r="B52" s="127"/>
      <c r="C52" s="127"/>
      <c r="D52" s="127"/>
      <c r="E52" s="127"/>
      <c r="F52" s="127"/>
      <c r="G52" s="127"/>
    </row>
    <row r="53" spans="1:7" x14ac:dyDescent="0.25">
      <c r="A53" s="93"/>
      <c r="B53" s="127"/>
      <c r="C53" s="127"/>
      <c r="D53" s="127"/>
      <c r="E53" s="127"/>
      <c r="F53" s="127"/>
      <c r="G53" s="127"/>
    </row>
    <row r="54" spans="1:7" x14ac:dyDescent="0.25"/>
  </sheetData>
  <sheetProtection formatCells="0" formatColumns="0" formatRows="0" insertRows="0"/>
  <mergeCells count="4">
    <mergeCell ref="A4:A5"/>
    <mergeCell ref="B4:E4"/>
    <mergeCell ref="F4:G4"/>
    <mergeCell ref="A32:G32"/>
  </mergeCells>
  <pageMargins left="0.25" right="0.25" top="0.75" bottom="0.75" header="0.3" footer="0.3"/>
  <pageSetup scale="79"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518</v>
      </c>
    </row>
    <row r="88" spans="1:4" x14ac:dyDescent="0.25">
      <c r="A88" t="s">
        <v>31</v>
      </c>
      <c r="B88" s="13" t="s">
        <v>183</v>
      </c>
    </row>
    <row r="89" spans="1:4" x14ac:dyDescent="0.25">
      <c r="A89" t="s">
        <v>31</v>
      </c>
      <c r="B89" s="13" t="s">
        <v>519</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J6" sqref="J6"/>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310</v>
      </c>
      <c r="C1" s="1" t="s">
        <v>1</v>
      </c>
      <c r="D1" s="2" t="s">
        <v>2</v>
      </c>
      <c r="E1" s="3" t="s">
        <v>3</v>
      </c>
      <c r="F1" s="2" t="s">
        <v>226</v>
      </c>
      <c r="G1" s="2" t="s">
        <v>76</v>
      </c>
      <c r="H1" s="4" t="s">
        <v>6</v>
      </c>
      <c r="I1" s="2" t="s">
        <v>65</v>
      </c>
      <c r="J1" s="1" t="s">
        <v>4</v>
      </c>
      <c r="K1" s="4" t="s">
        <v>224</v>
      </c>
      <c r="L1" s="4" t="s">
        <v>110</v>
      </c>
      <c r="M1" s="1" t="s">
        <v>5</v>
      </c>
      <c r="N1" s="4" t="s">
        <v>504</v>
      </c>
      <c r="O1" s="4" t="s">
        <v>483</v>
      </c>
    </row>
    <row r="2" spans="1:15" ht="105.75" customHeight="1" x14ac:dyDescent="0.25">
      <c r="A2" s="5" t="s">
        <v>0</v>
      </c>
      <c r="B2" s="5" t="s">
        <v>515</v>
      </c>
      <c r="C2" s="5" t="s">
        <v>66</v>
      </c>
      <c r="D2" s="5" t="s">
        <v>7</v>
      </c>
      <c r="E2" s="6" t="s">
        <v>229</v>
      </c>
      <c r="F2" s="5" t="s">
        <v>228</v>
      </c>
      <c r="G2" s="5" t="s">
        <v>230</v>
      </c>
      <c r="H2" s="25" t="s">
        <v>223</v>
      </c>
      <c r="I2" s="5" t="s">
        <v>111</v>
      </c>
      <c r="J2" s="25" t="s">
        <v>231</v>
      </c>
      <c r="K2" s="5" t="s">
        <v>225</v>
      </c>
      <c r="L2" s="5" t="s">
        <v>227</v>
      </c>
      <c r="M2" s="5" t="s">
        <v>250</v>
      </c>
      <c r="N2" s="37" t="s">
        <v>510</v>
      </c>
      <c r="O2" s="37" t="s">
        <v>484</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abSelected="1" topLeftCell="H1" zoomScale="90" zoomScaleNormal="90" workbookViewId="0">
      <pane ySplit="1" topLeftCell="A2" activePane="bottomLeft" state="frozenSplit"/>
      <selection activeCell="E1" sqref="E1"/>
      <selection pane="bottomLeft" activeCell="I1" sqref="I1"/>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110" customWidth="1"/>
    <col min="10" max="10" width="29.85546875" customWidth="1"/>
    <col min="11" max="11" width="62.7109375" customWidth="1"/>
    <col min="12" max="12" width="26.7109375" customWidth="1"/>
    <col min="13" max="13" width="33.140625" customWidth="1"/>
    <col min="14" max="14" width="72.85546875" customWidth="1"/>
    <col min="15" max="15" width="21.140625" hidden="1" customWidth="1"/>
  </cols>
  <sheetData>
    <row r="1" spans="1:15" ht="94.5" x14ac:dyDescent="0.25">
      <c r="A1" s="1" t="s">
        <v>0</v>
      </c>
      <c r="B1" s="1" t="s">
        <v>248</v>
      </c>
      <c r="C1" s="1" t="s">
        <v>1</v>
      </c>
      <c r="D1" s="1" t="s">
        <v>486</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487</v>
      </c>
      <c r="E2" s="5" t="s">
        <v>7</v>
      </c>
      <c r="F2" s="6" t="s">
        <v>229</v>
      </c>
      <c r="G2" s="5" t="s">
        <v>228</v>
      </c>
      <c r="H2" s="5" t="s">
        <v>230</v>
      </c>
      <c r="I2" s="25" t="s">
        <v>223</v>
      </c>
      <c r="J2" s="5" t="s">
        <v>111</v>
      </c>
      <c r="K2" s="25" t="s">
        <v>231</v>
      </c>
      <c r="L2" s="5" t="s">
        <v>225</v>
      </c>
      <c r="M2" s="5" t="s">
        <v>227</v>
      </c>
      <c r="N2" s="5" t="s">
        <v>250</v>
      </c>
      <c r="O2" s="37" t="s">
        <v>247</v>
      </c>
    </row>
    <row r="3" spans="1:15" s="234" customFormat="1" ht="409.5" x14ac:dyDescent="0.25">
      <c r="B3" s="235" t="str">
        <f>'Approval and Documentation'!C$4</f>
        <v>Private Banking International</v>
      </c>
      <c r="C3" s="235" t="str">
        <f>'Approval and Documentation'!C$6</f>
        <v>Private Banking International</v>
      </c>
      <c r="D3" s="235">
        <f>'1'!$C$1</f>
        <v>0</v>
      </c>
      <c r="E3" s="235">
        <v>1</v>
      </c>
      <c r="F3" s="235" t="str">
        <f>'1'!$C$2</f>
        <v xml:space="preserve">Strategic </v>
      </c>
      <c r="G3" s="235" t="str">
        <f>'1'!$C$3</f>
        <v>Strategic Planning - Diversification</v>
      </c>
      <c r="H3" s="235" t="str">
        <f>'1'!$C$4</f>
        <v>Risk of Geographical Concentration</v>
      </c>
      <c r="I3" s="235" t="str">
        <f>'1'!$A$12</f>
        <v xml:space="preserve">Majority of BSI business is with foreign individuals and corporations in a concentrated area  -  primarily in Latin America countries. The risk of one of the countries becoming a high-risk country or listed as sanctioned in the OFAC list could materially impact BSI revenue stream and strategy implementation. If there are any restrictions of doing business with one of the countries (e.g. Venezuela) BSI could lose the opportunity to grow business in that area. The loss would be the lost revenue growth projected in the strategic plan. Also BSI client investments having a large exposure to one concentrated area also poses a risk of losing AUM volume
The controls include a daily monitoring of the markets and OFAC monitoring of risky countries and various and mitigations strategies , e.g. recommendations to clients on the possible arising risks for their investments. 
Expected loss is $0  in nest 12 months given BSI has good controls and mitigation in the case  there is  a risk arising in one of the countries or product groups, e.g. recommendations to clients to take action on the possible arising risks to their investments. 
In the stressed scenario if there are some restrictions for growing business in one of the countries the lost annual revenue impact could be $1-$5MM. The assessment was done considering to lose the growth potential in Venezuela: given the current average annual revenue from Venezuela is ~ $36MM and the overall projected organic grow is ~3% annually  - the cost of opportunity could be between $1-$5MM annually.    The assessment is based on BSI financial statements (2006-2014) and the strategic plan (2018).
</v>
      </c>
      <c r="J3" s="235">
        <f>'1'!$C$5</f>
        <v>0</v>
      </c>
      <c r="K3" s="235" t="str">
        <f>'1'!$A$9</f>
        <v>Controls for external factors affecting BSI are limited but BSI has strong monitoring and mitigation processes: Strategic planning process  with consideration to the economic environment, monitoring risky countries through BSA/ AML/ OFAC  process, daily AUM and market monitoring, concentration reviews in ALCO monthly meetings, timely recommendations to the clients to mitigate their risks.</v>
      </c>
      <c r="L3" s="235">
        <f>'1'!$C$6</f>
        <v>0</v>
      </c>
      <c r="M3" s="235" t="str">
        <f>'1'!$C$7</f>
        <v>$1 - $5 M</v>
      </c>
      <c r="N3" s="235" t="str">
        <f>'1'!$B$10</f>
        <v>Expected loss is $0  in nest 12 months given BSI has good controls and mitigation in the case  there is  a risk arising in one of the countries or product groups, e.g. recommendations to clients to take action on the possible arising risks to their investments. 
In the stressed scenario if there are some restrictions for growing business in one of the countries the lost annual revenue impact could be $1-$5MM. The assessment was done considering to lose the growth potential in Venezuela: given the current average annual revenue from Venezuela is ~ $36MM and the overall projected organic grow is ~3% annually  - the cost of opportunity could be between $1-$5MM annually.    The assessment is based on BSI financial statements (2006-2014) and the strategic plan (2018).</v>
      </c>
      <c r="O3" s="10"/>
    </row>
    <row r="4" spans="1:15" s="234" customFormat="1" ht="315" x14ac:dyDescent="0.25">
      <c r="A4" s="235"/>
      <c r="B4" s="235" t="str">
        <f>'Approval and Documentation'!C$4</f>
        <v>Private Banking International</v>
      </c>
      <c r="C4" s="235" t="str">
        <f>'Approval and Documentation'!C$6</f>
        <v>Private Banking International</v>
      </c>
      <c r="D4" s="235">
        <f>'2'!$C$1</f>
        <v>0</v>
      </c>
      <c r="E4" s="9">
        <v>2</v>
      </c>
      <c r="F4" s="235" t="str">
        <f>'2'!$C$2</f>
        <v xml:space="preserve">Strategic </v>
      </c>
      <c r="G4" s="235" t="str">
        <f>'2'!$C$3</f>
        <v>Strategic Planning - Parent Influence</v>
      </c>
      <c r="H4" s="235" t="str">
        <f>'2'!$C$4</f>
        <v>Parent Influence Limiting BSI Products &amp; Services</v>
      </c>
      <c r="I4" s="235" t="str">
        <f>'2'!$A$12</f>
        <v>BSI is a wholly owned subsidiary and depends on the strategic decisions made at the parent company.  The risk could arise if the parent company makes strategic decisions related to the risk appetite/tolerance or capital or liquidity that limit BSI strategy execution, especially given that BSI has a unique business model of non-resident international banking. For example, the risk tolerance limits set by the parent might establish that doing business with certain countries or offering certain products and services is too risky for the holding company. This would impact BSI strategy implementation. The loss would be the cost of opportunity -  lost revenue that was forecasted in the strategic plan. 
Controls for external factors affecting BSI are limited. BSI is maintaining effective communication and coordination with the parent company about the activities that affect BSI. 
In the worst case scenario if the parent company sets the risk appetite that limits BSI strategy it could lead to the loss of annual revenue as much as $5-50MM. Although BSI does not have a history of such events impacting BSI P&amp;L, the loss estimate is based on ongoing IHC consolidation effort - the costs and  potential imapact on BSI future revenue.</v>
      </c>
      <c r="J4" s="235">
        <f>'2'!$C$5</f>
        <v>0</v>
      </c>
      <c r="K4" s="235" t="str">
        <f>'2'!$A$9</f>
        <v xml:space="preserve">Controls for external factors affecting BSI are limited. BSI is maintaining effective communication and coordination with the parent company about the activities that affect BSI. </v>
      </c>
      <c r="L4" s="235">
        <f>'2'!$C$6</f>
        <v>0</v>
      </c>
      <c r="M4" s="235" t="str">
        <f>'2'!$C$7</f>
        <v>$5 M - $50 M</v>
      </c>
      <c r="N4" s="235" t="str">
        <f>'2'!$B$10</f>
        <v>In the worst case scenario if the parent company sets the risk appetite that limits BSI strategy it could lead to the loss of annual revenue as much as $5-50MM. Although BSI does not have a history of such events impacting BSI P&amp;L, the loss estimate is based on ongoing IHC consolidation effort - the costs and  potential imapact on BSI future revenue.</v>
      </c>
      <c r="O4" s="10"/>
    </row>
    <row r="5" spans="1:15" s="234" customFormat="1" ht="105" x14ac:dyDescent="0.25">
      <c r="A5" s="235"/>
      <c r="B5" s="235" t="str">
        <f>'Approval and Documentation'!C$4</f>
        <v>Private Banking International</v>
      </c>
      <c r="C5" s="235" t="str">
        <f>'Approval and Documentation'!C$6</f>
        <v>Private Banking International</v>
      </c>
      <c r="D5" s="235">
        <f>'3'!$C$1</f>
        <v>0</v>
      </c>
      <c r="E5" s="235">
        <v>3</v>
      </c>
      <c r="F5" s="235" t="str">
        <f>'3'!$C$2</f>
        <v xml:space="preserve">Strategic </v>
      </c>
      <c r="G5" s="235" t="str">
        <f>'3'!$C$3</f>
        <v>Strategic Planning - Resources</v>
      </c>
      <c r="H5" s="235" t="str">
        <f>'3'!$C$4</f>
        <v>The priority and compatibility of personnel, technology, and capital resources allocation with strategic initiatives.</v>
      </c>
      <c r="I5" s="235" t="str">
        <f>'3'!$A$12</f>
        <v>After a further evaluation  and discussion with HR, T&amp;O team, Compliance and Private Banking it was decided that this is NOT a material risk. BSI has well aligned resources and technology, a stable organization and a good business model. Regarding BSI resource alignment - the employee turnover is very low.</v>
      </c>
      <c r="J5" s="235">
        <f>'3'!$C$5</f>
        <v>0</v>
      </c>
      <c r="K5" s="235">
        <f>'3'!$A$9</f>
        <v>0</v>
      </c>
      <c r="L5" s="235">
        <f>'3'!$C$6</f>
        <v>0</v>
      </c>
      <c r="M5" s="235">
        <f>'3'!$C$7</f>
        <v>0</v>
      </c>
      <c r="N5" s="235">
        <f>'3'!$B$10</f>
        <v>0</v>
      </c>
      <c r="O5" s="10"/>
    </row>
    <row r="6" spans="1:15" s="234" customFormat="1" ht="285" x14ac:dyDescent="0.25">
      <c r="A6" s="235"/>
      <c r="B6" s="235" t="str">
        <f>'Approval and Documentation'!C$4</f>
        <v>Private Banking International</v>
      </c>
      <c r="C6" s="235" t="str">
        <f>'Approval and Documentation'!C$6</f>
        <v>Private Banking International</v>
      </c>
      <c r="D6" s="235">
        <f>'4'!$C$1</f>
        <v>0</v>
      </c>
      <c r="E6" s="9">
        <v>4</v>
      </c>
      <c r="F6" s="235" t="str">
        <f>'4'!$C$2</f>
        <v xml:space="preserve">Strategic </v>
      </c>
      <c r="G6" s="235" t="str">
        <f>'4'!$C$3</f>
        <v>Systems strategy and data architecture</v>
      </c>
      <c r="H6" s="235" t="str">
        <f>'4'!$C$4</f>
        <v>Risk of over-relying on one system</v>
      </c>
      <c r="I6" s="235" t="str">
        <f>'4'!$A$12</f>
        <v>BSI is currently relying on one main system: T24 – Core Banking System used for Customer, Account, Loans, Transfer,Teller, Bill Payment, Money Market, Forex, Trade Finance, Fiduciary,Finance Report, General Reports information. The system is critical for a successful strategy implementation. The risk is arising if the system (vendor) goes away. Although  BSI would be able to continue to operate, due to the lost support it would have to implement a new system that is time and resource-consuming. 
BSI has effective controls in place- vendor management, IT Assessment  and BCP.
There are no expected losses in the next 12 months. 
In the stressed scenario if BSI needs to change the system it could cost between $5-$50MM. The assessment is based on the historical events as well as current cost of system replacement - the estimated replacement cost could be as much as $10MM (cash out). Based on BSI historical example with one Vendor going away and having to implement a new system.</v>
      </c>
      <c r="J6" s="235">
        <f>'4'!$C$5</f>
        <v>0</v>
      </c>
      <c r="K6" s="235" t="str">
        <f>'4'!$A$9</f>
        <v xml:space="preserve">Current controls include the process of Vendor Management;  IT Assessments ( GBLA, Self-Initiated), Business Impact Analysis (annually), Business Continuity Plan (Annual assessment). Various enhancements are being currently introduced to keep strengthening the control processes in regards to process documentation. </v>
      </c>
      <c r="L6" s="235">
        <f>'4'!$C$6</f>
        <v>0</v>
      </c>
      <c r="M6" s="235" t="str">
        <f>'4'!$C$7</f>
        <v>$5 M - $50 M</v>
      </c>
      <c r="N6" s="235" t="str">
        <f>'4'!$B$10</f>
        <v>There are no expected losses in the next 12 months. 
In the stressed scenario if BSI needs to change the system it could cost between $5-$50MM. The assessment is based on the historical events as well as current cost of system replacement - the estimated replacement cost could be as much as $10MM (cash out). Based on BSI historical example with one Vendor going away and having to implement a new system.</v>
      </c>
      <c r="O6" s="10"/>
    </row>
    <row r="7" spans="1:15" s="234" customFormat="1" ht="405" x14ac:dyDescent="0.25">
      <c r="A7" s="235"/>
      <c r="B7" s="235" t="str">
        <f>'Approval and Documentation'!C$4</f>
        <v>Private Banking International</v>
      </c>
      <c r="C7" s="235" t="str">
        <f>'Approval and Documentation'!C$6</f>
        <v>Private Banking International</v>
      </c>
      <c r="D7" s="235">
        <f>'5'!$C$1</f>
        <v>0</v>
      </c>
      <c r="E7" s="235">
        <v>5</v>
      </c>
      <c r="F7" s="235" t="str">
        <f>'5'!$C$2</f>
        <v xml:space="preserve">Strategic </v>
      </c>
      <c r="G7" s="235" t="str">
        <f>'5'!$C$3</f>
        <v>External Factors - Economic conditions / market performance</v>
      </c>
      <c r="H7" s="235" t="str">
        <f>'5'!$C$4</f>
        <v>Risk of losing AUM volume in adverse market conditions</v>
      </c>
      <c r="I7" s="235" t="str">
        <f>'5'!$A$12</f>
        <v>BSI strategy is to grow AUMs and convert to more strategic investment products. The current 3-year strategic plan assumes average organic AUM growth at 3% ($1BN) annually. BSI business performance is highly correlated to the localized market performances -  FX /Credit Spreads and Equities in US, Spain and LATAM markets. The risk is arising  from losing the AUM volume, having to execute margin calls and possible canceling loans  and lost cost of opportunity. 
The current controls include daily AUM monitoring, Treasury monitoring, VaR monitoring, Investment committee reviews, concentration reviews. 
In the stressed scenario if one ir more economies (US, Eurozone, especially Spain) are in the downturn it would negatively impact on BSI AUMs and fee revenue.  
In the stressed scenario if one ir more economies (US, Eurozone, especially Spain) are in the downturn it would negatively impact on BSI AUMs and fee revenue.  
A scenario like a financial crices or a downgrade in Spain would have a spill-over effect of losing the AUMs, margin calls, canceling loans, potentially having to restructure the business and the cost of opportunity. This can easily lead to $5-$50MM annual losses based on the historical financial statements:  during the years of 2008-2009 economic crises - the AUM (excluding deposits) volume declined by ~33%  ($5.6BN) driven by adverse market conditions and annual fee revenue declined by  ~$18MM . 2006-2014 Financial Statements and Strategic Plan (2018) was used for the assessment.</v>
      </c>
      <c r="J7" s="235" t="str">
        <f>'5'!$C$5</f>
        <v>Localized Economic Downturn (Specify Geography in risk description)</v>
      </c>
      <c r="K7" s="235" t="str">
        <f>'5'!$A$9</f>
        <v xml:space="preserve">The current controls include daily AUM monitoring, Treasury monitoring, VaR monitoring, Investment committee reviews, concentration reviews. BSI has proven mitigation in process  with recommendations to the clients on their investments if certain risks arise in the market. </v>
      </c>
      <c r="L7" s="235">
        <f>'5'!$C$6</f>
        <v>0</v>
      </c>
      <c r="M7" s="235" t="str">
        <f>'5'!$C$7</f>
        <v>$5 M - $50 M</v>
      </c>
      <c r="N7" s="235" t="str">
        <f>'5'!$B$10</f>
        <v>In the stressed scenario if one ir more economies (US, Eurozone, especially Spain) are in the downturn it would negatively impact on BSI AUMs and fee revenue.  
A scenario like a financial crices or a downgrade in Spain would have a spill-over effect of losing the AUMs, margin calls, canceling loans, having to restructure the business and the cost of opportunity. This can easily lead to $5-$50MM annual losses based on the historical financial statements:  during the years of 2008-2009 economic crises - the AUM (excluding deposits) volume declined by ~33%  ($5.6BN) driven by adverse market conditions and annual fee revenue declined by  ~$18MM . 2006-2014 Financial Statements and Strategic Plan (2018) was used for the assessment.</v>
      </c>
      <c r="O7" s="10"/>
    </row>
    <row r="8" spans="1:15" s="234" customFormat="1" ht="315" x14ac:dyDescent="0.25">
      <c r="A8" s="235"/>
      <c r="B8" s="235" t="str">
        <f>'Approval and Documentation'!C$4</f>
        <v>Private Banking International</v>
      </c>
      <c r="C8" s="235" t="str">
        <f>'Approval and Documentation'!C$6</f>
        <v>Private Banking International</v>
      </c>
      <c r="D8" s="235">
        <f>'6'!$C$1</f>
        <v>0</v>
      </c>
      <c r="E8" s="9">
        <v>6</v>
      </c>
      <c r="F8" s="235" t="str">
        <f>'6'!$C$2</f>
        <v xml:space="preserve">Strategic </v>
      </c>
      <c r="G8" s="235" t="str">
        <f>'6'!$C$3</f>
        <v>External Factors - Industry</v>
      </c>
      <c r="H8" s="235" t="str">
        <f>'6'!$C$4</f>
        <v xml:space="preserve">Heavy Regulation in the Banking Industry </v>
      </c>
      <c r="I8" s="235" t="str">
        <f>'6'!$A$12</f>
        <v xml:space="preserve">Banking is a heavily regulated industry. New regulations keep emerging and are further reshaping the way banks are doing business. The risk is arising from new regulations being costly to implement and potentially impacting BSI strategy. The clients often get nervous about new regulations potentially affecting their assets, however this hasn't been a material risk to BSI in the past. The largest cost is the regulation implementation cost. There is also a possibility of new regulation impacting BSI product &amp; services. 
BSI has a regulatory compliance framework that  that includes a regulatory risk assessment, a regulatory monitoring/testing programs and effective implementation of newly emerged regulations. The timely implementation of regulations reduces the risk of losses. 
The new regulations could have impact as much as $5-$50MM.  The assessment is based on recently emerged US regulatory standards requiring BSI to consolidate to the IHC.  The estimated IHC implementation cost is $9.5MM first year and $6MM annually thereafter.  Strategic Plan was used for assessment (P2018)
</v>
      </c>
      <c r="J8" s="235">
        <f>'6'!$C$5</f>
        <v>0</v>
      </c>
      <c r="K8" s="235" t="str">
        <f>'6'!$A$9</f>
        <v xml:space="preserve">BSI has a regulatory compliance framework that includes a regulatory risk assessment, a regulatory monitoring/testing programs which reviews all applicable  regulations.  The results of the monitoring are presented to the Compliance Committee which is then escalated to the current Audit and Risk Committee of the Board of Directors. Timely implementation of  a new regulation reduces the risk of losses. BSI has a good track record when it comes to new regulation implementation. </v>
      </c>
      <c r="L8" s="235">
        <f>'6'!$C$6</f>
        <v>0</v>
      </c>
      <c r="M8" s="235" t="str">
        <f>'6'!$C$7</f>
        <v>$5 M - $50 M</v>
      </c>
      <c r="N8" s="235" t="str">
        <f>'6'!$B$10</f>
        <v>The new regulations could have impact as much as $5-$50MM.  The assessment is based on recently emerged US regulatory standards requiring BSI to consolidate to the IHC.  The estimated IHC implementation cost is $9.5MM first year and $6MM annually thereafter. Strategic Plan was used for assessment (P2018)</v>
      </c>
      <c r="O8" s="10"/>
    </row>
    <row r="9" spans="1:15" s="234" customFormat="1" ht="225" x14ac:dyDescent="0.25">
      <c r="A9" s="235"/>
      <c r="B9" s="235" t="str">
        <f>'Approval and Documentation'!C$4</f>
        <v>Private Banking International</v>
      </c>
      <c r="C9" s="235" t="str">
        <f>'Approval and Documentation'!C$6</f>
        <v>Private Banking International</v>
      </c>
      <c r="D9" s="235">
        <f>'7'!$C$1</f>
        <v>0</v>
      </c>
      <c r="E9" s="235">
        <v>7</v>
      </c>
      <c r="F9" s="235" t="str">
        <f>'7'!$C$2</f>
        <v xml:space="preserve">Strategic </v>
      </c>
      <c r="G9" s="235" t="str">
        <f>'7'!$C$3</f>
        <v>Management and Other Personnel - Expertise</v>
      </c>
      <c r="H9" s="235" t="str">
        <f>'7'!$C$4</f>
        <v>Lack of Expertise in Making Strategic Product Decisions</v>
      </c>
      <c r="I9" s="235" t="str">
        <f>'7'!$A$12</f>
        <v xml:space="preserve">BSI enters into various strategic investment partnerships and create various promotional offers to market new products to clients and grow AUM. The expertise of management is critical in these type of strategic decisions. The risk of making a  decision that is not properly evaluated or aligned with the BSI overall strategy due to lack of management expertise could lead to losses.  
After further review the risk was combined with Strategic Risk - Corporate Governance - "Inadequate governance in new product/investment offerings approval process"
</v>
      </c>
      <c r="J9" s="235">
        <f>'7'!$C$5</f>
        <v>0</v>
      </c>
      <c r="K9" s="235" t="str">
        <f>'7'!$A$9</f>
        <v>The current new product approval process has two levels: first the new product is approved by the local BSI  committee considering all aspects - operational, financial, and other risk factors. Then it goes for the approval at the parent level (Madrid Office). BSI also has strong internal control process.  New investment fund offerings also go though the investment committee review and approval process before these new investment options are offered to the clients.</v>
      </c>
      <c r="L9" s="235">
        <f>'7'!$C$6</f>
        <v>0</v>
      </c>
      <c r="M9" s="235">
        <f>'7'!$C$7</f>
        <v>0</v>
      </c>
      <c r="N9" s="235">
        <f>'7'!$B$10</f>
        <v>0</v>
      </c>
      <c r="O9" s="10"/>
    </row>
    <row r="10" spans="1:15" s="234" customFormat="1" ht="60" x14ac:dyDescent="0.25">
      <c r="A10" s="235"/>
      <c r="B10" s="235" t="str">
        <f>'Approval and Documentation'!C$4</f>
        <v>Private Banking International</v>
      </c>
      <c r="C10" s="235" t="str">
        <f>'Approval and Documentation'!C$6</f>
        <v>Private Banking International</v>
      </c>
      <c r="D10" s="235">
        <f>'8'!$C$1</f>
        <v>0</v>
      </c>
      <c r="E10" s="9">
        <v>8</v>
      </c>
      <c r="F10" s="235" t="str">
        <f>'8'!$C$2</f>
        <v xml:space="preserve">Strategic </v>
      </c>
      <c r="G10" s="235" t="str">
        <f>'8'!$C$3</f>
        <v>Management and Other Personnel - Performance management and compensation</v>
      </c>
      <c r="H10" s="235" t="str">
        <f>'8'!$C$4</f>
        <v>Performance Compensation Tied to Risk Taking</v>
      </c>
      <c r="I10" s="235" t="str">
        <f>'8'!$A$12</f>
        <v xml:space="preserve">After further evaluation and discussion with HR it was decided that performance management and  compensation  risk is not a material risk to BSI - the compensation plans are not tied to risk taking (HR Policies). </v>
      </c>
      <c r="J10" s="235">
        <f>'8'!$C$5</f>
        <v>0</v>
      </c>
      <c r="K10" s="235" t="str">
        <f>'8'!$A$9</f>
        <v>HR Policies</v>
      </c>
      <c r="L10" s="235">
        <f>'8'!$C$6</f>
        <v>0</v>
      </c>
      <c r="M10" s="235">
        <f>'8'!$C$7</f>
        <v>0</v>
      </c>
      <c r="N10" s="235">
        <f>'8'!$B$10</f>
        <v>0</v>
      </c>
      <c r="O10" s="10"/>
    </row>
    <row r="11" spans="1:15" s="234" customFormat="1" ht="405" x14ac:dyDescent="0.25">
      <c r="A11" s="235"/>
      <c r="B11" s="235" t="str">
        <f>'Approval and Documentation'!C$4</f>
        <v>Private Banking International</v>
      </c>
      <c r="C11" s="235" t="str">
        <f>'Approval and Documentation'!C$6</f>
        <v>Private Banking International</v>
      </c>
      <c r="D11" s="235">
        <f>'9'!$C$1</f>
        <v>0</v>
      </c>
      <c r="E11" s="235">
        <v>9</v>
      </c>
      <c r="F11" s="235" t="str">
        <f>'9'!$C$2</f>
        <v xml:space="preserve">Strategic </v>
      </c>
      <c r="G11" s="235" t="str">
        <f>'9'!$C$3</f>
        <v>Corporate Governance</v>
      </c>
      <c r="H11" s="235" t="str">
        <f>'9'!$C$4</f>
        <v>Inadequate governance in new product/investment offerings approval process</v>
      </c>
      <c r="I11" s="235" t="str">
        <f>'9'!$A$12</f>
        <v>The risk could arise from lack of governance around new product approvals and incentive plan. There must be a strong  governance processes for approving new products or new investment options, ensuring  proper due-diligence and operational execution plan as well as  appropriate incentive compensation plan. Failing to have effective governance around these processes can lead to approving products that are too risky and do not meet client needs and bring losses to the clients as well as BSI. 
The current new product approval process has two levels: first the new product is approved by the local BSI  committee considering all aspects - operational, financial, and other risk factors. Then it goes for the approval at the head office (Madrid Office). New investment fund offerings also go though the investment committee review and approval process before these new investment options are offered to the clients.
In the stress scenario  if not all the controls are working and the new products/investment offerings are not properly evaluated the revenue shortfall/ losses could potentially be $1-$5MM. When clients are losing their investments BSI is losing fee revenue generated by AUM volume. It is the opportunity cost. For the assessment the historical financials were used, the example of the strategic investment offering in 2008 (private equity fund).  But the estimated future loss would be mitigated considering stronger controls currently in place.place.</v>
      </c>
      <c r="J11" s="235">
        <f>'9'!$C$5</f>
        <v>0</v>
      </c>
      <c r="K11" s="235" t="str">
        <f>'9'!$A$9</f>
        <v>The current new product approval process has two levels: first the new product is approved by the local BSI  committee considering all aspects - operational, financial, and other risk factors. Then it goes for the approval at the head office (Madrid Office). New investment fund offerings also go to  the investment committee review and approval process before these new investment options are offered to the clients.</v>
      </c>
      <c r="L11" s="235">
        <f>'9'!$C$6</f>
        <v>0</v>
      </c>
      <c r="M11" s="235" t="str">
        <f>'9'!$C$7</f>
        <v>$1 - $5 M</v>
      </c>
      <c r="N11" s="235" t="str">
        <f>'9'!$B$10</f>
        <v>In the stress scenario  if not all the controls are working and the new products/investment offerings are not properly evaluated the revenue shortfall/ losses could potentially be $1-$5MM. When clients are losing their investments BSI is losing fee revenue generated by AUM volume. It is the opportunity cost. For the assessment the historical financials were used, the example of the strategic investment offering in 2008 (private equity fund).  But the estimated future loss would be mitigated considering stronger controls currently in place.</v>
      </c>
      <c r="O11" s="10"/>
    </row>
    <row r="12" spans="1:15" s="234" customFormat="1" ht="409.5" x14ac:dyDescent="0.25">
      <c r="A12" s="235"/>
      <c r="B12" s="235" t="str">
        <f>'Approval and Documentation'!C$4</f>
        <v>Private Banking International</v>
      </c>
      <c r="C12" s="235" t="str">
        <f>'Approval and Documentation'!C$6</f>
        <v>Private Banking International</v>
      </c>
      <c r="D12" s="235">
        <f>'10'!$C$1</f>
        <v>0</v>
      </c>
      <c r="E12" s="9">
        <v>10</v>
      </c>
      <c r="F12" s="235" t="str">
        <f>'10'!$C$2</f>
        <v>Reputational</v>
      </c>
      <c r="G12" s="235" t="str">
        <f>'10'!$C$3</f>
        <v>Brand Image/Customers Experience</v>
      </c>
      <c r="H12" s="235" t="str">
        <f>'10'!$C$4</f>
        <v>Loss of clients due to loss of reliability of the bank's products and services</v>
      </c>
      <c r="I12" s="235" t="str">
        <f>'10'!$A$12</f>
        <v>BSI business depends on the clients' trust and perception of the bank's ability to offer reliable services and custom-tailored solutions.  The risk is arising from losing client volume due to the bad perception of the bank's products and services, frequent client complaints or litigations. The triggers could be bank's improper due diligence or information provided to the clients to make informed decisions. This could lead to bad publicity and ultimately clients shifting to the competitors. The risk is arising differently  in  discretionary and non-discretionary portfolios.
In the discretionary portfolio the risk is reduced (diversified) with asset allocation but does exist if the controls are not working properly, especially risk of improper documentation/disclosures. In non-discretionary portfolios there is more risk  since the clients do make the ultimate decision and could ask for a non-recommended product leading to a disappointment, complaints and the client shifting to competitors.
Controls include associate training; product/portfolio reviews to identify the potential risks, especially assets held as collateral.  The effective mitigation is the key to  preserving the reputation. Once the risk of certain products is identified, the management needs to execute timely and mitigate the potential losses. BSI has shown it's effective mitigation actions in the past. 
The expected loss in the next 12 months is $0 as the bank has strong controls in place and currently there is no provision for reputational loss. 
In the worst case scenario when the bank's products and services reliability is damaged the annual losses could extend $5-$50MM. The estimate is based on 2006 -2014  financial statements, history of reputational events (legal logs), the historical growth of AUM and fee income.  The largest loss is the opportunity cost of losing the potential revenue after the clients leave the bank due to the damaged reputation.  The lost revenue growth takes years to reach the same growth as before the reputational events. The loss estimate is based assuming BSI would not achieve a projected 3% annual revenue growth (at least  $8MM based on current annual revenue) in addition there might be some clients leaving the bank.</v>
      </c>
      <c r="J12" s="235">
        <f>'10'!$C$5</f>
        <v>0</v>
      </c>
      <c r="K12" s="235" t="str">
        <f>'10'!$A$9</f>
        <v xml:space="preserve"> Controls include associate training; product review and approval process which identifies the potential risk held by the clients, especially those held as collateral;  BSI has shown effective mitigation actions in the past to preserve the clients investments as well as the bank's reputation </v>
      </c>
      <c r="L12" s="235">
        <f>'10'!$C$6</f>
        <v>0</v>
      </c>
      <c r="M12" s="235" t="str">
        <f>'10'!$C$7</f>
        <v>$5 M - $50 M</v>
      </c>
      <c r="N12" s="235" t="str">
        <f>'10'!$B$10</f>
        <v xml:space="preserve">The expected loss in the next 12 months is $0 as the bank has strong controls in place and currently there is no provision for reputational loss. 
In the worst case scenario when the bank's products and services reliability is damaged the annual losses could extend $5-$50MM. The estimate is based on 2006 -2014  financial statements, Startegic 3 year financial plan (P18),  history of reputational events (legal logs), the historical growth of AUM and fee income.  The loss estimate is assuming BSI would not achieve a projected 3% annual revenue growth (at least  $8MM based on current annual revenue) in addition there might be some clients leaving the bank. </v>
      </c>
      <c r="O12" s="10"/>
    </row>
    <row r="13" spans="1:15" s="234" customFormat="1" ht="345" x14ac:dyDescent="0.25">
      <c r="A13" s="235"/>
      <c r="B13" s="235" t="str">
        <f>'Approval and Documentation'!C$4</f>
        <v>Private Banking International</v>
      </c>
      <c r="C13" s="235" t="str">
        <f>'Approval and Documentation'!C$6</f>
        <v>Private Banking International</v>
      </c>
      <c r="D13" s="235">
        <f>'11'!$C$1</f>
        <v>0</v>
      </c>
      <c r="E13" s="235">
        <v>11</v>
      </c>
      <c r="F13" s="235" t="str">
        <f>'11'!$C$2</f>
        <v>Reputational</v>
      </c>
      <c r="G13" s="235" t="str">
        <f>'11'!$C$3</f>
        <v>Brand Image/Customers Experience</v>
      </c>
      <c r="H13" s="235" t="str">
        <f>'11'!$C$4</f>
        <v>Loss of clients due to the bank's vulnerability to fraud (external or internal)</v>
      </c>
      <c r="I13" s="235" t="str">
        <f>'11'!$A$12</f>
        <v>Private Banking clients are very sensitive to the Bank's reputation due to the level of trust and the closeness involved in the client-banker relationship which makes it very susceptible to fraud. BSI could be also be exposed to external fraud doing business as the custodian -  acting as an asset manager for other bank's assets that is involved in fraudulent activities. The risk is arising from losing clients and revenue do to negative publicity caused by internal or external fraud events. Once the reputation is damaged it is very hard to gain the clients trust and  regrow the business. 
Current controls include  associate training,  system security controls, transaction verification and approval processes. Mitigation actions to maintain the reputation  might include reimbursing the clients for their loss due to the fraud. 
The expected reputational loss in the next 12motnhs is $0. 
The potential annual stressed loss could be $1-$5MM. The assessment is also considering BSI having a wide-spread international client based and news on reputational/operational  events are usually very contained.  BSI 2006-2014  financial statements, litigation logs, operational loss history were used for the assessment. Assuming one or few top clients leaving the bank with annual revenue (top clients bring as much as $4MM annual revenue)</v>
      </c>
      <c r="J13" s="235">
        <f>'11'!$C$5</f>
        <v>0</v>
      </c>
      <c r="K13" s="235" t="str">
        <f>'11'!$A$9</f>
        <v>Preventive controls include associate training; IT /security system assessments, multiple level transaction approval processes.</v>
      </c>
      <c r="L13" s="235">
        <f>'11'!$C$6</f>
        <v>0</v>
      </c>
      <c r="M13" s="235" t="str">
        <f>'11'!$C$7</f>
        <v>$1 - $5 M</v>
      </c>
      <c r="N13" s="235" t="str">
        <f>'11'!$B$10</f>
        <v>The expected reputational loss in the next 12motnhs is $0. 
The potential annual stressed loss could be $1-$5MM. The assessment is also considering BSI having a wide-spread international client based and news on reputational/operational  events are usually very contained.  BSI 2006-2014  financial statements, litigation logs, operational loss history were used for the assessment. Assuming one or few top clients leaving the bank with annual revenue (top clients bring as much as $4MM annual revenue)</v>
      </c>
      <c r="O13" s="10"/>
    </row>
    <row r="14" spans="1:15" s="234" customFormat="1" ht="315" x14ac:dyDescent="0.25">
      <c r="A14" s="235"/>
      <c r="B14" s="235" t="str">
        <f>'Approval and Documentation'!C$4</f>
        <v>Private Banking International</v>
      </c>
      <c r="C14" s="235" t="str">
        <f>'Approval and Documentation'!C$6</f>
        <v>Private Banking International</v>
      </c>
      <c r="D14" s="235">
        <f>'12'!$C$1</f>
        <v>0</v>
      </c>
      <c r="E14" s="9">
        <v>12</v>
      </c>
      <c r="F14" s="235" t="str">
        <f>'12'!$C$2</f>
        <v>Reputational</v>
      </c>
      <c r="G14" s="235" t="str">
        <f>'12'!$C$3</f>
        <v>Brand Image/Customers Experience</v>
      </c>
      <c r="H14" s="235" t="str">
        <f>'12'!$C$4</f>
        <v>Risk of loss due to negative regulator opinion</v>
      </c>
      <c r="I14" s="235" t="str">
        <f>'12'!$A$12</f>
        <v xml:space="preserve">Private Banking clients are very sensitive to the Bank's reputation. This risk is arising when negative regulator opinion leads to losing clients and revenue. Competition can easily use the adverse regulatory opinion to solicit our clients, or our bankers can decide to leave to competitor banks and take their clients away. 
Currently BSI has strong controls in place to comply with regulatory programs and laws and preserve the bank's reputation. 
The bank does not expect any losses during next 12 months as the bank has no history of such events. 
In the stressed scenario, negative regulatory opinion could potentially cause $1-$5MM annual losses. The estimate is based on external examples at the peer banks where negative regulatory opinion and actions helped to drive the revenue from competitors to BSI.  BSI 2006-2014  financial statements were used for assessment. 
</v>
      </c>
      <c r="J14" s="235">
        <f>'12'!$C$5</f>
        <v>0</v>
      </c>
      <c r="K14" s="235" t="str">
        <f>'12'!$A$9</f>
        <v>BSI has a regulatory compliance framework that includes a regulatory risk assessment, a regulatory monitoring/testing programs which reviews all applicable  non-BSA regulations.  The frequency of these test are based on the residual risk assigned to each regulation.  The results of the monitoring are presented to the Compliance Committee which is then escalated to the current Audit and Risk Committee of the Board of Directors.</v>
      </c>
      <c r="L14" s="235">
        <f>'12'!$C$6</f>
        <v>0</v>
      </c>
      <c r="M14" s="235" t="str">
        <f>'12'!$C$7</f>
        <v>$1 - $5 M</v>
      </c>
      <c r="N14" s="235" t="str">
        <f>'12'!$B$10</f>
        <v xml:space="preserve">The bank does not expect any losses during next 12 months as the bank has no history of such events. 
In the stressed scenario, negative regulatory opinion could potentially cause $1-$5MM annual losses. The estimate is based on external examples at the peer banks where negative regulatory opinion and actions helped to drive the revenue from competitors to BSI.  BSI 2006-2014  financial statements were used for assessment. 
</v>
      </c>
      <c r="O14" s="10"/>
    </row>
    <row r="15" spans="1:15" s="234" customFormat="1" ht="409.5" x14ac:dyDescent="0.25">
      <c r="A15" s="235"/>
      <c r="B15" s="235" t="str">
        <f>'Approval and Documentation'!C$4</f>
        <v>Private Banking International</v>
      </c>
      <c r="C15" s="235" t="str">
        <f>'Approval and Documentation'!C$6</f>
        <v>Private Banking International</v>
      </c>
      <c r="D15" s="235">
        <f>'13'!$C$1</f>
        <v>0</v>
      </c>
      <c r="E15" s="235">
        <v>13</v>
      </c>
      <c r="F15" s="235" t="str">
        <f>'13'!$C$2</f>
        <v>Credit</v>
      </c>
      <c r="G15" s="235" t="str">
        <f>'13'!$C$3</f>
        <v>Collateral</v>
      </c>
      <c r="H15" s="235" t="str">
        <f>'13'!$C$4</f>
        <v>Risk of collateral dependent lending model and collateral being insufficient or unavailable.</v>
      </c>
      <c r="I15" s="235" t="str">
        <f>'13'!$A$12</f>
        <v xml:space="preserve"> BSI business model is collateral (form of securities and cash) based lending. Lending values (LV) are calculated based on the head office model which is very conservative applying haircuts to the collateral for by each asset type and uses 99.97% level of confidence. The risk could arise when large moves in the market initiate the margin call (MC) and the client is not able to pay; then BSI will need to execute the collateral and potentially will incur losses if collateral value is not sufficient to cover the outstanding loan, especially in the case of a very concentrated position; or if the collateral is not accessible as it may be subject to governmental lien (including OFAC blocked collateral). 
Key risk drivers are corporate spreads widen, interest rates up and  equity prices down. 
The controls include daily collateral/margin call monitoring locally, monthly margin call activity report; quarterly LV haircuts review (liquidity and the volatility of securities) by the head office;  annual review and assessment of the lending criteria by the head office; Collateral concentration reviews at the Risk Committee,  monitoring credit quality  and concentration of the issuers;  Margin call process provides effective mitigation controls.  
The expected annual loss is $1-$5MM  - amount booked in allowance for credit losses. No material credit losses  2010-2014 per financial statements.
Current pledged assets are ~7.3BN (34% issued by Grupo Santander) for ~3.8BN of loans giving LTV ratio of 52%. By asset type collateral consists of 41% Fixed Income, 22% Equity, 20% Other Funds, 9% Cash, 5% Alternative Funds and 2.5% Structured Products. The secured lending model applies very conservative LV haircuts based on asset volatility, liquidity, issuer credit quality and other parameters.  In the stressed market conditions, the LV would fall prior the actual MV of the collateral below the Loan amount triggering MCs and subsequently remedial actions immediately to avoid the losses and would be covered by ALLL. The secured lending model with the margin call process has been proven to be effective mitigating control during the 2008-2009 financial crises. 
</v>
      </c>
      <c r="J15" s="235" t="str">
        <f>'13'!$C$5</f>
        <v>Corporate Credit Spreads (Widen), Equity Prices (Down), Interest Rates (Up)</v>
      </c>
      <c r="K15" s="235" t="str">
        <f>'13'!$A$9</f>
        <v xml:space="preserve">
The controls include daily collateral/margin call monitoring locally, monthly margin call activity report; quarterly LV haircuts review (liquidity and the volatility of securities) by the head office;  annual review and assessment of the lending criteria by the head office; Collateral concentration reviews at the Risk Committee,  monitoring credit quality  and concentration of the issuers;  Margin call process provides effective mitigation controls.  </v>
      </c>
      <c r="L15" s="235" t="str">
        <f>'13'!$C$6</f>
        <v>$1 - $5 M</v>
      </c>
      <c r="M15" s="235" t="str">
        <f>'13'!$C$7</f>
        <v>$1 - $5 M</v>
      </c>
      <c r="N15" s="235" t="str">
        <f>'13'!$B$10</f>
        <v>The expected annual loss is $1-$5MM  - amount booked in allowance for credit losses. No material credit losses  2010-2014 per financial statements.
Current pledged assets are ~7.3BN (34% issued by Grupo Santander) for ~3.8BN of loans giving LTV ratio of 52%. By asset type collateral consists of 41% Fixed Income, 22% Equity, 20% Other Funds, 9% Cash, 5% Alternative Funds and 2.5% Structured Products. The secured lending model applies very conservative LV haircuts based on asset volatility, liquidity, issuer credit quality and other parameters.  In the stressed market conditions, the LV would fall prior the actual MV of the collateral below the Loan amount triggering MCs and subsequently remedial actions immediately to avoid the losses and would be covered by ALLL. The secured lending model with the margin call process has been proven to be effective mitigating control during the 2008-2009 financial crises.</v>
      </c>
      <c r="O15" s="10"/>
    </row>
    <row r="16" spans="1:15" s="234" customFormat="1" ht="75" x14ac:dyDescent="0.25">
      <c r="A16" s="235"/>
      <c r="B16" s="235" t="str">
        <f>'Approval and Documentation'!C$4</f>
        <v>Private Banking International</v>
      </c>
      <c r="C16" s="235" t="str">
        <f>'Approval and Documentation'!C$6</f>
        <v>Private Banking International</v>
      </c>
      <c r="D16" s="235">
        <f>'14'!$C$1</f>
        <v>0</v>
      </c>
      <c r="E16" s="9">
        <v>14</v>
      </c>
      <c r="F16" s="235" t="str">
        <f>'14'!$C$2</f>
        <v>Market</v>
      </c>
      <c r="G16" s="235" t="str">
        <f>'14'!$C$3</f>
        <v>Interest rates</v>
      </c>
      <c r="H16" s="235" t="str">
        <f>'14'!$C$4</f>
        <v>Risk in interest rate spreads compressing negatively effecting the margins</v>
      </c>
      <c r="I16" s="235" t="str">
        <f>'14'!$A$12</f>
        <v xml:space="preserve">After further evaluation it was decided that market risk is not a material risk to BSI due to the structure of BSI balance sheet - the risk of lost revenue due to interest rates movements and credit spreads will be imbedded in the strategic risk. </v>
      </c>
      <c r="J16" s="235">
        <f>'14'!$C$5</f>
        <v>0</v>
      </c>
      <c r="K16" s="235">
        <f>'14'!$A$9</f>
        <v>0</v>
      </c>
      <c r="L16" s="235">
        <f>'14'!$C$6</f>
        <v>0</v>
      </c>
      <c r="M16" s="235">
        <f>'14'!$C$7</f>
        <v>0</v>
      </c>
      <c r="N16" s="235">
        <f>'14'!$B$10</f>
        <v>0</v>
      </c>
      <c r="O16" s="10"/>
    </row>
    <row r="17" spans="1:15" s="234" customFormat="1" ht="375" x14ac:dyDescent="0.25">
      <c r="A17" s="235"/>
      <c r="B17" s="235" t="str">
        <f>'Approval and Documentation'!C$4</f>
        <v>Private Banking International</v>
      </c>
      <c r="C17" s="235" t="str">
        <f>'Approval and Documentation'!C$6</f>
        <v>Private Banking International</v>
      </c>
      <c r="D17" s="235">
        <f>'15'!$C$1</f>
        <v>0</v>
      </c>
      <c r="E17" s="235">
        <v>15</v>
      </c>
      <c r="F17" s="235" t="str">
        <f>'15'!$C$2</f>
        <v>Liquidity</v>
      </c>
      <c r="G17" s="235" t="str">
        <f>'15'!$C$3</f>
        <v>Funding Liquidity - Diversification</v>
      </c>
      <c r="H17" s="235" t="str">
        <f>'15'!$C$4</f>
        <v>Risk of loss of the financial margin due to the shrinking balance sheet</v>
      </c>
      <c r="I17" s="235" t="str">
        <f>'15'!$A$12</f>
        <v>BSI has a limited access to wholesale funding, domestic markets (some institutional clients) and no access to domestic deposits. The funding source is concentrated to international client deposits/fiduciary deposits.  Risk is arising from having a deposit outflow -  due to the concentrated funding source and the limited access to other type of funding,  BSI would be forced to cut lending (our projected cash outflows) or offer more competitive deposit rates to maintain liquidity and this would lead to losing the margin. This could be triggered by economic deterioration in Spain followed by the downgrade at the Group level, as it could lead to loss of trust in BSI due to the parent company.
Current controls include monthly liquidity stress testing and the maintenance/reviews of the contingency  funding plan. 
The expected annual loss is $0 as the bank maintain a strong liquidity buffer ($2-3BN). 
In the stressed scenario the losses could be $5-$50. The assessment is based on our current liquidity stress testing. The most severe scenario assumes the combination of a Banco Santander S.A. downgrade  to junk along with high funding concentration would cause an overall larger drop in deposits and loans. This would lead to losing ~ $1.7BN in deposits (0.02% cost to margin 0.02% 0r ~$4mm) and $~$590MM loans (cost to margin 0.95% or $11.5MM), the total loss adding up to ~$15.4MM.</v>
      </c>
      <c r="J17" s="235" t="str">
        <f>'15'!$C$5</f>
        <v>Localized Economic Downturn (Specify Geography in risk description)</v>
      </c>
      <c r="K17" s="235" t="str">
        <f>'15'!$A$9</f>
        <v xml:space="preserve">Controls  include early liquidity warning indicators, limits, MVE and IRR stress test monthly, reviews in ALCO meetings; Liquidity Management policies and frameworks. Liquidity contingency plan that contemplates 3 levels of severity and escalation. </v>
      </c>
      <c r="L17" s="235">
        <f>'15'!$C$6</f>
        <v>0</v>
      </c>
      <c r="M17" s="235" t="str">
        <f>'15'!$C$7</f>
        <v>$5 M - $50 M</v>
      </c>
      <c r="N17" s="235" t="str">
        <f>'15'!$B$10</f>
        <v xml:space="preserve">The expected annual loss is $0 as the bank maintain a strong liquidity buffer ($2-3BN). 
In the stressed scenario the losses could be $5-$50. The assessment is based on our current liquidity stress testing. The most severe scenario assumes the combination of a Banco Santander S.A. downgrade  to junk along with high funding concentration would cause an overall larger drop in deposits and loans. This would lead to losing ~ $1.7BN in deposits (0.02% cost to margin 0.02% 0r ~$4mm) and $~$590MM loans (cost to margin 0.95% or $11.5MM), the total loss adding up to ~$15.4MM.
</v>
      </c>
      <c r="O17" s="10"/>
    </row>
    <row r="18" spans="1:15" s="234" customFormat="1" ht="270" x14ac:dyDescent="0.25">
      <c r="A18" s="235"/>
      <c r="B18" s="235" t="str">
        <f>'Approval and Documentation'!C$4</f>
        <v>Private Banking International</v>
      </c>
      <c r="C18" s="235" t="str">
        <f>'Approval and Documentation'!C$6</f>
        <v>Private Banking International</v>
      </c>
      <c r="D18" s="235">
        <f>'16'!$C$1</f>
        <v>0</v>
      </c>
      <c r="E18" s="9">
        <v>16</v>
      </c>
      <c r="F18" s="235" t="str">
        <f>'16'!$C$2</f>
        <v>Operational</v>
      </c>
      <c r="G18" s="235" t="str">
        <f>'16'!$C$3</f>
        <v>Clients, Products and Business Practices - Breach of Fiduciary Duties (Improper or inappropriate Investment Advice, Investment Representation, or sales practices)</v>
      </c>
      <c r="H18" s="235" t="str">
        <f>'16'!$C$4</f>
        <v xml:space="preserve">Breach of Fiduciary Duties </v>
      </c>
      <c r="I18" s="235" t="str">
        <f>'16'!$A$12</f>
        <v xml:space="preserve">As an alternative to diversify investment portfolios,  BSI maintains an "open architecture" of products.  Additionally, BSI recommends a variety of third party products and mutual funds according to clients investment needs and preferences. These investments are managed by a third party Mutual Funds and Corporate due diligences is performed periodically. The risk of losses could arise from accidental or intentional failure of following their own governing document  (Prospectus, marketing material, investment policies).
Controls include preventative and detective controls performed by Compliance with Investment Committee oversight.  
There is no history of such events at directed by BSI with the exception being the global fraud case related to a Single Manager Hedge Fund (Madoff).  Based on past events and the current exposure to one single fund ($200MM) the estimate of the largest stressed loss could be $5-50MM. 
</v>
      </c>
      <c r="J18" s="235">
        <f>'16'!$C$5</f>
        <v>0</v>
      </c>
      <c r="K18" s="235" t="str">
        <f>'16'!$A$9</f>
        <v xml:space="preserve">Preventative controls include strong approval procedures at a corporate and unit level. Detective controls include reviews of products &amp; exposures every 4 months from Compliance and monthly by Investment Committees, Oversight by applicable Committees and Internal Audit on a yearly basis. </v>
      </c>
      <c r="L18" s="235">
        <f>'16'!$C$6</f>
        <v>0</v>
      </c>
      <c r="M18" s="235" t="str">
        <f>'16'!$C$7</f>
        <v>$5 M - $50 M</v>
      </c>
      <c r="N18" s="235" t="str">
        <f>'16'!$B$10</f>
        <v>Baseline: Considering all controls where in place and appropriate documentation is done there would be no breach in our Fiduciary Responsibility. Currently do not include Hedge Funds in our catalog of recommended products.  Therefore the cost could arise from the lawsuits/attorney fees. 
Stressed impact: Based on previous experiences in the industry and the Bank we  estimate a loss of 20% of the overall market exposure with our largest volume Mutual Fund Manager. This loss scenario is considering the largest possible loss considering the Fund Manager that currently has the largest exposure in our clients portfolio ($200MM).</v>
      </c>
      <c r="O18" s="10"/>
    </row>
    <row r="19" spans="1:15" s="234" customFormat="1" ht="270" x14ac:dyDescent="0.25">
      <c r="A19" s="235"/>
      <c r="B19" s="235" t="str">
        <f>'Approval and Documentation'!C$4</f>
        <v>Private Banking International</v>
      </c>
      <c r="C19" s="235" t="str">
        <f>'Approval and Documentation'!C$6</f>
        <v>Private Banking International</v>
      </c>
      <c r="D19" s="235">
        <f>'17'!$C$1</f>
        <v>0</v>
      </c>
      <c r="E19" s="235">
        <v>17</v>
      </c>
      <c r="F19" s="235" t="str">
        <f>'17'!$C$2</f>
        <v>Operational</v>
      </c>
      <c r="G19" s="235" t="str">
        <f>'17'!$C$3</f>
        <v>Clients, Products and Business Practices - Inappropriate/Unsuitable product design</v>
      </c>
      <c r="H19" s="235" t="str">
        <f>'17'!$C$4</f>
        <v>Inappropriate/Unsuitable products -  Structure notes with no capital protection</v>
      </c>
      <c r="I19" s="235" t="str">
        <f>'17'!$A$12</f>
        <v xml:space="preserve">BSI designed products based on specific customer requests and ideas.  These products are mainly structured notes to UHNW clients and they invest large amount in this asset type, for instance,  20 clients have approximately $300MM invested. 
The risk of losses could arise from accidental breaches in the commercialization of Reverse Convertibles, Autocallables, and any other Complex Structure, (including fiduciary or suitability requirements). This Asset Type has been defined as Special Monitoring asset type and exposures are reviewed every 4 months. Controls also include oversight by committees and internal audit.
There are no history of such events at BSI. Based on external events (Santander Securities of Puerto Rico ) in the past, regulatory fines for deficiencies in the structured product business could be $1-$5MM.  In addition, due to the sensibility of the product and the type of client, any issue could lead to litigation and client reimbursement additional losses in the range of  $5-$50MM. </v>
      </c>
      <c r="J19" s="235">
        <f>'17'!$C$5</f>
        <v>0</v>
      </c>
      <c r="K19" s="235" t="str">
        <f>'17'!$A$9</f>
        <v>Preventative controls include strong approval procedures and continuing education &amp; training of personnel. Detective controls include reviews of products &amp; exposures every 4 months, Oversight by applicable Committees and Internal Audit on a yearly basis.</v>
      </c>
      <c r="L19" s="235">
        <f>'17'!$C$6</f>
        <v>0</v>
      </c>
      <c r="M19" s="235" t="str">
        <f>'17'!$C$7</f>
        <v>$5 M - $50 M</v>
      </c>
      <c r="N19" s="235" t="str">
        <f>'17'!$B$10</f>
        <v xml:space="preserve">There are no history of such events at BSI. Based on external events (Santander Securities of Puerto Rico ) in the past, regulatory fines for deficiencies in the structured product business could be $1-$5MM.  In addition, due to the sensibility of the product and the type of client, any issue could lead to litigation and client reimbursement additional losses in the range of  $5-$50MM. </v>
      </c>
      <c r="O19" s="10"/>
    </row>
    <row r="20" spans="1:15" s="234" customFormat="1" ht="375" x14ac:dyDescent="0.25">
      <c r="A20" s="235"/>
      <c r="B20" s="235" t="str">
        <f>'Approval and Documentation'!C$4</f>
        <v>Private Banking International</v>
      </c>
      <c r="C20" s="235" t="str">
        <f>'Approval and Documentation'!C$6</f>
        <v>Private Banking International</v>
      </c>
      <c r="D20" s="235">
        <f>'18'!$C$1</f>
        <v>0</v>
      </c>
      <c r="E20" s="9">
        <v>18</v>
      </c>
      <c r="F20" s="235" t="str">
        <f>'18'!$C$2</f>
        <v>Operational</v>
      </c>
      <c r="G20" s="235" t="str">
        <f>'18'!$C$3</f>
        <v>Damage to Physical Assets - Natural Disaster causes damage to Physical Assets</v>
      </c>
      <c r="H20" s="235" t="str">
        <f>'18'!$C$4</f>
        <v>Loss or damage to Physical Assets due to the Hurricane</v>
      </c>
      <c r="I20" s="235" t="str">
        <f>'18'!$A$12</f>
        <v xml:space="preserve">BSI resides in a rented office space from the Group company that owns the building.  BSI is in the process of purchasing the building from the Group.  BSI does own the furniture and equipment. There are currently insurance policies in place. However, the risk of loss is arising  in the case of the total loss/damage to the assets and the insurance coverage not being sufficient to cover the replacement cost, especially after the on-going renovations ( BSI is in the process updating its physical inventory).
Current controls include a detailed and tested Business Continuity Plan (BCP) and the insurance policy. 
The expected annual loss is $0MM as currently there is no provision booked for operational losses due to damage to physical assets. Based on operations loss history 2008-2014 there were no annual  losses exceeding $1MM for damage to physical assets.
The potential stressed scenario could be losing the building completely in the case of major hurricane with all the furniture and equipment's and having to rebuild.  The loss estimate would be the insurance coverage gap - the difference between the market value of the assets and the insurance payout. Based on recent renovation cost  (~ $2MM per floor)  and the insurance policy can cover up to $23.2MM (Miami Office Only). Potentially we might have a gap of $1-5MM.
</v>
      </c>
      <c r="J20" s="235">
        <f>'18'!$C$5</f>
        <v>0</v>
      </c>
      <c r="K20" s="235" t="str">
        <f>'18'!$A$9</f>
        <v>Preventative Controls and mitigation include Business Continuity Plan and Insurance Policies. BSI is in the process updating its physical inventory.</v>
      </c>
      <c r="L20" s="235">
        <f>'18'!$C$6</f>
        <v>0</v>
      </c>
      <c r="M20" s="235" t="str">
        <f>'18'!$C$7</f>
        <v>$1 - $5 M</v>
      </c>
      <c r="N20" s="235" t="str">
        <f>'18'!$B$10</f>
        <v>The expected annual loss is $0MM. Based on operations loss history 2009-2014 there were no annual  losses exceeding $1MM for damage to physical assets.
The potential stressed scenario could be losing the building completely in the case of major hurricane with all the furniture and equipment's and having to rebuild.  The loss estimate would be the insurance coverage gap - the difference between the market value of the assets and the insurance payout. Based on recent renovation cost  (~ $2MM per floor) the insurance policy can cover up to $23.2MM (Miami Office Only). Potentially BSI might have a gap of $1-5MM.</v>
      </c>
      <c r="O20" s="10"/>
    </row>
    <row r="21" spans="1:15" s="234" customFormat="1" ht="315" x14ac:dyDescent="0.25">
      <c r="A21" s="235"/>
      <c r="B21" s="235" t="str">
        <f>'Approval and Documentation'!C$4</f>
        <v>Private Banking International</v>
      </c>
      <c r="C21" s="235" t="str">
        <f>'Approval and Documentation'!C$6</f>
        <v>Private Banking International</v>
      </c>
      <c r="D21" s="235">
        <f>'19'!$C$1</f>
        <v>0</v>
      </c>
      <c r="E21" s="235">
        <v>19</v>
      </c>
      <c r="F21" s="235" t="str">
        <f>'19'!$C$2</f>
        <v>Operational</v>
      </c>
      <c r="G21" s="235" t="str">
        <f>'19'!$C$3</f>
        <v>Execution, Delivery and Process Management - Transaction Capture and Input Errors</v>
      </c>
      <c r="H21" s="235" t="str">
        <f>'19'!$C$4</f>
        <v>Errors in trading and wire transfers</v>
      </c>
      <c r="I21" s="235" t="str">
        <f>'19'!$A$12</f>
        <v>BSI performs trading and wire transfers with average daily ~720 wire transactions, average  $244K per transfer. Manual or systems errors could happen when processing the transactions. The risk of losses is arising mainly due to the nature of BSI private banking transactions  where large dollar wire transfer and investment trades are involved.   
Controls include: associate training, dual validation, trading limits, management reviews , escalation process for large transfers. 
The expected annual loss for trade/wire transfer errors is $0MM, there are no past operational loss events larger than $1MM annual losses ( operational loss history 2009-2014).
In the stress scenario case an error in a larger transaction or few smaller instances could potentially bring $1-$5MM losses.  The estimate is based assuming few smaller events happen during the year. The operational loss history shows and average loss $230K per year related to Execution, Delivery, and Process Management. Also,  based on BSI daily transaction volume - average ~258 daily transfers  and dollar amount per wire transfer  ($244K). Also, loss events at affiliated entitles were taken into account as an example.</v>
      </c>
      <c r="J21" s="235">
        <f>'19'!$C$5</f>
        <v>0</v>
      </c>
      <c r="K21" s="235" t="str">
        <f>'19'!$A$9</f>
        <v xml:space="preserve">Controls include: associate training, dual validation, trading limits, management reviews , escalation process for large transfers. </v>
      </c>
      <c r="L21" s="235">
        <f>'19'!$C$6</f>
        <v>0</v>
      </c>
      <c r="M21" s="235" t="str">
        <f>'19'!$C$7</f>
        <v>$1 - $5 M</v>
      </c>
      <c r="N21" s="235" t="str">
        <f>'19'!$B$10</f>
        <v>The expected annual loss for trade/wire transfer errors is $0MM, there are no past operational loss events larger than $1MM annual losses ( operational loss history 2009-2014).
In the stress scenario case an error in a larger transaction or few smaller instances could potentially bring $1-$5MM losses.  The estimate is based assuming few smaller events happen during the year. The operational loss history shows and average loss $230K per year related to Execution, Delivery, and Process Management. Also,  based on BSI daily transaction volume - average ~258 daily transfers  and dollar amount per wire transfer  ($244K). Also, loss events at affiliated entitles were taken into account as an example.</v>
      </c>
      <c r="O21" s="10"/>
    </row>
    <row r="22" spans="1:15" s="234" customFormat="1" ht="375" x14ac:dyDescent="0.25">
      <c r="A22" s="235"/>
      <c r="B22" s="235" t="str">
        <f>'Approval and Documentation'!C$4</f>
        <v>Private Banking International</v>
      </c>
      <c r="C22" s="235" t="str">
        <f>'Approval and Documentation'!C$6</f>
        <v>Private Banking International</v>
      </c>
      <c r="D22" s="235">
        <f>'20'!$C$1</f>
        <v>0</v>
      </c>
      <c r="E22" s="9">
        <v>20</v>
      </c>
      <c r="F22" s="235" t="str">
        <f>'20'!$C$2</f>
        <v>Operational</v>
      </c>
      <c r="G22" s="235" t="str">
        <f>'20'!$C$3</f>
        <v>Internal Fraud - Unauthorized Trading Activity</v>
      </c>
      <c r="H22" s="235" t="str">
        <f>'20'!$C$4</f>
        <v xml:space="preserve">Unauthorized trades or transactions </v>
      </c>
      <c r="I22" s="235" t="str">
        <f>'20'!$A$12</f>
        <v xml:space="preserve"> The level of trust involved in the client-banker relationship and large transactions (avg. $244K per transfer) make it very susceptible to fraud. Internal fraud can occur when bankers are making unauthorized transactions or traders are making unauthorized trades with the purpose to benefit (embezzlement of client money, manipulating dormant accounts) or to cover up a mistake, especially in a discretionary portfolios.  Unauthorized treasury trades on the bank's book can also occur and lead to losses before the activity is noticed by the back office. The losses from unauthorized trades could be a compensation to the client or trading losses in unhedged positions. 
Current controls include trading limits, transaction reviews and approvals. 
The estimated annual loss is $0 as BSI has strong controls in place and there is no history of such operational loss events exceeding $1MM annually (Operational loss data history 2009-2014).
In the stressed scenario internal fraud transactions could lead to $5-$50MM losses. The estimate is based considering single trader limits for capital markets/mutual funds ($30-$50MM) or a treasury trade scenario where the FX/Derivatives trade could be a very  large position and with market volatility could lead to $5-$50MM losses before it gets noticed by the back office. </v>
      </c>
      <c r="J22" s="235">
        <f>'20'!$C$5</f>
        <v>0</v>
      </c>
      <c r="K22" s="235" t="str">
        <f>'20'!$A$9</f>
        <v xml:space="preserve">Current controls include trading limits, transaction reviews by the back office and approvals. Errors show on clients account and help to detect any unauthorized activity; Associate Training; </v>
      </c>
      <c r="L22" s="235">
        <f>'20'!$C$6</f>
        <v>0</v>
      </c>
      <c r="M22" s="235" t="str">
        <f>'20'!$C$7</f>
        <v>$5 M - $50 M</v>
      </c>
      <c r="N22" s="235" t="str">
        <f>'20'!$B$10</f>
        <v xml:space="preserve">The estimated annual loss is $0 as BSI has strong controls in place and there is no history of such operational loss events exceeding $1MM annually (Operational loss data history 2009-2014).
In the stressed scenario internal fraud transactions could lead to $5-$50MM losses. The estimate is based considering single trader limits for capital markets/mutual funds ($30-$50MM) or a treasury trade scenario where the FX/Derivatives trade could be a very  large position and with market volatility could lead to $5-$50MM losses before it gets noticed by the back office. </v>
      </c>
      <c r="O22" s="10"/>
    </row>
    <row r="23" spans="1:15" s="234" customFormat="1" ht="360" x14ac:dyDescent="0.25">
      <c r="A23" s="235"/>
      <c r="B23" s="235" t="str">
        <f>'Approval and Documentation'!C$4</f>
        <v>Private Banking International</v>
      </c>
      <c r="C23" s="235" t="str">
        <f>'Approval and Documentation'!C$6</f>
        <v>Private Banking International</v>
      </c>
      <c r="D23" s="235">
        <f>'21'!$C$1</f>
        <v>0</v>
      </c>
      <c r="E23" s="9">
        <v>21</v>
      </c>
      <c r="F23" s="235" t="str">
        <f>'21'!$C$2</f>
        <v>Operational</v>
      </c>
      <c r="G23" s="235" t="str">
        <f>'21'!$C$3</f>
        <v>Internal Fraud - Bribery &amp; Corruption</v>
      </c>
      <c r="H23" s="235" t="str">
        <f>'21'!$C$4</f>
        <v>Bribery &amp; Corruption</v>
      </c>
      <c r="I23" s="235" t="str">
        <f>'21'!$A$12</f>
        <v>The risk of bribery &amp; corruption is arising due to BSI international business nature - large transactions with clients  identified as having high foreign corruption index rates, including high ranking public officials. BSI is  exposed to jurisdictions considered to be of high risk for money laundering crimes, as categorized in various reputable publications, such as the Transparency International Corruption Perception Index (CPI). The loss could arise from frozen client accounts,  fines, litigation expense and loss of  clients.  
OFAC due diligence programs are designed to detect and report money laundering and terrorist financing and the existence of the proceeds of foreign corruption.
The expected annual loss is $0MM. BSI has  effective controls and no history of such events.
In the stressed scenario if BSI finds itself associated with bribery &amp; corruption case the losses could be $1-5MM based on the transaction volume amounts with high-risk countries (~29% of total annual transactions), transaction volume(~258 daily transfers) and the average of $240K per wire transfer, average daily trades 3,689, events at other Santander entities and other peer banks. Per OFAC Risk 2014 Assessment there were 8 SARs filed related to negative media (foreign corruption). The loss asse</v>
      </c>
      <c r="J23" s="235">
        <f>'21'!$C$5</f>
        <v>0</v>
      </c>
      <c r="K23" s="235" t="str">
        <f>'21'!$A$9</f>
        <v>The controls include associate training and third party OFAC screening, SAR reports,  OFAC due diligence programs are designed to detect and report money laundering and terrorist financing and the existence of the proceeds of foreign corruption.</v>
      </c>
      <c r="L23" s="235">
        <f>'21'!$C$6</f>
        <v>0</v>
      </c>
      <c r="M23" s="235" t="str">
        <f>'21'!$C$7</f>
        <v>$1 - $5 M</v>
      </c>
      <c r="N23" s="235" t="str">
        <f>'21'!$B$10</f>
        <v>The expected annual loss is $0MM. BSI has  effective controls and no history of such events.
In the stressed scenario if BSI finds itself associated with bribery &amp; corruption case the losses could be $1-5MM based on the transaction volume amounts with high-risk countries (~29% of total annual transactions), transaction volume(~258 daily transfers) and the average of $240K per wire transfer, average daily trades 3,689, events at other Santander entities and other peer banks. Per OFAC Risk 2014 Assessment there were 8 SARs filed related to negative media (foreign corruption). The loss assessment considers strong controls and mitigants.</v>
      </c>
      <c r="O23" s="10"/>
    </row>
    <row r="24" spans="1:15" s="234" customFormat="1" ht="330" x14ac:dyDescent="0.25">
      <c r="A24" s="235"/>
      <c r="B24" s="235" t="str">
        <f>'Approval and Documentation'!C$4</f>
        <v>Private Banking International</v>
      </c>
      <c r="C24" s="235" t="str">
        <f>'Approval and Documentation'!C$6</f>
        <v>Private Banking International</v>
      </c>
      <c r="D24" s="235">
        <f>'22'!$C$1</f>
        <v>0</v>
      </c>
      <c r="E24" s="9">
        <v>22</v>
      </c>
      <c r="F24" s="235" t="str">
        <f>'22'!$C$2</f>
        <v>Operational</v>
      </c>
      <c r="G24" s="235" t="str">
        <f>'22'!$C$3</f>
        <v>External Fraud - External Misrepresentation or Deception</v>
      </c>
      <c r="H24" s="235" t="str">
        <f>'22'!$C$4</f>
        <v>Third party misrepresentation or Deception</v>
      </c>
      <c r="I24" s="235" t="str">
        <f>'22'!$A$12</f>
        <v xml:space="preserve">Private banking clients are wealthy individuals with large cash balances in their accounts that often makes them a desirable target for external fraud. The risk is arising from referral agents or any third party that could have knowledge of the client's account info. A third party that has an advisory/ asset management or discretion management over the account for the client e.g. custody agreements, could commit identity theft or other type of deception to steal the client's money. The loss for the bank is potentially having to reimburse the client. 
Current controls in place include associate training, compliances reviews of the third party contracts that also have to pass OFAC filter. 
Annual expected loss is $0MM, no Hisitory of material events. 
In a stress scenario the losses could amount to $5-$50MM  based on client account large cash balances, average daily transfers (258) and largest top 10 transfers being $10MM-$30MM, as well as external fraud attempts that were prevented by BSI controls. In 2014 BSI filed 25 SARs related to wire transfer fraud attempts.  Assessment is based considering few smaller instances per year. OFAC 2014 Annual Assessment, Operational Loss history was used for the loss assessment. </v>
      </c>
      <c r="J24" s="235">
        <f>'22'!$C$5</f>
        <v>0</v>
      </c>
      <c r="K24" s="235" t="str">
        <f>'22'!$A$9</f>
        <v>Controls include IT Security Controls and Assessments,  Client Identity verification process, Client Documentation Updates Log and reviews, Compliance reviews, OFAC filter for the third party contracts, SAR reports, Vendor management process and assessment.</v>
      </c>
      <c r="L24" s="235">
        <f>'22'!$C$6</f>
        <v>0</v>
      </c>
      <c r="M24" s="235" t="str">
        <f>'22'!$C$7</f>
        <v>$5 M - $50 M</v>
      </c>
      <c r="N24" s="235" t="str">
        <f>'22'!$B$10</f>
        <v xml:space="preserve">Annual expected loss is $0MM
In a stress scenario the losses could amount to $5-$50MM  based on client account large cash balances, average daily transfers (258) and largest top 10 transfers being $10MM-$30MM, as well as external fraud attempts that were prevented by BSI controls. In 2014 BSI filed 25 SARs related to wire transfer fraud attempts.  Assessment is based considering few smaller instances per year. OFAC 2014 Annual Assessment, Operational Loss history was used for the loss assessment. </v>
      </c>
      <c r="O24" s="10"/>
    </row>
    <row r="25" spans="1:15" s="234" customFormat="1" ht="409.5" x14ac:dyDescent="0.25">
      <c r="A25" s="235"/>
      <c r="B25" s="235" t="str">
        <f>'Approval and Documentation'!C$4</f>
        <v>Private Banking International</v>
      </c>
      <c r="C25" s="235" t="str">
        <f>'Approval and Documentation'!C$6</f>
        <v>Private Banking International</v>
      </c>
      <c r="D25" s="235">
        <f>'23'!$C$1</f>
        <v>0</v>
      </c>
      <c r="E25" s="9">
        <v>23</v>
      </c>
      <c r="F25" s="235" t="str">
        <f>'23'!$C$2</f>
        <v>Compliance</v>
      </c>
      <c r="G25" s="235" t="str">
        <f>'23'!$C$3</f>
        <v>BSA/AML/OFAC - Geography (Customers and Geography)</v>
      </c>
      <c r="H25" s="235" t="str">
        <f>'23'!$C$4</f>
        <v>BSA, AML and OFAC non-compliance due with regards to Customer Type, Geography &amp; Transactions.</v>
      </c>
      <c r="I25" s="235" t="str">
        <f>'23'!$A$12</f>
        <v>Given BSI  international business nature, the risk of loss ir arising  from insufficient due diligence and transaction monitoring that could potentially open the door for a undesired customer from a sanctioned country to have an account at the bank conducting AML related activies (the sub-risks of Customer Type, Geography and Products Channels are combined). This could be driven by lack of resources/technology to properly monitor customers. T BSI conducts and annual BSA/AML/OFAC Risk Assessment to document all potential risks and mitigating controls.
Controls include AML/OFAC monitoring processes in accordance to the banks BSA/AML policies and procedures, Compliance &amp; Audit Committees,  the Internal Audit program and  the AML/OFAC oversight program conducted by the Federal Reserve Bank of Atlanta.
Based on the overall elevated level of inherent risk, BSI has implemented a comprehensive BSA/AML Compliance Program containing strong compensating controls that encompass appropriate risk-focused policies, procedures, and processes associated with the bank’s customers, products, services, and geographic locations. The strength and effectiveness of these mitigating controls provide for a moderate BSA/AML/TF/OFAC overall or residual risk rating for BSI.
Annual expected loss is $0.  There are no history of such events at BSI  (Annual BSA/ AML/ OFAC Risk Assessments)
Stressed scenario: The  highest impact in a 10 year period could be a BSA/AML related fine issued by the US government/regulators. Based on external events and several of the fines that have been issued relating to AML/OFAC were to institutions who knowingly conducted illegal activities (JP Morgan case in 2011 with $88MM fin), taking this into consideration we feel that BSI would be subject to a lower worse case scenario fine $5-$50MM  due to its smaller size and strict controls and excellent track record.</v>
      </c>
      <c r="J25" s="235">
        <f>'23'!$C$5</f>
        <v>0</v>
      </c>
      <c r="K25" s="235" t="str">
        <f>'23'!$A$9</f>
        <v>Controls include AML/OFAC monitoring processes in accordance to the banks BSA/AML policies and procedures, Compliance &amp; Audit Committees,  the Internal Audit program and  the AML/OFAC oversight program conducted by the Federal Reserve Bank of Atlanta.
Based on the overall elevated level of inherent risk, BSI has implemented a comprehensive BSA/AML Compliance Program containing strong compensating controls that encompass appropriate risk-focused policies, procedures, and processes associated with the bank’s customers, products, services, and geographic locations. The strength and effectiveness of these mitigating controls provide for a moderate BSA/AML/TF/OFAC overall or residual risk rating for BSI.</v>
      </c>
      <c r="L25" s="235">
        <f>'23'!$C$6</f>
        <v>0</v>
      </c>
      <c r="M25" s="235" t="str">
        <f>'23'!$C$7</f>
        <v>$5 M - $50 M</v>
      </c>
      <c r="N25" s="235" t="str">
        <f>'23'!$B$10</f>
        <v>Annual expected loss is $0.  There are no history of such events at BSI  (Annual BSA/ AML/ OFAC Risk Assessments)
Stressed scenario: The  highest impact in a 10 year period could be a BSA/AML related fine issued by the US government/regulators. Based on external events and several of the fines that have been issued relating to AML/OFAC were to institutions who knowingly conducted illegal activities (JP Morgan case in 2011 with $88MM fine), taking this into consideration we feel that BSI would be subject to a lower worse case scenario fine $5-$50MM  due to its smaller size and strict controls and excellent track record.</v>
      </c>
      <c r="O25" s="10"/>
    </row>
    <row r="26" spans="1:15" s="234" customFormat="1" ht="315" x14ac:dyDescent="0.25">
      <c r="A26" s="235"/>
      <c r="B26" s="235" t="str">
        <f>'Approval and Documentation'!C$4</f>
        <v>Private Banking International</v>
      </c>
      <c r="C26" s="235" t="str">
        <f>'Approval and Documentation'!C$6</f>
        <v>Private Banking International</v>
      </c>
      <c r="D26" s="235">
        <f>'24'!$C$1</f>
        <v>0</v>
      </c>
      <c r="E26" s="9">
        <v>24</v>
      </c>
      <c r="F26" s="235" t="str">
        <f>'24'!$C$2</f>
        <v>Compliance</v>
      </c>
      <c r="G26" s="235" t="str">
        <f>'24'!$C$3</f>
        <v>Regulatory Programs - Emerging regulatory requirements</v>
      </c>
      <c r="H26" s="235" t="str">
        <f>'24'!$C$4</f>
        <v>Failing to implement  emerging regulatory requirements</v>
      </c>
      <c r="I26" s="235" t="str">
        <f>'24'!$A$12</f>
        <v xml:space="preserve"> The risk is arising from failing to act on a new regulation that affects the products and services offered at BSI.  A failure to property and timely implement new regulator requirements (e.g. current emerging rules like Volcker Rule, FATCA ) and having a non-compliance status could lead to various regulator recommendations and ultimately regulatory fines. The loss could arise from additional expense  to satisfy regulator recommendations, regulator fines  as well as loss of revenue due to restrictions on certain products or services. 
BSI has a strong regulatory compliance framework that includes a regulatory risk assessment, a regulatory monitoring/testing programs which reviews all applicable  non-BSA regulations. The controls for new emerging regulations involve assessment at different layers: at BSI or SHUSA level. 
The expected annual loss is $0MM, no history of such events at BSI. 
In the stressed scenario the loss could be $1-$5MM. The estimates is based on the cost to implement regulator recommendations for BSI size entity (e.g.  FATCA ), external sources - fines for the similar size entities or potential restrictions on BSI products and services.</v>
      </c>
      <c r="J26" s="235">
        <f>'24'!$C$5</f>
        <v>0</v>
      </c>
      <c r="K26" s="235" t="str">
        <f>'24'!$A$9</f>
        <v>BSI has a regulatory compliance framework that includes a regulatory risk assessment, a regulatory monitoring/testing programs which reviews all applicable  non-BSA regulations.  The frequency of these test are based on the residual risk assigned to each regulation.  The results of the monitoring are presented to the Compliance Committee which is then escalated to the current Audit and Risk Committee of the Board of Directors.</v>
      </c>
      <c r="L26" s="235">
        <f>'24'!$C$6</f>
        <v>0</v>
      </c>
      <c r="M26" s="235" t="str">
        <f>'24'!$C$7</f>
        <v>$1 - $5 M</v>
      </c>
      <c r="N26" s="235" t="str">
        <f>'24'!$B$10</f>
        <v>The expected annual loss is $0MM, no history of such events at BSI. 
In the stressed scenario the loss could be $1-$5MM. The estimates is based on the cost to implement regulator recommendations for BSI size entity (FATCA cost), external sources - fines for the similar size entities or potential restrictions on BSI products and services.</v>
      </c>
      <c r="O26" s="10"/>
    </row>
    <row r="27" spans="1:15" s="234" customFormat="1" ht="375" x14ac:dyDescent="0.25">
      <c r="A27" s="235"/>
      <c r="B27" s="235" t="str">
        <f>'Approval and Documentation'!C$4</f>
        <v>Private Banking International</v>
      </c>
      <c r="C27" s="235" t="str">
        <f>'Approval and Documentation'!C$6</f>
        <v>Private Banking International</v>
      </c>
      <c r="D27" s="235">
        <f>'25'!$C$1</f>
        <v>0</v>
      </c>
      <c r="E27" s="9">
        <v>25</v>
      </c>
      <c r="F27" s="235" t="str">
        <f>'25'!$C$2</f>
        <v>Compliance</v>
      </c>
      <c r="G27" s="235" t="str">
        <f>'25'!$C$3</f>
        <v>Regulatory Compliance - Securities &amp; Insurance and Other Financial Services Laws/Regulations</v>
      </c>
      <c r="H27" s="235" t="str">
        <f>'25'!$C$4</f>
        <v>Failing to maintain current regulatory compliance (Regulation S exemption)</v>
      </c>
      <c r="I27" s="235" t="str">
        <f>'25'!$A$12</f>
        <v xml:space="preserve">Risk of non-compliance and properly executing the current regulatory requirements that affect the products and services offered at BSI.  BSI currently  utilizes the Trust and Fiduciary Activities exception from the definition of “broker" under Regulation R as long as the "exemption revenue is above the 70% of the total compensation for all securities activities regulatory limit".  Risk of non-compliance with the exception of the "broker" definition included in Regulation R would imply that BSI would have to "push-out" this type of activity to a broker-dealer and the lose the revenue from this activity. Incorrect sales practice would trigger non-compliance with the regulatory limit.
There are controls (quarterly monitoring) in place to monitor the limit and types of transactions included in this calculation and the escalation process to address the exemption revenue approaching the limits.
The expected annual loss is $0 and BSI has been successfully maintaining the exception (Reg R monitoring reports 2010-2014). 
In the stress scenario, the potential revenue lost due to using the broker - dealer could be $5-$50MM. The estimate is based on the 2013 and  2014 Reg R monitoring assessments: annual revenue from securities activities (transactional fees) is $20-$30MM.  In the stressed scenario BSI would lose this revenue. </v>
      </c>
      <c r="J27" s="235">
        <f>'25'!$C$5</f>
        <v>0</v>
      </c>
      <c r="K27" s="235" t="str">
        <f>'25'!$A$9</f>
        <v xml:space="preserve">The controls include quarterly  reviews  to monitor the exemption revenue (types of transactions included) to maintain the ratio above the regulatory  threshold and the escalation process to address the exemption revenue approaching the limits.
</v>
      </c>
      <c r="L27" s="235">
        <f>'25'!$C$6</f>
        <v>0</v>
      </c>
      <c r="M27" s="235" t="str">
        <f>'25'!$C$7</f>
        <v>$5 M - $50 M</v>
      </c>
      <c r="N27" s="235" t="str">
        <f>'25'!$B$10</f>
        <v xml:space="preserve">The expected annual loss is $0 and BSI has been successfully maintaining the exception. 
In the stress scenario, the potential revenue lost due to using broker - dealer could be  $5-$50MM. The estimate is based on the 2013 and  2014 Reg R monitoring assessments. The annual transactional revenue from securities activities is $20-$30MM.  In the stressed scenario BSI would push put the activity to the broker-dealer and lose this revenue. </v>
      </c>
      <c r="O27" s="10"/>
    </row>
    <row r="28" spans="1:15" s="234" customFormat="1" ht="270" x14ac:dyDescent="0.25">
      <c r="A28" s="235"/>
      <c r="B28" s="235" t="str">
        <f>'Approval and Documentation'!C$4</f>
        <v>Private Banking International</v>
      </c>
      <c r="C28" s="235" t="str">
        <f>'Approval and Documentation'!C$6</f>
        <v>Private Banking International</v>
      </c>
      <c r="D28" s="235">
        <f>'26'!$C$1</f>
        <v>0</v>
      </c>
      <c r="E28" s="9">
        <v>26</v>
      </c>
      <c r="F28" s="235" t="str">
        <f>'26'!$C$2</f>
        <v>Model</v>
      </c>
      <c r="G28" s="235" t="str">
        <f>'26'!$C$3</f>
        <v>Misuse</v>
      </c>
      <c r="H28" s="235" t="str">
        <f>'26'!$C$4</f>
        <v xml:space="preserve">Risk of inadequately trained personnel and model misuse </v>
      </c>
      <c r="I28" s="235" t="str">
        <f>'26'!$A$12</f>
        <v xml:space="preserve">Majority of the models currently used at BSI were developed by the parent company and assumption creation is out of BSI control. However the risk at BSI is arising from having inadequately trained personnel and misuse of the models. The most sensitive model at BSI that could lead to material potential losses is the secured lending model. Misusing the model could lead to miscalculating the underlying collateral for the lending value an breaching the internal as well as regulator set LTV limits for securities-based lending.
BSI controls include model control and validation: U.S. Market Risk Model Control for ALM and Liquidity Models and Head Office validation and quarterly reviews of the LV Secured Lending model annual assessment of corporate assumptions, BSI annual assessment of BSA/AML/OFAC scoring model, personnel training.
The assessment was done considering the secured lending model policy and taking into account  the average loan amount ( ~$800K) and annual loan volume ~$2BN. </v>
      </c>
      <c r="J28" s="235">
        <f>'26'!$C$5</f>
        <v>0</v>
      </c>
      <c r="K28" s="235" t="str">
        <f>'26'!$A$9</f>
        <v>BSI controls include model control and validation: U.S. Market Risk Model Control for ALM and Liquidity Models and Head Office validation and quarterly reviews of the LV Secured Lending model annual assessment of corporate assumptions, BSI annual assessment of BSA/AML/OFAC scoring model, personnel training.</v>
      </c>
      <c r="L28" s="235">
        <f>'26'!$C$6</f>
        <v>0</v>
      </c>
      <c r="M28" s="235" t="str">
        <f>'26'!$C$7</f>
        <v>$1 - $5 M</v>
      </c>
      <c r="N28" s="235" t="str">
        <f>'26'!$B$10</f>
        <v xml:space="preserve">The annual expected loss from model misuse is expected at $0MM: no history of material events at BSI, key model personnel turnover is minimal.
In the stressed scenario if some controls do not work and the model is misused in granting loans the potential loss could be $1-$5MM. The assessment was done considering the secured lending model policy and taking into account  the average loan amount ( ~$800K) and annual loan volume ~$2BN. </v>
      </c>
      <c r="O28" s="10"/>
    </row>
    <row r="29" spans="1:15" x14ac:dyDescent="0.25">
      <c r="A29" s="7"/>
      <c r="B29" s="7" t="str">
        <f>'Approval and Documentation'!C$4</f>
        <v>Private Banking International</v>
      </c>
      <c r="C29" s="7" t="str">
        <f>'Approval and Documentation'!C$6</f>
        <v>Private Banking International</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t="str">
        <f>'Approval and Documentation'!C$4</f>
        <v>Private Banking International</v>
      </c>
      <c r="C30" s="7" t="str">
        <f>'Approval and Documentation'!C$6</f>
        <v>Private Banking International</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t="str">
        <f>'Approval and Documentation'!C$4</f>
        <v>Private Banking International</v>
      </c>
      <c r="C31" s="7" t="str">
        <f>'Approval and Documentation'!C$6</f>
        <v>Private Banking International</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t="str">
        <f>'Approval and Documentation'!C$4</f>
        <v>Private Banking International</v>
      </c>
      <c r="C32" s="7" t="str">
        <f>'Approval and Documentation'!C$6</f>
        <v>Private Banking International</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t="str">
        <f>'Approval and Documentation'!C$4</f>
        <v>Private Banking International</v>
      </c>
      <c r="C33" s="7" t="str">
        <f>'Approval and Documentation'!C$6</f>
        <v>Private Banking International</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t="str">
        <f>'Approval and Documentation'!C$4</f>
        <v>Private Banking International</v>
      </c>
      <c r="C34" s="7" t="str">
        <f>'Approval and Documentation'!C$6</f>
        <v>Private Banking International</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t="str">
        <f>'Approval and Documentation'!C$4</f>
        <v>Private Banking International</v>
      </c>
      <c r="C35" s="7" t="str">
        <f>'Approval and Documentation'!C$6</f>
        <v>Private Banking International</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t="str">
        <f>'Approval and Documentation'!C$4</f>
        <v>Private Banking International</v>
      </c>
      <c r="C36" s="7" t="str">
        <f>'Approval and Documentation'!C$6</f>
        <v>Private Banking International</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t="str">
        <f>'Approval and Documentation'!C$4</f>
        <v>Private Banking International</v>
      </c>
      <c r="C37" s="7" t="str">
        <f>'Approval and Documentation'!C$6</f>
        <v>Private Banking International</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t="str">
        <f>'Approval and Documentation'!C$4</f>
        <v>Private Banking International</v>
      </c>
      <c r="C38" s="7" t="str">
        <f>'Approval and Documentation'!C$6</f>
        <v>Private Banking International</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t="str">
        <f>'Approval and Documentation'!C$4</f>
        <v>Private Banking International</v>
      </c>
      <c r="C39" s="7" t="str">
        <f>'Approval and Documentation'!C$6</f>
        <v>Private Banking International</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t="str">
        <f>'Approval and Documentation'!C$4</f>
        <v>Private Banking International</v>
      </c>
      <c r="C40" s="7" t="str">
        <f>'Approval and Documentation'!C$6</f>
        <v>Private Banking International</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t="str">
        <f>'Approval and Documentation'!C$4</f>
        <v>Private Banking International</v>
      </c>
      <c r="C41" s="7" t="str">
        <f>'Approval and Documentation'!C$6</f>
        <v>Private Banking International</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t="str">
        <f>'Approval and Documentation'!C$4</f>
        <v>Private Banking International</v>
      </c>
      <c r="C42" s="7" t="str">
        <f>'Approval and Documentation'!C$6</f>
        <v>Private Banking International</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5"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pageSetUpPr fitToPage="1"/>
  </sheetPr>
  <dimension ref="A1:AA12"/>
  <sheetViews>
    <sheetView view="pageLayout" topLeftCell="A4"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561</v>
      </c>
      <c r="B1" s="161"/>
      <c r="C1" s="73"/>
      <c r="Q1" s="81"/>
      <c r="R1" s="81"/>
      <c r="AA1" s="39" t="str">
        <f>C2</f>
        <v xml:space="preserve">Strategic </v>
      </c>
    </row>
    <row r="2" spans="1:27" ht="30.75" customHeight="1" thickBot="1" x14ac:dyDescent="0.3">
      <c r="A2" s="201" t="s">
        <v>255</v>
      </c>
      <c r="B2" s="202"/>
      <c r="C2" s="90" t="s">
        <v>20</v>
      </c>
      <c r="R2" s="42" t="str">
        <f t="shared" ref="R2:R7" si="0">A2</f>
        <v>Risk Type  - The Risk Type from the SHUSA ERM Risk Taxonomy</v>
      </c>
    </row>
    <row r="3" spans="1:27" ht="24" customHeight="1" thickBot="1" x14ac:dyDescent="0.3">
      <c r="A3" s="203" t="s">
        <v>251</v>
      </c>
      <c r="B3" s="161"/>
      <c r="C3" s="70" t="s">
        <v>206</v>
      </c>
      <c r="R3" s="42" t="str">
        <f t="shared" si="0"/>
        <v>Risk Sub Type  - The Risk Sub-Category from the SHUSA ERM Risk Taxonomy</v>
      </c>
    </row>
    <row r="4" spans="1:27" ht="31.5" customHeight="1" thickBot="1" x14ac:dyDescent="0.3">
      <c r="A4" s="203" t="s">
        <v>252</v>
      </c>
      <c r="B4" s="161"/>
      <c r="C4" s="73" t="s">
        <v>532</v>
      </c>
      <c r="R4" s="42" t="str">
        <f t="shared" si="0"/>
        <v>Risk Name - The name of the risk which helps define it and differentiate it from other risks in other Business Lines with a similar Risk Category</v>
      </c>
    </row>
    <row r="5" spans="1:27" ht="39" customHeight="1" thickBot="1" x14ac:dyDescent="0.3">
      <c r="A5" s="203" t="s">
        <v>523</v>
      </c>
      <c r="B5" s="161"/>
      <c r="C5" s="71"/>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07" t="s">
        <v>526</v>
      </c>
      <c r="B7" s="202"/>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8.25" customHeight="1" thickBot="1" x14ac:dyDescent="0.3">
      <c r="A9" s="211" t="s">
        <v>644</v>
      </c>
      <c r="B9" s="212"/>
      <c r="C9" s="213"/>
      <c r="Q9" s="38" t="str">
        <f>A9</f>
        <v>Controls for external factors affecting BSI are limited but BSI has strong monitoring and mitigation processes: Strategic planning process  with consideration to the economic environment, monitoring risky countries through BSA/ AML/ OFAC  process, daily AUM and market monitoring, concentration reviews in ALCO monthly meetings, timely recommendations to the clients to mitigate their risks.</v>
      </c>
    </row>
    <row r="10" spans="1:27" ht="210.75" customHeight="1" thickBot="1" x14ac:dyDescent="0.3">
      <c r="A10" s="41" t="s">
        <v>489</v>
      </c>
      <c r="B10" s="204" t="s">
        <v>646</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229.5" customHeight="1" thickBot="1" x14ac:dyDescent="0.3">
      <c r="A12" s="204" t="s">
        <v>645</v>
      </c>
      <c r="B12" s="205"/>
      <c r="C12" s="206"/>
      <c r="Q12" s="38" t="str">
        <f>A12</f>
        <v xml:space="preserve">Majority of BSI business is with foreign individuals and corporations in a concentrated area  -  primarily in Latin America countries. The risk of one of the countries becoming a high-risk country or listed as sanctioned in the OFAC list could materially impact BSI revenue stream and strategy implementation. If there are any restrictions of doing business with one of the countries (e.g. Venezuela) BSI could lose the opportunity to grow business in that area. The loss would be the lost revenue growth projected in the strategic plan. Also BSI client investments having a large exposure to one concentrated area also poses a risk of losing AUM volume
The controls include a daily monitoring of the markets and OFAC monitoring of risky countries and various and mitigations strategies , e.g. recommendations to clients on the possible arising risks for their investments. 
Expected loss is $0  in nest 12 months given BSI has good controls and mitigation in the case  there is  a risk arising in one of the countries or product groups, e.g. recommendations to clients to take action on the possible arising risks to their investments. 
In the stressed scenario if there are some restrictions for growing business in one of the countries the lost annual revenue impact could be $1-$5MM. The assessment was done considering to lose the growth potential in Venezuela: given the current average annual revenue from Venezuela is ~ $36MM and the overall projected organic grow is ~3% annually  - the cost of opportunity could be between $1-$5MM annually.    The assessment is based on BSI financial statements (2006-2014) and the strategic plan (2018).
</v>
      </c>
    </row>
  </sheetData>
  <sheetProtection password="CDE2" sheet="1" objects="1" scenarios="1"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92D050"/>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4" t="s">
        <v>561</v>
      </c>
      <c r="B1" s="215"/>
      <c r="C1" s="82"/>
      <c r="Q1" s="81"/>
      <c r="R1" s="81"/>
      <c r="AA1" s="39" t="str">
        <f>C2</f>
        <v xml:space="preserve">Strategic </v>
      </c>
    </row>
    <row r="2" spans="1:27" ht="30.75" customHeight="1" thickBot="1" x14ac:dyDescent="0.3">
      <c r="A2" s="201" t="s">
        <v>255</v>
      </c>
      <c r="B2" s="202"/>
      <c r="C2" s="90" t="s">
        <v>20</v>
      </c>
      <c r="R2" s="42" t="str">
        <f t="shared" ref="R2:R7" si="0">A2</f>
        <v>Risk Type  - The Risk Type from the SHUSA ERM Risk Taxonomy</v>
      </c>
    </row>
    <row r="3" spans="1:27" ht="24" customHeight="1" thickBot="1" x14ac:dyDescent="0.3">
      <c r="A3" s="203" t="s">
        <v>251</v>
      </c>
      <c r="B3" s="161"/>
      <c r="C3" s="70" t="s">
        <v>207</v>
      </c>
      <c r="R3" s="42" t="str">
        <f t="shared" si="0"/>
        <v>Risk Sub Type  - The Risk Sub-Category from the SHUSA ERM Risk Taxonomy</v>
      </c>
    </row>
    <row r="4" spans="1:27" ht="31.5" customHeight="1" thickBot="1" x14ac:dyDescent="0.3">
      <c r="A4" s="203" t="s">
        <v>252</v>
      </c>
      <c r="B4" s="161"/>
      <c r="C4" s="73" t="s">
        <v>533</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t="s">
        <v>647</v>
      </c>
      <c r="B9" s="212"/>
      <c r="C9" s="213"/>
      <c r="Q9" s="38" t="str">
        <f>A9</f>
        <v xml:space="preserve">Controls for external factors affecting BSI are limited. BSI is maintaining effective communication and coordination with the parent company about the activities that affect BSI. </v>
      </c>
    </row>
    <row r="10" spans="1:27" ht="137.25" customHeight="1" thickBot="1" x14ac:dyDescent="0.3">
      <c r="A10" s="41" t="s">
        <v>490</v>
      </c>
      <c r="B10" s="204" t="s">
        <v>675</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155.25" customHeight="1" thickBot="1" x14ac:dyDescent="0.3">
      <c r="A12" s="204" t="s">
        <v>676</v>
      </c>
      <c r="B12" s="205"/>
      <c r="C12" s="206"/>
      <c r="Q12" s="38" t="str">
        <f>A12</f>
        <v>BSI is a wholly owned subsidiary and depends on the strategic decisions made at the parent company.  The risk could arise if the parent company makes strategic decisions related to the risk appetite/tolerance or capital or liquidity that limit BSI strategy execution, especially given that BSI has a unique business model of non-resident international banking. For example, the risk tolerance limits set by the parent might establish that doing business with certain countries or offering certain products and services is too risky for the holding company. This would impact BSI strategy implementation. The loss would be the cost of opportunity -  lost revenue that was forecasted in the strategic plan. 
Controls for external factors affecting BSI are limited. BSI is maintaining effective communication and coordination with the parent company about the activities that affect BSI. 
In the worst case scenario if the parent company sets the risk appetite that limits BSI strategy it could lead to the loss of annual revenue as much as $5-50MM. Although BSI does not have a history of such events impacting BSI P&amp;L, the loss estimate is based on ongoing IHC consolidation effort - the costs and  potential imapact on BSI future revenue.</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2D050"/>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 xml:space="preserve">Strategic </v>
      </c>
    </row>
    <row r="2" spans="1:27" ht="30.75" customHeight="1" thickBot="1" x14ac:dyDescent="0.3">
      <c r="A2" s="201" t="s">
        <v>255</v>
      </c>
      <c r="B2" s="202"/>
      <c r="C2" s="90" t="s">
        <v>20</v>
      </c>
      <c r="R2" s="42" t="str">
        <f t="shared" ref="R2:R7" si="0">A2</f>
        <v>Risk Type  - The Risk Type from the SHUSA ERM Risk Taxonomy</v>
      </c>
    </row>
    <row r="3" spans="1:27" ht="24" customHeight="1" thickBot="1" x14ac:dyDescent="0.3">
      <c r="A3" s="203" t="s">
        <v>251</v>
      </c>
      <c r="B3" s="161"/>
      <c r="C3" s="70" t="s">
        <v>208</v>
      </c>
      <c r="R3" s="42" t="str">
        <f t="shared" si="0"/>
        <v>Risk Sub Type  - The Risk Sub-Category from the SHUSA ERM Risk Taxonomy</v>
      </c>
    </row>
    <row r="4" spans="1:27" ht="62.25" customHeight="1" thickBot="1" x14ac:dyDescent="0.3">
      <c r="A4" s="203" t="s">
        <v>252</v>
      </c>
      <c r="B4" s="161"/>
      <c r="C4" s="73" t="s">
        <v>534</v>
      </c>
      <c r="R4" s="42" t="str">
        <f t="shared" si="0"/>
        <v>Risk Name - The name of the risk which helps define it and differentiate it from other risks in other Business Lines with a similar Risk Category</v>
      </c>
    </row>
    <row r="5" spans="1:27" ht="27"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c r="B9" s="212"/>
      <c r="C9" s="213"/>
      <c r="Q9" s="38">
        <f>A9</f>
        <v>0</v>
      </c>
    </row>
    <row r="10" spans="1:27" ht="81.75" customHeight="1" thickBot="1" x14ac:dyDescent="0.3">
      <c r="A10" s="41" t="s">
        <v>490</v>
      </c>
      <c r="B10" s="204"/>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t="s">
        <v>648</v>
      </c>
      <c r="B12" s="205"/>
      <c r="C12" s="206"/>
      <c r="Q12" s="38" t="str">
        <f>A12</f>
        <v>After a further evaluation  and discussion with HR, T&amp;O team, Compliance and Private Banking it was decided that this is NOT a material risk. BSI has well aligned resources and technology, a stable organization and a good business model. Regarding BSI resource alignment - the employee turnover is very low.</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pageSetUpPr fitToPage="1"/>
  </sheetPr>
  <dimension ref="A1:AA12"/>
  <sheetViews>
    <sheetView view="pageLayout" topLeftCell="A4"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 xml:space="preserve">Strategic </v>
      </c>
    </row>
    <row r="2" spans="1:27" ht="30.75" customHeight="1" thickBot="1" x14ac:dyDescent="0.3">
      <c r="A2" s="201" t="s">
        <v>255</v>
      </c>
      <c r="B2" s="202"/>
      <c r="C2" s="90" t="s">
        <v>20</v>
      </c>
      <c r="R2" s="42" t="str">
        <f t="shared" ref="R2:R7" si="0">A2</f>
        <v>Risk Type  - The Risk Type from the SHUSA ERM Risk Taxonomy</v>
      </c>
    </row>
    <row r="3" spans="1:27" ht="24" customHeight="1" thickBot="1" x14ac:dyDescent="0.3">
      <c r="A3" s="203" t="s">
        <v>251</v>
      </c>
      <c r="B3" s="161"/>
      <c r="C3" s="70" t="s">
        <v>213</v>
      </c>
      <c r="R3" s="42" t="str">
        <f t="shared" si="0"/>
        <v>Risk Sub Type  - The Risk Sub-Category from the SHUSA ERM Risk Taxonomy</v>
      </c>
    </row>
    <row r="4" spans="1:27" ht="31.5" customHeight="1" thickBot="1" x14ac:dyDescent="0.3">
      <c r="A4" s="203" t="s">
        <v>252</v>
      </c>
      <c r="B4" s="161"/>
      <c r="C4" s="73" t="s">
        <v>535</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t="s">
        <v>649</v>
      </c>
      <c r="B9" s="212"/>
      <c r="C9" s="213"/>
      <c r="Q9" s="38" t="str">
        <f>A9</f>
        <v xml:space="preserve">Current controls include the process of Vendor Management;  IT Assessments ( GBLA, Self-Initiated), Business Impact Analysis (annually), Business Continuity Plan (Annual assessment). Various enhancements are being currently introduced to keep strengthening the control processes in regards to process documentation. </v>
      </c>
    </row>
    <row r="10" spans="1:27" ht="123" customHeight="1" thickBot="1" x14ac:dyDescent="0.3">
      <c r="A10" s="41" t="s">
        <v>490</v>
      </c>
      <c r="B10" s="204" t="s">
        <v>650</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142.5" customHeight="1" thickBot="1" x14ac:dyDescent="0.3">
      <c r="A12" s="204" t="s">
        <v>696</v>
      </c>
      <c r="B12" s="205"/>
      <c r="C12" s="206"/>
      <c r="Q12" s="38" t="str">
        <f>A12</f>
        <v>BSI is currently relying on one main system: T24 – Core Banking System used for Customer, Account, Loans, Transfer,Teller, Bill Payment, Money Market, Forex, Trade Finance, Fiduciary,Finance Report, General Reports information. The system is critical for a successful strategy implementation. The risk is arising if the system (vendor) goes away. Although  BSI would be able to continue to operate, due to the lost support it would have to implement a new system that is time and resource-consuming. 
BSI has effective controls in place- vendor management, IT Assessment  and BCP.
There are no expected losses in the next 12 months. 
In the stressed scenario if BSI needs to change the system it could cost between $5-$50MM. The assessment is based on the historical events as well as current cost of system replacement - the estimated replacement cost could be as much as $10MM (cash out). Based on BSI historical example with one Vendor going away and having to implement a new system.</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pageSetUpPr fitToPage="1"/>
  </sheetPr>
  <dimension ref="A1:AA12"/>
  <sheetViews>
    <sheetView view="pageLayout" topLeftCell="A7"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 xml:space="preserve">Strategic </v>
      </c>
    </row>
    <row r="2" spans="1:27" ht="30.75" customHeight="1" thickBot="1" x14ac:dyDescent="0.3">
      <c r="A2" s="201" t="s">
        <v>255</v>
      </c>
      <c r="B2" s="202"/>
      <c r="C2" s="90" t="s">
        <v>20</v>
      </c>
      <c r="R2" s="42" t="str">
        <f t="shared" ref="R2:R7" si="0">A2</f>
        <v>Risk Type  - The Risk Type from the SHUSA ERM Risk Taxonomy</v>
      </c>
    </row>
    <row r="3" spans="1:27" ht="38.25" customHeight="1" thickBot="1" x14ac:dyDescent="0.3">
      <c r="A3" s="203" t="s">
        <v>251</v>
      </c>
      <c r="B3" s="161"/>
      <c r="C3" s="70" t="s">
        <v>214</v>
      </c>
      <c r="R3" s="42" t="str">
        <f t="shared" si="0"/>
        <v>Risk Sub Type  - The Risk Sub-Category from the SHUSA ERM Risk Taxonomy</v>
      </c>
    </row>
    <row r="4" spans="1:27" ht="31.5" customHeight="1" thickBot="1" x14ac:dyDescent="0.3">
      <c r="A4" s="203" t="s">
        <v>252</v>
      </c>
      <c r="B4" s="161"/>
      <c r="C4" s="73" t="s">
        <v>651</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t="s">
        <v>104</v>
      </c>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t="s">
        <v>652</v>
      </c>
      <c r="B9" s="212"/>
      <c r="C9" s="213"/>
      <c r="Q9" s="38" t="str">
        <f>A9</f>
        <v xml:space="preserve">The current controls include daily AUM monitoring, Treasury monitoring, VaR monitoring, Investment committee reviews, concentration reviews. BSI has proven mitigation in process  with recommendations to the clients on their investments if certain risks arise in the market. </v>
      </c>
    </row>
    <row r="10" spans="1:27" ht="184.5" customHeight="1" thickBot="1" x14ac:dyDescent="0.3">
      <c r="A10" s="41" t="s">
        <v>490</v>
      </c>
      <c r="B10" s="204" t="s">
        <v>653</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209.25" customHeight="1" thickBot="1" x14ac:dyDescent="0.3">
      <c r="A12" s="204" t="s">
        <v>655</v>
      </c>
      <c r="B12" s="205"/>
      <c r="C12" s="206"/>
      <c r="Q12" s="38" t="str">
        <f>A12</f>
        <v>BSI strategy is to grow AUMs and convert to more strategic investment products. The current 3-year strategic plan assumes average organic AUM growth at 3% ($1BN) annually. BSI business performance is highly correlated to the localized market performances -  FX /Credit Spreads and Equities in US, Spain and LATAM markets. The risk is arising  from losing the AUM volume, having to execute margin calls and possible canceling loans  and lost cost of opportunity. 
The current controls include daily AUM monitoring, Treasury monitoring, VaR monitoring, Investment committee reviews, concentration reviews. 
In the stressed scenario if one ir more economies (US, Eurozone, especially Spain) are in the downturn it would negatively impact on BSI AUMs and fee revenue.  
In the stressed scenario if one ir more economies (US, Eurozone, especially Spain) are in the downturn it would negatively impact on BSI AUMs and fee revenue.  
A scenario like a financial crices or a downgrade in Spain would have a spill-over effect of losing the AUMs, margin calls, canceling loans, potentially having to restructure the business and the cost of opportunity. This can easily lead to $5-$50MM annual losses based on the historical financial statements:  during the years of 2008-2009 economic crises - the AUM (excluding deposits) volume declined by ~33%  ($5.6BN) driven by adverse market conditions and annual fee revenue declined by  ~$18MM . 2006-2014 Financial Statements and Strategic Plan (2018) was used for the assessment.</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2D050"/>
    <pageSetUpPr fitToPage="1"/>
  </sheetPr>
  <dimension ref="A1:AA12"/>
  <sheetViews>
    <sheetView view="pageLayout" topLeftCell="A7"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 xml:space="preserve">Strategic </v>
      </c>
    </row>
    <row r="2" spans="1:27" ht="30.75" customHeight="1" thickBot="1" x14ac:dyDescent="0.3">
      <c r="A2" s="201" t="s">
        <v>255</v>
      </c>
      <c r="B2" s="202"/>
      <c r="C2" s="90" t="s">
        <v>20</v>
      </c>
      <c r="R2" s="42" t="str">
        <f t="shared" ref="R2:R7" si="0">A2</f>
        <v>Risk Type  - The Risk Type from the SHUSA ERM Risk Taxonomy</v>
      </c>
    </row>
    <row r="3" spans="1:27" ht="24" customHeight="1" thickBot="1" x14ac:dyDescent="0.3">
      <c r="A3" s="203" t="s">
        <v>251</v>
      </c>
      <c r="B3" s="161"/>
      <c r="C3" s="70" t="s">
        <v>215</v>
      </c>
      <c r="R3" s="42" t="str">
        <f t="shared" si="0"/>
        <v>Risk Sub Type  - The Risk Sub-Category from the SHUSA ERM Risk Taxonomy</v>
      </c>
    </row>
    <row r="4" spans="1:27" ht="31.5" customHeight="1" thickBot="1" x14ac:dyDescent="0.3">
      <c r="A4" s="203" t="s">
        <v>252</v>
      </c>
      <c r="B4" s="161"/>
      <c r="C4" s="73" t="s">
        <v>536</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1.5" customHeight="1" thickBot="1" x14ac:dyDescent="0.3">
      <c r="A9" s="211" t="s">
        <v>654</v>
      </c>
      <c r="B9" s="212"/>
      <c r="C9" s="213"/>
      <c r="Q9" s="38" t="str">
        <f>A9</f>
        <v xml:space="preserve">BSI has a regulatory compliance framework that includes a regulatory risk assessment, a regulatory monitoring/testing programs which reviews all applicable  regulations.  The results of the monitoring are presented to the Compliance Committee which is then escalated to the current Audit and Risk Committee of the Board of Directors. Timely implementation of  a new regulation reduces the risk of losses. BSI has a good track record when it comes to new regulation implementation. </v>
      </c>
    </row>
    <row r="10" spans="1:27" ht="127.5" customHeight="1" thickBot="1" x14ac:dyDescent="0.3">
      <c r="A10" s="41" t="s">
        <v>490</v>
      </c>
      <c r="B10" s="204" t="s">
        <v>657</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178.5" customHeight="1" thickBot="1" x14ac:dyDescent="0.3">
      <c r="A12" s="204" t="s">
        <v>656</v>
      </c>
      <c r="B12" s="205"/>
      <c r="C12" s="206"/>
      <c r="Q12" s="38" t="str">
        <f>A12</f>
        <v xml:space="preserve">Banking is a heavily regulated industry. New regulations keep emerging and are further reshaping the way banks are doing business. The risk is arising from new regulations being costly to implement and potentially impacting BSI strategy. The clients often get nervous about new regulations potentially affecting their assets, however this hasn't been a material risk to BSI in the past. The largest cost is the regulation implementation cost. There is also a possibility of new regulation impacting BSI product &amp; services. 
BSI has a regulatory compliance framework that  that includes a regulatory risk assessment, a regulatory monitoring/testing programs and effective implementation of newly emerged regulations. The timely implementation of regulations reduces the risk of losses. 
The new regulations could have impact as much as $5-$50MM.  The assessment is based on recently emerged US regulatory standards requiring BSI to consolidate to the IHC.  The estimated IHC implementation cost is $9.5MM first year and $6MM annually thereafter.  Strategic Plan was used for assessment (P2018)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92D050"/>
    <pageSetUpPr fitToPage="1"/>
  </sheetPr>
  <dimension ref="A1:AA12"/>
  <sheetViews>
    <sheetView view="pageLayout" topLeftCell="A7" zoomScale="90" zoomScaleNormal="100" zoomScalePageLayoutView="9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 xml:space="preserve">Strategic </v>
      </c>
    </row>
    <row r="2" spans="1:27" ht="30.75" customHeight="1" thickBot="1" x14ac:dyDescent="0.3">
      <c r="A2" s="201" t="s">
        <v>255</v>
      </c>
      <c r="B2" s="202"/>
      <c r="C2" s="90" t="s">
        <v>20</v>
      </c>
      <c r="R2" s="42" t="str">
        <f t="shared" ref="R2:R7" si="0">A2</f>
        <v>Risk Type  - The Risk Type from the SHUSA ERM Risk Taxonomy</v>
      </c>
    </row>
    <row r="3" spans="1:27" ht="24" customHeight="1" thickBot="1" x14ac:dyDescent="0.3">
      <c r="A3" s="203" t="s">
        <v>251</v>
      </c>
      <c r="B3" s="161"/>
      <c r="C3" s="70" t="s">
        <v>218</v>
      </c>
      <c r="R3" s="42" t="str">
        <f t="shared" si="0"/>
        <v>Risk Sub Type  - The Risk Sub-Category from the SHUSA ERM Risk Taxonomy</v>
      </c>
    </row>
    <row r="4" spans="1:27" ht="31.5" customHeight="1" thickBot="1" x14ac:dyDescent="0.3">
      <c r="A4" s="203" t="s">
        <v>252</v>
      </c>
      <c r="B4" s="161"/>
      <c r="C4" s="73" t="s">
        <v>537</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9.75" customHeight="1" thickBot="1" x14ac:dyDescent="0.3">
      <c r="A9" s="211" t="s">
        <v>614</v>
      </c>
      <c r="B9" s="212"/>
      <c r="C9" s="213"/>
      <c r="Q9" s="38" t="str">
        <f>A9</f>
        <v>The current new product approval process has two levels: first the new product is approved by the local BSI  committee considering all aspects - operational, financial, and other risk factors. Then it goes for the approval at the parent level (Madrid Office). BSI also has strong internal control process.  New investment fund offerings also go though the investment committee review and approval process before these new investment options are offered to the clients.</v>
      </c>
    </row>
    <row r="10" spans="1:27" ht="135" customHeight="1" thickBot="1" x14ac:dyDescent="0.3">
      <c r="A10" s="41" t="s">
        <v>490</v>
      </c>
      <c r="B10" s="204"/>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133.5" customHeight="1" thickBot="1" x14ac:dyDescent="0.3">
      <c r="A12" s="204" t="s">
        <v>677</v>
      </c>
      <c r="B12" s="205"/>
      <c r="C12" s="206"/>
      <c r="Q12" s="38" t="str">
        <f>A12</f>
        <v xml:space="preserve">BSI enters into various strategic investment partnerships and create various promotional offers to market new products to clients and grow AUM. The expertise of management is critical in these type of strategic decisions. The risk of making a  decision that is not properly evaluated or aligned with the BSI overall strategy due to lack of management expertise could lead to losses.  
After further review the risk was combined with Strategic Risk - Corporate Governance - "Inadequate governance in new product/investment offerings approval process"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488</v>
      </c>
      <c r="B1" s="161"/>
      <c r="C1" s="73"/>
      <c r="Q1" s="81"/>
      <c r="R1" s="81"/>
      <c r="AA1" s="39" t="str">
        <f>C2</f>
        <v xml:space="preserve">Strategic </v>
      </c>
    </row>
    <row r="2" spans="1:27" ht="30.75" customHeight="1" thickBot="1" x14ac:dyDescent="0.3">
      <c r="A2" s="201" t="s">
        <v>255</v>
      </c>
      <c r="B2" s="202"/>
      <c r="C2" s="91" t="s">
        <v>20</v>
      </c>
      <c r="R2" s="42" t="str">
        <f t="shared" ref="R2:R7" si="0">A2</f>
        <v>Risk Type  - The Risk Type from the SHUSA ERM Risk Taxonomy</v>
      </c>
    </row>
    <row r="3" spans="1:27" ht="24" customHeight="1" thickBot="1" x14ac:dyDescent="0.3">
      <c r="A3" s="203" t="s">
        <v>251</v>
      </c>
      <c r="B3" s="161"/>
      <c r="C3" s="84" t="s">
        <v>221</v>
      </c>
      <c r="R3" s="42" t="str">
        <f t="shared" si="0"/>
        <v>Risk Sub Type  - The Risk Sub-Category from the SHUSA ERM Risk Taxonomy</v>
      </c>
    </row>
    <row r="4" spans="1:27" ht="31.5" customHeight="1" thickBot="1" x14ac:dyDescent="0.3">
      <c r="A4" s="203" t="s">
        <v>252</v>
      </c>
      <c r="B4" s="161"/>
      <c r="C4" s="83" t="s">
        <v>538</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85"/>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84"/>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84"/>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t="s">
        <v>539</v>
      </c>
      <c r="B9" s="212"/>
      <c r="C9" s="218"/>
      <c r="Q9" s="38" t="str">
        <f>A9</f>
        <v>HR Policies</v>
      </c>
    </row>
    <row r="10" spans="1:27" ht="81.75" customHeight="1" thickBot="1" x14ac:dyDescent="0.3">
      <c r="A10" s="41" t="s">
        <v>490</v>
      </c>
      <c r="B10" s="204"/>
      <c r="C10" s="219"/>
    </row>
    <row r="11" spans="1:27" ht="31.5" customHeight="1" thickBot="1" x14ac:dyDescent="0.3">
      <c r="A11" s="200" t="s">
        <v>254</v>
      </c>
      <c r="B11" s="209"/>
      <c r="C11" s="21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t="s">
        <v>615</v>
      </c>
      <c r="B12" s="205"/>
      <c r="C12" s="220"/>
      <c r="Q12" s="38" t="str">
        <f>A12</f>
        <v xml:space="preserve">After further evaluation and discussion with HR it was decided that performance management and  compensation  risk is not a material risk to BSI - the compensation plans are not tied to risk taking (HR Policies).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pageSetUpPr fitToPage="1"/>
  </sheetPr>
  <dimension ref="A1:AA12"/>
  <sheetViews>
    <sheetView view="pageLayout" topLeftCell="A6"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 xml:space="preserve">Strategic </v>
      </c>
    </row>
    <row r="2" spans="1:27" ht="30.75" customHeight="1" thickBot="1" x14ac:dyDescent="0.3">
      <c r="A2" s="201" t="s">
        <v>255</v>
      </c>
      <c r="B2" s="202"/>
      <c r="C2" s="90" t="s">
        <v>20</v>
      </c>
      <c r="R2" s="42" t="str">
        <f t="shared" ref="R2:R7" si="0">A2</f>
        <v>Risk Type  - The Risk Type from the SHUSA ERM Risk Taxonomy</v>
      </c>
    </row>
    <row r="3" spans="1:27" ht="24" customHeight="1" thickBot="1" x14ac:dyDescent="0.3">
      <c r="A3" s="203" t="s">
        <v>251</v>
      </c>
      <c r="B3" s="161"/>
      <c r="C3" s="70" t="s">
        <v>222</v>
      </c>
      <c r="R3" s="42" t="str">
        <f t="shared" si="0"/>
        <v>Risk Sub Type  - The Risk Sub-Category from the SHUSA ERM Risk Taxonomy</v>
      </c>
    </row>
    <row r="4" spans="1:27" ht="43.5" customHeight="1" thickBot="1" x14ac:dyDescent="0.3">
      <c r="A4" s="203" t="s">
        <v>252</v>
      </c>
      <c r="B4" s="161"/>
      <c r="C4" s="73" t="s">
        <v>613</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9.25" customHeight="1" thickBot="1" x14ac:dyDescent="0.3">
      <c r="A9" s="211" t="s">
        <v>659</v>
      </c>
      <c r="B9" s="212"/>
      <c r="C9" s="213"/>
      <c r="Q9" s="38" t="str">
        <f>A9</f>
        <v>The current new product approval process has two levels: first the new product is approved by the local BSI  committee considering all aspects - operational, financial, and other risk factors. Then it goes for the approval at the head office (Madrid Office). New investment fund offerings also go to  the investment committee review and approval process before these new investment options are offered to the clients.</v>
      </c>
    </row>
    <row r="10" spans="1:27" ht="140.25" customHeight="1" thickBot="1" x14ac:dyDescent="0.3">
      <c r="A10" s="41" t="s">
        <v>490</v>
      </c>
      <c r="B10" s="204" t="s">
        <v>660</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218.25" customHeight="1" thickBot="1" x14ac:dyDescent="0.3">
      <c r="A12" s="204" t="s">
        <v>661</v>
      </c>
      <c r="B12" s="205"/>
      <c r="C12" s="206"/>
      <c r="Q12" s="38" t="str">
        <f>A12</f>
        <v>The risk could arise from lack of governance around new product approvals and incentive plan. There must be a strong  governance processes for approving new products or new investment options, ensuring  proper due-diligence and operational execution plan as well as  appropriate incentive compensation plan. Failing to have effective governance around these processes can lead to approving products that are too risky and do not meet client needs and bring losses to the clients as well as BSI. 
The current new product approval process has two levels: first the new product is approved by the local BSI  committee considering all aspects - operational, financial, and other risk factors. Then it goes for the approval at the head office (Madrid Office). New investment fund offerings also go though the investment committee review and approval process before these new investment options are offered to the clients.
In the stress scenario  if not all the controls are working and the new products/investment offerings are not properly evaluated the revenue shortfall/ losses could potentially be $1-$5MM. When clients are losing their investments BSI is losing fee revenue generated by AUM volume. It is the opportunity cost. For the assessment the historical financials were used, the example of the strategic investment offering in 2008 (private equity fund).  But the estimated future loss would be mitigated considering stronger controls currently in place.place.</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2D050"/>
    <pageSetUpPr fitToPage="1"/>
  </sheetPr>
  <dimension ref="A1:AA12"/>
  <sheetViews>
    <sheetView view="pageLayout" topLeftCell="A7"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Reputational</v>
      </c>
    </row>
    <row r="2" spans="1:27" ht="30.75" customHeight="1" thickBot="1" x14ac:dyDescent="0.3">
      <c r="A2" s="201" t="s">
        <v>255</v>
      </c>
      <c r="B2" s="202"/>
      <c r="C2" s="90" t="s">
        <v>25</v>
      </c>
      <c r="R2" s="42" t="str">
        <f t="shared" ref="R2:R7" si="0">A2</f>
        <v>Risk Type  - The Risk Type from the SHUSA ERM Risk Taxonomy</v>
      </c>
    </row>
    <row r="3" spans="1:27" ht="24" customHeight="1" thickBot="1" x14ac:dyDescent="0.3">
      <c r="A3" s="203" t="s">
        <v>251</v>
      </c>
      <c r="B3" s="161"/>
      <c r="C3" s="70" t="s">
        <v>29</v>
      </c>
      <c r="R3" s="42" t="str">
        <f t="shared" si="0"/>
        <v>Risk Sub Type  - The Risk Sub-Category from the SHUSA ERM Risk Taxonomy</v>
      </c>
    </row>
    <row r="4" spans="1:27" ht="31.5" customHeight="1" thickBot="1" x14ac:dyDescent="0.3">
      <c r="A4" s="203" t="s">
        <v>252</v>
      </c>
      <c r="B4" s="161"/>
      <c r="C4" s="73" t="s">
        <v>540</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t="s">
        <v>662</v>
      </c>
      <c r="B9" s="212"/>
      <c r="C9" s="213"/>
      <c r="Q9" s="38" t="str">
        <f>A9</f>
        <v xml:space="preserve"> Controls include associate training; product review and approval process which identifies the potential risk held by the clients, especially those held as collateral;  BSI has shown effective mitigation actions in the past to preserve the clients investments as well as the bank's reputation </v>
      </c>
    </row>
    <row r="10" spans="1:27" ht="180.75" customHeight="1" thickBot="1" x14ac:dyDescent="0.3">
      <c r="A10" s="41" t="s">
        <v>490</v>
      </c>
      <c r="B10" s="204" t="s">
        <v>720</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266.25" customHeight="1" thickBot="1" x14ac:dyDescent="0.3">
      <c r="A12" s="204" t="s">
        <v>681</v>
      </c>
      <c r="B12" s="205"/>
      <c r="C12" s="206"/>
      <c r="Q12" s="38" t="str">
        <f>A12</f>
        <v>BSI business depends on the clients' trust and perception of the bank's ability to offer reliable services and custom-tailored solutions.  The risk is arising from losing client volume due to the bad perception of the bank's products and services, frequent client complaints or litigations. The triggers could be bank's improper due diligence or information provided to the clients to make informed decisions. This could lead to bad publicity and ultimately clients shifting to the competitors. The risk is arising differently  in  discretionary and non-discretionary portfolios.
In the discretionary portfolio the risk is reduced (diversified) with asset allocation but does exist if the controls are not working properly, especially risk of improper documentation/disclosures. In non-discretionary portfolios there is more risk  since the clients do make the ultimate decision and could ask for a non-recommended product leading to a disappointment, complaints and the client shifting to competitors.
Controls include associate training; product/portfolio reviews to identify the potential risks, especially assets held as collateral.  The effective mitigation is the key to  preserving the reputation. Once the risk of certain products is identified, the management needs to execute timely and mitigate the potential losses. BSI has shown it's effective mitigation actions in the past. 
The expected loss in the next 12 months is $0 as the bank has strong controls in place and currently there is no provision for reputational loss. 
In the worst case scenario when the bank's products and services reliability is damaged the annual losses could extend $5-$50MM. The estimate is based on 2006 -2014  financial statements, history of reputational events (legal logs), the historical growth of AUM and fee income.  The largest loss is the opportunity cost of losing the potential revenue after the clients leave the bank due to the damaged reputation.  The lost revenue growth takes years to reach the same growth as before the reputational events. The loss estimate is based assuming BSI would not achieve a projected 3% annual revenue growth (at least  $8MM based on current annual revenue) in addition there might be some clients leaving the bank.</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92D050"/>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Reputational</v>
      </c>
    </row>
    <row r="2" spans="1:27" ht="30.75" customHeight="1" thickBot="1" x14ac:dyDescent="0.3">
      <c r="A2" s="201" t="s">
        <v>255</v>
      </c>
      <c r="B2" s="202"/>
      <c r="C2" s="90" t="s">
        <v>25</v>
      </c>
      <c r="R2" s="42" t="str">
        <f t="shared" ref="R2:R7" si="0">A2</f>
        <v>Risk Type  - The Risk Type from the SHUSA ERM Risk Taxonomy</v>
      </c>
    </row>
    <row r="3" spans="1:27" ht="24" customHeight="1" thickBot="1" x14ac:dyDescent="0.3">
      <c r="A3" s="203" t="s">
        <v>251</v>
      </c>
      <c r="B3" s="161"/>
      <c r="C3" s="70" t="s">
        <v>29</v>
      </c>
      <c r="R3" s="42" t="str">
        <f t="shared" si="0"/>
        <v>Risk Sub Type  - The Risk Sub-Category from the SHUSA ERM Risk Taxonomy</v>
      </c>
    </row>
    <row r="4" spans="1:27" ht="51.75" customHeight="1" thickBot="1" x14ac:dyDescent="0.3">
      <c r="A4" s="203" t="s">
        <v>252</v>
      </c>
      <c r="B4" s="161"/>
      <c r="C4" s="73" t="s">
        <v>541</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t="s">
        <v>663</v>
      </c>
      <c r="B9" s="212"/>
      <c r="C9" s="213"/>
      <c r="Q9" s="38" t="str">
        <f>A9</f>
        <v>Preventive controls include associate training; IT /security system assessments, multiple level transaction approval processes.</v>
      </c>
    </row>
    <row r="10" spans="1:27" ht="150.75" customHeight="1" thickBot="1" x14ac:dyDescent="0.3">
      <c r="A10" s="41" t="s">
        <v>490</v>
      </c>
      <c r="B10" s="221" t="s">
        <v>716</v>
      </c>
      <c r="C10" s="222"/>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233.25" customHeight="1" thickBot="1" x14ac:dyDescent="0.3">
      <c r="A12" s="204" t="s">
        <v>717</v>
      </c>
      <c r="B12" s="205"/>
      <c r="C12" s="206"/>
      <c r="Q12" s="38" t="str">
        <f>A12</f>
        <v>Private Banking clients are very sensitive to the Bank's reputation due to the level of trust and the closeness involved in the client-banker relationship which makes it very susceptible to fraud. BSI could be also be exposed to external fraud doing business as the custodian -  acting as an asset manager for other bank's assets that is involved in fraudulent activities. The risk is arising from losing clients and revenue do to negative publicity caused by internal or external fraud events. Once the reputation is damaged it is very hard to gain the clients trust and  regrow the business. 
Current controls include  associate training,  system security controls, transaction verification and approval processes. Mitigation actions to maintain the reputation  might include reimbursing the clients for their loss due to the fraud. 
The expected reputational loss in the next 12motnhs is $0. 
The potential annual stressed loss could be $1-$5MM. The assessment is also considering BSI having a wide-spread international client based and news on reputational/operational  events are usually very contained.  BSI 2006-2014  financial statements, litigation logs, operational loss history were used for the assessment. Assuming one or few top clients leaving the bank with annual revenue (top clients bring as much as $4MM annual revenue)</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92D050"/>
    <pageSetUpPr fitToPage="1"/>
  </sheetPr>
  <dimension ref="A1:AA12"/>
  <sheetViews>
    <sheetView view="pageLayout" topLeftCell="A4"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Reputational</v>
      </c>
    </row>
    <row r="2" spans="1:27" ht="30.75" customHeight="1" thickBot="1" x14ac:dyDescent="0.3">
      <c r="A2" s="201" t="s">
        <v>255</v>
      </c>
      <c r="B2" s="202"/>
      <c r="C2" s="90" t="s">
        <v>25</v>
      </c>
      <c r="R2" s="42" t="str">
        <f t="shared" ref="R2:R7" si="0">A2</f>
        <v>Risk Type  - The Risk Type from the SHUSA ERM Risk Taxonomy</v>
      </c>
    </row>
    <row r="3" spans="1:27" ht="24" customHeight="1" thickBot="1" x14ac:dyDescent="0.3">
      <c r="A3" s="203" t="s">
        <v>251</v>
      </c>
      <c r="B3" s="161"/>
      <c r="C3" s="70" t="s">
        <v>29</v>
      </c>
      <c r="R3" s="42" t="str">
        <f t="shared" si="0"/>
        <v>Risk Sub Type  - The Risk Sub-Category from the SHUSA ERM Risk Taxonomy</v>
      </c>
    </row>
    <row r="4" spans="1:27" ht="57.75" customHeight="1" thickBot="1" x14ac:dyDescent="0.3">
      <c r="A4" s="203" t="s">
        <v>252</v>
      </c>
      <c r="B4" s="161"/>
      <c r="C4" s="73" t="s">
        <v>610</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9.75" customHeight="1" thickBot="1" x14ac:dyDescent="0.3">
      <c r="A9" s="211" t="s">
        <v>556</v>
      </c>
      <c r="B9" s="212"/>
      <c r="C9" s="213"/>
      <c r="Q9" s="38" t="str">
        <f>A9</f>
        <v>BSI has a regulatory compliance framework that includes a regulatory risk assessment, a regulatory monitoring/testing programs which reviews all applicable  non-BSA regulations.  The frequency of these test are based on the residual risk assigned to each regulation.  The results of the monitoring are presented to the Compliance Committee which is then escalated to the current Audit and Risk Committee of the Board of Directors.</v>
      </c>
    </row>
    <row r="10" spans="1:27" ht="138.75" customHeight="1" thickBot="1" x14ac:dyDescent="0.3">
      <c r="A10" s="41" t="s">
        <v>490</v>
      </c>
      <c r="B10" s="204" t="s">
        <v>612</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165" customHeight="1" thickBot="1" x14ac:dyDescent="0.3">
      <c r="A12" s="204" t="s">
        <v>611</v>
      </c>
      <c r="B12" s="205"/>
      <c r="C12" s="206"/>
      <c r="Q12" s="38" t="str">
        <f>A12</f>
        <v xml:space="preserve">Private Banking clients are very sensitive to the Bank's reputation. This risk is arising when negative regulator opinion leads to losing clients and revenue. Competition can easily use the adverse regulatory opinion to solicit our clients, or our bankers can decide to leave to competitor banks and take their clients away. 
Currently BSI has strong controls in place to comply with regulatory programs and laws and preserve the bank's reputation. 
The bank does not expect any losses during next 12 months as the bank has no history of such events. 
In the stressed scenario, negative regulatory opinion could potentially cause $1-$5MM annual losses. The estimate is based on external examples at the peer banks where negative regulatory opinion and actions helped to drive the revenue from competitors to BSI.  BSI 2006-2014  financial statements were used for assessment. 
</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Credit</v>
      </c>
    </row>
    <row r="2" spans="1:27" ht="30.75" customHeight="1" thickBot="1" x14ac:dyDescent="0.3">
      <c r="A2" s="201" t="s">
        <v>255</v>
      </c>
      <c r="B2" s="202"/>
      <c r="C2" s="90" t="s">
        <v>17</v>
      </c>
      <c r="R2" s="42" t="str">
        <f t="shared" ref="R2:R7" si="0">A2</f>
        <v>Risk Type  - The Risk Type from the SHUSA ERM Risk Taxonomy</v>
      </c>
    </row>
    <row r="3" spans="1:27" ht="24" customHeight="1" thickBot="1" x14ac:dyDescent="0.3">
      <c r="A3" s="203" t="s">
        <v>251</v>
      </c>
      <c r="B3" s="161"/>
      <c r="C3" s="70" t="s">
        <v>18</v>
      </c>
      <c r="R3" s="42" t="str">
        <f t="shared" si="0"/>
        <v>Risk Sub Type  - The Risk Sub-Category from the SHUSA ERM Risk Taxonomy</v>
      </c>
    </row>
    <row r="4" spans="1:27" ht="57.75" customHeight="1" thickBot="1" x14ac:dyDescent="0.3">
      <c r="A4" s="203" t="s">
        <v>252</v>
      </c>
      <c r="B4" s="161"/>
      <c r="C4" s="73" t="s">
        <v>542</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t="s">
        <v>680</v>
      </c>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82.5" customHeight="1" thickBot="1" x14ac:dyDescent="0.3">
      <c r="A9" s="211" t="s">
        <v>674</v>
      </c>
      <c r="B9" s="212"/>
      <c r="C9" s="213"/>
      <c r="Q9" s="38" t="str">
        <f>A9</f>
        <v xml:space="preserve">
The controls include daily collateral/margin call monitoring locally, monthly margin call activity report; quarterly LV haircuts review (liquidity and the volatility of securities) by the head office;  annual review and assessment of the lending criteria by the head office; Collateral concentration reviews at the Risk Committee,  monitoring credit quality  and concentration of the issuers;  Margin call process provides effective mitigation controls.  </v>
      </c>
    </row>
    <row r="10" spans="1:27" ht="234" customHeight="1" thickBot="1" x14ac:dyDescent="0.3">
      <c r="A10" s="41" t="s">
        <v>490</v>
      </c>
      <c r="B10" s="204" t="s">
        <v>678</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275.25" customHeight="1" thickBot="1" x14ac:dyDescent="0.3">
      <c r="A12" s="204" t="s">
        <v>679</v>
      </c>
      <c r="B12" s="205"/>
      <c r="C12" s="206"/>
      <c r="Q12" s="38" t="str">
        <f>A12</f>
        <v xml:space="preserve"> BSI business model is collateral (form of securities and cash) based lending. Lending values (LV) are calculated based on the head office model which is very conservative applying haircuts to the collateral for by each asset type and uses 99.97% level of confidence. The risk could arise when large moves in the market initiate the margin call (MC) and the client is not able to pay; then BSI will need to execute the collateral and potentially will incur losses if collateral value is not sufficient to cover the outstanding loan, especially in the case of a very concentrated position; or if the collateral is not accessible as it may be subject to governmental lien (including OFAC blocked collateral). 
Key risk drivers are corporate spreads widen, interest rates up and  equity prices down. 
The controls include daily collateral/margin call monitoring locally, monthly margin call activity report; quarterly LV haircuts review (liquidity and the volatility of securities) by the head office;  annual review and assessment of the lending criteria by the head office; Collateral concentration reviews at the Risk Committee,  monitoring credit quality  and concentration of the issuers;  Margin call process provides effective mitigation controls.  
The expected annual loss is $1-$5MM  - amount booked in allowance for credit losses. No material credit losses  2010-2014 per financial statements.
Current pledged assets are ~7.3BN (34% issued by Grupo Santander) for ~3.8BN of loans giving LTV ratio of 52%. By asset type collateral consists of 41% Fixed Income, 22% Equity, 20% Other Funds, 9% Cash, 5% Alternative Funds and 2.5% Structured Products. The secured lending model applies very conservative LV haircuts based on asset volatility, liquidity, issuer credit quality and other parameters.  In the stressed market conditions, the LV would fall prior the actual MV of the collateral below the Loan amount triggering MCs and subsequently remedial actions immediately to avoid the losses and would be covered by ALLL. The secured lending model with the margin call process has been proven to be effective mitigating control during the 2008-2009 financial crises.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Market</v>
      </c>
    </row>
    <row r="2" spans="1:27" ht="30.75" customHeight="1" thickBot="1" x14ac:dyDescent="0.3">
      <c r="A2" s="201" t="s">
        <v>255</v>
      </c>
      <c r="B2" s="202"/>
      <c r="C2" s="90" t="s">
        <v>13</v>
      </c>
      <c r="R2" s="42" t="str">
        <f t="shared" ref="R2:R7" si="0">A2</f>
        <v>Risk Type  - The Risk Type from the SHUSA ERM Risk Taxonomy</v>
      </c>
    </row>
    <row r="3" spans="1:27" ht="24" customHeight="1" thickBot="1" x14ac:dyDescent="0.3">
      <c r="A3" s="203" t="s">
        <v>251</v>
      </c>
      <c r="B3" s="161"/>
      <c r="C3" s="70" t="s">
        <v>158</v>
      </c>
      <c r="R3" s="42" t="str">
        <f t="shared" si="0"/>
        <v>Risk Sub Type  - The Risk Sub-Category from the SHUSA ERM Risk Taxonomy</v>
      </c>
    </row>
    <row r="4" spans="1:27" ht="58.5" customHeight="1" thickBot="1" x14ac:dyDescent="0.3">
      <c r="A4" s="203" t="s">
        <v>252</v>
      </c>
      <c r="B4" s="161"/>
      <c r="C4" s="73" t="s">
        <v>543</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c r="B9" s="212"/>
      <c r="C9" s="213"/>
      <c r="Q9" s="38">
        <f>A9</f>
        <v>0</v>
      </c>
    </row>
    <row r="10" spans="1:27" ht="81.75" customHeight="1" thickBot="1" x14ac:dyDescent="0.3">
      <c r="A10" s="41" t="s">
        <v>490</v>
      </c>
      <c r="B10" s="204"/>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t="s">
        <v>617</v>
      </c>
      <c r="B12" s="205"/>
      <c r="C12" s="206"/>
      <c r="Q12" s="38" t="str">
        <f>A12</f>
        <v xml:space="preserve">After further evaluation it was decided that market risk is not a material risk to BSI due to the structure of BSI balance sheet - the risk of lost revenue due to interest rates movements and credit spreads will be imbedded in the strategic risk.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92D050"/>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Liquidity</v>
      </c>
    </row>
    <row r="2" spans="1:27" ht="30.75" customHeight="1" thickBot="1" x14ac:dyDescent="0.3">
      <c r="A2" s="201" t="s">
        <v>255</v>
      </c>
      <c r="B2" s="202"/>
      <c r="C2" s="90" t="s">
        <v>15</v>
      </c>
      <c r="R2" s="42" t="str">
        <f t="shared" ref="R2:R7" si="0">A2</f>
        <v>Risk Type  - The Risk Type from the SHUSA ERM Risk Taxonomy</v>
      </c>
    </row>
    <row r="3" spans="1:27" ht="24" customHeight="1" thickBot="1" x14ac:dyDescent="0.3">
      <c r="A3" s="203" t="s">
        <v>251</v>
      </c>
      <c r="B3" s="161"/>
      <c r="C3" s="70" t="s">
        <v>153</v>
      </c>
      <c r="R3" s="42" t="str">
        <f t="shared" si="0"/>
        <v>Risk Sub Type  - The Risk Sub-Category from the SHUSA ERM Risk Taxonomy</v>
      </c>
    </row>
    <row r="4" spans="1:27" ht="31.5" customHeight="1" thickBot="1" x14ac:dyDescent="0.3">
      <c r="A4" s="203" t="s">
        <v>252</v>
      </c>
      <c r="B4" s="161"/>
      <c r="C4" s="73" t="s">
        <v>664</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t="s">
        <v>104</v>
      </c>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t="s">
        <v>665</v>
      </c>
      <c r="B9" s="212"/>
      <c r="C9" s="213"/>
      <c r="Q9" s="38" t="str">
        <f>A9</f>
        <v xml:space="preserve">Controls  include early liquidity warning indicators, limits, MVE and IRR stress test monthly, reviews in ALCO meetings; Liquidity Management policies and frameworks. Liquidity contingency plan that contemplates 3 levels of severity and escalation. </v>
      </c>
    </row>
    <row r="10" spans="1:27" ht="178.5" customHeight="1" thickBot="1" x14ac:dyDescent="0.3">
      <c r="A10" s="41" t="s">
        <v>490</v>
      </c>
      <c r="B10" s="204" t="s">
        <v>618</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223.5" customHeight="1" thickBot="1" x14ac:dyDescent="0.3">
      <c r="A12" s="204" t="s">
        <v>619</v>
      </c>
      <c r="B12" s="205"/>
      <c r="C12" s="206"/>
      <c r="Q12" s="38" t="str">
        <f>A12</f>
        <v>BSI has a limited access to wholesale funding, domestic markets (some institutional clients) and no access to domestic deposits. The funding source is concentrated to international client deposits/fiduciary deposits.  Risk is arising from having a deposit outflow -  due to the concentrated funding source and the limited access to other type of funding,  BSI would be forced to cut lending (our projected cash outflows) or offer more competitive deposit rates to maintain liquidity and this would lead to losing the margin. This could be triggered by economic deterioration in Spain followed by the downgrade at the Group level, as it could lead to loss of trust in BSI due to the parent company.
Current controls include monthly liquidity stress testing and the maintenance/reviews of the contingency  funding plan. 
The expected annual loss is $0 as the bank maintain a strong liquidity buffer ($2-3BN). 
In the stressed scenario the losses could be $5-$50. The assessment is based on our current liquidity stress testing. The most severe scenario assumes the combination of a Banco Santander S.A. downgrade  to junk along with high funding concentration would cause an overall larger drop in deposits and loans. This would lead to losing ~ $1.7BN in deposits (0.02% cost to margin 0.02% 0r ~$4mm) and $~$590MM loans (cost to margin 0.95% or $11.5MM), the total loss adding up to ~$15.4MM.</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92D050"/>
    <pageSetUpPr fitToPage="1"/>
  </sheetPr>
  <dimension ref="A1:AA12"/>
  <sheetViews>
    <sheetView view="pageLayout" topLeftCell="A4"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Operational</v>
      </c>
    </row>
    <row r="2" spans="1:27" ht="30.75" customHeight="1" thickBot="1" x14ac:dyDescent="0.3">
      <c r="A2" s="201" t="s">
        <v>255</v>
      </c>
      <c r="B2" s="202"/>
      <c r="C2" s="90" t="s">
        <v>31</v>
      </c>
      <c r="R2" s="42" t="str">
        <f t="shared" ref="R2:R7" si="0">A2</f>
        <v>Risk Type  - The Risk Type from the SHUSA ERM Risk Taxonomy</v>
      </c>
    </row>
    <row r="3" spans="1:27" ht="24" customHeight="1" thickBot="1" x14ac:dyDescent="0.3">
      <c r="A3" s="203" t="s">
        <v>251</v>
      </c>
      <c r="B3" s="161"/>
      <c r="C3" s="70" t="s">
        <v>177</v>
      </c>
      <c r="R3" s="42" t="str">
        <f t="shared" si="0"/>
        <v>Risk Sub Type  - The Risk Sub-Category from the SHUSA ERM Risk Taxonomy</v>
      </c>
    </row>
    <row r="4" spans="1:27" ht="31.5" customHeight="1" thickBot="1" x14ac:dyDescent="0.3">
      <c r="A4" s="203" t="s">
        <v>252</v>
      </c>
      <c r="B4" s="161"/>
      <c r="C4" s="73" t="s">
        <v>544</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t="s">
        <v>562</v>
      </c>
      <c r="B9" s="212"/>
      <c r="C9" s="213"/>
      <c r="Q9" s="38" t="str">
        <f>A9</f>
        <v xml:space="preserve">Preventative controls include strong approval procedures at a corporate and unit level. Detective controls include reviews of products &amp; exposures every 4 months from Compliance and monthly by Investment Committees, Oversight by applicable Committees and Internal Audit on a yearly basis. </v>
      </c>
    </row>
    <row r="10" spans="1:27" ht="180" customHeight="1" thickBot="1" x14ac:dyDescent="0.3">
      <c r="A10" s="41" t="s">
        <v>490</v>
      </c>
      <c r="B10" s="223" t="s">
        <v>546</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147" customHeight="1" thickBot="1" x14ac:dyDescent="0.3">
      <c r="A12" s="204" t="s">
        <v>545</v>
      </c>
      <c r="B12" s="205"/>
      <c r="C12" s="206"/>
      <c r="Q12" s="38" t="str">
        <f>A12</f>
        <v xml:space="preserve">As an alternative to diversify investment portfolios,  BSI maintains an "open architecture" of products.  Additionally, BSI recommends a variety of third party products and mutual funds according to clients investment needs and preferences. These investments are managed by a third party Mutual Funds and Corporate due diligences is performed periodically. The risk of losses could arise from accidental or intentional failure of following their own governing document  (Prospectus, marketing material, investment policies).
Controls include preventative and detective controls performed by Compliance with Investment Committee oversight.  
There is no history of such events at directed by BSI with the exception being the global fraud case related to a Single Manager Hedge Fund (Madoff).  Based on past events and the current exposure to one single fund ($200MM) the estimate of the largest stressed loss could be $5-50MM. 
</v>
      </c>
    </row>
  </sheetData>
  <sheetProtection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2D050"/>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Operational</v>
      </c>
    </row>
    <row r="2" spans="1:27" ht="30.75" customHeight="1" thickBot="1" x14ac:dyDescent="0.3">
      <c r="A2" s="201" t="s">
        <v>255</v>
      </c>
      <c r="B2" s="202"/>
      <c r="C2" s="90" t="s">
        <v>31</v>
      </c>
      <c r="R2" s="42" t="str">
        <f t="shared" ref="R2:R7" si="0">A2</f>
        <v>Risk Type  - The Risk Type from the SHUSA ERM Risk Taxonomy</v>
      </c>
    </row>
    <row r="3" spans="1:27" ht="37.5" customHeight="1" thickBot="1" x14ac:dyDescent="0.3">
      <c r="A3" s="203" t="s">
        <v>251</v>
      </c>
      <c r="B3" s="161"/>
      <c r="C3" s="70" t="s">
        <v>178</v>
      </c>
      <c r="R3" s="42" t="str">
        <f t="shared" si="0"/>
        <v>Risk Sub Type  - The Risk Sub-Category from the SHUSA ERM Risk Taxonomy</v>
      </c>
    </row>
    <row r="4" spans="1:27" ht="45" customHeight="1" thickBot="1" x14ac:dyDescent="0.3">
      <c r="A4" s="203" t="s">
        <v>252</v>
      </c>
      <c r="B4" s="161"/>
      <c r="C4" s="73" t="s">
        <v>547</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t="s">
        <v>548</v>
      </c>
      <c r="B9" s="212"/>
      <c r="C9" s="213"/>
      <c r="Q9" s="38" t="str">
        <f>A9</f>
        <v>Preventative controls include strong approval procedures and continuing education &amp; training of personnel. Detective controls include reviews of products &amp; exposures every 4 months, Oversight by applicable Committees and Internal Audit on a yearly basis.</v>
      </c>
    </row>
    <row r="10" spans="1:27" ht="114" customHeight="1" thickBot="1" x14ac:dyDescent="0.3">
      <c r="A10" s="41" t="s">
        <v>490</v>
      </c>
      <c r="B10" s="204" t="s">
        <v>666</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138" customHeight="1" thickBot="1" x14ac:dyDescent="0.3">
      <c r="A12" s="204" t="s">
        <v>667</v>
      </c>
      <c r="B12" s="205"/>
      <c r="C12" s="206"/>
      <c r="Q12" s="38" t="str">
        <f>A12</f>
        <v xml:space="preserve">BSI designed products based on specific customer requests and ideas.  These products are mainly structured notes to UHNW clients and they invest large amount in this asset type, for instance,  20 clients have approximately $300MM invested. 
The risk of losses could arise from accidental breaches in the commercialization of Reverse Convertibles, Autocallables, and any other Complex Structure, (including fiduciary or suitability requirements). This Asset Type has been defined as Special Monitoring asset type and exposures are reviewed every 4 months. Controls also include oversight by committees and internal audit.
There are no history of such events at BSI. Based on external events (Santander Securities of Puerto Rico ) in the past, regulatory fines for deficiencies in the structured product business could be $1-$5MM.  In addition, due to the sensibility of the product and the type of client, any issue could lead to litigation and client reimbursement additional losses in the range of  $5-$50MM.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92D050"/>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Operational</v>
      </c>
    </row>
    <row r="2" spans="1:27" ht="30.75" customHeight="1" thickBot="1" x14ac:dyDescent="0.3">
      <c r="A2" s="201" t="s">
        <v>255</v>
      </c>
      <c r="B2" s="202"/>
      <c r="C2" s="90" t="s">
        <v>31</v>
      </c>
      <c r="R2" s="42" t="str">
        <f t="shared" ref="R2:R7" si="0">A2</f>
        <v>Risk Type  - The Risk Type from the SHUSA ERM Risk Taxonomy</v>
      </c>
    </row>
    <row r="3" spans="1:27" ht="48" customHeight="1" thickBot="1" x14ac:dyDescent="0.3">
      <c r="A3" s="203" t="s">
        <v>251</v>
      </c>
      <c r="B3" s="161"/>
      <c r="C3" s="70" t="s">
        <v>186</v>
      </c>
      <c r="R3" s="42" t="str">
        <f t="shared" si="0"/>
        <v>Risk Sub Type  - The Risk Sub-Category from the SHUSA ERM Risk Taxonomy</v>
      </c>
    </row>
    <row r="4" spans="1:27" ht="31.5" customHeight="1" thickBot="1" x14ac:dyDescent="0.3">
      <c r="A4" s="203" t="s">
        <v>252</v>
      </c>
      <c r="B4" s="161"/>
      <c r="C4" s="73" t="s">
        <v>549</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t="s">
        <v>609</v>
      </c>
      <c r="B9" s="212"/>
      <c r="C9" s="213"/>
      <c r="Q9" s="38" t="str">
        <f>A9</f>
        <v>Preventative Controls and mitigation include Business Continuity Plan and Insurance Policies. BSI is in the process updating its physical inventory.</v>
      </c>
    </row>
    <row r="10" spans="1:27" ht="192" customHeight="1" thickBot="1" x14ac:dyDescent="0.3">
      <c r="A10" s="41" t="s">
        <v>490</v>
      </c>
      <c r="B10" s="204" t="s">
        <v>704</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167.25" customHeight="1" thickBot="1" x14ac:dyDescent="0.3">
      <c r="A12" s="204" t="s">
        <v>703</v>
      </c>
      <c r="B12" s="205"/>
      <c r="C12" s="206"/>
      <c r="Q12" s="38" t="str">
        <f>A12</f>
        <v xml:space="preserve">BSI resides in a rented office space from the Group company that owns the building.  BSI is in the process of purchasing the building from the Group.  BSI does own the furniture and equipment. There are currently insurance policies in place. However, the risk of loss is arising  in the case of the total loss/damage to the assets and the insurance coverage not being sufficient to cover the replacement cost, especially after the on-going renovations ( BSI is in the process updating its physical inventory).
Current controls include a detailed and tested Business Continuity Plan (BCP) and the insurance policy. 
The expected annual loss is $0MM as currently there is no provision booked for operational losses due to damage to physical assets. Based on operations loss history 2008-2014 there were no annual  losses exceeding $1MM for damage to physical assets.
The potential stressed scenario could be losing the building completely in the case of major hurricane with all the furniture and equipment's and having to rebuild.  The loss estimate would be the insurance coverage gap - the difference between the market value of the assets and the insurance payout. Based on recent renovation cost  (~ $2MM per floor)  and the insurance policy can cover up to $23.2MM (Miami Office Only). Potentially we might have a gap of $1-5MM.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92D050"/>
    <pageSetUpPr fitToPage="1"/>
  </sheetPr>
  <dimension ref="A1:AA12"/>
  <sheetViews>
    <sheetView view="pageLayout" zoomScaleNormal="100" workbookViewId="0">
      <selection activeCell="A11" sqref="A11: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Operational</v>
      </c>
    </row>
    <row r="2" spans="1:27" ht="30.75" customHeight="1" thickBot="1" x14ac:dyDescent="0.3">
      <c r="A2" s="201" t="s">
        <v>255</v>
      </c>
      <c r="B2" s="202"/>
      <c r="C2" s="90" t="s">
        <v>31</v>
      </c>
      <c r="R2" s="42" t="str">
        <f t="shared" ref="R2:R7" si="0">A2</f>
        <v>Risk Type  - The Risk Type from the SHUSA ERM Risk Taxonomy</v>
      </c>
    </row>
    <row r="3" spans="1:27" ht="39" customHeight="1" thickBot="1" x14ac:dyDescent="0.3">
      <c r="A3" s="203" t="s">
        <v>251</v>
      </c>
      <c r="B3" s="161"/>
      <c r="C3" s="70" t="s">
        <v>192</v>
      </c>
      <c r="R3" s="42" t="str">
        <f t="shared" si="0"/>
        <v>Risk Sub Type  - The Risk Sub-Category from the SHUSA ERM Risk Taxonomy</v>
      </c>
    </row>
    <row r="4" spans="1:27" ht="31.5" customHeight="1" thickBot="1" x14ac:dyDescent="0.3">
      <c r="A4" s="203" t="s">
        <v>252</v>
      </c>
      <c r="B4" s="161"/>
      <c r="C4" s="73" t="s">
        <v>550</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t="s">
        <v>551</v>
      </c>
      <c r="B9" s="212"/>
      <c r="C9" s="213"/>
      <c r="Q9" s="38" t="str">
        <f>A9</f>
        <v xml:space="preserve">Controls include: associate training, dual validation, trading limits, management reviews , escalation process for large transfers. </v>
      </c>
    </row>
    <row r="10" spans="1:27" ht="183.75" customHeight="1" thickBot="1" x14ac:dyDescent="0.3">
      <c r="A10" s="41" t="s">
        <v>490</v>
      </c>
      <c r="B10" s="204" t="s">
        <v>714</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185.25" customHeight="1" thickBot="1" x14ac:dyDescent="0.3">
      <c r="A12" s="204" t="s">
        <v>715</v>
      </c>
      <c r="B12" s="205"/>
      <c r="C12" s="206"/>
      <c r="Q12" s="38" t="str">
        <f>A12</f>
        <v>BSI performs trading and wire transfers with average daily ~720 wire transactions, average  $244K per transfer. Manual or systems errors could happen when processing the transactions. The risk of losses is arising mainly due to the nature of BSI private banking transactions  where large dollar wire transfer and investment trades are involved.   
Controls include: associate training, dual validation, trading limits, management reviews , escalation process for large transfers. 
The expected annual loss for trade/wire transfer errors is $0MM, there are no past operational loss events larger than $1MM annual losses ( operational loss history 2009-2014).
In the stress scenario case an error in a larger transaction or few smaller instances could potentially bring $1-$5MM losses.  The estimate is based assuming few smaller events happen during the year. The operational loss history shows and average loss $230K per year related to Execution, Delivery, and Process Management. Also,  based on BSI daily transaction volume - average ~258 daily transfers  and dollar amount per wire transfer  ($244K). Also, loss events at affiliated entitles were taken into account as an example.</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92D050"/>
    <pageSetUpPr fitToPage="1"/>
  </sheetPr>
  <dimension ref="A1:AA12"/>
  <sheetViews>
    <sheetView view="pageLayout" zoomScaleNormal="100" workbookViewId="0">
      <selection activeCell="A11" sqref="A11: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Operational</v>
      </c>
    </row>
    <row r="2" spans="1:27" ht="30.75" customHeight="1" thickBot="1" x14ac:dyDescent="0.3">
      <c r="A2" s="201" t="s">
        <v>255</v>
      </c>
      <c r="B2" s="202"/>
      <c r="C2" s="90" t="s">
        <v>31</v>
      </c>
      <c r="R2" s="42" t="str">
        <f t="shared" ref="R2:R7" si="0">A2</f>
        <v>Risk Type  - The Risk Type from the SHUSA ERM Risk Taxonomy</v>
      </c>
    </row>
    <row r="3" spans="1:27" ht="57.75" customHeight="1" thickBot="1" x14ac:dyDescent="0.3">
      <c r="A3" s="203" t="s">
        <v>251</v>
      </c>
      <c r="B3" s="161"/>
      <c r="C3" s="70" t="s">
        <v>563</v>
      </c>
      <c r="R3" s="42" t="str">
        <f t="shared" si="0"/>
        <v>Risk Sub Type  - The Risk Sub-Category from the SHUSA ERM Risk Taxonomy</v>
      </c>
    </row>
    <row r="4" spans="1:27" ht="31.5" customHeight="1" thickBot="1" x14ac:dyDescent="0.3">
      <c r="A4" s="203" t="s">
        <v>252</v>
      </c>
      <c r="B4" s="161"/>
      <c r="C4" s="73" t="s">
        <v>552</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t="s">
        <v>672</v>
      </c>
      <c r="B9" s="212"/>
      <c r="C9" s="213"/>
      <c r="Q9" s="38" t="str">
        <f>A9</f>
        <v xml:space="preserve">Current controls include trading limits, transaction reviews by the back office and approvals. Errors show on clients account and help to detect any unauthorized activity; Associate Training; </v>
      </c>
    </row>
    <row r="10" spans="1:27" ht="149.25" customHeight="1" thickBot="1" x14ac:dyDescent="0.3">
      <c r="A10" s="41" t="s">
        <v>490</v>
      </c>
      <c r="B10" s="204" t="s">
        <v>607</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183" customHeight="1" thickBot="1" x14ac:dyDescent="0.3">
      <c r="A12" s="204" t="s">
        <v>608</v>
      </c>
      <c r="B12" s="205"/>
      <c r="C12" s="206"/>
      <c r="Q12" s="38" t="str">
        <f>A12</f>
        <v xml:space="preserve"> The level of trust involved in the client-banker relationship and large transactions (avg. $244K per transfer) make it very susceptible to fraud. Internal fraud can occur when bankers are making unauthorized transactions or traders are making unauthorized trades with the purpose to benefit (embezzlement of client money, manipulating dormant accounts) or to cover up a mistake, especially in a discretionary portfolios.  Unauthorized treasury trades on the bank's book can also occur and lead to losses before the activity is noticed by the back office. The losses from unauthorized trades could be a compensation to the client or trading losses in unhedged positions. 
Current controls include trading limits, transaction reviews and approvals. 
The estimated annual loss is $0 as BSI has strong controls in place and there is no history of such operational loss events exceeding $1MM annually (Operational loss data history 2009-2014).
In the stressed scenario internal fraud transactions could lead to $5-$50MM losses. The estimate is based considering single trader limits for capital markets/mutual funds ($30-$50MM) or a treasury trade scenario where the FX/Derivatives trade could be a very  large position and with market volatility could lead to $5-$50MM losses before it gets noticed by the back office.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92D050"/>
    <pageSetUpPr fitToPage="1"/>
  </sheetPr>
  <dimension ref="A1:AA12"/>
  <sheetViews>
    <sheetView view="pageLayout" zoomScaleNormal="100" workbookViewId="0">
      <selection activeCell="A11" sqref="A11: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Operational</v>
      </c>
    </row>
    <row r="2" spans="1:27" ht="30.75" customHeight="1" thickBot="1" x14ac:dyDescent="0.3">
      <c r="A2" s="201" t="s">
        <v>255</v>
      </c>
      <c r="B2" s="202"/>
      <c r="C2" s="90" t="s">
        <v>31</v>
      </c>
      <c r="R2" s="42" t="str">
        <f t="shared" ref="R2:R7" si="0">A2</f>
        <v>Risk Type  - The Risk Type from the SHUSA ERM Risk Taxonomy</v>
      </c>
    </row>
    <row r="3" spans="1:27" ht="24" customHeight="1" thickBot="1" x14ac:dyDescent="0.3">
      <c r="A3" s="203" t="s">
        <v>251</v>
      </c>
      <c r="B3" s="161"/>
      <c r="C3" s="70" t="s">
        <v>169</v>
      </c>
      <c r="R3" s="42" t="str">
        <f t="shared" si="0"/>
        <v>Risk Sub Type  - The Risk Sub-Category from the SHUSA ERM Risk Taxonomy</v>
      </c>
    </row>
    <row r="4" spans="1:27" ht="31.5" customHeight="1" thickBot="1" x14ac:dyDescent="0.3">
      <c r="A4" s="203" t="s">
        <v>252</v>
      </c>
      <c r="B4" s="161"/>
      <c r="C4" s="73" t="s">
        <v>401</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t="s">
        <v>671</v>
      </c>
      <c r="B9" s="212"/>
      <c r="C9" s="213"/>
      <c r="Q9" s="38" t="str">
        <f>A9</f>
        <v>The controls include associate training and third party OFAC screening, SAR reports,  OFAC due diligence programs are designed to detect and report money laundering and terrorist financing and the existence of the proceeds of foreign corruption.</v>
      </c>
    </row>
    <row r="10" spans="1:27" ht="171" customHeight="1" thickBot="1" x14ac:dyDescent="0.3">
      <c r="A10" s="41" t="s">
        <v>490</v>
      </c>
      <c r="B10" s="204" t="s">
        <v>712</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168" customHeight="1" thickBot="1" x14ac:dyDescent="0.3">
      <c r="A12" s="204" t="s">
        <v>713</v>
      </c>
      <c r="B12" s="205"/>
      <c r="C12" s="206"/>
      <c r="Q12" s="38" t="str">
        <f>A12</f>
        <v>The risk of bribery &amp; corruption is arising due to BSI international business nature - large transactions with clients  identified as having high foreign corruption index rates, including high ranking public officials. BSI is  exposed to jurisdictions considered to be of high risk for money laundering crimes, as categorized in various reputable publications, such as the Transparency International Corruption Perception Index (CPI). The loss could arise from frozen client accounts,  fines, litigation expense and loss of  clients.  
OFAC due diligence programs are designed to detect and report money laundering and terrorist financing and the existence of the proceeds of foreign corruption.
The expected annual loss is $0MM. BSI has  effective controls and no history of such events.
In the stressed scenario if BSI finds itself associated with bribery &amp; corruption case the losses could be $1-5MM based on the transaction volume amounts with high-risk countries (~29% of total annual transactions), transaction volume(~258 daily transfers) and the average of $240K per wire transfer, average daily trades 3,689, events at other Santander entities and other peer banks. Per OFAC Risk 2014 Assessment there were 8 SARs filed related to negative media (foreign corruption). The loss asse</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rgb="FF92D050"/>
    <pageSetUpPr fitToPage="1"/>
  </sheetPr>
  <dimension ref="A1:AA12"/>
  <sheetViews>
    <sheetView view="pageLayout" zoomScaleNormal="100" workbookViewId="0">
      <selection activeCell="A11" sqref="A11: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Operational</v>
      </c>
    </row>
    <row r="2" spans="1:27" ht="30.75" customHeight="1" thickBot="1" x14ac:dyDescent="0.3">
      <c r="A2" s="201" t="s">
        <v>255</v>
      </c>
      <c r="B2" s="202"/>
      <c r="C2" s="90" t="s">
        <v>31</v>
      </c>
      <c r="R2" s="42" t="str">
        <f t="shared" ref="R2:R7" si="0">A2</f>
        <v>Risk Type  - The Risk Type from the SHUSA ERM Risk Taxonomy</v>
      </c>
    </row>
    <row r="3" spans="1:27" ht="24" customHeight="1" thickBot="1" x14ac:dyDescent="0.3">
      <c r="A3" s="203" t="s">
        <v>251</v>
      </c>
      <c r="B3" s="161"/>
      <c r="C3" s="70" t="s">
        <v>172</v>
      </c>
      <c r="R3" s="42" t="str">
        <f t="shared" si="0"/>
        <v>Risk Sub Type  - The Risk Sub-Category from the SHUSA ERM Risk Taxonomy</v>
      </c>
    </row>
    <row r="4" spans="1:27" ht="31.5" customHeight="1" thickBot="1" x14ac:dyDescent="0.3">
      <c r="A4" s="203" t="s">
        <v>252</v>
      </c>
      <c r="B4" s="161"/>
      <c r="C4" s="73" t="s">
        <v>553</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t="s">
        <v>670</v>
      </c>
      <c r="B9" s="212"/>
      <c r="C9" s="213"/>
      <c r="Q9" s="38" t="str">
        <f>A9</f>
        <v>Controls include IT Security Controls and Assessments,  Client Identity verification process, Client Documentation Updates Log and reviews, Compliance reviews, OFAC filter for the third party contracts, SAR reports, Vendor management process and assessment.</v>
      </c>
    </row>
    <row r="10" spans="1:27" ht="144" customHeight="1" thickBot="1" x14ac:dyDescent="0.3">
      <c r="A10" s="41" t="s">
        <v>490</v>
      </c>
      <c r="B10" s="204" t="s">
        <v>710</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173.25" customHeight="1" thickBot="1" x14ac:dyDescent="0.3">
      <c r="A12" s="204" t="s">
        <v>711</v>
      </c>
      <c r="B12" s="205"/>
      <c r="C12" s="206"/>
      <c r="Q12" s="38" t="str">
        <f>A12</f>
        <v xml:space="preserve">Private banking clients are wealthy individuals with large cash balances in their accounts that often makes them a desirable target for external fraud. The risk is arising from referral agents or any third party that could have knowledge of the client's account info. A third party that has an advisory/ asset management or discretion management over the account for the client e.g. custody agreements, could commit identity theft or other type of deception to steal the client's money. The loss for the bank is potentially having to reimburse the client. 
Current controls in place include associate training, compliances reviews of the third party contracts that also have to pass OFAC filter. 
Annual expected loss is $0MM, no Hisitory of material events. 
In a stress scenario the losses could amount to $5-$50MM  based on client account large cash balances, average daily transfers (258) and largest top 10 transfers being $10MM-$30MM, as well as external fraud attempts that were prevented by BSI controls. In 2014 BSI filed 25 SARs related to wire transfer fraud attempts.  Assessment is based considering few smaller instances per year. OFAC 2014 Annual Assessment, Operational Loss history was used for the loss assessment. </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92D050"/>
    <pageSetUpPr fitToPage="1"/>
  </sheetPr>
  <dimension ref="A1:AA12"/>
  <sheetViews>
    <sheetView view="pageLayout" topLeftCell="A6"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Compliance</v>
      </c>
    </row>
    <row r="2" spans="1:27" ht="30.75" customHeight="1" thickBot="1" x14ac:dyDescent="0.3">
      <c r="A2" s="201" t="s">
        <v>255</v>
      </c>
      <c r="B2" s="202"/>
      <c r="C2" s="90" t="s">
        <v>11</v>
      </c>
      <c r="R2" s="42" t="str">
        <f t="shared" ref="R2:R7" si="0">A2</f>
        <v>Risk Type  - The Risk Type from the SHUSA ERM Risk Taxonomy</v>
      </c>
    </row>
    <row r="3" spans="1:27" ht="24" customHeight="1" thickBot="1" x14ac:dyDescent="0.3">
      <c r="A3" s="203" t="s">
        <v>251</v>
      </c>
      <c r="B3" s="161"/>
      <c r="C3" s="70" t="s">
        <v>125</v>
      </c>
      <c r="R3" s="42" t="str">
        <f t="shared" si="0"/>
        <v>Risk Sub Type  - The Risk Sub-Category from the SHUSA ERM Risk Taxonomy</v>
      </c>
    </row>
    <row r="4" spans="1:27" ht="84.75" customHeight="1" thickBot="1" x14ac:dyDescent="0.3">
      <c r="A4" s="203" t="s">
        <v>252</v>
      </c>
      <c r="B4" s="161"/>
      <c r="C4" s="73" t="s">
        <v>554</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07.25" customHeight="1" thickBot="1" x14ac:dyDescent="0.3">
      <c r="A9" s="211" t="s">
        <v>606</v>
      </c>
      <c r="B9" s="212"/>
      <c r="C9" s="213"/>
      <c r="Q9" s="38" t="str">
        <f>A9</f>
        <v>Controls include AML/OFAC monitoring processes in accordance to the banks BSA/AML policies and procedures, Compliance &amp; Audit Committees,  the Internal Audit program and  the AML/OFAC oversight program conducted by the Federal Reserve Bank of Atlanta.
Based on the overall elevated level of inherent risk, BSI has implemented a comprehensive BSA/AML Compliance Program containing strong compensating controls that encompass appropriate risk-focused policies, procedures, and processes associated with the bank’s customers, products, services, and geographic locations. The strength and effectiveness of these mitigating controls provide for a moderate BSA/AML/TF/OFAC overall or residual risk rating for BSI.</v>
      </c>
    </row>
    <row r="10" spans="1:27" ht="158.25" customHeight="1" thickBot="1" x14ac:dyDescent="0.3">
      <c r="A10" s="41" t="s">
        <v>490</v>
      </c>
      <c r="B10" s="204" t="s">
        <v>722</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231" customHeight="1" thickBot="1" x14ac:dyDescent="0.3">
      <c r="A12" s="204" t="s">
        <v>723</v>
      </c>
      <c r="B12" s="205"/>
      <c r="C12" s="206"/>
      <c r="Q12" s="38" t="str">
        <f>A12</f>
        <v>Given BSI  international business nature, the risk of loss ir arising  from insufficient due diligence and transaction monitoring that could potentially open the door for a undesired customer from a sanctioned country to have an account at the bank conducting AML related activies (the sub-risks of Customer Type, Geography and Products Channels are combined). This could be driven by lack of resources/technology to properly monitor customers. T BSI conducts and annual BSA/AML/OFAC Risk Assessment to document all potential risks and mitigating controls.
Controls include AML/OFAC monitoring processes in accordance to the banks BSA/AML policies and procedures, Compliance &amp; Audit Committees,  the Internal Audit program and  the AML/OFAC oversight program conducted by the Federal Reserve Bank of Atlanta.
Based on the overall elevated level of inherent risk, BSI has implemented a comprehensive BSA/AML Compliance Program containing strong compensating controls that encompass appropriate risk-focused policies, procedures, and processes associated with the bank’s customers, products, services, and geographic locations. The strength and effectiveness of these mitigating controls provide for a moderate BSA/AML/TF/OFAC overall or residual risk rating for BSI.
Annual expected loss is $0.  There are no history of such events at BSI  (Annual BSA/ AML/ OFAC Risk Assessments)
Stressed scenario: The  highest impact in a 10 year period could be a BSA/AML related fine issued by the US government/regulators. Based on external events and several of the fines that have been issued relating to AML/OFAC were to institutions who knowingly conducted illegal activities (JP Morgan case in 2011 with $88MM fin), taking this into consideration we feel that BSI would be subject to a lower worse case scenario fine $5-$50MM  due to its smaller size and strict controls and excellent track record.</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rgb="FF92D050"/>
    <pageSetUpPr fitToPage="1"/>
  </sheetPr>
  <dimension ref="A1:AA12"/>
  <sheetViews>
    <sheetView view="pageLayout" zoomScaleNormal="100" workbookViewId="0">
      <selection activeCell="A11" sqref="A11: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Compliance</v>
      </c>
    </row>
    <row r="2" spans="1:27" ht="30.75" customHeight="1" thickBot="1" x14ac:dyDescent="0.3">
      <c r="A2" s="201" t="s">
        <v>255</v>
      </c>
      <c r="B2" s="202"/>
      <c r="C2" s="90" t="s">
        <v>11</v>
      </c>
      <c r="R2" s="42" t="str">
        <f t="shared" ref="R2:R7" si="0">A2</f>
        <v>Risk Type  - The Risk Type from the SHUSA ERM Risk Taxonomy</v>
      </c>
    </row>
    <row r="3" spans="1:27" ht="24" customHeight="1" thickBot="1" x14ac:dyDescent="0.3">
      <c r="A3" s="203" t="s">
        <v>251</v>
      </c>
      <c r="B3" s="161"/>
      <c r="C3" s="70" t="s">
        <v>133</v>
      </c>
      <c r="R3" s="42" t="str">
        <f t="shared" si="0"/>
        <v>Risk Sub Type  - The Risk Sub-Category from the SHUSA ERM Risk Taxonomy</v>
      </c>
    </row>
    <row r="4" spans="1:27" ht="39.75" customHeight="1" thickBot="1" x14ac:dyDescent="0.3">
      <c r="A4" s="203" t="s">
        <v>252</v>
      </c>
      <c r="B4" s="161"/>
      <c r="C4" s="73" t="s">
        <v>555</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70.5" customHeight="1" thickBot="1" x14ac:dyDescent="0.3">
      <c r="A9" s="211" t="s">
        <v>556</v>
      </c>
      <c r="B9" s="212"/>
      <c r="C9" s="213"/>
      <c r="Q9" s="38" t="str">
        <f>A9</f>
        <v>BSI has a regulatory compliance framework that includes a regulatory risk assessment, a regulatory monitoring/testing programs which reviews all applicable  non-BSA regulations.  The frequency of these test are based on the residual risk assigned to each regulation.  The results of the monitoring are presented to the Compliance Committee which is then escalated to the current Audit and Risk Committee of the Board of Directors.</v>
      </c>
    </row>
    <row r="10" spans="1:27" ht="117" customHeight="1" thickBot="1" x14ac:dyDescent="0.3">
      <c r="A10" s="41" t="s">
        <v>490</v>
      </c>
      <c r="B10" s="204" t="s">
        <v>708</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211.5" customHeight="1" thickBot="1" x14ac:dyDescent="0.3">
      <c r="A12" s="204" t="s">
        <v>709</v>
      </c>
      <c r="B12" s="205"/>
      <c r="C12" s="206"/>
      <c r="Q12" s="38" t="str">
        <f>A12</f>
        <v xml:space="preserve"> The risk is arising from failing to act on a new regulation that affects the products and services offered at BSI.  A failure to property and timely implement new regulator requirements (e.g. current emerging rules like Volcker Rule, FATCA ) and having a non-compliance status could lead to various regulator recommendations and ultimately regulatory fines. The loss could arise from additional expense  to satisfy regulator recommendations, regulator fines  as well as loss of revenue due to restrictions on certain products or services. 
BSI has a strong regulatory compliance framework that includes a regulatory risk assessment, a regulatory monitoring/testing programs which reviews all applicable  non-BSA regulations. The controls for new emerging regulations involve assessment at different layers: at BSI or SHUSA level. 
The expected annual loss is $0MM, no history of such events at BSI. 
In the stressed scenario the loss could be $1-$5MM. The estimates is based on the cost to implement regulator recommendations for BSI size entity (e.g.  FATCA ), external sources - fines for the similar size entities or potential restrictions on BSI products and services.</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92D050"/>
    <pageSetUpPr fitToPage="1"/>
  </sheetPr>
  <dimension ref="A1:AA12"/>
  <sheetViews>
    <sheetView view="pageLayout" zoomScaleNormal="100" workbookViewId="0">
      <selection activeCell="A11" sqref="A11: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Compliance</v>
      </c>
    </row>
    <row r="2" spans="1:27" ht="30.75" customHeight="1" thickBot="1" x14ac:dyDescent="0.3">
      <c r="A2" s="201" t="s">
        <v>255</v>
      </c>
      <c r="B2" s="202"/>
      <c r="C2" s="90" t="s">
        <v>11</v>
      </c>
      <c r="R2" s="42" t="str">
        <f t="shared" ref="R2:R7" si="0">A2</f>
        <v>Risk Type  - The Risk Type from the SHUSA ERM Risk Taxonomy</v>
      </c>
    </row>
    <row r="3" spans="1:27" ht="43.5" customHeight="1" thickBot="1" x14ac:dyDescent="0.3">
      <c r="A3" s="203" t="s">
        <v>251</v>
      </c>
      <c r="B3" s="161"/>
      <c r="C3" s="70" t="s">
        <v>237</v>
      </c>
      <c r="R3" s="42" t="str">
        <f t="shared" si="0"/>
        <v>Risk Sub Type  - The Risk Sub-Category from the SHUSA ERM Risk Taxonomy</v>
      </c>
    </row>
    <row r="4" spans="1:27" ht="31.5" customHeight="1" thickBot="1" x14ac:dyDescent="0.3">
      <c r="A4" s="203" t="s">
        <v>252</v>
      </c>
      <c r="B4" s="161"/>
      <c r="C4" s="73" t="s">
        <v>557</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t="s">
        <v>604</v>
      </c>
      <c r="B9" s="212"/>
      <c r="C9" s="213"/>
      <c r="Q9" s="38" t="str">
        <f>A9</f>
        <v xml:space="preserve">The controls include quarterly  reviews  to monitor the exemption revenue (types of transactions included) to maintain the ratio above the regulatory  threshold and the escalation process to address the exemption revenue approaching the limits.
</v>
      </c>
    </row>
    <row r="10" spans="1:27" ht="154.5" customHeight="1" thickBot="1" x14ac:dyDescent="0.3">
      <c r="A10" s="41" t="s">
        <v>490</v>
      </c>
      <c r="B10" s="204" t="s">
        <v>603</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183.75" customHeight="1" thickBot="1" x14ac:dyDescent="0.3">
      <c r="A12" s="204" t="s">
        <v>605</v>
      </c>
      <c r="B12" s="205"/>
      <c r="C12" s="206"/>
      <c r="Q12" s="38" t="str">
        <f>A12</f>
        <v xml:space="preserve">Risk of non-compliance and properly executing the current regulatory requirements that affect the products and services offered at BSI.  BSI currently  utilizes the Trust and Fiduciary Activities exception from the definition of “broker" under Regulation R as long as the "exemption revenue is above the 70% of the total compensation for all securities activities regulatory limit".  Risk of non-compliance with the exception of the "broker" definition included in Regulation R would imply that BSI would have to "push-out" this type of activity to a broker-dealer and the lose the revenue from this activity. Incorrect sales practice would trigger non-compliance with the regulatory limit.
There are controls (quarterly monitoring) in place to monitor the limit and types of transactions included in this calculation and the escalation process to address the exemption revenue approaching the limits.
The expected annual loss is $0 and BSI has been successfully maintaining the exception (Reg R monitoring reports 2010-2014). 
In the stress scenario, the potential revenue lost due to using the broker - dealer could be $5-$50MM. The estimate is based on the 2013 and  2014 Reg R monitoring assessments: annual revenue from securities activities (transactional fees) is $20-$30MM.  In the stressed scenario BSI would lose this revenue. </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92D050"/>
    <pageSetUpPr fitToPage="1"/>
  </sheetPr>
  <dimension ref="A1:AA12"/>
  <sheetViews>
    <sheetView view="pageLayout" topLeftCell="A4"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t="str">
        <f>C2</f>
        <v>Model</v>
      </c>
    </row>
    <row r="2" spans="1:27" ht="30.75" customHeight="1" thickBot="1" x14ac:dyDescent="0.3">
      <c r="A2" s="201" t="s">
        <v>255</v>
      </c>
      <c r="B2" s="202"/>
      <c r="C2" s="90" t="s">
        <v>9</v>
      </c>
      <c r="R2" s="42" t="str">
        <f t="shared" ref="R2:R7" si="0">A2</f>
        <v>Risk Type  - The Risk Type from the SHUSA ERM Risk Taxonomy</v>
      </c>
    </row>
    <row r="3" spans="1:27" ht="24" customHeight="1" thickBot="1" x14ac:dyDescent="0.3">
      <c r="A3" s="203" t="s">
        <v>251</v>
      </c>
      <c r="B3" s="161"/>
      <c r="C3" s="70" t="s">
        <v>41</v>
      </c>
      <c r="R3" s="42" t="str">
        <f t="shared" si="0"/>
        <v>Risk Sub Type  - The Risk Sub-Category from the SHUSA ERM Risk Taxonomy</v>
      </c>
    </row>
    <row r="4" spans="1:27" ht="31.5" customHeight="1" thickBot="1" x14ac:dyDescent="0.3">
      <c r="A4" s="203" t="s">
        <v>252</v>
      </c>
      <c r="B4" s="161"/>
      <c r="C4" s="73" t="s">
        <v>558</v>
      </c>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t="s">
        <v>669</v>
      </c>
      <c r="B9" s="212"/>
      <c r="C9" s="213"/>
      <c r="Q9" s="38" t="str">
        <f>A9</f>
        <v>BSI controls include model control and validation: U.S. Market Risk Model Control for ALM and Liquidity Models and Head Office validation and quarterly reviews of the LV Secured Lending model annual assessment of corporate assumptions, BSI annual assessment of BSA/AML/OFAC scoring model, personnel training.</v>
      </c>
    </row>
    <row r="10" spans="1:27" ht="148.5" customHeight="1" thickBot="1" x14ac:dyDescent="0.3">
      <c r="A10" s="41" t="s">
        <v>490</v>
      </c>
      <c r="B10" s="204" t="s">
        <v>701</v>
      </c>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142.5" customHeight="1" thickBot="1" x14ac:dyDescent="0.3">
      <c r="A12" s="204" t="s">
        <v>700</v>
      </c>
      <c r="B12" s="205"/>
      <c r="C12" s="206"/>
      <c r="Q12" s="38" t="str">
        <f>A12</f>
        <v xml:space="preserve">Majority of the models currently used at BSI were developed by the parent company and assumption creation is out of BSI control. However the risk at BSI is arising from having inadequately trained personnel and misuse of the models. The most sensitive model at BSI that could lead to material potential losses is the secured lending model. Misusing the model could lead to miscalculating the underlying collateral for the lending value an breaching the internal as well as regulator set LTV limits for securities-based lending.
BSI controls include model control and validation: U.S. Market Risk Model Control for ALM and Liquidity Models and Head Office validation and quarterly reviews of the LV Secured Lending model annual assessment of corporate assumptions, BSI annual assessment of BSA/AML/OFAC scoring model, personnel training.
The assessment was done considering the secured lending model policy and taking into account  the average loan amount ( ~$800K) and annual loan volume ~$2BN. </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4"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f>C2</f>
        <v>0</v>
      </c>
    </row>
    <row r="2" spans="1:27" ht="30.75" customHeight="1" thickBot="1" x14ac:dyDescent="0.3">
      <c r="A2" s="201" t="s">
        <v>255</v>
      </c>
      <c r="B2" s="202"/>
      <c r="C2" s="90"/>
      <c r="R2" s="42" t="str">
        <f t="shared" ref="R2:R7" si="0">A2</f>
        <v>Risk Type  - The Risk Type from the SHUSA ERM Risk Taxonomy</v>
      </c>
    </row>
    <row r="3" spans="1:27" ht="24" customHeight="1" thickBot="1" x14ac:dyDescent="0.3">
      <c r="A3" s="203" t="s">
        <v>251</v>
      </c>
      <c r="B3" s="161"/>
      <c r="C3" s="70"/>
      <c r="R3" s="42" t="str">
        <f t="shared" si="0"/>
        <v>Risk Sub Type  - The Risk Sub-Category from the SHUSA ERM Risk Taxonomy</v>
      </c>
    </row>
    <row r="4" spans="1:27" ht="31.5" customHeight="1" thickBot="1" x14ac:dyDescent="0.3">
      <c r="A4" s="203" t="s">
        <v>252</v>
      </c>
      <c r="B4" s="161"/>
      <c r="C4" s="73"/>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c r="B9" s="212"/>
      <c r="C9" s="213"/>
      <c r="Q9" s="38">
        <f>A9</f>
        <v>0</v>
      </c>
    </row>
    <row r="10" spans="1:27" ht="81.75" customHeight="1" thickBot="1" x14ac:dyDescent="0.3">
      <c r="A10" s="41" t="s">
        <v>490</v>
      </c>
      <c r="B10" s="204"/>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5"/>
      <c r="C12" s="206"/>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f>C2</f>
        <v>0</v>
      </c>
    </row>
    <row r="2" spans="1:27" ht="30.75" customHeight="1" thickBot="1" x14ac:dyDescent="0.3">
      <c r="A2" s="201" t="s">
        <v>255</v>
      </c>
      <c r="B2" s="202"/>
      <c r="C2" s="90"/>
      <c r="R2" s="42" t="str">
        <f t="shared" ref="R2:R7" si="0">A2</f>
        <v>Risk Type  - The Risk Type from the SHUSA ERM Risk Taxonomy</v>
      </c>
    </row>
    <row r="3" spans="1:27" ht="24" customHeight="1" thickBot="1" x14ac:dyDescent="0.3">
      <c r="A3" s="203" t="s">
        <v>251</v>
      </c>
      <c r="B3" s="161"/>
      <c r="C3" s="70"/>
      <c r="R3" s="42" t="str">
        <f t="shared" si="0"/>
        <v>Risk Sub Type  - The Risk Sub-Category from the SHUSA ERM Risk Taxonomy</v>
      </c>
    </row>
    <row r="4" spans="1:27" ht="31.5" customHeight="1" thickBot="1" x14ac:dyDescent="0.3">
      <c r="A4" s="203" t="s">
        <v>252</v>
      </c>
      <c r="B4" s="161"/>
      <c r="C4" s="73"/>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c r="B9" s="212"/>
      <c r="C9" s="213"/>
      <c r="Q9" s="38">
        <f>A9</f>
        <v>0</v>
      </c>
    </row>
    <row r="10" spans="1:27" ht="81.75" customHeight="1" thickBot="1" x14ac:dyDescent="0.3">
      <c r="A10" s="41" t="s">
        <v>490</v>
      </c>
      <c r="B10" s="204"/>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5"/>
      <c r="C12" s="206"/>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f>C2</f>
        <v>0</v>
      </c>
    </row>
    <row r="2" spans="1:27" ht="30.75" customHeight="1" thickBot="1" x14ac:dyDescent="0.3">
      <c r="A2" s="201" t="s">
        <v>255</v>
      </c>
      <c r="B2" s="202"/>
      <c r="C2" s="90"/>
      <c r="R2" s="42" t="str">
        <f t="shared" ref="R2:R7" si="0">A2</f>
        <v>Risk Type  - The Risk Type from the SHUSA ERM Risk Taxonomy</v>
      </c>
    </row>
    <row r="3" spans="1:27" ht="24" customHeight="1" thickBot="1" x14ac:dyDescent="0.3">
      <c r="A3" s="203" t="s">
        <v>251</v>
      </c>
      <c r="B3" s="161"/>
      <c r="C3" s="70"/>
      <c r="R3" s="42" t="str">
        <f t="shared" si="0"/>
        <v>Risk Sub Type  - The Risk Sub-Category from the SHUSA ERM Risk Taxonomy</v>
      </c>
    </row>
    <row r="4" spans="1:27" ht="31.5" customHeight="1" thickBot="1" x14ac:dyDescent="0.3">
      <c r="A4" s="203" t="s">
        <v>252</v>
      </c>
      <c r="B4" s="161"/>
      <c r="C4" s="73"/>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c r="B9" s="212"/>
      <c r="C9" s="213"/>
      <c r="Q9" s="38">
        <f>A9</f>
        <v>0</v>
      </c>
    </row>
    <row r="10" spans="1:27" ht="81.75" customHeight="1" thickBot="1" x14ac:dyDescent="0.3">
      <c r="A10" s="41" t="s">
        <v>490</v>
      </c>
      <c r="B10" s="204"/>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5"/>
      <c r="C12" s="206"/>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485</v>
      </c>
      <c r="B1" s="161"/>
      <c r="C1" s="73"/>
      <c r="Q1" s="81"/>
      <c r="R1" s="81"/>
      <c r="AA1" s="39">
        <f>C2</f>
        <v>0</v>
      </c>
    </row>
    <row r="2" spans="1:27" ht="30.75" customHeight="1" thickBot="1" x14ac:dyDescent="0.3">
      <c r="A2" s="201" t="s">
        <v>255</v>
      </c>
      <c r="B2" s="202"/>
      <c r="C2" s="90"/>
      <c r="R2" s="42" t="str">
        <f t="shared" ref="R2:R7" si="0">A2</f>
        <v>Risk Type  - The Risk Type from the SHUSA ERM Risk Taxonomy</v>
      </c>
    </row>
    <row r="3" spans="1:27" ht="24" customHeight="1" thickBot="1" x14ac:dyDescent="0.3">
      <c r="A3" s="203" t="s">
        <v>251</v>
      </c>
      <c r="B3" s="161"/>
      <c r="C3" s="70"/>
      <c r="R3" s="42" t="str">
        <f t="shared" si="0"/>
        <v>Risk Sub Type  - The Risk Sub-Category from the SHUSA ERM Risk Taxonomy</v>
      </c>
    </row>
    <row r="4" spans="1:27" ht="31.5" customHeight="1" thickBot="1" x14ac:dyDescent="0.3">
      <c r="A4" s="203" t="s">
        <v>252</v>
      </c>
      <c r="B4" s="161"/>
      <c r="C4" s="73"/>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c r="B9" s="212"/>
      <c r="C9" s="213"/>
      <c r="Q9" s="38">
        <f>A9</f>
        <v>0</v>
      </c>
    </row>
    <row r="10" spans="1:27" ht="81.75" customHeight="1" thickBot="1" x14ac:dyDescent="0.3">
      <c r="A10" s="41" t="s">
        <v>490</v>
      </c>
      <c r="B10" s="204"/>
      <c r="C10" s="208"/>
    </row>
    <row r="11" spans="1:27" ht="31.5" customHeight="1" thickBot="1" x14ac:dyDescent="0.3">
      <c r="A11" s="200" t="s">
        <v>254</v>
      </c>
      <c r="B11" s="209"/>
      <c r="C11" s="21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5"/>
      <c r="C12" s="206"/>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0" t="s">
        <v>485</v>
      </c>
      <c r="B1" s="161"/>
      <c r="C1" s="73"/>
      <c r="AA1" s="39">
        <f>C2</f>
        <v>0</v>
      </c>
    </row>
    <row r="2" spans="1:27" ht="30.75" customHeight="1" thickBot="1" x14ac:dyDescent="0.3">
      <c r="A2" s="201" t="s">
        <v>255</v>
      </c>
      <c r="B2" s="202"/>
      <c r="C2" s="90"/>
      <c r="R2" s="42" t="str">
        <f t="shared" ref="R2:R7" si="0">A2</f>
        <v>Risk Type  - The Risk Type from the SHUSA ERM Risk Taxonomy</v>
      </c>
    </row>
    <row r="3" spans="1:27" ht="24" customHeight="1" thickBot="1" x14ac:dyDescent="0.3">
      <c r="A3" s="203" t="s">
        <v>251</v>
      </c>
      <c r="B3" s="161"/>
      <c r="C3" s="70"/>
      <c r="R3" s="42" t="str">
        <f t="shared" si="0"/>
        <v>Risk Sub Type  - The Risk Sub-Category from the SHUSA ERM Risk Taxonomy</v>
      </c>
    </row>
    <row r="4" spans="1:27" ht="31.5" customHeight="1" thickBot="1" x14ac:dyDescent="0.3">
      <c r="A4" s="203" t="s">
        <v>252</v>
      </c>
      <c r="B4" s="161"/>
      <c r="C4" s="73"/>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c r="B9" s="212"/>
      <c r="C9" s="213"/>
      <c r="Q9" s="86">
        <f>A9</f>
        <v>0</v>
      </c>
    </row>
    <row r="10" spans="1:27" ht="81.75" customHeight="1" thickBot="1" x14ac:dyDescent="0.3">
      <c r="A10" s="41" t="s">
        <v>489</v>
      </c>
      <c r="B10" s="204"/>
      <c r="C10" s="208"/>
    </row>
    <row r="11" spans="1:27" ht="31.5" customHeight="1" thickBot="1" x14ac:dyDescent="0.3">
      <c r="A11" s="200" t="s">
        <v>254</v>
      </c>
      <c r="B11" s="209"/>
      <c r="C11" s="21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5"/>
      <c r="C12" s="20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0" t="s">
        <v>485</v>
      </c>
      <c r="B1" s="161"/>
      <c r="C1" s="73"/>
      <c r="AA1" s="39">
        <f>C2</f>
        <v>0</v>
      </c>
    </row>
    <row r="2" spans="1:27" ht="30.75" customHeight="1" thickBot="1" x14ac:dyDescent="0.3">
      <c r="A2" s="201" t="s">
        <v>255</v>
      </c>
      <c r="B2" s="202"/>
      <c r="C2" s="90"/>
      <c r="R2" s="42" t="str">
        <f t="shared" ref="R2:R7" si="0">A2</f>
        <v>Risk Type  - The Risk Type from the SHUSA ERM Risk Taxonomy</v>
      </c>
    </row>
    <row r="3" spans="1:27" ht="24" customHeight="1" thickBot="1" x14ac:dyDescent="0.3">
      <c r="A3" s="203" t="s">
        <v>251</v>
      </c>
      <c r="B3" s="161"/>
      <c r="C3" s="70"/>
      <c r="R3" s="42" t="str">
        <f t="shared" si="0"/>
        <v>Risk Sub Type  - The Risk Sub-Category from the SHUSA ERM Risk Taxonomy</v>
      </c>
    </row>
    <row r="4" spans="1:27" ht="31.5" customHeight="1" thickBot="1" x14ac:dyDescent="0.3">
      <c r="A4" s="203" t="s">
        <v>252</v>
      </c>
      <c r="B4" s="161"/>
      <c r="C4" s="73"/>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c r="B9" s="212"/>
      <c r="C9" s="213"/>
      <c r="Q9" s="86">
        <f>A9</f>
        <v>0</v>
      </c>
    </row>
    <row r="10" spans="1:27" ht="81.75" customHeight="1" thickBot="1" x14ac:dyDescent="0.3">
      <c r="A10" s="41" t="s">
        <v>489</v>
      </c>
      <c r="B10" s="204"/>
      <c r="C10" s="208"/>
    </row>
    <row r="11" spans="1:27" ht="31.5" customHeight="1" thickBot="1" x14ac:dyDescent="0.3">
      <c r="A11" s="200" t="s">
        <v>254</v>
      </c>
      <c r="B11" s="209"/>
      <c r="C11" s="21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5"/>
      <c r="C12" s="20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0" t="s">
        <v>485</v>
      </c>
      <c r="B1" s="161"/>
      <c r="C1" s="73"/>
      <c r="AA1" s="39">
        <f>C2</f>
        <v>0</v>
      </c>
    </row>
    <row r="2" spans="1:27" ht="30.75" customHeight="1" thickBot="1" x14ac:dyDescent="0.3">
      <c r="A2" s="201" t="s">
        <v>255</v>
      </c>
      <c r="B2" s="202"/>
      <c r="C2" s="90"/>
      <c r="R2" s="42" t="str">
        <f t="shared" ref="R2:R7" si="0">A2</f>
        <v>Risk Type  - The Risk Type from the SHUSA ERM Risk Taxonomy</v>
      </c>
    </row>
    <row r="3" spans="1:27" ht="24" customHeight="1" thickBot="1" x14ac:dyDescent="0.3">
      <c r="A3" s="203" t="s">
        <v>251</v>
      </c>
      <c r="B3" s="161"/>
      <c r="C3" s="70"/>
      <c r="R3" s="42" t="str">
        <f t="shared" si="0"/>
        <v>Risk Sub Type  - The Risk Sub-Category from the SHUSA ERM Risk Taxonomy</v>
      </c>
    </row>
    <row r="4" spans="1:27" ht="31.5" customHeight="1" thickBot="1" x14ac:dyDescent="0.3">
      <c r="A4" s="203" t="s">
        <v>252</v>
      </c>
      <c r="B4" s="161"/>
      <c r="C4" s="73"/>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c r="B9" s="212"/>
      <c r="C9" s="213"/>
      <c r="Q9" s="86">
        <f>A9</f>
        <v>0</v>
      </c>
    </row>
    <row r="10" spans="1:27" ht="81.75" customHeight="1" thickBot="1" x14ac:dyDescent="0.3">
      <c r="A10" s="41" t="s">
        <v>489</v>
      </c>
      <c r="B10" s="204"/>
      <c r="C10" s="208"/>
    </row>
    <row r="11" spans="1:27" ht="31.5" customHeight="1" thickBot="1" x14ac:dyDescent="0.3">
      <c r="A11" s="200" t="s">
        <v>254</v>
      </c>
      <c r="B11" s="209"/>
      <c r="C11" s="21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5"/>
      <c r="C12" s="20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topLeftCell="A1048576" zoomScaleNormal="100" workbookViewId="0">
      <selection activeCell="C11" sqref="C11"/>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0" t="s">
        <v>485</v>
      </c>
      <c r="B1" s="161"/>
      <c r="C1" s="73"/>
      <c r="AA1" s="39">
        <f>C2</f>
        <v>0</v>
      </c>
    </row>
    <row r="2" spans="1:27" ht="30.75" customHeight="1" thickBot="1" x14ac:dyDescent="0.3">
      <c r="A2" s="201" t="s">
        <v>255</v>
      </c>
      <c r="B2" s="202"/>
      <c r="C2" s="90"/>
      <c r="R2" s="42" t="str">
        <f t="shared" ref="R2:R7" si="0">A2</f>
        <v>Risk Type  - The Risk Type from the SHUSA ERM Risk Taxonomy</v>
      </c>
    </row>
    <row r="3" spans="1:27" ht="24" customHeight="1" thickBot="1" x14ac:dyDescent="0.3">
      <c r="A3" s="203" t="s">
        <v>251</v>
      </c>
      <c r="B3" s="161"/>
      <c r="C3" s="70"/>
      <c r="R3" s="42" t="str">
        <f t="shared" si="0"/>
        <v>Risk Sub Type  - The Risk Sub-Category from the SHUSA ERM Risk Taxonomy</v>
      </c>
    </row>
    <row r="4" spans="1:27" ht="31.5" customHeight="1" thickBot="1" x14ac:dyDescent="0.3">
      <c r="A4" s="203" t="s">
        <v>252</v>
      </c>
      <c r="B4" s="161"/>
      <c r="C4" s="73"/>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c r="B9" s="212"/>
      <c r="C9" s="213"/>
      <c r="Q9" s="86">
        <f>A9</f>
        <v>0</v>
      </c>
    </row>
    <row r="10" spans="1:27" ht="81.75" customHeight="1" thickBot="1" x14ac:dyDescent="0.3">
      <c r="A10" s="41" t="s">
        <v>489</v>
      </c>
      <c r="B10" s="204"/>
      <c r="C10" s="208"/>
    </row>
    <row r="11" spans="1:27" ht="31.5" customHeight="1" thickBot="1" x14ac:dyDescent="0.3">
      <c r="A11" s="200" t="s">
        <v>254</v>
      </c>
      <c r="B11" s="209"/>
      <c r="C11" s="21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5"/>
      <c r="C12" s="20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0" t="s">
        <v>485</v>
      </c>
      <c r="B1" s="161"/>
      <c r="C1" s="73"/>
      <c r="AA1" s="39">
        <f>C2</f>
        <v>0</v>
      </c>
    </row>
    <row r="2" spans="1:27" ht="30.75" customHeight="1" thickBot="1" x14ac:dyDescent="0.3">
      <c r="A2" s="201" t="s">
        <v>255</v>
      </c>
      <c r="B2" s="202"/>
      <c r="C2" s="90"/>
      <c r="R2" s="42" t="str">
        <f t="shared" ref="R2:R7" si="0">A2</f>
        <v>Risk Type  - The Risk Type from the SHUSA ERM Risk Taxonomy</v>
      </c>
    </row>
    <row r="3" spans="1:27" ht="24" customHeight="1" thickBot="1" x14ac:dyDescent="0.3">
      <c r="A3" s="203" t="s">
        <v>251</v>
      </c>
      <c r="B3" s="161"/>
      <c r="C3" s="70"/>
      <c r="R3" s="42" t="str">
        <f t="shared" si="0"/>
        <v>Risk Sub Type  - The Risk Sub-Category from the SHUSA ERM Risk Taxonomy</v>
      </c>
    </row>
    <row r="4" spans="1:27" ht="31.5" customHeight="1" thickBot="1" x14ac:dyDescent="0.3">
      <c r="A4" s="203" t="s">
        <v>252</v>
      </c>
      <c r="B4" s="161"/>
      <c r="C4" s="73"/>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c r="B9" s="212"/>
      <c r="C9" s="213"/>
      <c r="Q9" s="86">
        <f>A9</f>
        <v>0</v>
      </c>
    </row>
    <row r="10" spans="1:27" ht="81.75" customHeight="1" thickBot="1" x14ac:dyDescent="0.3">
      <c r="A10" s="41" t="s">
        <v>489</v>
      </c>
      <c r="B10" s="204"/>
      <c r="C10" s="208"/>
    </row>
    <row r="11" spans="1:27" ht="31.5" customHeight="1" thickBot="1" x14ac:dyDescent="0.3">
      <c r="A11" s="200" t="s">
        <v>254</v>
      </c>
      <c r="B11" s="209"/>
      <c r="C11" s="21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5"/>
      <c r="C12" s="20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0" t="s">
        <v>485</v>
      </c>
      <c r="B1" s="161"/>
      <c r="C1" s="73"/>
      <c r="AA1" s="39">
        <f>C2</f>
        <v>0</v>
      </c>
    </row>
    <row r="2" spans="1:27" ht="30.75" customHeight="1" thickBot="1" x14ac:dyDescent="0.3">
      <c r="A2" s="201" t="s">
        <v>255</v>
      </c>
      <c r="B2" s="202"/>
      <c r="C2" s="90"/>
      <c r="R2" s="42" t="str">
        <f t="shared" ref="R2:R7" si="0">A2</f>
        <v>Risk Type  - The Risk Type from the SHUSA ERM Risk Taxonomy</v>
      </c>
    </row>
    <row r="3" spans="1:27" ht="24" customHeight="1" thickBot="1" x14ac:dyDescent="0.3">
      <c r="A3" s="203" t="s">
        <v>251</v>
      </c>
      <c r="B3" s="161"/>
      <c r="C3" s="70"/>
      <c r="R3" s="42" t="str">
        <f t="shared" si="0"/>
        <v>Risk Sub Type  - The Risk Sub-Category from the SHUSA ERM Risk Taxonomy</v>
      </c>
    </row>
    <row r="4" spans="1:27" ht="31.5" customHeight="1" thickBot="1" x14ac:dyDescent="0.3">
      <c r="A4" s="203" t="s">
        <v>252</v>
      </c>
      <c r="B4" s="161"/>
      <c r="C4" s="73"/>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c r="B9" s="212"/>
      <c r="C9" s="213"/>
      <c r="Q9" s="86">
        <f>A9</f>
        <v>0</v>
      </c>
    </row>
    <row r="10" spans="1:27" ht="81.75" customHeight="1" thickBot="1" x14ac:dyDescent="0.3">
      <c r="A10" s="41" t="s">
        <v>489</v>
      </c>
      <c r="B10" s="204"/>
      <c r="C10" s="208"/>
    </row>
    <row r="11" spans="1:27" ht="31.5" customHeight="1" thickBot="1" x14ac:dyDescent="0.3">
      <c r="A11" s="200" t="s">
        <v>254</v>
      </c>
      <c r="B11" s="209"/>
      <c r="C11" s="21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5"/>
      <c r="C12" s="20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0" t="s">
        <v>485</v>
      </c>
      <c r="B1" s="161"/>
      <c r="C1" s="73"/>
      <c r="AA1" s="39">
        <f>C2</f>
        <v>0</v>
      </c>
    </row>
    <row r="2" spans="1:27" ht="30.75" customHeight="1" thickBot="1" x14ac:dyDescent="0.3">
      <c r="A2" s="201" t="s">
        <v>255</v>
      </c>
      <c r="B2" s="202"/>
      <c r="C2" s="90"/>
      <c r="R2" s="42" t="str">
        <f t="shared" ref="R2:R7" si="0">A2</f>
        <v>Risk Type  - The Risk Type from the SHUSA ERM Risk Taxonomy</v>
      </c>
    </row>
    <row r="3" spans="1:27" ht="24" customHeight="1" thickBot="1" x14ac:dyDescent="0.3">
      <c r="A3" s="203" t="s">
        <v>251</v>
      </c>
      <c r="B3" s="161"/>
      <c r="C3" s="70"/>
      <c r="R3" s="42" t="str">
        <f t="shared" si="0"/>
        <v>Risk Sub Type  - The Risk Sub-Category from the SHUSA ERM Risk Taxonomy</v>
      </c>
    </row>
    <row r="4" spans="1:27" ht="31.5" customHeight="1" thickBot="1" x14ac:dyDescent="0.3">
      <c r="A4" s="203" t="s">
        <v>252</v>
      </c>
      <c r="B4" s="161"/>
      <c r="C4" s="73"/>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c r="B9" s="212"/>
      <c r="C9" s="213"/>
      <c r="Q9" s="86">
        <f>A9</f>
        <v>0</v>
      </c>
    </row>
    <row r="10" spans="1:27" ht="81.75" customHeight="1" thickBot="1" x14ac:dyDescent="0.3">
      <c r="A10" s="41" t="s">
        <v>489</v>
      </c>
      <c r="B10" s="204"/>
      <c r="C10" s="208"/>
    </row>
    <row r="11" spans="1:27" ht="31.5" customHeight="1" thickBot="1" x14ac:dyDescent="0.3">
      <c r="A11" s="200" t="s">
        <v>254</v>
      </c>
      <c r="B11" s="209"/>
      <c r="C11" s="21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5"/>
      <c r="C12" s="20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0" t="s">
        <v>485</v>
      </c>
      <c r="B1" s="161"/>
      <c r="C1" s="73"/>
      <c r="AA1" s="39">
        <f>C2</f>
        <v>0</v>
      </c>
    </row>
    <row r="2" spans="1:27" ht="30.75" customHeight="1" thickBot="1" x14ac:dyDescent="0.3">
      <c r="A2" s="201" t="s">
        <v>255</v>
      </c>
      <c r="B2" s="202"/>
      <c r="C2" s="90"/>
      <c r="R2" s="42" t="str">
        <f t="shared" ref="R2:R7" si="0">A2</f>
        <v>Risk Type  - The Risk Type from the SHUSA ERM Risk Taxonomy</v>
      </c>
    </row>
    <row r="3" spans="1:27" ht="24" customHeight="1" thickBot="1" x14ac:dyDescent="0.3">
      <c r="A3" s="203" t="s">
        <v>251</v>
      </c>
      <c r="B3" s="161"/>
      <c r="C3" s="70"/>
      <c r="R3" s="42" t="str">
        <f t="shared" si="0"/>
        <v>Risk Sub Type  - The Risk Sub-Category from the SHUSA ERM Risk Taxonomy</v>
      </c>
    </row>
    <row r="4" spans="1:27" ht="31.5" customHeight="1" thickBot="1" x14ac:dyDescent="0.3">
      <c r="A4" s="203" t="s">
        <v>252</v>
      </c>
      <c r="B4" s="161"/>
      <c r="C4" s="73"/>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c r="B9" s="212"/>
      <c r="C9" s="213"/>
      <c r="Q9" s="86">
        <f>A9</f>
        <v>0</v>
      </c>
    </row>
    <row r="10" spans="1:27" ht="81.75" customHeight="1" thickBot="1" x14ac:dyDescent="0.3">
      <c r="A10" s="41" t="s">
        <v>489</v>
      </c>
      <c r="B10" s="204"/>
      <c r="C10" s="208"/>
    </row>
    <row r="11" spans="1:27" ht="31.5" customHeight="1" thickBot="1" x14ac:dyDescent="0.3">
      <c r="A11" s="200" t="s">
        <v>254</v>
      </c>
      <c r="B11" s="209"/>
      <c r="C11" s="21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5"/>
      <c r="C12" s="20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C11" sqref="C11"/>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0" t="s">
        <v>485</v>
      </c>
      <c r="B1" s="161"/>
      <c r="C1" s="73"/>
      <c r="AA1" s="39">
        <f>C2</f>
        <v>0</v>
      </c>
    </row>
    <row r="2" spans="1:27" ht="30.75" customHeight="1" thickBot="1" x14ac:dyDescent="0.3">
      <c r="A2" s="201" t="s">
        <v>255</v>
      </c>
      <c r="B2" s="202"/>
      <c r="C2" s="90"/>
      <c r="R2" s="42" t="str">
        <f t="shared" ref="R2:R7" si="0">A2</f>
        <v>Risk Type  - The Risk Type from the SHUSA ERM Risk Taxonomy</v>
      </c>
    </row>
    <row r="3" spans="1:27" ht="24" customHeight="1" thickBot="1" x14ac:dyDescent="0.3">
      <c r="A3" s="203" t="s">
        <v>251</v>
      </c>
      <c r="B3" s="161"/>
      <c r="C3" s="70"/>
      <c r="R3" s="42" t="str">
        <f t="shared" si="0"/>
        <v>Risk Sub Type  - The Risk Sub-Category from the SHUSA ERM Risk Taxonomy</v>
      </c>
    </row>
    <row r="4" spans="1:27" ht="31.5" customHeight="1" thickBot="1" x14ac:dyDescent="0.3">
      <c r="A4" s="203" t="s">
        <v>252</v>
      </c>
      <c r="B4" s="161"/>
      <c r="C4" s="73"/>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6" customHeight="1" thickBot="1" x14ac:dyDescent="0.3">
      <c r="A9" s="211"/>
      <c r="B9" s="212"/>
      <c r="C9" s="213"/>
      <c r="Q9" s="86">
        <f>A9</f>
        <v>0</v>
      </c>
    </row>
    <row r="10" spans="1:27" ht="81.75" customHeight="1" thickBot="1" x14ac:dyDescent="0.3">
      <c r="A10" s="41" t="s">
        <v>489</v>
      </c>
      <c r="B10" s="204"/>
      <c r="C10" s="208"/>
    </row>
    <row r="11" spans="1:27" ht="31.5" customHeight="1" thickBot="1" x14ac:dyDescent="0.3">
      <c r="A11" s="200" t="s">
        <v>254</v>
      </c>
      <c r="B11" s="209"/>
      <c r="C11" s="21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5"/>
      <c r="C12" s="20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topLeftCell="B1" zoomScaleNormal="100" workbookViewId="0">
      <selection activeCell="C11" sqref="C11"/>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ol min="17" max="18" width="4.42578125" style="86" hidden="1"/>
    <col min="19" max="16382" width="6.140625" style="39" hidden="1"/>
    <col min="16383" max="16383" width="1.7109375" style="39" hidden="1"/>
    <col min="16384" max="16384" width="6.140625" style="39" hidden="1"/>
  </cols>
  <sheetData>
    <row r="1" spans="1:27" ht="29.25" customHeight="1" thickBot="1" x14ac:dyDescent="0.3">
      <c r="A1" s="200" t="s">
        <v>485</v>
      </c>
      <c r="B1" s="161"/>
      <c r="C1" s="73"/>
      <c r="AA1" s="39">
        <f>C2</f>
        <v>0</v>
      </c>
    </row>
    <row r="2" spans="1:27" ht="30.75" customHeight="1" thickBot="1" x14ac:dyDescent="0.3">
      <c r="A2" s="201" t="s">
        <v>255</v>
      </c>
      <c r="B2" s="202"/>
      <c r="C2" s="90"/>
      <c r="R2" s="42" t="str">
        <f t="shared" ref="R2:R7" si="0">A2</f>
        <v>Risk Type  - The Risk Type from the SHUSA ERM Risk Taxonomy</v>
      </c>
    </row>
    <row r="3" spans="1:27" ht="24" customHeight="1" thickBot="1" x14ac:dyDescent="0.3">
      <c r="A3" s="203" t="s">
        <v>251</v>
      </c>
      <c r="B3" s="161"/>
      <c r="C3" s="70"/>
      <c r="R3" s="42" t="str">
        <f t="shared" si="0"/>
        <v>Risk Sub Type  - The Risk Sub-Category from the SHUSA ERM Risk Taxonomy</v>
      </c>
    </row>
    <row r="4" spans="1:27" ht="31.5" customHeight="1" thickBot="1" x14ac:dyDescent="0.3">
      <c r="A4" s="203" t="s">
        <v>252</v>
      </c>
      <c r="B4" s="161"/>
      <c r="C4" s="73"/>
      <c r="R4" s="42" t="str">
        <f t="shared" si="0"/>
        <v>Risk Name - The name of the risk which helps define it and differentiate it from other risks in other Business Lines with a similar Risk Category</v>
      </c>
    </row>
    <row r="5" spans="1:27" ht="39" customHeight="1" thickBot="1" x14ac:dyDescent="0.3">
      <c r="A5" s="203" t="s">
        <v>524</v>
      </c>
      <c r="B5" s="161"/>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3" t="s">
        <v>527</v>
      </c>
      <c r="B6" s="161"/>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07" t="s">
        <v>526</v>
      </c>
      <c r="B7" s="202"/>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00" t="s">
        <v>253</v>
      </c>
      <c r="B8" s="209"/>
      <c r="C8" s="21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1"/>
      <c r="B9" s="212"/>
      <c r="C9" s="213"/>
      <c r="Q9" s="86">
        <f>A9</f>
        <v>0</v>
      </c>
    </row>
    <row r="10" spans="1:27" ht="81.75" customHeight="1" thickBot="1" x14ac:dyDescent="0.3">
      <c r="A10" s="41" t="s">
        <v>489</v>
      </c>
      <c r="B10" s="204"/>
      <c r="C10" s="208"/>
    </row>
    <row r="11" spans="1:27" ht="31.5" customHeight="1" thickBot="1" x14ac:dyDescent="0.3">
      <c r="A11" s="200" t="s">
        <v>254</v>
      </c>
      <c r="B11" s="209"/>
      <c r="C11" s="21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5"/>
      <c r="C12" s="206"/>
      <c r="Q12" s="86">
        <f>A12</f>
        <v>0</v>
      </c>
    </row>
  </sheetData>
  <sheetProtection password="CDE2"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A167"/>
  <sheetViews>
    <sheetView view="pageBreakPreview" topLeftCell="A142" zoomScale="85" zoomScaleNormal="100" zoomScaleSheetLayoutView="85" workbookViewId="0">
      <selection activeCell="C11" sqref="C11"/>
    </sheetView>
  </sheetViews>
  <sheetFormatPr defaultColWidth="25.7109375" defaultRowHeight="15" x14ac:dyDescent="0.25"/>
  <cols>
    <col min="1" max="1" width="30.140625" style="43" customWidth="1"/>
    <col min="2" max="2" width="88.140625" style="43" customWidth="1"/>
    <col min="3" max="3" width="59.85546875" style="43" customWidth="1"/>
    <col min="4" max="16384" width="25.7109375" style="43"/>
  </cols>
  <sheetData>
    <row r="1" spans="1:27" ht="63" customHeight="1" thickBot="1" x14ac:dyDescent="0.3">
      <c r="A1" s="226" t="s">
        <v>335</v>
      </c>
      <c r="B1" s="227"/>
      <c r="C1" s="227"/>
      <c r="AA1" s="43">
        <v>0</v>
      </c>
    </row>
    <row r="2" spans="1:27" ht="15.75" thickBot="1" x14ac:dyDescent="0.3">
      <c r="A2" s="74" t="s">
        <v>226</v>
      </c>
      <c r="B2" s="75" t="s">
        <v>312</v>
      </c>
      <c r="C2" s="75" t="s">
        <v>313</v>
      </c>
    </row>
    <row r="3" spans="1:27" ht="15.75" thickBot="1" x14ac:dyDescent="0.3">
      <c r="A3" s="228" t="s">
        <v>146</v>
      </c>
      <c r="B3" s="228" t="s">
        <v>314</v>
      </c>
      <c r="C3" s="54" t="s">
        <v>315</v>
      </c>
    </row>
    <row r="4" spans="1:27" ht="15.75" thickBot="1" x14ac:dyDescent="0.3">
      <c r="A4" s="229"/>
      <c r="B4" s="229"/>
      <c r="C4" s="54" t="s">
        <v>316</v>
      </c>
    </row>
    <row r="5" spans="1:27" ht="15.75" thickBot="1" x14ac:dyDescent="0.3">
      <c r="A5" s="229"/>
      <c r="B5" s="229"/>
      <c r="C5" s="54" t="s">
        <v>317</v>
      </c>
    </row>
    <row r="6" spans="1:27" ht="15.75" thickBot="1" x14ac:dyDescent="0.3">
      <c r="A6" s="229"/>
      <c r="B6" s="229"/>
      <c r="C6" s="54" t="s">
        <v>318</v>
      </c>
    </row>
    <row r="7" spans="1:27" ht="15.75" thickBot="1" x14ac:dyDescent="0.3">
      <c r="A7" s="229"/>
      <c r="B7" s="229"/>
      <c r="C7" s="54" t="s">
        <v>319</v>
      </c>
    </row>
    <row r="8" spans="1:27" ht="15.75" thickBot="1" x14ac:dyDescent="0.3">
      <c r="A8" s="230"/>
      <c r="B8" s="230"/>
      <c r="C8" s="54" t="s">
        <v>320</v>
      </c>
    </row>
    <row r="9" spans="1:27" ht="15.75" thickBot="1" x14ac:dyDescent="0.3">
      <c r="A9" s="228" t="s">
        <v>23</v>
      </c>
      <c r="B9" s="228" t="s">
        <v>321</v>
      </c>
      <c r="C9" s="54" t="s">
        <v>322</v>
      </c>
    </row>
    <row r="10" spans="1:27" ht="15.75" thickBot="1" x14ac:dyDescent="0.3">
      <c r="A10" s="229"/>
      <c r="B10" s="229"/>
      <c r="C10" s="54" t="s">
        <v>323</v>
      </c>
    </row>
    <row r="11" spans="1:27" ht="15.75" thickBot="1" x14ac:dyDescent="0.3">
      <c r="A11" s="229"/>
      <c r="B11" s="229"/>
      <c r="C11" s="54" t="s">
        <v>324</v>
      </c>
    </row>
    <row r="12" spans="1:27" ht="15.75" thickBot="1" x14ac:dyDescent="0.3">
      <c r="A12" s="230"/>
      <c r="B12" s="230"/>
      <c r="C12" s="54" t="s">
        <v>325</v>
      </c>
    </row>
    <row r="13" spans="1:27" ht="30.75" thickBot="1" x14ac:dyDescent="0.3">
      <c r="A13" s="46" t="s">
        <v>213</v>
      </c>
      <c r="B13" s="54" t="s">
        <v>213</v>
      </c>
      <c r="C13" s="54" t="s">
        <v>213</v>
      </c>
    </row>
    <row r="14" spans="1:27" ht="15.75" thickBot="1" x14ac:dyDescent="0.3">
      <c r="A14" s="228" t="s">
        <v>10</v>
      </c>
      <c r="B14" s="228" t="s">
        <v>336</v>
      </c>
      <c r="C14" s="54" t="s">
        <v>326</v>
      </c>
    </row>
    <row r="15" spans="1:27" ht="15.75" thickBot="1" x14ac:dyDescent="0.3">
      <c r="A15" s="229"/>
      <c r="B15" s="229"/>
      <c r="C15" s="54" t="s">
        <v>327</v>
      </c>
    </row>
    <row r="16" spans="1:27" ht="15.75" thickBot="1" x14ac:dyDescent="0.3">
      <c r="A16" s="229"/>
      <c r="B16" s="229"/>
      <c r="C16" s="54" t="s">
        <v>328</v>
      </c>
    </row>
    <row r="17" spans="1:3" ht="15.75" thickBot="1" x14ac:dyDescent="0.3">
      <c r="A17" s="230"/>
      <c r="B17" s="230"/>
      <c r="C17" s="54" t="s">
        <v>329</v>
      </c>
    </row>
    <row r="18" spans="1:3" ht="15.75" thickBot="1" x14ac:dyDescent="0.3">
      <c r="A18" s="228" t="s">
        <v>22</v>
      </c>
      <c r="B18" s="228" t="s">
        <v>330</v>
      </c>
      <c r="C18" s="54" t="s">
        <v>331</v>
      </c>
    </row>
    <row r="19" spans="1:3" ht="15.75" thickBot="1" x14ac:dyDescent="0.3">
      <c r="A19" s="229"/>
      <c r="B19" s="229"/>
      <c r="C19" s="54" t="s">
        <v>332</v>
      </c>
    </row>
    <row r="20" spans="1:3" ht="15.75" thickBot="1" x14ac:dyDescent="0.3">
      <c r="A20" s="229"/>
      <c r="B20" s="229"/>
      <c r="C20" s="54" t="s">
        <v>333</v>
      </c>
    </row>
    <row r="21" spans="1:3" ht="15.75" thickBot="1" x14ac:dyDescent="0.3">
      <c r="A21" s="230"/>
      <c r="B21" s="230"/>
      <c r="C21" s="54" t="s">
        <v>337</v>
      </c>
    </row>
    <row r="22" spans="1:3" ht="15.75" thickBot="1" x14ac:dyDescent="0.3">
      <c r="A22" s="46" t="s">
        <v>222</v>
      </c>
      <c r="B22" s="54" t="s">
        <v>334</v>
      </c>
      <c r="C22" s="54" t="s">
        <v>222</v>
      </c>
    </row>
    <row r="23" spans="1:3" x14ac:dyDescent="0.25">
      <c r="A23" s="80"/>
      <c r="B23" s="80"/>
      <c r="C23" s="80"/>
    </row>
    <row r="24" spans="1:3" ht="45.75" customHeight="1" x14ac:dyDescent="0.25">
      <c r="A24" s="224" t="s">
        <v>338</v>
      </c>
      <c r="B24" s="225"/>
      <c r="C24" s="225"/>
    </row>
    <row r="25" spans="1:3" ht="16.5" thickBot="1" x14ac:dyDescent="0.3">
      <c r="A25" s="77"/>
      <c r="B25"/>
      <c r="C25"/>
    </row>
    <row r="26" spans="1:3" ht="15.75" thickBot="1" x14ac:dyDescent="0.3">
      <c r="A26" s="74" t="s">
        <v>226</v>
      </c>
      <c r="B26" s="75" t="s">
        <v>312</v>
      </c>
      <c r="C26" s="75" t="s">
        <v>313</v>
      </c>
    </row>
    <row r="27" spans="1:3" ht="15.75" thickBot="1" x14ac:dyDescent="0.3">
      <c r="A27" s="228" t="s">
        <v>145</v>
      </c>
      <c r="B27" s="228" t="s">
        <v>339</v>
      </c>
      <c r="C27" s="54" t="s">
        <v>340</v>
      </c>
    </row>
    <row r="28" spans="1:3" ht="15.75" thickBot="1" x14ac:dyDescent="0.3">
      <c r="A28" s="229"/>
      <c r="B28" s="229"/>
      <c r="C28" s="54" t="s">
        <v>341</v>
      </c>
    </row>
    <row r="29" spans="1:3" ht="15.75" thickBot="1" x14ac:dyDescent="0.3">
      <c r="A29" s="229"/>
      <c r="B29" s="229"/>
      <c r="C29" s="54" t="s">
        <v>342</v>
      </c>
    </row>
    <row r="30" spans="1:3" ht="15.75" thickBot="1" x14ac:dyDescent="0.3">
      <c r="A30" s="229"/>
      <c r="B30" s="229"/>
      <c r="C30" s="54" t="s">
        <v>28</v>
      </c>
    </row>
    <row r="31" spans="1:3" ht="15.75" thickBot="1" x14ac:dyDescent="0.3">
      <c r="A31" s="229"/>
      <c r="B31" s="229"/>
      <c r="C31" s="54" t="s">
        <v>26</v>
      </c>
    </row>
    <row r="32" spans="1:3" ht="15.75" thickBot="1" x14ac:dyDescent="0.3">
      <c r="A32" s="230"/>
      <c r="B32" s="230"/>
      <c r="C32" s="54" t="s">
        <v>343</v>
      </c>
    </row>
    <row r="33" spans="1:3" ht="15.75" x14ac:dyDescent="0.25">
      <c r="A33" s="77"/>
      <c r="B33"/>
      <c r="C33"/>
    </row>
    <row r="34" spans="1:3" ht="42" customHeight="1" x14ac:dyDescent="0.25">
      <c r="A34" s="224" t="s">
        <v>344</v>
      </c>
      <c r="B34" s="225"/>
      <c r="C34" s="225"/>
    </row>
    <row r="35" spans="1:3" ht="15.75" thickBot="1" x14ac:dyDescent="0.3">
      <c r="A35" s="44"/>
      <c r="B35"/>
      <c r="C35"/>
    </row>
    <row r="36" spans="1:3" ht="15.75" thickBot="1" x14ac:dyDescent="0.3">
      <c r="A36" s="74" t="s">
        <v>226</v>
      </c>
      <c r="B36" s="75" t="s">
        <v>312</v>
      </c>
      <c r="C36" s="75" t="s">
        <v>313</v>
      </c>
    </row>
    <row r="37" spans="1:3" ht="30.75" thickBot="1" x14ac:dyDescent="0.3">
      <c r="A37" s="46" t="s">
        <v>53</v>
      </c>
      <c r="B37" s="54" t="s">
        <v>345</v>
      </c>
      <c r="C37" s="54" t="s">
        <v>53</v>
      </c>
    </row>
    <row r="38" spans="1:3" ht="60" x14ac:dyDescent="0.25">
      <c r="A38" s="228" t="s">
        <v>64</v>
      </c>
      <c r="B38" s="76" t="s">
        <v>346</v>
      </c>
      <c r="C38" s="228" t="s">
        <v>64</v>
      </c>
    </row>
    <row r="39" spans="1:3" ht="30" x14ac:dyDescent="0.25">
      <c r="A39" s="229"/>
      <c r="B39" s="76" t="s">
        <v>347</v>
      </c>
      <c r="C39" s="229"/>
    </row>
    <row r="40" spans="1:3" ht="18.75" customHeight="1" x14ac:dyDescent="0.25">
      <c r="A40" s="229"/>
      <c r="B40" s="76" t="s">
        <v>348</v>
      </c>
      <c r="C40" s="229"/>
    </row>
    <row r="41" spans="1:3" x14ac:dyDescent="0.25">
      <c r="A41" s="229"/>
      <c r="B41" s="76" t="s">
        <v>349</v>
      </c>
      <c r="C41" s="229"/>
    </row>
    <row r="42" spans="1:3" ht="15.75" thickBot="1" x14ac:dyDescent="0.3">
      <c r="A42" s="230"/>
      <c r="B42" s="54" t="s">
        <v>350</v>
      </c>
      <c r="C42" s="230"/>
    </row>
    <row r="43" spans="1:3" ht="105.75" thickBot="1" x14ac:dyDescent="0.3">
      <c r="A43" s="46" t="s">
        <v>56</v>
      </c>
      <c r="B43" s="54" t="s">
        <v>351</v>
      </c>
      <c r="C43" s="54" t="s">
        <v>56</v>
      </c>
    </row>
    <row r="44" spans="1:3" ht="60.75" thickBot="1" x14ac:dyDescent="0.3">
      <c r="A44" s="46" t="s">
        <v>138</v>
      </c>
      <c r="B44" s="54" t="s">
        <v>352</v>
      </c>
      <c r="C44" s="54" t="s">
        <v>138</v>
      </c>
    </row>
    <row r="45" spans="1:3" ht="15.75" thickBot="1" x14ac:dyDescent="0.3">
      <c r="A45" s="228" t="s">
        <v>57</v>
      </c>
      <c r="B45" s="228" t="s">
        <v>353</v>
      </c>
      <c r="C45" s="54" t="s">
        <v>354</v>
      </c>
    </row>
    <row r="46" spans="1:3" ht="15.75" thickBot="1" x14ac:dyDescent="0.3">
      <c r="A46" s="229"/>
      <c r="B46" s="229"/>
      <c r="C46" s="54" t="s">
        <v>327</v>
      </c>
    </row>
    <row r="47" spans="1:3" ht="15.75" thickBot="1" x14ac:dyDescent="0.3">
      <c r="A47" s="229"/>
      <c r="B47" s="229"/>
      <c r="C47" s="54" t="s">
        <v>322</v>
      </c>
    </row>
    <row r="48" spans="1:3" ht="15.75" thickBot="1" x14ac:dyDescent="0.3">
      <c r="A48" s="229"/>
      <c r="B48" s="229"/>
      <c r="C48" s="54" t="s">
        <v>355</v>
      </c>
    </row>
    <row r="49" spans="1:3" ht="54.75" customHeight="1" thickBot="1" x14ac:dyDescent="0.3">
      <c r="A49" s="230"/>
      <c r="B49" s="230"/>
      <c r="C49" s="54" t="s">
        <v>356</v>
      </c>
    </row>
    <row r="50" spans="1:3" ht="60.75" thickBot="1" x14ac:dyDescent="0.3">
      <c r="A50" s="46" t="s">
        <v>55</v>
      </c>
      <c r="B50" s="54" t="s">
        <v>357</v>
      </c>
      <c r="C50" s="54" t="s">
        <v>55</v>
      </c>
    </row>
    <row r="51" spans="1:3" x14ac:dyDescent="0.25">
      <c r="A51" s="228" t="s">
        <v>52</v>
      </c>
      <c r="B51" s="76" t="s">
        <v>358</v>
      </c>
      <c r="C51" s="228" t="s">
        <v>52</v>
      </c>
    </row>
    <row r="52" spans="1:3" ht="45.75" thickBot="1" x14ac:dyDescent="0.3">
      <c r="A52" s="230"/>
      <c r="B52" s="54" t="s">
        <v>359</v>
      </c>
      <c r="C52" s="230"/>
    </row>
    <row r="53" spans="1:3" ht="45.75" thickBot="1" x14ac:dyDescent="0.3">
      <c r="A53" s="46" t="s">
        <v>18</v>
      </c>
      <c r="B53" s="54" t="s">
        <v>360</v>
      </c>
      <c r="C53" s="54" t="s">
        <v>18</v>
      </c>
    </row>
    <row r="54" spans="1:3" ht="42" customHeight="1" thickBot="1" x14ac:dyDescent="0.3">
      <c r="A54" s="46" t="s">
        <v>144</v>
      </c>
      <c r="B54" s="54" t="s">
        <v>361</v>
      </c>
      <c r="C54" s="54" t="s">
        <v>362</v>
      </c>
    </row>
    <row r="55" spans="1:3" ht="15.75" x14ac:dyDescent="0.25">
      <c r="A55" s="77"/>
      <c r="B55"/>
      <c r="C55"/>
    </row>
    <row r="56" spans="1:3" ht="39" customHeight="1" x14ac:dyDescent="0.25">
      <c r="A56" s="224" t="s">
        <v>363</v>
      </c>
      <c r="B56" s="225"/>
      <c r="C56" s="225"/>
    </row>
    <row r="57" spans="1:3" ht="16.5" thickBot="1" x14ac:dyDescent="0.3">
      <c r="A57" s="77"/>
      <c r="B57"/>
      <c r="C57"/>
    </row>
    <row r="58" spans="1:3" ht="15.75" thickBot="1" x14ac:dyDescent="0.3">
      <c r="A58" s="74" t="s">
        <v>226</v>
      </c>
      <c r="B58" s="75" t="s">
        <v>312</v>
      </c>
      <c r="C58" s="75" t="s">
        <v>313</v>
      </c>
    </row>
    <row r="59" spans="1:3" ht="15.75" thickBot="1" x14ac:dyDescent="0.3">
      <c r="A59" s="46" t="s">
        <v>158</v>
      </c>
      <c r="B59" s="54" t="s">
        <v>364</v>
      </c>
      <c r="C59" s="54" t="s">
        <v>365</v>
      </c>
    </row>
    <row r="60" spans="1:3" x14ac:dyDescent="0.25">
      <c r="A60" s="228" t="s">
        <v>45</v>
      </c>
      <c r="B60" s="76" t="s">
        <v>366</v>
      </c>
      <c r="C60" s="228" t="s">
        <v>373</v>
      </c>
    </row>
    <row r="61" spans="1:3" x14ac:dyDescent="0.25">
      <c r="A61" s="229"/>
      <c r="B61" s="76" t="s">
        <v>367</v>
      </c>
      <c r="C61" s="229"/>
    </row>
    <row r="62" spans="1:3" x14ac:dyDescent="0.25">
      <c r="A62" s="229"/>
      <c r="B62" s="76" t="s">
        <v>368</v>
      </c>
      <c r="C62" s="229"/>
    </row>
    <row r="63" spans="1:3" ht="15.75" thickBot="1" x14ac:dyDescent="0.3">
      <c r="A63" s="229"/>
      <c r="B63" s="76" t="s">
        <v>369</v>
      </c>
      <c r="C63" s="230"/>
    </row>
    <row r="64" spans="1:3" ht="15.75" thickBot="1" x14ac:dyDescent="0.3">
      <c r="A64" s="229"/>
      <c r="B64" s="76" t="s">
        <v>370</v>
      </c>
      <c r="C64" s="54" t="s">
        <v>374</v>
      </c>
    </row>
    <row r="65" spans="1:3" ht="15.75" thickBot="1" x14ac:dyDescent="0.3">
      <c r="A65" s="229"/>
      <c r="B65" s="76" t="s">
        <v>371</v>
      </c>
      <c r="C65" s="54" t="s">
        <v>375</v>
      </c>
    </row>
    <row r="66" spans="1:3" ht="60.75" thickBot="1" x14ac:dyDescent="0.3">
      <c r="A66" s="230"/>
      <c r="B66" s="54" t="s">
        <v>372</v>
      </c>
      <c r="C66" s="54" t="s">
        <v>376</v>
      </c>
    </row>
    <row r="67" spans="1:3" ht="75.75" thickBot="1" x14ac:dyDescent="0.3">
      <c r="A67" s="46" t="s">
        <v>48</v>
      </c>
      <c r="B67" s="54" t="s">
        <v>377</v>
      </c>
      <c r="C67" s="54" t="s">
        <v>48</v>
      </c>
    </row>
    <row r="68" spans="1:3" ht="15.75" thickBot="1" x14ac:dyDescent="0.3">
      <c r="A68" s="46" t="s">
        <v>163</v>
      </c>
      <c r="B68" s="54" t="s">
        <v>378</v>
      </c>
      <c r="C68" s="54" t="s">
        <v>163</v>
      </c>
    </row>
    <row r="69" spans="1:3" ht="15.75" thickBot="1" x14ac:dyDescent="0.3">
      <c r="A69" s="228" t="s">
        <v>46</v>
      </c>
      <c r="B69" s="76" t="s">
        <v>379</v>
      </c>
      <c r="C69" s="54" t="s">
        <v>381</v>
      </c>
    </row>
    <row r="70" spans="1:3" ht="75.75" thickBot="1" x14ac:dyDescent="0.3">
      <c r="A70" s="230"/>
      <c r="B70" s="54" t="s">
        <v>380</v>
      </c>
      <c r="C70" s="54" t="s">
        <v>382</v>
      </c>
    </row>
    <row r="71" spans="1:3" ht="15.75" x14ac:dyDescent="0.25">
      <c r="A71" s="77"/>
      <c r="B71"/>
      <c r="C71"/>
    </row>
    <row r="72" spans="1:3" ht="53.25" customHeight="1" x14ac:dyDescent="0.25">
      <c r="A72" s="224" t="s">
        <v>383</v>
      </c>
      <c r="B72" s="225"/>
      <c r="C72" s="225"/>
    </row>
    <row r="73" spans="1:3" ht="16.5" thickBot="1" x14ac:dyDescent="0.3">
      <c r="A73" s="77"/>
      <c r="B73"/>
      <c r="C73"/>
    </row>
    <row r="74" spans="1:3" ht="15.75" thickBot="1" x14ac:dyDescent="0.3">
      <c r="A74" s="74" t="s">
        <v>226</v>
      </c>
      <c r="B74" s="78" t="s">
        <v>312</v>
      </c>
      <c r="C74" s="75" t="s">
        <v>313</v>
      </c>
    </row>
    <row r="75" spans="1:3" ht="15.75" thickBot="1" x14ac:dyDescent="0.3">
      <c r="A75" s="228" t="s">
        <v>49</v>
      </c>
      <c r="B75" s="231" t="s">
        <v>384</v>
      </c>
      <c r="C75" s="54" t="s">
        <v>385</v>
      </c>
    </row>
    <row r="76" spans="1:3" ht="15.75" thickBot="1" x14ac:dyDescent="0.3">
      <c r="A76" s="229"/>
      <c r="B76" s="232"/>
      <c r="C76" s="54" t="s">
        <v>386</v>
      </c>
    </row>
    <row r="77" spans="1:3" ht="15.75" thickBot="1" x14ac:dyDescent="0.3">
      <c r="A77" s="229"/>
      <c r="B77" s="232"/>
      <c r="C77" s="54" t="s">
        <v>10</v>
      </c>
    </row>
    <row r="78" spans="1:3" ht="15.75" thickBot="1" x14ac:dyDescent="0.3">
      <c r="A78" s="230"/>
      <c r="B78" s="233"/>
      <c r="C78" s="54" t="s">
        <v>387</v>
      </c>
    </row>
    <row r="79" spans="1:3" ht="15.75" thickBot="1" x14ac:dyDescent="0.3">
      <c r="A79" s="228" t="s">
        <v>50</v>
      </c>
      <c r="B79" s="231" t="s">
        <v>388</v>
      </c>
      <c r="C79" s="54" t="s">
        <v>389</v>
      </c>
    </row>
    <row r="80" spans="1:3" ht="15.75" thickBot="1" x14ac:dyDescent="0.3">
      <c r="A80" s="229"/>
      <c r="B80" s="232"/>
      <c r="C80" s="54" t="s">
        <v>390</v>
      </c>
    </row>
    <row r="81" spans="1:3" ht="15.75" thickBot="1" x14ac:dyDescent="0.3">
      <c r="A81" s="230"/>
      <c r="B81" s="233"/>
      <c r="C81" s="54" t="s">
        <v>318</v>
      </c>
    </row>
    <row r="82" spans="1:3" ht="15.75" thickBot="1" x14ac:dyDescent="0.3">
      <c r="A82" s="228" t="s">
        <v>16</v>
      </c>
      <c r="B82" s="231" t="s">
        <v>391</v>
      </c>
      <c r="C82" s="54" t="s">
        <v>392</v>
      </c>
    </row>
    <row r="83" spans="1:3" ht="15.75" thickBot="1" x14ac:dyDescent="0.3">
      <c r="A83" s="229"/>
      <c r="B83" s="232"/>
      <c r="C83" s="54" t="s">
        <v>393</v>
      </c>
    </row>
    <row r="84" spans="1:3" ht="15.75" thickBot="1" x14ac:dyDescent="0.3">
      <c r="A84" s="229"/>
      <c r="B84" s="232"/>
      <c r="C84" s="54" t="s">
        <v>394</v>
      </c>
    </row>
    <row r="85" spans="1:3" ht="15.75" thickBot="1" x14ac:dyDescent="0.3">
      <c r="A85" s="230"/>
      <c r="B85" s="233"/>
      <c r="C85" s="54" t="s">
        <v>395</v>
      </c>
    </row>
    <row r="86" spans="1:3" ht="15.75" x14ac:dyDescent="0.25">
      <c r="A86" s="77"/>
      <c r="B86"/>
      <c r="C86"/>
    </row>
    <row r="87" spans="1:3" ht="22.5" customHeight="1" x14ac:dyDescent="0.25">
      <c r="A87" s="224" t="s">
        <v>396</v>
      </c>
      <c r="B87" s="225"/>
      <c r="C87" s="225"/>
    </row>
    <row r="88" spans="1:3" ht="16.5" thickBot="1" x14ac:dyDescent="0.3">
      <c r="A88" s="77"/>
      <c r="B88"/>
      <c r="C88"/>
    </row>
    <row r="89" spans="1:3" ht="15.75" thickBot="1" x14ac:dyDescent="0.3">
      <c r="A89" s="74" t="s">
        <v>226</v>
      </c>
      <c r="B89" s="75" t="s">
        <v>312</v>
      </c>
      <c r="C89" s="75" t="s">
        <v>313</v>
      </c>
    </row>
    <row r="90" spans="1:3" ht="30.75" thickBot="1" x14ac:dyDescent="0.3">
      <c r="A90" s="228" t="s">
        <v>30</v>
      </c>
      <c r="B90" s="228" t="s">
        <v>397</v>
      </c>
      <c r="C90" s="54" t="s">
        <v>398</v>
      </c>
    </row>
    <row r="91" spans="1:3" ht="15.75" thickBot="1" x14ac:dyDescent="0.3">
      <c r="A91" s="229"/>
      <c r="B91" s="229"/>
      <c r="C91" s="54" t="s">
        <v>399</v>
      </c>
    </row>
    <row r="92" spans="1:3" ht="15.75" thickBot="1" x14ac:dyDescent="0.3">
      <c r="A92" s="229"/>
      <c r="B92" s="229"/>
      <c r="C92" s="54" t="s">
        <v>400</v>
      </c>
    </row>
    <row r="93" spans="1:3" ht="15.75" thickBot="1" x14ac:dyDescent="0.3">
      <c r="A93" s="229"/>
      <c r="B93" s="229"/>
      <c r="C93" s="54" t="s">
        <v>401</v>
      </c>
    </row>
    <row r="94" spans="1:3" ht="15.75" thickBot="1" x14ac:dyDescent="0.3">
      <c r="A94" s="230"/>
      <c r="B94" s="230"/>
      <c r="C94" s="54" t="s">
        <v>402</v>
      </c>
    </row>
    <row r="95" spans="1:3" ht="15.75" thickBot="1" x14ac:dyDescent="0.3">
      <c r="A95" s="228" t="s">
        <v>32</v>
      </c>
      <c r="B95" s="228" t="s">
        <v>403</v>
      </c>
      <c r="C95" s="54" t="s">
        <v>404</v>
      </c>
    </row>
    <row r="96" spans="1:3" ht="15.75" thickBot="1" x14ac:dyDescent="0.3">
      <c r="A96" s="229"/>
      <c r="B96" s="229"/>
      <c r="C96" s="54" t="s">
        <v>405</v>
      </c>
    </row>
    <row r="97" spans="1:3" ht="15.75" thickBot="1" x14ac:dyDescent="0.3">
      <c r="A97" s="229"/>
      <c r="B97" s="229"/>
      <c r="C97" s="79" t="s">
        <v>406</v>
      </c>
    </row>
    <row r="98" spans="1:3" ht="15.75" thickBot="1" x14ac:dyDescent="0.3">
      <c r="A98" s="230"/>
      <c r="B98" s="230"/>
      <c r="C98" s="54" t="s">
        <v>407</v>
      </c>
    </row>
    <row r="99" spans="1:3" ht="15.75" thickBot="1" x14ac:dyDescent="0.3">
      <c r="A99" s="228" t="s">
        <v>34</v>
      </c>
      <c r="B99" s="228" t="s">
        <v>408</v>
      </c>
      <c r="C99" s="54" t="s">
        <v>409</v>
      </c>
    </row>
    <row r="100" spans="1:3" ht="27" customHeight="1" thickBot="1" x14ac:dyDescent="0.3">
      <c r="A100" s="229"/>
      <c r="B100" s="229"/>
      <c r="C100" s="54" t="s">
        <v>410</v>
      </c>
    </row>
    <row r="101" spans="1:3" ht="27" customHeight="1" thickBot="1" x14ac:dyDescent="0.3">
      <c r="A101" s="230"/>
      <c r="B101" s="230"/>
      <c r="C101" s="54" t="s">
        <v>411</v>
      </c>
    </row>
    <row r="102" spans="1:3" ht="45.75" thickBot="1" x14ac:dyDescent="0.3">
      <c r="A102" s="228" t="s">
        <v>38</v>
      </c>
      <c r="B102" s="228" t="s">
        <v>412</v>
      </c>
      <c r="C102" s="54" t="s">
        <v>413</v>
      </c>
    </row>
    <row r="103" spans="1:3" ht="15.75" thickBot="1" x14ac:dyDescent="0.3">
      <c r="A103" s="229"/>
      <c r="B103" s="229"/>
      <c r="C103" s="54" t="s">
        <v>414</v>
      </c>
    </row>
    <row r="104" spans="1:3" ht="30.75" thickBot="1" x14ac:dyDescent="0.3">
      <c r="A104" s="229"/>
      <c r="B104" s="229"/>
      <c r="C104" s="54" t="s">
        <v>415</v>
      </c>
    </row>
    <row r="105" spans="1:3" ht="15.75" thickBot="1" x14ac:dyDescent="0.3">
      <c r="A105" s="229"/>
      <c r="B105" s="229"/>
      <c r="C105" s="54" t="s">
        <v>416</v>
      </c>
    </row>
    <row r="106" spans="1:3" ht="15.75" thickBot="1" x14ac:dyDescent="0.3">
      <c r="A106" s="229"/>
      <c r="B106" s="229"/>
      <c r="C106" s="54" t="s">
        <v>417</v>
      </c>
    </row>
    <row r="107" spans="1:3" ht="15.75" thickBot="1" x14ac:dyDescent="0.3">
      <c r="A107" s="229"/>
      <c r="B107" s="229"/>
      <c r="C107" s="54" t="s">
        <v>418</v>
      </c>
    </row>
    <row r="108" spans="1:3" ht="15.75" thickBot="1" x14ac:dyDescent="0.3">
      <c r="A108" s="229"/>
      <c r="B108" s="229"/>
      <c r="C108" s="54" t="s">
        <v>419</v>
      </c>
    </row>
    <row r="109" spans="1:3" ht="30.75" thickBot="1" x14ac:dyDescent="0.3">
      <c r="A109" s="230"/>
      <c r="B109" s="230"/>
      <c r="C109" s="54" t="s">
        <v>420</v>
      </c>
    </row>
    <row r="110" spans="1:3" ht="15.75" thickBot="1" x14ac:dyDescent="0.3">
      <c r="A110" s="228" t="s">
        <v>37</v>
      </c>
      <c r="B110" s="228" t="s">
        <v>421</v>
      </c>
      <c r="C110" s="54" t="s">
        <v>422</v>
      </c>
    </row>
    <row r="111" spans="1:3" ht="15.75" thickBot="1" x14ac:dyDescent="0.3">
      <c r="A111" s="229"/>
      <c r="B111" s="229"/>
      <c r="C111" s="54" t="s">
        <v>423</v>
      </c>
    </row>
    <row r="112" spans="1:3" ht="15.75" thickBot="1" x14ac:dyDescent="0.3">
      <c r="A112" s="230"/>
      <c r="B112" s="230"/>
      <c r="C112" s="54" t="s">
        <v>424</v>
      </c>
    </row>
    <row r="113" spans="1:3" ht="15.75" thickBot="1" x14ac:dyDescent="0.3">
      <c r="A113" s="228" t="s">
        <v>39</v>
      </c>
      <c r="B113" s="228" t="s">
        <v>425</v>
      </c>
      <c r="C113" s="54" t="s">
        <v>426</v>
      </c>
    </row>
    <row r="114" spans="1:3" ht="15.75" thickBot="1" x14ac:dyDescent="0.3">
      <c r="A114" s="229"/>
      <c r="B114" s="229"/>
      <c r="C114" s="54" t="s">
        <v>427</v>
      </c>
    </row>
    <row r="115" spans="1:3" ht="15.75" thickBot="1" x14ac:dyDescent="0.3">
      <c r="A115" s="229"/>
      <c r="B115" s="229"/>
      <c r="C115" s="54" t="s">
        <v>428</v>
      </c>
    </row>
    <row r="116" spans="1:3" ht="28.5" customHeight="1" thickBot="1" x14ac:dyDescent="0.3">
      <c r="A116" s="230"/>
      <c r="B116" s="230"/>
      <c r="C116" s="54" t="s">
        <v>429</v>
      </c>
    </row>
    <row r="117" spans="1:3" ht="15.75" thickBot="1" x14ac:dyDescent="0.3">
      <c r="A117" s="228" t="s">
        <v>33</v>
      </c>
      <c r="B117" s="228" t="s">
        <v>430</v>
      </c>
      <c r="C117" s="54" t="s">
        <v>431</v>
      </c>
    </row>
    <row r="118" spans="1:3" ht="15.75" thickBot="1" x14ac:dyDescent="0.3">
      <c r="A118" s="229"/>
      <c r="B118" s="229"/>
      <c r="C118" s="54" t="s">
        <v>432</v>
      </c>
    </row>
    <row r="119" spans="1:3" ht="15.75" thickBot="1" x14ac:dyDescent="0.3">
      <c r="A119" s="229"/>
      <c r="B119" s="229"/>
      <c r="C119" s="54" t="s">
        <v>433</v>
      </c>
    </row>
    <row r="120" spans="1:3" ht="15.75" thickBot="1" x14ac:dyDescent="0.3">
      <c r="A120" s="229"/>
      <c r="B120" s="229"/>
      <c r="C120" s="54" t="s">
        <v>434</v>
      </c>
    </row>
    <row r="121" spans="1:3" ht="15.75" thickBot="1" x14ac:dyDescent="0.3">
      <c r="A121" s="229"/>
      <c r="B121" s="229"/>
      <c r="C121" s="54" t="s">
        <v>435</v>
      </c>
    </row>
    <row r="122" spans="1:3" x14ac:dyDescent="0.25">
      <c r="A122" s="229"/>
      <c r="B122" s="229"/>
      <c r="C122" s="76" t="s">
        <v>436</v>
      </c>
    </row>
    <row r="123" spans="1:3" ht="15.75" thickBot="1" x14ac:dyDescent="0.3">
      <c r="A123" s="229"/>
      <c r="B123" s="229"/>
      <c r="C123" s="54" t="s">
        <v>437</v>
      </c>
    </row>
    <row r="124" spans="1:3" ht="15.75" thickBot="1" x14ac:dyDescent="0.3">
      <c r="A124" s="230"/>
      <c r="B124" s="230"/>
      <c r="C124" s="54" t="s">
        <v>438</v>
      </c>
    </row>
    <row r="125" spans="1:3" x14ac:dyDescent="0.25">
      <c r="A125" s="80"/>
      <c r="B125" s="80"/>
      <c r="C125" s="80"/>
    </row>
    <row r="126" spans="1:3" ht="50.25" customHeight="1" x14ac:dyDescent="0.25">
      <c r="A126" s="224" t="s">
        <v>439</v>
      </c>
      <c r="B126" s="225"/>
      <c r="C126" s="225"/>
    </row>
    <row r="127" spans="1:3" ht="16.5" thickBot="1" x14ac:dyDescent="0.3">
      <c r="A127" s="77"/>
      <c r="B127"/>
      <c r="C127"/>
    </row>
    <row r="128" spans="1:3" ht="15.75" thickBot="1" x14ac:dyDescent="0.3">
      <c r="A128" s="74" t="s">
        <v>226</v>
      </c>
      <c r="B128" s="75" t="s">
        <v>312</v>
      </c>
      <c r="C128" s="75" t="s">
        <v>313</v>
      </c>
    </row>
    <row r="129" spans="1:3" ht="15.75" thickBot="1" x14ac:dyDescent="0.3">
      <c r="A129" s="228" t="s">
        <v>60</v>
      </c>
      <c r="B129" s="228" t="s">
        <v>440</v>
      </c>
      <c r="C129" s="54" t="s">
        <v>441</v>
      </c>
    </row>
    <row r="130" spans="1:3" ht="15.75" thickBot="1" x14ac:dyDescent="0.3">
      <c r="A130" s="229"/>
      <c r="B130" s="229"/>
      <c r="C130" s="54" t="s">
        <v>442</v>
      </c>
    </row>
    <row r="131" spans="1:3" ht="15.75" thickBot="1" x14ac:dyDescent="0.3">
      <c r="A131" s="229"/>
      <c r="B131" s="229"/>
      <c r="C131" s="54" t="s">
        <v>443</v>
      </c>
    </row>
    <row r="132" spans="1:3" ht="15.75" thickBot="1" x14ac:dyDescent="0.3">
      <c r="A132" s="229"/>
      <c r="B132" s="229"/>
      <c r="C132" s="54" t="s">
        <v>444</v>
      </c>
    </row>
    <row r="133" spans="1:3" ht="30.75" thickBot="1" x14ac:dyDescent="0.3">
      <c r="A133" s="230"/>
      <c r="B133" s="230"/>
      <c r="C133" s="54" t="s">
        <v>445</v>
      </c>
    </row>
    <row r="134" spans="1:3" ht="15.75" thickBot="1" x14ac:dyDescent="0.3">
      <c r="A134" s="228" t="s">
        <v>62</v>
      </c>
      <c r="B134" s="228" t="s">
        <v>446</v>
      </c>
      <c r="C134" s="54" t="s">
        <v>447</v>
      </c>
    </row>
    <row r="135" spans="1:3" ht="15.75" thickBot="1" x14ac:dyDescent="0.3">
      <c r="A135" s="229"/>
      <c r="B135" s="229"/>
      <c r="C135" s="54" t="s">
        <v>448</v>
      </c>
    </row>
    <row r="136" spans="1:3" ht="15.75" thickBot="1" x14ac:dyDescent="0.3">
      <c r="A136" s="229"/>
      <c r="B136" s="229"/>
      <c r="C136" s="54" t="s">
        <v>449</v>
      </c>
    </row>
    <row r="137" spans="1:3" ht="15.75" thickBot="1" x14ac:dyDescent="0.3">
      <c r="A137" s="229"/>
      <c r="B137" s="229"/>
      <c r="C137" s="54" t="s">
        <v>450</v>
      </c>
    </row>
    <row r="138" spans="1:3" ht="15.75" thickBot="1" x14ac:dyDescent="0.3">
      <c r="A138" s="229"/>
      <c r="B138" s="229"/>
      <c r="C138" s="54" t="s">
        <v>451</v>
      </c>
    </row>
    <row r="139" spans="1:3" ht="15.75" thickBot="1" x14ac:dyDescent="0.3">
      <c r="A139" s="229"/>
      <c r="B139" s="229"/>
      <c r="C139" s="54" t="s">
        <v>452</v>
      </c>
    </row>
    <row r="140" spans="1:3" ht="15.75" thickBot="1" x14ac:dyDescent="0.3">
      <c r="A140" s="229"/>
      <c r="B140" s="229"/>
      <c r="C140" s="54" t="s">
        <v>453</v>
      </c>
    </row>
    <row r="141" spans="1:3" ht="15.75" thickBot="1" x14ac:dyDescent="0.3">
      <c r="A141" s="229"/>
      <c r="B141" s="229"/>
      <c r="C141" s="54" t="s">
        <v>454</v>
      </c>
    </row>
    <row r="142" spans="1:3" ht="15.75" thickBot="1" x14ac:dyDescent="0.3">
      <c r="A142" s="230"/>
      <c r="B142" s="230"/>
      <c r="C142" s="54" t="s">
        <v>455</v>
      </c>
    </row>
    <row r="143" spans="1:3" ht="15.75" thickBot="1" x14ac:dyDescent="0.3">
      <c r="A143" s="228" t="s">
        <v>63</v>
      </c>
      <c r="B143" s="228" t="s">
        <v>456</v>
      </c>
      <c r="C143" s="54" t="s">
        <v>457</v>
      </c>
    </row>
    <row r="144" spans="1:3" ht="15.75" thickBot="1" x14ac:dyDescent="0.3">
      <c r="A144" s="229"/>
      <c r="B144" s="229"/>
      <c r="C144" s="54" t="s">
        <v>458</v>
      </c>
    </row>
    <row r="145" spans="1:3" ht="15.75" thickBot="1" x14ac:dyDescent="0.3">
      <c r="A145" s="229"/>
      <c r="B145" s="229"/>
      <c r="C145" s="54" t="s">
        <v>459</v>
      </c>
    </row>
    <row r="146" spans="1:3" ht="15.75" thickBot="1" x14ac:dyDescent="0.3">
      <c r="A146" s="229"/>
      <c r="B146" s="229"/>
      <c r="C146" s="54" t="s">
        <v>460</v>
      </c>
    </row>
    <row r="147" spans="1:3" ht="15.75" thickBot="1" x14ac:dyDescent="0.3">
      <c r="A147" s="229"/>
      <c r="B147" s="229"/>
      <c r="C147" s="54" t="s">
        <v>461</v>
      </c>
    </row>
    <row r="148" spans="1:3" ht="15.75" thickBot="1" x14ac:dyDescent="0.3">
      <c r="A148" s="229"/>
      <c r="B148" s="229"/>
      <c r="C148" s="54" t="s">
        <v>462</v>
      </c>
    </row>
    <row r="149" spans="1:3" ht="15.75" thickBot="1" x14ac:dyDescent="0.3">
      <c r="A149" s="229"/>
      <c r="B149" s="229"/>
      <c r="C149" s="54" t="s">
        <v>463</v>
      </c>
    </row>
    <row r="150" spans="1:3" ht="15.75" thickBot="1" x14ac:dyDescent="0.3">
      <c r="A150" s="229"/>
      <c r="B150" s="229"/>
      <c r="C150" s="54" t="s">
        <v>464</v>
      </c>
    </row>
    <row r="151" spans="1:3" ht="15.75" thickBot="1" x14ac:dyDescent="0.3">
      <c r="A151" s="230"/>
      <c r="B151" s="230"/>
      <c r="C151" s="54" t="s">
        <v>40</v>
      </c>
    </row>
    <row r="152" spans="1:3" ht="15.75" thickBot="1" x14ac:dyDescent="0.3">
      <c r="A152" s="228" t="s">
        <v>59</v>
      </c>
      <c r="B152" s="228" t="s">
        <v>465</v>
      </c>
      <c r="C152" s="54" t="s">
        <v>466</v>
      </c>
    </row>
    <row r="153" spans="1:3" ht="15.75" thickBot="1" x14ac:dyDescent="0.3">
      <c r="A153" s="229"/>
      <c r="B153" s="229"/>
      <c r="C153" s="54" t="s">
        <v>467</v>
      </c>
    </row>
    <row r="154" spans="1:3" ht="15.75" thickBot="1" x14ac:dyDescent="0.3">
      <c r="A154" s="230"/>
      <c r="B154" s="230"/>
      <c r="C154" s="54" t="s">
        <v>468</v>
      </c>
    </row>
    <row r="155" spans="1:3" ht="15.75" thickBot="1" x14ac:dyDescent="0.3">
      <c r="A155" s="228" t="s">
        <v>61</v>
      </c>
      <c r="B155" s="228" t="s">
        <v>469</v>
      </c>
      <c r="C155" s="54" t="s">
        <v>470</v>
      </c>
    </row>
    <row r="156" spans="1:3" ht="15.75" thickBot="1" x14ac:dyDescent="0.3">
      <c r="A156" s="230"/>
      <c r="B156" s="230"/>
      <c r="C156" s="54" t="s">
        <v>471</v>
      </c>
    </row>
    <row r="157" spans="1:3" ht="30.75" thickBot="1" x14ac:dyDescent="0.3">
      <c r="A157" s="46" t="s">
        <v>58</v>
      </c>
      <c r="B157" s="54" t="s">
        <v>472</v>
      </c>
      <c r="C157" s="54" t="s">
        <v>58</v>
      </c>
    </row>
    <row r="158" spans="1:3" ht="15.75" thickBot="1" x14ac:dyDescent="0.3">
      <c r="A158" s="46" t="s">
        <v>12</v>
      </c>
      <c r="B158" s="54" t="s">
        <v>473</v>
      </c>
      <c r="C158" s="54" t="s">
        <v>12</v>
      </c>
    </row>
    <row r="159" spans="1:3" ht="15.75" x14ac:dyDescent="0.25">
      <c r="A159" s="77"/>
      <c r="B159"/>
      <c r="C159"/>
    </row>
    <row r="160" spans="1:3" ht="49.5" customHeight="1" x14ac:dyDescent="0.25">
      <c r="A160" s="224" t="s">
        <v>474</v>
      </c>
      <c r="B160" s="225"/>
      <c r="C160" s="225"/>
    </row>
    <row r="161" spans="1:3" ht="16.5" thickBot="1" x14ac:dyDescent="0.3">
      <c r="A161" s="77"/>
      <c r="B161"/>
      <c r="C161"/>
    </row>
    <row r="162" spans="1:3" ht="15.75" thickBot="1" x14ac:dyDescent="0.3">
      <c r="A162" s="74" t="s">
        <v>226</v>
      </c>
      <c r="B162" s="75" t="s">
        <v>312</v>
      </c>
      <c r="C162" s="75" t="s">
        <v>313</v>
      </c>
    </row>
    <row r="163" spans="1:3" ht="20.25" customHeight="1" thickBot="1" x14ac:dyDescent="0.3">
      <c r="A163" s="46" t="s">
        <v>44</v>
      </c>
      <c r="B163" s="54" t="s">
        <v>475</v>
      </c>
      <c r="C163" s="54" t="s">
        <v>44</v>
      </c>
    </row>
    <row r="164" spans="1:3" ht="30.75" thickBot="1" x14ac:dyDescent="0.3">
      <c r="A164" s="46" t="s">
        <v>42</v>
      </c>
      <c r="B164" s="54" t="s">
        <v>476</v>
      </c>
      <c r="C164" s="54" t="s">
        <v>42</v>
      </c>
    </row>
    <row r="165" spans="1:3" ht="15.75" thickBot="1" x14ac:dyDescent="0.3">
      <c r="A165" s="46" t="s">
        <v>41</v>
      </c>
      <c r="B165" s="54" t="s">
        <v>477</v>
      </c>
      <c r="C165" s="54" t="s">
        <v>41</v>
      </c>
    </row>
    <row r="166" spans="1:3" ht="15.75" thickBot="1" x14ac:dyDescent="0.3">
      <c r="A166" s="46" t="s">
        <v>43</v>
      </c>
      <c r="B166" s="54" t="s">
        <v>478</v>
      </c>
      <c r="C166" s="54" t="s">
        <v>43</v>
      </c>
    </row>
    <row r="167" spans="1:3" ht="19.5" customHeight="1" thickBot="1" x14ac:dyDescent="0.3">
      <c r="A167" s="46" t="s">
        <v>40</v>
      </c>
      <c r="B167" s="54" t="s">
        <v>479</v>
      </c>
      <c r="C167" s="54" t="s">
        <v>40</v>
      </c>
    </row>
  </sheetData>
  <sheetProtection formatCells="0" formatColumns="0" formatRows="0"/>
  <mergeCells count="57">
    <mergeCell ref="A3:A8"/>
    <mergeCell ref="B3:B8"/>
    <mergeCell ref="A9:A12"/>
    <mergeCell ref="B9:B12"/>
    <mergeCell ref="A14:A17"/>
    <mergeCell ref="B14:B17"/>
    <mergeCell ref="C51:C52"/>
    <mergeCell ref="A60:A66"/>
    <mergeCell ref="C60:C63"/>
    <mergeCell ref="A18:A21"/>
    <mergeCell ref="B18:B21"/>
    <mergeCell ref="A27:A32"/>
    <mergeCell ref="B27:B32"/>
    <mergeCell ref="A38:A42"/>
    <mergeCell ref="C38:C42"/>
    <mergeCell ref="A82:A85"/>
    <mergeCell ref="B82:B85"/>
    <mergeCell ref="A45:A49"/>
    <mergeCell ref="B45:B49"/>
    <mergeCell ref="A51:A52"/>
    <mergeCell ref="A69:A70"/>
    <mergeCell ref="A75:A78"/>
    <mergeCell ref="B75:B78"/>
    <mergeCell ref="A79:A81"/>
    <mergeCell ref="B79:B81"/>
    <mergeCell ref="A90:A94"/>
    <mergeCell ref="B90:B94"/>
    <mergeCell ref="A95:A98"/>
    <mergeCell ref="B95:B98"/>
    <mergeCell ref="A99:A101"/>
    <mergeCell ref="B99:B101"/>
    <mergeCell ref="B129:B133"/>
    <mergeCell ref="A134:A142"/>
    <mergeCell ref="B134:B142"/>
    <mergeCell ref="A126:C126"/>
    <mergeCell ref="A102:A109"/>
    <mergeCell ref="B102:B109"/>
    <mergeCell ref="A110:A112"/>
    <mergeCell ref="B110:B112"/>
    <mergeCell ref="A113:A116"/>
    <mergeCell ref="B113:B116"/>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s>
  <pageMargins left="0.25" right="0.25" top="0.75" bottom="0.75" header="0.3" footer="0.3"/>
  <pageSetup scale="64" fitToHeight="7" orientation="landscape" r:id="rId1"/>
  <rowBreaks count="3" manualBreakCount="3">
    <brk id="33" max="2" man="1"/>
    <brk id="54" max="2" man="1"/>
    <brk id="125" max="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58</vt:i4>
      </vt:variant>
    </vt:vector>
  </HeadingPairs>
  <TitlesOfParts>
    <vt:vector size="113"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'Off-Balance Sheet'!Print_Area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Belete, Gabriel</cp:lastModifiedBy>
  <cp:lastPrinted>2015-07-17T19:23:07Z</cp:lastPrinted>
  <dcterms:created xsi:type="dcterms:W3CDTF">2015-03-19T18:31:05Z</dcterms:created>
  <dcterms:modified xsi:type="dcterms:W3CDTF">2015-09-02T13:37:54Z</dcterms:modified>
</cp:coreProperties>
</file>