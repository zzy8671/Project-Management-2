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workbookProtection workbookPassword="CDE2" lockStructure="1"/>
  <bookViews>
    <workbookView xWindow="240" yWindow="60" windowWidth="15120" windowHeight="8325" tabRatio="928"/>
  </bookViews>
  <sheets>
    <sheet name="Instructions" sheetId="68" r:id="rId1"/>
    <sheet name="Title Page" sheetId="28" r:id="rId2"/>
    <sheet name="Approval and Documentation" sheetId="29" r:id="rId3"/>
    <sheet name="Summaries" sheetId="30" r:id="rId4"/>
    <sheet name="New Products" sheetId="31" r:id="rId5"/>
    <sheet name="Off-Balance Sheet" sheetId="69" r:id="rId6"/>
    <sheet name="Emerging and Loss Data" sheetId="32" r:id="rId7"/>
    <sheet name="Audit Findings" sheetId="33" r:id="rId8"/>
    <sheet name="Assessments" sheetId="34" r:id="rId9"/>
    <sheet name="Metrics" sheetId="35" r:id="rId10"/>
    <sheet name="Sheet5" sheetId="4" state="hidden" r:id="rId11"/>
    <sheet name="Dropdowns" sheetId="5" state="hidden" r:id="rId12"/>
    <sheet name="Entity Material Risk Inventory" sheetId="57" state="hidden" r:id="rId13"/>
    <sheet name="Risk Inventory" sheetId="1" state="hidden" r:id="rId14"/>
    <sheet name="1" sheetId="8" r:id="rId15"/>
    <sheet name="2" sheetId="9" r:id="rId16"/>
    <sheet name="3" sheetId="10" r:id="rId17"/>
    <sheet name="4" sheetId="11" r:id="rId18"/>
    <sheet name="5" sheetId="12" r:id="rId19"/>
    <sheet name="6" sheetId="13" r:id="rId20"/>
    <sheet name="7" sheetId="14" r:id="rId21"/>
    <sheet name="8" sheetId="15" r:id="rId22"/>
    <sheet name="9" sheetId="16" r:id="rId23"/>
    <sheet name="10" sheetId="17" r:id="rId24"/>
    <sheet name="11" sheetId="18" r:id="rId25"/>
    <sheet name="12" sheetId="19" r:id="rId26"/>
    <sheet name="13" sheetId="20" r:id="rId27"/>
    <sheet name="14" sheetId="21" r:id="rId28"/>
    <sheet name="15" sheetId="22" r:id="rId29"/>
    <sheet name="16" sheetId="23" r:id="rId30"/>
    <sheet name="17" sheetId="24" r:id="rId31"/>
    <sheet name="18" sheetId="25" r:id="rId32"/>
    <sheet name="19" sheetId="26" r:id="rId33"/>
    <sheet name="20" sheetId="27" r:id="rId34"/>
    <sheet name="21" sheetId="46" r:id="rId35"/>
    <sheet name="22" sheetId="47" r:id="rId36"/>
    <sheet name="23" sheetId="48" r:id="rId37"/>
    <sheet name="24" sheetId="49" r:id="rId38"/>
    <sheet name="25" sheetId="50" r:id="rId39"/>
    <sheet name="26" sheetId="51" r:id="rId40"/>
    <sheet name="27" sheetId="52" r:id="rId41"/>
    <sheet name="28" sheetId="53" r:id="rId42"/>
    <sheet name="29" sheetId="54" r:id="rId43"/>
    <sheet name="30" sheetId="55" r:id="rId44"/>
    <sheet name="31" sheetId="58" r:id="rId45"/>
    <sheet name="32" sheetId="59" r:id="rId46"/>
    <sheet name="33" sheetId="60" r:id="rId47"/>
    <sheet name="34" sheetId="61" r:id="rId48"/>
    <sheet name="35" sheetId="62" r:id="rId49"/>
    <sheet name="36" sheetId="63" r:id="rId50"/>
    <sheet name="37" sheetId="64" r:id="rId51"/>
    <sheet name="38" sheetId="65" r:id="rId52"/>
    <sheet name="39" sheetId="66" r:id="rId53"/>
    <sheet name="40" sheetId="67" r:id="rId54"/>
    <sheet name="Appendix - Risks" sheetId="56" r:id="rId55"/>
  </sheets>
  <externalReferences>
    <externalReference r:id="rId56"/>
  </externalReferences>
  <definedNames>
    <definedName name="_xlnm._FilterDatabase" localSheetId="10" hidden="1">Sheet5!$A$16:$B$164</definedName>
    <definedName name="_Toc415665089" localSheetId="6">'Emerging and Loss Data'!$A$27</definedName>
    <definedName name="_Toc415665090" localSheetId="7">'Audit Findings'!$A$2</definedName>
    <definedName name="Assumptions" localSheetId="34">Sheet5!#REF!</definedName>
    <definedName name="Assumptions" localSheetId="35">Sheet5!#REF!</definedName>
    <definedName name="Assumptions" localSheetId="36">Sheet5!#REF!</definedName>
    <definedName name="Assumptions" localSheetId="37">Sheet5!#REF!</definedName>
    <definedName name="Assumptions" localSheetId="38">Sheet5!#REF!</definedName>
    <definedName name="Assumptions" localSheetId="39">Sheet5!#REF!</definedName>
    <definedName name="Assumptions" localSheetId="40">Sheet5!#REF!</definedName>
    <definedName name="Assumptions" localSheetId="41">Sheet5!#REF!</definedName>
    <definedName name="Assumptions" localSheetId="42">Sheet5!#REF!</definedName>
    <definedName name="Assumptions" localSheetId="43">Sheet5!#REF!</definedName>
    <definedName name="Assumptions">Sheet5!#REF!</definedName>
    <definedName name="BasisRisk" localSheetId="34">Sheet5!#REF!</definedName>
    <definedName name="BasisRisk" localSheetId="35">Sheet5!#REF!</definedName>
    <definedName name="BasisRisk" localSheetId="36">Sheet5!#REF!</definedName>
    <definedName name="BasisRisk" localSheetId="37">Sheet5!#REF!</definedName>
    <definedName name="BasisRisk" localSheetId="38">Sheet5!#REF!</definedName>
    <definedName name="BasisRisk" localSheetId="39">Sheet5!#REF!</definedName>
    <definedName name="BasisRisk" localSheetId="40">Sheet5!#REF!</definedName>
    <definedName name="BasisRisk" localSheetId="41">Sheet5!#REF!</definedName>
    <definedName name="BasisRisk" localSheetId="42">Sheet5!#REF!</definedName>
    <definedName name="BasisRisk" localSheetId="43">Sheet5!#REF!</definedName>
    <definedName name="BasisRisk">Sheet5!#REF!</definedName>
    <definedName name="BEntity">Dropdowns!$C$2:$C$6</definedName>
    <definedName name="BrandImageCustomersExperience" localSheetId="34">Sheet5!#REF!</definedName>
    <definedName name="BrandImageCustomersExperience" localSheetId="35">Sheet5!#REF!</definedName>
    <definedName name="BrandImageCustomersExperience" localSheetId="36">Sheet5!#REF!</definedName>
    <definedName name="BrandImageCustomersExperience" localSheetId="37">Sheet5!#REF!</definedName>
    <definedName name="BrandImageCustomersExperience" localSheetId="38">Sheet5!#REF!</definedName>
    <definedName name="BrandImageCustomersExperience" localSheetId="39">Sheet5!#REF!</definedName>
    <definedName name="BrandImageCustomersExperience" localSheetId="40">Sheet5!#REF!</definedName>
    <definedName name="BrandImageCustomersExperience" localSheetId="41">Sheet5!#REF!</definedName>
    <definedName name="BrandImageCustomersExperience" localSheetId="42">Sheet5!#REF!</definedName>
    <definedName name="BrandImageCustomersExperience" localSheetId="43">Sheet5!#REF!</definedName>
    <definedName name="BrandImageCustomersExperience">Sheet5!#REF!</definedName>
    <definedName name="BSAAMLOFAC" localSheetId="34">Sheet5!#REF!</definedName>
    <definedName name="BSAAMLOFAC" localSheetId="35">Sheet5!#REF!</definedName>
    <definedName name="BSAAMLOFAC" localSheetId="36">Sheet5!#REF!</definedName>
    <definedName name="BSAAMLOFAC" localSheetId="37">Sheet5!#REF!</definedName>
    <definedName name="BSAAMLOFAC" localSheetId="38">Sheet5!#REF!</definedName>
    <definedName name="BSAAMLOFAC" localSheetId="39">Sheet5!#REF!</definedName>
    <definedName name="BSAAMLOFAC" localSheetId="40">Sheet5!#REF!</definedName>
    <definedName name="BSAAMLOFAC" localSheetId="41">Sheet5!#REF!</definedName>
    <definedName name="BSAAMLOFAC" localSheetId="42">Sheet5!#REF!</definedName>
    <definedName name="BSAAMLOFAC" localSheetId="43">Sheet5!#REF!</definedName>
    <definedName name="BSAAMLOFAC">Sheet5!#REF!</definedName>
    <definedName name="BusinessDisruptionandSystemFailures" localSheetId="34">Sheet5!#REF!</definedName>
    <definedName name="BusinessDisruptionandSystemFailures" localSheetId="35">Sheet5!#REF!</definedName>
    <definedName name="BusinessDisruptionandSystemFailures" localSheetId="36">Sheet5!#REF!</definedName>
    <definedName name="BusinessDisruptionandSystemFailures" localSheetId="37">Sheet5!#REF!</definedName>
    <definedName name="BusinessDisruptionandSystemFailures" localSheetId="38">Sheet5!#REF!</definedName>
    <definedName name="BusinessDisruptionandSystemFailures" localSheetId="39">Sheet5!#REF!</definedName>
    <definedName name="BusinessDisruptionandSystemFailures" localSheetId="40">Sheet5!#REF!</definedName>
    <definedName name="BusinessDisruptionandSystemFailures" localSheetId="41">Sheet5!#REF!</definedName>
    <definedName name="BusinessDisruptionandSystemFailures" localSheetId="42">Sheet5!#REF!</definedName>
    <definedName name="BusinessDisruptionandSystemFailures" localSheetId="43">Sheet5!#REF!</definedName>
    <definedName name="BusinessDisruptionandSystemFailures">Sheet5!#REF!</definedName>
    <definedName name="ClientsProductsandBusinessPractices" localSheetId="34">Sheet5!#REF!</definedName>
    <definedName name="ClientsProductsandBusinessPractices" localSheetId="35">Sheet5!#REF!</definedName>
    <definedName name="ClientsProductsandBusinessPractices" localSheetId="36">Sheet5!#REF!</definedName>
    <definedName name="ClientsProductsandBusinessPractices" localSheetId="37">Sheet5!#REF!</definedName>
    <definedName name="ClientsProductsandBusinessPractices" localSheetId="38">Sheet5!#REF!</definedName>
    <definedName name="ClientsProductsandBusinessPractices" localSheetId="39">Sheet5!#REF!</definedName>
    <definedName name="ClientsProductsandBusinessPractices" localSheetId="40">Sheet5!#REF!</definedName>
    <definedName name="ClientsProductsandBusinessPractices" localSheetId="41">Sheet5!#REF!</definedName>
    <definedName name="ClientsProductsandBusinessPractices" localSheetId="42">Sheet5!#REF!</definedName>
    <definedName name="ClientsProductsandBusinessPractices" localSheetId="43">Sheet5!#REF!</definedName>
    <definedName name="ClientsProductsandBusinessPractices">Sheet5!#REF!</definedName>
    <definedName name="Collateral" localSheetId="34">Sheet5!#REF!</definedName>
    <definedName name="Collateral" localSheetId="35">Sheet5!#REF!</definedName>
    <definedName name="Collateral" localSheetId="36">Sheet5!#REF!</definedName>
    <definedName name="Collateral" localSheetId="37">Sheet5!#REF!</definedName>
    <definedName name="Collateral" localSheetId="38">Sheet5!#REF!</definedName>
    <definedName name="Collateral" localSheetId="39">Sheet5!#REF!</definedName>
    <definedName name="Collateral" localSheetId="40">Sheet5!#REF!</definedName>
    <definedName name="Collateral" localSheetId="41">Sheet5!#REF!</definedName>
    <definedName name="Collateral" localSheetId="42">Sheet5!#REF!</definedName>
    <definedName name="Collateral" localSheetId="43">Sheet5!#REF!</definedName>
    <definedName name="Collateral">Sheet5!#REF!</definedName>
    <definedName name="Complaints" localSheetId="34">Sheet5!#REF!</definedName>
    <definedName name="Complaints" localSheetId="35">Sheet5!#REF!</definedName>
    <definedName name="Complaints" localSheetId="36">Sheet5!#REF!</definedName>
    <definedName name="Complaints" localSheetId="37">Sheet5!#REF!</definedName>
    <definedName name="Complaints" localSheetId="38">Sheet5!#REF!</definedName>
    <definedName name="Complaints" localSheetId="39">Sheet5!#REF!</definedName>
    <definedName name="Complaints" localSheetId="40">Sheet5!#REF!</definedName>
    <definedName name="Complaints" localSheetId="41">Sheet5!#REF!</definedName>
    <definedName name="Complaints" localSheetId="42">Sheet5!#REF!</definedName>
    <definedName name="Complaints" localSheetId="43">Sheet5!#REF!</definedName>
    <definedName name="Complaints">Sheet5!#REF!</definedName>
    <definedName name="Compliance">Sheet5!$B$1:$B$34</definedName>
    <definedName name="Concentration" localSheetId="34">Sheet5!#REF!</definedName>
    <definedName name="Concentration" localSheetId="35">Sheet5!#REF!</definedName>
    <definedName name="Concentration" localSheetId="36">Sheet5!#REF!</definedName>
    <definedName name="Concentration" localSheetId="37">Sheet5!#REF!</definedName>
    <definedName name="Concentration" localSheetId="38">Sheet5!#REF!</definedName>
    <definedName name="Concentration" localSheetId="39">Sheet5!#REF!</definedName>
    <definedName name="Concentration" localSheetId="40">Sheet5!#REF!</definedName>
    <definedName name="Concentration" localSheetId="41">Sheet5!#REF!</definedName>
    <definedName name="Concentration" localSheetId="42">Sheet5!#REF!</definedName>
    <definedName name="Concentration" localSheetId="43">Sheet5!#REF!</definedName>
    <definedName name="Concentration">Sheet5!#REF!</definedName>
    <definedName name="ContingentLiquidity" localSheetId="34">Sheet5!#REF!</definedName>
    <definedName name="ContingentLiquidity" localSheetId="35">Sheet5!#REF!</definedName>
    <definedName name="ContingentLiquidity" localSheetId="36">Sheet5!#REF!</definedName>
    <definedName name="ContingentLiquidity" localSheetId="37">Sheet5!#REF!</definedName>
    <definedName name="ContingentLiquidity" localSheetId="38">Sheet5!#REF!</definedName>
    <definedName name="ContingentLiquidity" localSheetId="39">Sheet5!#REF!</definedName>
    <definedName name="ContingentLiquidity" localSheetId="40">Sheet5!#REF!</definedName>
    <definedName name="ContingentLiquidity" localSheetId="41">Sheet5!#REF!</definedName>
    <definedName name="ContingentLiquidity" localSheetId="42">Sheet5!#REF!</definedName>
    <definedName name="ContingentLiquidity" localSheetId="43">Sheet5!#REF!</definedName>
    <definedName name="ContingentLiquidity">Sheet5!#REF!</definedName>
    <definedName name="Control1">[1]Sheet2!$Q$3:$Q$10</definedName>
    <definedName name="ControlSuite">Dropdowns!$D$2:$D$6</definedName>
    <definedName name="ControlSystems" localSheetId="34">Sheet5!#REF!</definedName>
    <definedName name="ControlSystems" localSheetId="35">Sheet5!#REF!</definedName>
    <definedName name="ControlSystems" localSheetId="36">Sheet5!#REF!</definedName>
    <definedName name="ControlSystems" localSheetId="37">Sheet5!#REF!</definedName>
    <definedName name="ControlSystems" localSheetId="38">Sheet5!#REF!</definedName>
    <definedName name="ControlSystems" localSheetId="39">Sheet5!#REF!</definedName>
    <definedName name="ControlSystems" localSheetId="40">Sheet5!#REF!</definedName>
    <definedName name="ControlSystems" localSheetId="41">Sheet5!#REF!</definedName>
    <definedName name="ControlSystems" localSheetId="42">Sheet5!#REF!</definedName>
    <definedName name="ControlSystems" localSheetId="43">Sheet5!#REF!</definedName>
    <definedName name="ControlSystems">Sheet5!#REF!</definedName>
    <definedName name="CoreBankingandFairLending" localSheetId="34">Sheet5!#REF!</definedName>
    <definedName name="CoreBankingandFairLending" localSheetId="35">Sheet5!#REF!</definedName>
    <definedName name="CoreBankingandFairLending" localSheetId="36">Sheet5!#REF!</definedName>
    <definedName name="CoreBankingandFairLending" localSheetId="37">Sheet5!#REF!</definedName>
    <definedName name="CoreBankingandFairLending" localSheetId="38">Sheet5!#REF!</definedName>
    <definedName name="CoreBankingandFairLending" localSheetId="39">Sheet5!#REF!</definedName>
    <definedName name="CoreBankingandFairLending" localSheetId="40">Sheet5!#REF!</definedName>
    <definedName name="CoreBankingandFairLending" localSheetId="41">Sheet5!#REF!</definedName>
    <definedName name="CoreBankingandFairLending" localSheetId="42">Sheet5!#REF!</definedName>
    <definedName name="CoreBankingandFairLending" localSheetId="43">Sheet5!#REF!</definedName>
    <definedName name="CoreBankingandFairLending">Sheet5!#REF!</definedName>
    <definedName name="Counterparty" localSheetId="34">Sheet5!#REF!</definedName>
    <definedName name="Counterparty" localSheetId="35">Sheet5!#REF!</definedName>
    <definedName name="Counterparty" localSheetId="36">Sheet5!#REF!</definedName>
    <definedName name="Counterparty" localSheetId="37">Sheet5!#REF!</definedName>
    <definedName name="Counterparty" localSheetId="38">Sheet5!#REF!</definedName>
    <definedName name="Counterparty" localSheetId="39">Sheet5!#REF!</definedName>
    <definedName name="Counterparty" localSheetId="40">Sheet5!#REF!</definedName>
    <definedName name="Counterparty" localSheetId="41">Sheet5!#REF!</definedName>
    <definedName name="Counterparty" localSheetId="42">Sheet5!#REF!</definedName>
    <definedName name="Counterparty" localSheetId="43">Sheet5!#REF!</definedName>
    <definedName name="Counterparty">Sheet5!#REF!</definedName>
    <definedName name="Country" localSheetId="34">Sheet5!#REF!</definedName>
    <definedName name="Country" localSheetId="35">Sheet5!#REF!</definedName>
    <definedName name="Country" localSheetId="36">Sheet5!#REF!</definedName>
    <definedName name="Country" localSheetId="37">Sheet5!#REF!</definedName>
    <definedName name="Country" localSheetId="38">Sheet5!#REF!</definedName>
    <definedName name="Country" localSheetId="39">Sheet5!#REF!</definedName>
    <definedName name="Country" localSheetId="40">Sheet5!#REF!</definedName>
    <definedName name="Country" localSheetId="41">Sheet5!#REF!</definedName>
    <definedName name="Country" localSheetId="42">Sheet5!#REF!</definedName>
    <definedName name="Country" localSheetId="43">Sheet5!#REF!</definedName>
    <definedName name="Country">Sheet5!#REF!</definedName>
    <definedName name="Credit">Sheet5!$B$35:$B$48</definedName>
    <definedName name="CRR" localSheetId="34">#REF!</definedName>
    <definedName name="CRR" localSheetId="35">#REF!</definedName>
    <definedName name="CRR" localSheetId="36">#REF!</definedName>
    <definedName name="CRR" localSheetId="37">#REF!</definedName>
    <definedName name="CRR" localSheetId="38">#REF!</definedName>
    <definedName name="CRR" localSheetId="39">#REF!</definedName>
    <definedName name="CRR" localSheetId="40">#REF!</definedName>
    <definedName name="CRR" localSheetId="41">#REF!</definedName>
    <definedName name="CRR" localSheetId="42">#REF!</definedName>
    <definedName name="CRR" localSheetId="43">#REF!</definedName>
    <definedName name="CRR" localSheetId="11">#REF!</definedName>
    <definedName name="CRR">#REF!</definedName>
    <definedName name="DamagetoPhysicalAssets" localSheetId="34">Sheet5!#REF!</definedName>
    <definedName name="DamagetoPhysicalAssets" localSheetId="35">Sheet5!#REF!</definedName>
    <definedName name="DamagetoPhysicalAssets" localSheetId="36">Sheet5!#REF!</definedName>
    <definedName name="DamagetoPhysicalAssets" localSheetId="37">Sheet5!#REF!</definedName>
    <definedName name="DamagetoPhysicalAssets" localSheetId="38">Sheet5!#REF!</definedName>
    <definedName name="DamagetoPhysicalAssets" localSheetId="39">Sheet5!#REF!</definedName>
    <definedName name="DamagetoPhysicalAssets" localSheetId="40">Sheet5!#REF!</definedName>
    <definedName name="DamagetoPhysicalAssets" localSheetId="41">Sheet5!#REF!</definedName>
    <definedName name="DamagetoPhysicalAssets" localSheetId="42">Sheet5!#REF!</definedName>
    <definedName name="DamagetoPhysicalAssets" localSheetId="43">Sheet5!#REF!</definedName>
    <definedName name="DamagetoPhysicalAssets">Sheet5!#REF!</definedName>
    <definedName name="DataAvailability" localSheetId="34">Sheet5!#REF!</definedName>
    <definedName name="DataAvailability" localSheetId="35">Sheet5!#REF!</definedName>
    <definedName name="DataAvailability" localSheetId="36">Sheet5!#REF!</definedName>
    <definedName name="DataAvailability" localSheetId="37">Sheet5!#REF!</definedName>
    <definedName name="DataAvailability" localSheetId="38">Sheet5!#REF!</definedName>
    <definedName name="DataAvailability" localSheetId="39">Sheet5!#REF!</definedName>
    <definedName name="DataAvailability" localSheetId="40">Sheet5!#REF!</definedName>
    <definedName name="DataAvailability" localSheetId="41">Sheet5!#REF!</definedName>
    <definedName name="DataAvailability" localSheetId="42">Sheet5!#REF!</definedName>
    <definedName name="DataAvailability" localSheetId="43">Sheet5!#REF!</definedName>
    <definedName name="DataAvailability">Sheet5!#REF!</definedName>
    <definedName name="DataReportingFramework" localSheetId="34">Sheet5!#REF!</definedName>
    <definedName name="DataReportingFramework" localSheetId="35">Sheet5!#REF!</definedName>
    <definedName name="DataReportingFramework" localSheetId="36">Sheet5!#REF!</definedName>
    <definedName name="DataReportingFramework" localSheetId="37">Sheet5!#REF!</definedName>
    <definedName name="DataReportingFramework" localSheetId="38">Sheet5!#REF!</definedName>
    <definedName name="DataReportingFramework" localSheetId="39">Sheet5!#REF!</definedName>
    <definedName name="DataReportingFramework" localSheetId="40">Sheet5!#REF!</definedName>
    <definedName name="DataReportingFramework" localSheetId="41">Sheet5!#REF!</definedName>
    <definedName name="DataReportingFramework" localSheetId="42">Sheet5!#REF!</definedName>
    <definedName name="DataReportingFramework" localSheetId="43">Sheet5!#REF!</definedName>
    <definedName name="DataReportingFramework">Sheet5!#REF!</definedName>
    <definedName name="DataRiskAggregationCapabilities" localSheetId="34">Sheet5!#REF!</definedName>
    <definedName name="DataRiskAggregationCapabilities" localSheetId="35">Sheet5!#REF!</definedName>
    <definedName name="DataRiskAggregationCapabilities" localSheetId="36">Sheet5!#REF!</definedName>
    <definedName name="DataRiskAggregationCapabilities" localSheetId="37">Sheet5!#REF!</definedName>
    <definedName name="DataRiskAggregationCapabilities" localSheetId="38">Sheet5!#REF!</definedName>
    <definedName name="DataRiskAggregationCapabilities" localSheetId="39">Sheet5!#REF!</definedName>
    <definedName name="DataRiskAggregationCapabilities" localSheetId="40">Sheet5!#REF!</definedName>
    <definedName name="DataRiskAggregationCapabilities" localSheetId="41">Sheet5!#REF!</definedName>
    <definedName name="DataRiskAggregationCapabilities" localSheetId="42">Sheet5!#REF!</definedName>
    <definedName name="DataRiskAggregationCapabilities" localSheetId="43">Sheet5!#REF!</definedName>
    <definedName name="DataRiskAggregationCapabilities">Sheet5!#REF!</definedName>
    <definedName name="Decision" localSheetId="34">Dropdowns!#REF!</definedName>
    <definedName name="Decision" localSheetId="35">Dropdowns!#REF!</definedName>
    <definedName name="Decision" localSheetId="36">Dropdowns!#REF!</definedName>
    <definedName name="Decision" localSheetId="37">Dropdowns!#REF!</definedName>
    <definedName name="Decision" localSheetId="38">Dropdowns!#REF!</definedName>
    <definedName name="Decision" localSheetId="39">Dropdowns!#REF!</definedName>
    <definedName name="Decision" localSheetId="40">Dropdowns!#REF!</definedName>
    <definedName name="Decision" localSheetId="41">Dropdowns!#REF!</definedName>
    <definedName name="Decision" localSheetId="42">Dropdowns!#REF!</definedName>
    <definedName name="Decision" localSheetId="43">Dropdowns!#REF!</definedName>
    <definedName name="Decision">Dropdowns!#REF!</definedName>
    <definedName name="Deterioration" localSheetId="34">Sheet5!#REF!</definedName>
    <definedName name="Deterioration" localSheetId="35">Sheet5!#REF!</definedName>
    <definedName name="Deterioration" localSheetId="36">Sheet5!#REF!</definedName>
    <definedName name="Deterioration" localSheetId="37">Sheet5!#REF!</definedName>
    <definedName name="Deterioration" localSheetId="38">Sheet5!#REF!</definedName>
    <definedName name="Deterioration" localSheetId="39">Sheet5!#REF!</definedName>
    <definedName name="Deterioration" localSheetId="40">Sheet5!#REF!</definedName>
    <definedName name="Deterioration" localSheetId="41">Sheet5!#REF!</definedName>
    <definedName name="Deterioration" localSheetId="42">Sheet5!#REF!</definedName>
    <definedName name="Deterioration" localSheetId="43">Sheet5!#REF!</definedName>
    <definedName name="Deterioration">Sheet5!#REF!</definedName>
    <definedName name="Drivers">Dropdowns!$B$2:$B$28</definedName>
    <definedName name="EmploymentPracticesWorkplaceSafety" localSheetId="34">Sheet5!#REF!</definedName>
    <definedName name="EmploymentPracticesWorkplaceSafety" localSheetId="35">Sheet5!#REF!</definedName>
    <definedName name="EmploymentPracticesWorkplaceSafety" localSheetId="36">Sheet5!#REF!</definedName>
    <definedName name="EmploymentPracticesWorkplaceSafety" localSheetId="37">Sheet5!#REF!</definedName>
    <definedName name="EmploymentPracticesWorkplaceSafety" localSheetId="38">Sheet5!#REF!</definedName>
    <definedName name="EmploymentPracticesWorkplaceSafety" localSheetId="39">Sheet5!#REF!</definedName>
    <definedName name="EmploymentPracticesWorkplaceSafety" localSheetId="40">Sheet5!#REF!</definedName>
    <definedName name="EmploymentPracticesWorkplaceSafety" localSheetId="41">Sheet5!#REF!</definedName>
    <definedName name="EmploymentPracticesWorkplaceSafety" localSheetId="42">Sheet5!#REF!</definedName>
    <definedName name="EmploymentPracticesWorkplaceSafety" localSheetId="43">Sheet5!#REF!</definedName>
    <definedName name="EmploymentPracticesWorkplaceSafety">Sheet5!#REF!</definedName>
    <definedName name="ExecutionDeliveryandProcessManagement" localSheetId="34">Sheet5!#REF!</definedName>
    <definedName name="ExecutionDeliveryandProcessManagement" localSheetId="35">Sheet5!#REF!</definedName>
    <definedName name="ExecutionDeliveryandProcessManagement" localSheetId="36">Sheet5!#REF!</definedName>
    <definedName name="ExecutionDeliveryandProcessManagement" localSheetId="37">Sheet5!#REF!</definedName>
    <definedName name="ExecutionDeliveryandProcessManagement" localSheetId="38">Sheet5!#REF!</definedName>
    <definedName name="ExecutionDeliveryandProcessManagement" localSheetId="39">Sheet5!#REF!</definedName>
    <definedName name="ExecutionDeliveryandProcessManagement" localSheetId="40">Sheet5!#REF!</definedName>
    <definedName name="ExecutionDeliveryandProcessManagement" localSheetId="41">Sheet5!#REF!</definedName>
    <definedName name="ExecutionDeliveryandProcessManagement" localSheetId="42">Sheet5!#REF!</definedName>
    <definedName name="ExecutionDeliveryandProcessManagement" localSheetId="43">Sheet5!#REF!</definedName>
    <definedName name="ExecutionDeliveryandProcessManagement">Sheet5!#REF!</definedName>
    <definedName name="ExpansionRisk" localSheetId="34">Sheet5!#REF!</definedName>
    <definedName name="ExpansionRisk" localSheetId="35">Sheet5!#REF!</definedName>
    <definedName name="ExpansionRisk" localSheetId="36">Sheet5!#REF!</definedName>
    <definedName name="ExpansionRisk" localSheetId="37">Sheet5!#REF!</definedName>
    <definedName name="ExpansionRisk" localSheetId="38">Sheet5!#REF!</definedName>
    <definedName name="ExpansionRisk" localSheetId="39">Sheet5!#REF!</definedName>
    <definedName name="ExpansionRisk" localSheetId="40">Sheet5!#REF!</definedName>
    <definedName name="ExpansionRisk" localSheetId="41">Sheet5!#REF!</definedName>
    <definedName name="ExpansionRisk" localSheetId="42">Sheet5!#REF!</definedName>
    <definedName name="ExpansionRisk" localSheetId="43">Sheet5!#REF!</definedName>
    <definedName name="ExpansionRisk">Sheet5!#REF!</definedName>
    <definedName name="ExternalFactors" localSheetId="34">Sheet5!#REF!</definedName>
    <definedName name="ExternalFactors" localSheetId="35">Sheet5!#REF!</definedName>
    <definedName name="ExternalFactors" localSheetId="36">Sheet5!#REF!</definedName>
    <definedName name="ExternalFactors" localSheetId="37">Sheet5!#REF!</definedName>
    <definedName name="ExternalFactors" localSheetId="38">Sheet5!#REF!</definedName>
    <definedName name="ExternalFactors" localSheetId="39">Sheet5!#REF!</definedName>
    <definedName name="ExternalFactors" localSheetId="40">Sheet5!#REF!</definedName>
    <definedName name="ExternalFactors" localSheetId="41">Sheet5!#REF!</definedName>
    <definedName name="ExternalFactors" localSheetId="42">Sheet5!#REF!</definedName>
    <definedName name="ExternalFactors" localSheetId="43">Sheet5!#REF!</definedName>
    <definedName name="ExternalFactors">Sheet5!#REF!</definedName>
    <definedName name="ExternalFraud" localSheetId="34">Sheet5!#REF!</definedName>
    <definedName name="ExternalFraud" localSheetId="35">Sheet5!#REF!</definedName>
    <definedName name="ExternalFraud" localSheetId="36">Sheet5!#REF!</definedName>
    <definedName name="ExternalFraud" localSheetId="37">Sheet5!#REF!</definedName>
    <definedName name="ExternalFraud" localSheetId="38">Sheet5!#REF!</definedName>
    <definedName name="ExternalFraud" localSheetId="39">Sheet5!#REF!</definedName>
    <definedName name="ExternalFraud" localSheetId="40">Sheet5!#REF!</definedName>
    <definedName name="ExternalFraud" localSheetId="41">Sheet5!#REF!</definedName>
    <definedName name="ExternalFraud" localSheetId="42">Sheet5!#REF!</definedName>
    <definedName name="ExternalFraud" localSheetId="43">Sheet5!#REF!</definedName>
    <definedName name="ExternalFraud">Sheet5!#REF!</definedName>
    <definedName name="FundingLiquidity" localSheetId="34">Sheet5!#REF!</definedName>
    <definedName name="FundingLiquidity" localSheetId="35">Sheet5!#REF!</definedName>
    <definedName name="FundingLiquidity" localSheetId="36">Sheet5!#REF!</definedName>
    <definedName name="FundingLiquidity" localSheetId="37">Sheet5!#REF!</definedName>
    <definedName name="FundingLiquidity" localSheetId="38">Sheet5!#REF!</definedName>
    <definedName name="FundingLiquidity" localSheetId="39">Sheet5!#REF!</definedName>
    <definedName name="FundingLiquidity" localSheetId="40">Sheet5!#REF!</definedName>
    <definedName name="FundingLiquidity" localSheetId="41">Sheet5!#REF!</definedName>
    <definedName name="FundingLiquidity" localSheetId="42">Sheet5!#REF!</definedName>
    <definedName name="FundingLiquidity" localSheetId="43">Sheet5!#REF!</definedName>
    <definedName name="FundingLiquidity">Sheet5!#REF!</definedName>
    <definedName name="Governance" localSheetId="34">Sheet5!#REF!</definedName>
    <definedName name="Governance" localSheetId="35">Sheet5!#REF!</definedName>
    <definedName name="Governance" localSheetId="36">Sheet5!#REF!</definedName>
    <definedName name="Governance" localSheetId="37">Sheet5!#REF!</definedName>
    <definedName name="Governance" localSheetId="38">Sheet5!#REF!</definedName>
    <definedName name="Governance" localSheetId="39">Sheet5!#REF!</definedName>
    <definedName name="Governance" localSheetId="40">Sheet5!#REF!</definedName>
    <definedName name="Governance" localSheetId="41">Sheet5!#REF!</definedName>
    <definedName name="Governance" localSheetId="42">Sheet5!#REF!</definedName>
    <definedName name="Governance" localSheetId="43">Sheet5!#REF!</definedName>
    <definedName name="Governance">Sheet5!#REF!</definedName>
    <definedName name="Impact" localSheetId="34">Dropdowns!#REF!</definedName>
    <definedName name="Impact" localSheetId="35">Dropdowns!#REF!</definedName>
    <definedName name="Impact" localSheetId="36">Dropdowns!#REF!</definedName>
    <definedName name="Impact" localSheetId="37">Dropdowns!#REF!</definedName>
    <definedName name="Impact" localSheetId="38">Dropdowns!#REF!</definedName>
    <definedName name="Impact" localSheetId="39">Dropdowns!#REF!</definedName>
    <definedName name="Impact" localSheetId="40">Dropdowns!#REF!</definedName>
    <definedName name="Impact" localSheetId="41">Dropdowns!#REF!</definedName>
    <definedName name="Impact" localSheetId="42">Dropdowns!#REF!</definedName>
    <definedName name="Impact" localSheetId="43">Dropdowns!#REF!</definedName>
    <definedName name="Impact">Dropdowns!#REF!</definedName>
    <definedName name="Impact2" localSheetId="34">Dropdowns!#REF!</definedName>
    <definedName name="Impact2" localSheetId="35">Dropdowns!#REF!</definedName>
    <definedName name="Impact2" localSheetId="36">Dropdowns!#REF!</definedName>
    <definedName name="Impact2" localSheetId="37">Dropdowns!#REF!</definedName>
    <definedName name="Impact2" localSheetId="38">Dropdowns!#REF!</definedName>
    <definedName name="Impact2" localSheetId="39">Dropdowns!#REF!</definedName>
    <definedName name="Impact2" localSheetId="40">Dropdowns!#REF!</definedName>
    <definedName name="Impact2" localSheetId="41">Dropdowns!#REF!</definedName>
    <definedName name="Impact2" localSheetId="42">Dropdowns!#REF!</definedName>
    <definedName name="Impact2" localSheetId="43">Dropdowns!#REF!</definedName>
    <definedName name="Impact2">Dropdowns!#REF!</definedName>
    <definedName name="Impacts" localSheetId="34">Dropdowns!#REF!</definedName>
    <definedName name="Impacts" localSheetId="35">Dropdowns!#REF!</definedName>
    <definedName name="Impacts" localSheetId="36">Dropdowns!#REF!</definedName>
    <definedName name="Impacts" localSheetId="37">Dropdowns!#REF!</definedName>
    <definedName name="Impacts" localSheetId="38">Dropdowns!#REF!</definedName>
    <definedName name="Impacts" localSheetId="39">Dropdowns!#REF!</definedName>
    <definedName name="Impacts" localSheetId="40">Dropdowns!#REF!</definedName>
    <definedName name="Impacts" localSheetId="41">Dropdowns!#REF!</definedName>
    <definedName name="Impacts" localSheetId="42">Dropdowns!#REF!</definedName>
    <definedName name="Impacts" localSheetId="43">Dropdowns!#REF!</definedName>
    <definedName name="Impacts">Dropdowns!#REF!</definedName>
    <definedName name="Indicator" localSheetId="34">Dropdowns!#REF!</definedName>
    <definedName name="Indicator" localSheetId="35">Dropdowns!#REF!</definedName>
    <definedName name="Indicator" localSheetId="36">Dropdowns!#REF!</definedName>
    <definedName name="Indicator" localSheetId="37">Dropdowns!#REF!</definedName>
    <definedName name="Indicator" localSheetId="38">Dropdowns!#REF!</definedName>
    <definedName name="Indicator" localSheetId="39">Dropdowns!#REF!</definedName>
    <definedName name="Indicator" localSheetId="40">Dropdowns!#REF!</definedName>
    <definedName name="Indicator" localSheetId="41">Dropdowns!#REF!</definedName>
    <definedName name="Indicator" localSheetId="42">Dropdowns!#REF!</definedName>
    <definedName name="Indicator" localSheetId="43">Dropdowns!#REF!</definedName>
    <definedName name="Indicator">Dropdowns!#REF!</definedName>
    <definedName name="InternalFraud" localSheetId="34">Sheet5!#REF!</definedName>
    <definedName name="InternalFraud" localSheetId="35">Sheet5!#REF!</definedName>
    <definedName name="InternalFraud" localSheetId="36">Sheet5!#REF!</definedName>
    <definedName name="InternalFraud" localSheetId="37">Sheet5!#REF!</definedName>
    <definedName name="InternalFraud" localSheetId="38">Sheet5!#REF!</definedName>
    <definedName name="InternalFraud" localSheetId="39">Sheet5!#REF!</definedName>
    <definedName name="InternalFraud" localSheetId="40">Sheet5!#REF!</definedName>
    <definedName name="InternalFraud" localSheetId="41">Sheet5!#REF!</definedName>
    <definedName name="InternalFraud" localSheetId="42">Sheet5!#REF!</definedName>
    <definedName name="InternalFraud" localSheetId="43">Sheet5!#REF!</definedName>
    <definedName name="InternalFraud">Sheet5!#REF!</definedName>
    <definedName name="IQ_ADDIN" hidden="1">"AUTO"</definedName>
    <definedName name="IQ_CH" hidden="1">110000</definedName>
    <definedName name="IQ_CQ" hidden="1">5000</definedName>
    <definedName name="IQ_CY" hidden="1">10000</definedName>
    <definedName name="IQ_DAILY" hidden="1">500000</definedName>
    <definedName name="IQ_DNTM" hidden="1">700000</definedName>
    <definedName name="IQ_FH" hidden="1">100000</definedName>
    <definedName name="IQ_FQ" hidden="1">500</definedName>
    <definedName name="IQ_FWD_CY" hidden="1">10001</definedName>
    <definedName name="IQ_FWD_CY1" hidden="1">10002</definedName>
    <definedName name="IQ_FWD_CY2" hidden="1">10003</definedName>
    <definedName name="IQ_FWD_FY" hidden="1">1001</definedName>
    <definedName name="IQ_FWD_FY1" hidden="1">1002</definedName>
    <definedName name="IQ_FWD_FY2" hidden="1">1003</definedName>
    <definedName name="IQ_FWD_Q" hidden="1">501</definedName>
    <definedName name="IQ_FWD_Q1" hidden="1">502</definedName>
    <definedName name="IQ_FWD_Q2" hidden="1">503</definedName>
    <definedName name="IQ_FY" hidden="1">1000</definedName>
    <definedName name="IQ_LATESTK" hidden="1">1000</definedName>
    <definedName name="IQ_LATESTQ" hidden="1">500</definedName>
    <definedName name="IQ_LTM" hidden="1">2000</definedName>
    <definedName name="IQ_LTMMONTH" hidden="1">120000</definedName>
    <definedName name="IQ_MONTH" hidden="1">15000</definedName>
    <definedName name="IQ_MTD" hidden="1">800000</definedName>
    <definedName name="IQ_NAMES_REVISION_DATE_" hidden="1">41705.9455208333</definedName>
    <definedName name="IQ_NTM" hidden="1">6000</definedName>
    <definedName name="IQ_QTD" hidden="1">750000</definedName>
    <definedName name="IQ_TODAY" hidden="1">0</definedName>
    <definedName name="IQ_WEEK" hidden="1">50000</definedName>
    <definedName name="IQ_YTD" hidden="1">3000</definedName>
    <definedName name="IQ_YTDMONTH" hidden="1">130000</definedName>
    <definedName name="IR">Dropdowns!$A$2:$A$6</definedName>
    <definedName name="IRR" localSheetId="34">#REF!</definedName>
    <definedName name="IRR" localSheetId="35">#REF!</definedName>
    <definedName name="IRR" localSheetId="36">#REF!</definedName>
    <definedName name="IRR" localSheetId="37">#REF!</definedName>
    <definedName name="IRR" localSheetId="38">#REF!</definedName>
    <definedName name="IRR" localSheetId="39">#REF!</definedName>
    <definedName name="IRR" localSheetId="40">#REF!</definedName>
    <definedName name="IRR" localSheetId="41">#REF!</definedName>
    <definedName name="IRR" localSheetId="42">#REF!</definedName>
    <definedName name="IRR" localSheetId="43">#REF!</definedName>
    <definedName name="IRR" localSheetId="11">#REF!</definedName>
    <definedName name="IRR">#REF!</definedName>
    <definedName name="IssuerBorrower" localSheetId="34">Sheet5!#REF!</definedName>
    <definedName name="IssuerBorrower" localSheetId="35">Sheet5!#REF!</definedName>
    <definedName name="IssuerBorrower" localSheetId="36">Sheet5!#REF!</definedName>
    <definedName name="IssuerBorrower" localSheetId="37">Sheet5!#REF!</definedName>
    <definedName name="IssuerBorrower" localSheetId="38">Sheet5!#REF!</definedName>
    <definedName name="IssuerBorrower" localSheetId="39">Sheet5!#REF!</definedName>
    <definedName name="IssuerBorrower" localSheetId="40">Sheet5!#REF!</definedName>
    <definedName name="IssuerBorrower" localSheetId="41">Sheet5!#REF!</definedName>
    <definedName name="IssuerBorrower" localSheetId="42">Sheet5!#REF!</definedName>
    <definedName name="IssuerBorrower" localSheetId="43">Sheet5!#REF!</definedName>
    <definedName name="IssuerBorrower">Sheet5!#REF!</definedName>
    <definedName name="Legal" localSheetId="34">Sheet5!#REF!</definedName>
    <definedName name="Legal" localSheetId="35">Sheet5!#REF!</definedName>
    <definedName name="Legal" localSheetId="36">Sheet5!#REF!</definedName>
    <definedName name="Legal" localSheetId="37">Sheet5!#REF!</definedName>
    <definedName name="Legal" localSheetId="38">Sheet5!#REF!</definedName>
    <definedName name="Legal" localSheetId="39">Sheet5!#REF!</definedName>
    <definedName name="Legal" localSheetId="40">Sheet5!#REF!</definedName>
    <definedName name="Legal" localSheetId="41">Sheet5!#REF!</definedName>
    <definedName name="Legal" localSheetId="42">Sheet5!#REF!</definedName>
    <definedName name="Legal" localSheetId="43">Sheet5!#REF!</definedName>
    <definedName name="Legal">Sheet5!#REF!</definedName>
    <definedName name="Likelihood" localSheetId="34">Dropdowns!#REF!</definedName>
    <definedName name="Likelihood" localSheetId="35">Dropdowns!#REF!</definedName>
    <definedName name="Likelihood" localSheetId="36">Dropdowns!#REF!</definedName>
    <definedName name="Likelihood" localSheetId="37">Dropdowns!#REF!</definedName>
    <definedName name="Likelihood" localSheetId="38">Dropdowns!#REF!</definedName>
    <definedName name="Likelihood" localSheetId="39">Dropdowns!#REF!</definedName>
    <definedName name="Likelihood" localSheetId="40">Dropdowns!#REF!</definedName>
    <definedName name="Likelihood" localSheetId="41">Dropdowns!#REF!</definedName>
    <definedName name="Likelihood" localSheetId="42">Dropdowns!#REF!</definedName>
    <definedName name="Likelihood" localSheetId="43">Dropdowns!#REF!</definedName>
    <definedName name="Likelihood">Dropdowns!#REF!</definedName>
    <definedName name="Limit" localSheetId="34">Dropdowns!#REF!</definedName>
    <definedName name="Limit" localSheetId="35">Dropdowns!#REF!</definedName>
    <definedName name="Limit" localSheetId="36">Dropdowns!#REF!</definedName>
    <definedName name="Limit" localSheetId="37">Dropdowns!#REF!</definedName>
    <definedName name="Limit" localSheetId="38">Dropdowns!#REF!</definedName>
    <definedName name="Limit" localSheetId="39">Dropdowns!#REF!</definedName>
    <definedName name="Limit" localSheetId="40">Dropdowns!#REF!</definedName>
    <definedName name="Limit" localSheetId="41">Dropdowns!#REF!</definedName>
    <definedName name="Limit" localSheetId="42">Dropdowns!#REF!</definedName>
    <definedName name="Limit" localSheetId="43">Dropdowns!#REF!</definedName>
    <definedName name="Limit">Dropdowns!#REF!</definedName>
    <definedName name="Liquidity">Sheet5!$B$49:$B$62</definedName>
    <definedName name="Litigations" localSheetId="34">Sheet5!#REF!</definedName>
    <definedName name="Litigations" localSheetId="35">Sheet5!#REF!</definedName>
    <definedName name="Litigations" localSheetId="36">Sheet5!#REF!</definedName>
    <definedName name="Litigations" localSheetId="37">Sheet5!#REF!</definedName>
    <definedName name="Litigations" localSheetId="38">Sheet5!#REF!</definedName>
    <definedName name="Litigations" localSheetId="39">Sheet5!#REF!</definedName>
    <definedName name="Litigations" localSheetId="40">Sheet5!#REF!</definedName>
    <definedName name="Litigations" localSheetId="41">Sheet5!#REF!</definedName>
    <definedName name="Litigations" localSheetId="42">Sheet5!#REF!</definedName>
    <definedName name="Litigations" localSheetId="43">Sheet5!#REF!</definedName>
    <definedName name="Litigations">Sheet5!#REF!</definedName>
    <definedName name="LOB" localSheetId="34">Dropdowns!#REF!</definedName>
    <definedName name="LOB" localSheetId="35">Dropdowns!#REF!</definedName>
    <definedName name="LOB" localSheetId="36">Dropdowns!#REF!</definedName>
    <definedName name="LOB" localSheetId="37">Dropdowns!#REF!</definedName>
    <definedName name="LOB" localSheetId="38">Dropdowns!#REF!</definedName>
    <definedName name="LOB" localSheetId="39">Dropdowns!#REF!</definedName>
    <definedName name="LOB" localSheetId="40">Dropdowns!#REF!</definedName>
    <definedName name="LOB" localSheetId="41">Dropdowns!#REF!</definedName>
    <definedName name="LOB" localSheetId="42">Dropdowns!#REF!</definedName>
    <definedName name="LOB" localSheetId="43">Dropdowns!#REF!</definedName>
    <definedName name="LOB">Dropdowns!#REF!</definedName>
    <definedName name="ManagementandOtherPersonnel" localSheetId="34">Sheet5!#REF!</definedName>
    <definedName name="ManagementandOtherPersonnel" localSheetId="35">Sheet5!#REF!</definedName>
    <definedName name="ManagementandOtherPersonnel" localSheetId="36">Sheet5!#REF!</definedName>
    <definedName name="ManagementandOtherPersonnel" localSheetId="37">Sheet5!#REF!</definedName>
    <definedName name="ManagementandOtherPersonnel" localSheetId="38">Sheet5!#REF!</definedName>
    <definedName name="ManagementandOtherPersonnel" localSheetId="39">Sheet5!#REF!</definedName>
    <definedName name="ManagementandOtherPersonnel" localSheetId="40">Sheet5!#REF!</definedName>
    <definedName name="ManagementandOtherPersonnel" localSheetId="41">Sheet5!#REF!</definedName>
    <definedName name="ManagementandOtherPersonnel" localSheetId="42">Sheet5!#REF!</definedName>
    <definedName name="ManagementandOtherPersonnel" localSheetId="43">Sheet5!#REF!</definedName>
    <definedName name="ManagementandOtherPersonnel">Sheet5!#REF!</definedName>
    <definedName name="ManagementInformationSystems" localSheetId="34">Sheet5!#REF!</definedName>
    <definedName name="ManagementInformationSystems" localSheetId="35">Sheet5!#REF!</definedName>
    <definedName name="ManagementInformationSystems" localSheetId="36">Sheet5!#REF!</definedName>
    <definedName name="ManagementInformationSystems" localSheetId="37">Sheet5!#REF!</definedName>
    <definedName name="ManagementInformationSystems" localSheetId="38">Sheet5!#REF!</definedName>
    <definedName name="ManagementInformationSystems" localSheetId="39">Sheet5!#REF!</definedName>
    <definedName name="ManagementInformationSystems" localSheetId="40">Sheet5!#REF!</definedName>
    <definedName name="ManagementInformationSystems" localSheetId="41">Sheet5!#REF!</definedName>
    <definedName name="ManagementInformationSystems" localSheetId="42">Sheet5!#REF!</definedName>
    <definedName name="ManagementInformationSystems" localSheetId="43">Sheet5!#REF!</definedName>
    <definedName name="ManagementInformationSystems">Sheet5!#REF!</definedName>
    <definedName name="Market">Sheet5!$B$63:$B$73</definedName>
    <definedName name="MarketBasisRisk" localSheetId="34">Sheet5!#REF!</definedName>
    <definedName name="MarketBasisRisk" localSheetId="35">Sheet5!#REF!</definedName>
    <definedName name="MarketBasisRisk" localSheetId="36">Sheet5!#REF!</definedName>
    <definedName name="MarketBasisRisk" localSheetId="37">Sheet5!#REF!</definedName>
    <definedName name="MarketBasisRisk" localSheetId="38">Sheet5!#REF!</definedName>
    <definedName name="MarketBasisRisk" localSheetId="39">Sheet5!#REF!</definedName>
    <definedName name="MarketBasisRisk" localSheetId="40">Sheet5!#REF!</definedName>
    <definedName name="MarketBasisRisk" localSheetId="41">Sheet5!#REF!</definedName>
    <definedName name="MarketBasisRisk" localSheetId="42">Sheet5!#REF!</definedName>
    <definedName name="MarketBasisRisk" localSheetId="43">Sheet5!#REF!</definedName>
    <definedName name="MarketBasisRisk">Sheet5!#REF!</definedName>
    <definedName name="MarketCorrelationRisk" localSheetId="34">Sheet5!#REF!</definedName>
    <definedName name="MarketCorrelationRisk" localSheetId="35">Sheet5!#REF!</definedName>
    <definedName name="MarketCorrelationRisk" localSheetId="36">Sheet5!#REF!</definedName>
    <definedName name="MarketCorrelationRisk" localSheetId="37">Sheet5!#REF!</definedName>
    <definedName name="MarketCorrelationRisk" localSheetId="38">Sheet5!#REF!</definedName>
    <definedName name="MarketCorrelationRisk" localSheetId="39">Sheet5!#REF!</definedName>
    <definedName name="MarketCorrelationRisk" localSheetId="40">Sheet5!#REF!</definedName>
    <definedName name="MarketCorrelationRisk" localSheetId="41">Sheet5!#REF!</definedName>
    <definedName name="MarketCorrelationRisk" localSheetId="42">Sheet5!#REF!</definedName>
    <definedName name="MarketCorrelationRisk" localSheetId="43">Sheet5!#REF!</definedName>
    <definedName name="MarketCorrelationRisk">Sheet5!#REF!</definedName>
    <definedName name="MarketExternalFactors" localSheetId="34">Sheet5!#REF!</definedName>
    <definedName name="MarketExternalFactors" localSheetId="35">Sheet5!#REF!</definedName>
    <definedName name="MarketExternalFactors" localSheetId="36">Sheet5!#REF!</definedName>
    <definedName name="MarketExternalFactors" localSheetId="37">Sheet5!#REF!</definedName>
    <definedName name="MarketExternalFactors" localSheetId="38">Sheet5!#REF!</definedName>
    <definedName name="MarketExternalFactors" localSheetId="39">Sheet5!#REF!</definedName>
    <definedName name="MarketExternalFactors" localSheetId="40">Sheet5!#REF!</definedName>
    <definedName name="MarketExternalFactors" localSheetId="41">Sheet5!#REF!</definedName>
    <definedName name="MarketExternalFactors" localSheetId="42">Sheet5!#REF!</definedName>
    <definedName name="MarketExternalFactors" localSheetId="43">Sheet5!#REF!</definedName>
    <definedName name="MarketExternalFactors">Sheet5!#REF!</definedName>
    <definedName name="MarketLiquidity" localSheetId="34">Sheet5!#REF!</definedName>
    <definedName name="MarketLiquidity" localSheetId="35">Sheet5!#REF!</definedName>
    <definedName name="MarketLiquidity" localSheetId="36">Sheet5!#REF!</definedName>
    <definedName name="MarketLiquidity" localSheetId="37">Sheet5!#REF!</definedName>
    <definedName name="MarketLiquidity" localSheetId="38">Sheet5!#REF!</definedName>
    <definedName name="MarketLiquidity" localSheetId="39">Sheet5!#REF!</definedName>
    <definedName name="MarketLiquidity" localSheetId="40">Sheet5!#REF!</definedName>
    <definedName name="MarketLiquidity" localSheetId="41">Sheet5!#REF!</definedName>
    <definedName name="MarketLiquidity" localSheetId="42">Sheet5!#REF!</definedName>
    <definedName name="MarketLiquidity" localSheetId="43">Sheet5!#REF!</definedName>
    <definedName name="MarketLiquidity">Sheet5!#REF!</definedName>
    <definedName name="Misuse" localSheetId="34">Sheet5!#REF!</definedName>
    <definedName name="Misuse" localSheetId="35">Sheet5!#REF!</definedName>
    <definedName name="Misuse" localSheetId="36">Sheet5!#REF!</definedName>
    <definedName name="Misuse" localSheetId="37">Sheet5!#REF!</definedName>
    <definedName name="Misuse" localSheetId="38">Sheet5!#REF!</definedName>
    <definedName name="Misuse" localSheetId="39">Sheet5!#REF!</definedName>
    <definedName name="Misuse" localSheetId="40">Sheet5!#REF!</definedName>
    <definedName name="Misuse" localSheetId="41">Sheet5!#REF!</definedName>
    <definedName name="Misuse" localSheetId="42">Sheet5!#REF!</definedName>
    <definedName name="Misuse" localSheetId="43">Sheet5!#REF!</definedName>
    <definedName name="Misuse">Sheet5!#REF!</definedName>
    <definedName name="Model">Sheet5!$B$74:$B$78</definedName>
    <definedName name="ModelTraining" localSheetId="34">Sheet5!#REF!</definedName>
    <definedName name="ModelTraining" localSheetId="35">Sheet5!#REF!</definedName>
    <definedName name="ModelTraining" localSheetId="36">Sheet5!#REF!</definedName>
    <definedName name="ModelTraining" localSheetId="37">Sheet5!#REF!</definedName>
    <definedName name="ModelTraining" localSheetId="38">Sheet5!#REF!</definedName>
    <definedName name="ModelTraining" localSheetId="39">Sheet5!#REF!</definedName>
    <definedName name="ModelTraining" localSheetId="40">Sheet5!#REF!</definedName>
    <definedName name="ModelTraining" localSheetId="41">Sheet5!#REF!</definedName>
    <definedName name="ModelTraining" localSheetId="42">Sheet5!#REF!</definedName>
    <definedName name="ModelTraining" localSheetId="43">Sheet5!#REF!</definedName>
    <definedName name="ModelTraining">Sheet5!#REF!</definedName>
    <definedName name="MT" localSheetId="34">Dropdowns!#REF!</definedName>
    <definedName name="MT" localSheetId="35">Dropdowns!#REF!</definedName>
    <definedName name="MT" localSheetId="36">Dropdowns!#REF!</definedName>
    <definedName name="MT" localSheetId="37">Dropdowns!#REF!</definedName>
    <definedName name="MT" localSheetId="38">Dropdowns!#REF!</definedName>
    <definedName name="MT" localSheetId="39">Dropdowns!#REF!</definedName>
    <definedName name="MT" localSheetId="40">Dropdowns!#REF!</definedName>
    <definedName name="MT" localSheetId="41">Dropdowns!#REF!</definedName>
    <definedName name="MT" localSheetId="42">Dropdowns!#REF!</definedName>
    <definedName name="MT" localSheetId="43">Dropdowns!#REF!</definedName>
    <definedName name="MT">Dropdowns!#REF!</definedName>
    <definedName name="NonLinearRisk" localSheetId="34">Sheet5!#REF!</definedName>
    <definedName name="NonLinearRisk" localSheetId="35">Sheet5!#REF!</definedName>
    <definedName name="NonLinearRisk" localSheetId="36">Sheet5!#REF!</definedName>
    <definedName name="NonLinearRisk" localSheetId="37">Sheet5!#REF!</definedName>
    <definedName name="NonLinearRisk" localSheetId="38">Sheet5!#REF!</definedName>
    <definedName name="NonLinearRisk" localSheetId="39">Sheet5!#REF!</definedName>
    <definedName name="NonLinearRisk" localSheetId="40">Sheet5!#REF!</definedName>
    <definedName name="NonLinearRisk" localSheetId="41">Sheet5!#REF!</definedName>
    <definedName name="NonLinearRisk" localSheetId="42">Sheet5!#REF!</definedName>
    <definedName name="NonLinearRisk" localSheetId="43">Sheet5!#REF!</definedName>
    <definedName name="NonLinearRisk">Sheet5!#REF!</definedName>
    <definedName name="OCE" localSheetId="34">#REF!</definedName>
    <definedName name="OCE" localSheetId="35">#REF!</definedName>
    <definedName name="OCE" localSheetId="36">#REF!</definedName>
    <definedName name="OCE" localSheetId="37">#REF!</definedName>
    <definedName name="OCE" localSheetId="38">#REF!</definedName>
    <definedName name="OCE" localSheetId="39">#REF!</definedName>
    <definedName name="OCE" localSheetId="40">#REF!</definedName>
    <definedName name="OCE" localSheetId="41">#REF!</definedName>
    <definedName name="OCE" localSheetId="42">#REF!</definedName>
    <definedName name="OCE" localSheetId="43">#REF!</definedName>
    <definedName name="OCE" localSheetId="11">#REF!</definedName>
    <definedName name="OCE">#REF!</definedName>
    <definedName name="Operational">Sheet5!$B$79:$B$118</definedName>
    <definedName name="OW" localSheetId="34">Dropdowns!#REF!</definedName>
    <definedName name="OW" localSheetId="35">Dropdowns!#REF!</definedName>
    <definedName name="OW" localSheetId="36">Dropdowns!#REF!</definedName>
    <definedName name="OW" localSheetId="37">Dropdowns!#REF!</definedName>
    <definedName name="OW" localSheetId="38">Dropdowns!#REF!</definedName>
    <definedName name="OW" localSheetId="39">Dropdowns!#REF!</definedName>
    <definedName name="OW" localSheetId="40">Dropdowns!#REF!</definedName>
    <definedName name="OW" localSheetId="41">Dropdowns!#REF!</definedName>
    <definedName name="OW" localSheetId="42">Dropdowns!#REF!</definedName>
    <definedName name="OW" localSheetId="43">Dropdowns!#REF!</definedName>
    <definedName name="OW">Dropdowns!#REF!</definedName>
    <definedName name="PriceRisk" localSheetId="34">Sheet5!#REF!</definedName>
    <definedName name="PriceRisk" localSheetId="35">Sheet5!#REF!</definedName>
    <definedName name="PriceRisk" localSheetId="36">Sheet5!#REF!</definedName>
    <definedName name="PriceRisk" localSheetId="37">Sheet5!#REF!</definedName>
    <definedName name="PriceRisk" localSheetId="38">Sheet5!#REF!</definedName>
    <definedName name="PriceRisk" localSheetId="39">Sheet5!#REF!</definedName>
    <definedName name="PriceRisk" localSheetId="40">Sheet5!#REF!</definedName>
    <definedName name="PriceRisk" localSheetId="41">Sheet5!#REF!</definedName>
    <definedName name="PriceRisk" localSheetId="42">Sheet5!#REF!</definedName>
    <definedName name="PriceRisk" localSheetId="43">Sheet5!#REF!</definedName>
    <definedName name="PriceRisk">Sheet5!#REF!</definedName>
    <definedName name="Primary" localSheetId="34">Dropdowns!#REF!</definedName>
    <definedName name="Primary" localSheetId="35">Dropdowns!#REF!</definedName>
    <definedName name="Primary" localSheetId="36">Dropdowns!#REF!</definedName>
    <definedName name="Primary" localSheetId="37">Dropdowns!#REF!</definedName>
    <definedName name="Primary" localSheetId="38">Dropdowns!#REF!</definedName>
    <definedName name="Primary" localSheetId="39">Dropdowns!#REF!</definedName>
    <definedName name="Primary" localSheetId="40">Dropdowns!#REF!</definedName>
    <definedName name="Primary" localSheetId="41">Dropdowns!#REF!</definedName>
    <definedName name="Primary" localSheetId="42">Dropdowns!#REF!</definedName>
    <definedName name="Primary" localSheetId="43">Dropdowns!#REF!</definedName>
    <definedName name="Primary">Dropdowns!#REF!</definedName>
    <definedName name="_xlnm.Print_Area" localSheetId="14">'1'!$A$2:$C$12</definedName>
    <definedName name="_xlnm.Print_Area" localSheetId="23">'10'!$A$2:$C$12</definedName>
    <definedName name="_xlnm.Print_Area" localSheetId="24">'11'!$A$2:$C$12</definedName>
    <definedName name="_xlnm.Print_Area" localSheetId="25">'12'!$A$2:$C$12</definedName>
    <definedName name="_xlnm.Print_Area" localSheetId="26">'13'!$A$2:$C$12</definedName>
    <definedName name="_xlnm.Print_Area" localSheetId="27">'14'!$A$2:$C$12</definedName>
    <definedName name="_xlnm.Print_Area" localSheetId="28">'15'!$A$1:$C$12</definedName>
    <definedName name="_xlnm.Print_Area" localSheetId="29">'16'!$A$1:$C$12</definedName>
    <definedName name="_xlnm.Print_Area" localSheetId="30">'17'!$A$1:$C$12</definedName>
    <definedName name="_xlnm.Print_Area" localSheetId="31">'18'!$A$2:$C$12</definedName>
    <definedName name="_xlnm.Print_Area" localSheetId="32">'19'!$A$2:$C$12</definedName>
    <definedName name="_xlnm.Print_Area" localSheetId="15">'2'!$A$2:$C$12</definedName>
    <definedName name="_xlnm.Print_Area" localSheetId="33">'20'!$A$2:$C$12</definedName>
    <definedName name="_xlnm.Print_Area" localSheetId="34">'21'!$A$2:$C$12</definedName>
    <definedName name="_xlnm.Print_Area" localSheetId="35">'22'!$A$2:$C$12</definedName>
    <definedName name="_xlnm.Print_Area" localSheetId="36">'23'!$A$2:$C$12</definedName>
    <definedName name="_xlnm.Print_Area" localSheetId="37">'24'!$A$2:$C$12</definedName>
    <definedName name="_xlnm.Print_Area" localSheetId="38">'25'!$A$2:$C$12</definedName>
    <definedName name="_xlnm.Print_Area" localSheetId="39">'26'!$A$2:$C$12</definedName>
    <definedName name="_xlnm.Print_Area" localSheetId="40">'27'!$A$2:$C$12</definedName>
    <definedName name="_xlnm.Print_Area" localSheetId="41">'28'!$A$2:$C$12</definedName>
    <definedName name="_xlnm.Print_Area" localSheetId="42">'29'!$A$2:$C$12</definedName>
    <definedName name="_xlnm.Print_Area" localSheetId="16">'3'!$A$2:$C$12</definedName>
    <definedName name="_xlnm.Print_Area" localSheetId="43">'30'!$A$1:$C$12</definedName>
    <definedName name="_xlnm.Print_Area" localSheetId="18">'5'!$A$2:$C$12</definedName>
    <definedName name="_xlnm.Print_Area" localSheetId="19">'6'!$A$2:$C$12</definedName>
    <definedName name="_xlnm.Print_Area" localSheetId="20">'7'!$A$2:$C$12</definedName>
    <definedName name="_xlnm.Print_Area" localSheetId="21">'8'!$A$2:$C$12</definedName>
    <definedName name="_xlnm.Print_Area" localSheetId="22">'9'!$A$2:$C$12</definedName>
    <definedName name="_xlnm.Print_Area" localSheetId="54">'Appendix - Risks'!$A$1:$C$167</definedName>
    <definedName name="_xlnm.Print_Area" localSheetId="2">'Approval and Documentation'!$1:$20</definedName>
    <definedName name="_xlnm.Print_Area" localSheetId="8">Assessments!$A$1:$C$40</definedName>
    <definedName name="_xlnm.Print_Area" localSheetId="7">'Audit Findings'!$A$1:$F$37</definedName>
    <definedName name="_xlnm.Print_Area" localSheetId="6">'Emerging and Loss Data'!$A$1:$D$29</definedName>
    <definedName name="_xlnm.Print_Area" localSheetId="12">'Entity Material Risk Inventory'!$A$1:$O$302</definedName>
    <definedName name="_xlnm.Print_Area" localSheetId="0">Instructions!$A$1:$F$40</definedName>
    <definedName name="_xlnm.Print_Area" localSheetId="9">Metrics!$A$1:$G$34</definedName>
    <definedName name="_xlnm.Print_Area" localSheetId="4">'New Products'!$A$1:$F$12</definedName>
    <definedName name="_xlnm.Print_Area" localSheetId="13">'Risk Inventory'!$A$1:$N$32</definedName>
    <definedName name="_xlnm.Print_Area" localSheetId="1">'Title Page'!$A$1:$J$40</definedName>
    <definedName name="Prob" localSheetId="34">Dropdowns!#REF!</definedName>
    <definedName name="Prob" localSheetId="35">Dropdowns!#REF!</definedName>
    <definedName name="Prob" localSheetId="36">Dropdowns!#REF!</definedName>
    <definedName name="Prob" localSheetId="37">Dropdowns!#REF!</definedName>
    <definedName name="Prob" localSheetId="38">Dropdowns!#REF!</definedName>
    <definedName name="Prob" localSheetId="39">Dropdowns!#REF!</definedName>
    <definedName name="Prob" localSheetId="40">Dropdowns!#REF!</definedName>
    <definedName name="Prob" localSheetId="41">Dropdowns!#REF!</definedName>
    <definedName name="Prob" localSheetId="42">Dropdowns!#REF!</definedName>
    <definedName name="Prob" localSheetId="43">Dropdowns!#REF!</definedName>
    <definedName name="Prob">Dropdowns!#REF!</definedName>
    <definedName name="QRM">Dropdowns!$B$2:$B$12</definedName>
    <definedName name="QRMr" localSheetId="34">#REF!</definedName>
    <definedName name="QRMr" localSheetId="35">#REF!</definedName>
    <definedName name="QRMr" localSheetId="36">#REF!</definedName>
    <definedName name="QRMr" localSheetId="37">#REF!</definedName>
    <definedName name="QRMr" localSheetId="38">#REF!</definedName>
    <definedName name="QRMr" localSheetId="39">#REF!</definedName>
    <definedName name="QRMr" localSheetId="40">#REF!</definedName>
    <definedName name="QRMr" localSheetId="41">#REF!</definedName>
    <definedName name="QRMr" localSheetId="42">#REF!</definedName>
    <definedName name="QRMr" localSheetId="43">#REF!</definedName>
    <definedName name="QRMr" localSheetId="11">#REF!</definedName>
    <definedName name="QRMr">#REF!</definedName>
    <definedName name="RatingMigration" localSheetId="34">Sheet5!#REF!</definedName>
    <definedName name="RatingMigration" localSheetId="35">Sheet5!#REF!</definedName>
    <definedName name="RatingMigration" localSheetId="36">Sheet5!#REF!</definedName>
    <definedName name="RatingMigration" localSheetId="37">Sheet5!#REF!</definedName>
    <definedName name="RatingMigration" localSheetId="38">Sheet5!#REF!</definedName>
    <definedName name="RatingMigration" localSheetId="39">Sheet5!#REF!</definedName>
    <definedName name="RatingMigration" localSheetId="40">Sheet5!#REF!</definedName>
    <definedName name="RatingMigration" localSheetId="41">Sheet5!#REF!</definedName>
    <definedName name="RatingMigration" localSheetId="42">Sheet5!#REF!</definedName>
    <definedName name="RatingMigration" localSheetId="43">Sheet5!#REF!</definedName>
    <definedName name="RatingMigration">Sheet5!#REF!</definedName>
    <definedName name="RegulatoryCompliance" localSheetId="34">Sheet5!#REF!</definedName>
    <definedName name="RegulatoryCompliance" localSheetId="35">Sheet5!#REF!</definedName>
    <definedName name="RegulatoryCompliance" localSheetId="36">Sheet5!#REF!</definedName>
    <definedName name="RegulatoryCompliance" localSheetId="37">Sheet5!#REF!</definedName>
    <definedName name="RegulatoryCompliance" localSheetId="38">Sheet5!#REF!</definedName>
    <definedName name="RegulatoryCompliance" localSheetId="39">Sheet5!#REF!</definedName>
    <definedName name="RegulatoryCompliance" localSheetId="40">Sheet5!#REF!</definedName>
    <definedName name="RegulatoryCompliance" localSheetId="41">Sheet5!#REF!</definedName>
    <definedName name="RegulatoryCompliance" localSheetId="42">Sheet5!#REF!</definedName>
    <definedName name="RegulatoryCompliance" localSheetId="43">Sheet5!#REF!</definedName>
    <definedName name="RegulatoryCompliance">Sheet5!#REF!</definedName>
    <definedName name="RegulatoryPrograms" localSheetId="34">Sheet5!#REF!</definedName>
    <definedName name="RegulatoryPrograms" localSheetId="35">Sheet5!#REF!</definedName>
    <definedName name="RegulatoryPrograms" localSheetId="36">Sheet5!#REF!</definedName>
    <definedName name="RegulatoryPrograms" localSheetId="37">Sheet5!#REF!</definedName>
    <definedName name="RegulatoryPrograms" localSheetId="38">Sheet5!#REF!</definedName>
    <definedName name="RegulatoryPrograms" localSheetId="39">Sheet5!#REF!</definedName>
    <definedName name="RegulatoryPrograms" localSheetId="40">Sheet5!#REF!</definedName>
    <definedName name="RegulatoryPrograms" localSheetId="41">Sheet5!#REF!</definedName>
    <definedName name="RegulatoryPrograms" localSheetId="42">Sheet5!#REF!</definedName>
    <definedName name="RegulatoryPrograms" localSheetId="43">Sheet5!#REF!</definedName>
    <definedName name="RegulatoryPrograms">Sheet5!#REF!</definedName>
    <definedName name="Reporting" localSheetId="34">Sheet5!#REF!</definedName>
    <definedName name="Reporting" localSheetId="35">Sheet5!#REF!</definedName>
    <definedName name="Reporting" localSheetId="36">Sheet5!#REF!</definedName>
    <definedName name="Reporting" localSheetId="37">Sheet5!#REF!</definedName>
    <definedName name="Reporting" localSheetId="38">Sheet5!#REF!</definedName>
    <definedName name="Reporting" localSheetId="39">Sheet5!#REF!</definedName>
    <definedName name="Reporting" localSheetId="40">Sheet5!#REF!</definedName>
    <definedName name="Reporting" localSheetId="41">Sheet5!#REF!</definedName>
    <definedName name="Reporting" localSheetId="42">Sheet5!#REF!</definedName>
    <definedName name="Reporting" localSheetId="43">Sheet5!#REF!</definedName>
    <definedName name="Reporting">Sheet5!#REF!</definedName>
    <definedName name="Reputational">Sheet5!$B$209:$B$217</definedName>
    <definedName name="ReputationalExternalFactors" localSheetId="34">Sheet5!#REF!</definedName>
    <definedName name="ReputationalExternalFactors" localSheetId="35">Sheet5!#REF!</definedName>
    <definedName name="ReputationalExternalFactors" localSheetId="36">Sheet5!#REF!</definedName>
    <definedName name="ReputationalExternalFactors" localSheetId="37">Sheet5!#REF!</definedName>
    <definedName name="ReputationalExternalFactors" localSheetId="38">Sheet5!#REF!</definedName>
    <definedName name="ReputationalExternalFactors" localSheetId="39">Sheet5!#REF!</definedName>
    <definedName name="ReputationalExternalFactors" localSheetId="40">Sheet5!#REF!</definedName>
    <definedName name="ReputationalExternalFactors" localSheetId="41">Sheet5!#REF!</definedName>
    <definedName name="ReputationalExternalFactors" localSheetId="42">Sheet5!#REF!</definedName>
    <definedName name="ReputationalExternalFactors" localSheetId="43">Sheet5!#REF!</definedName>
    <definedName name="ReputationalExternalFactors">Sheet5!#REF!</definedName>
    <definedName name="Risk" localSheetId="11">[1]Sheet5!$A$6:$A$13</definedName>
    <definedName name="Risk">Sheet5!$A$5:$A$12</definedName>
    <definedName name="Risk2">Sheet5!$B$170:$B$222</definedName>
    <definedName name="Risk3" localSheetId="34">Sheet5!#REF!</definedName>
    <definedName name="Risk3" localSheetId="35">Sheet5!#REF!</definedName>
    <definedName name="Risk3" localSheetId="36">Sheet5!#REF!</definedName>
    <definedName name="Risk3" localSheetId="37">Sheet5!#REF!</definedName>
    <definedName name="Risk3" localSheetId="38">Sheet5!#REF!</definedName>
    <definedName name="Risk3" localSheetId="39">Sheet5!#REF!</definedName>
    <definedName name="Risk3" localSheetId="40">Sheet5!#REF!</definedName>
    <definedName name="Risk3" localSheetId="41">Sheet5!#REF!</definedName>
    <definedName name="Risk3" localSheetId="42">Sheet5!#REF!</definedName>
    <definedName name="Risk3" localSheetId="43">Sheet5!#REF!</definedName>
    <definedName name="Risk3">Sheet5!#REF!</definedName>
    <definedName name="RT" localSheetId="34">Dropdowns!#REF!</definedName>
    <definedName name="RT" localSheetId="35">Dropdowns!#REF!</definedName>
    <definedName name="RT" localSheetId="36">Dropdowns!#REF!</definedName>
    <definedName name="RT" localSheetId="37">Dropdowns!#REF!</definedName>
    <definedName name="RT" localSheetId="38">Dropdowns!#REF!</definedName>
    <definedName name="RT" localSheetId="39">Dropdowns!#REF!</definedName>
    <definedName name="RT" localSheetId="40">Dropdowns!#REF!</definedName>
    <definedName name="RT" localSheetId="41">Dropdowns!#REF!</definedName>
    <definedName name="RT" localSheetId="42">Dropdowns!#REF!</definedName>
    <definedName name="RT" localSheetId="43">Dropdowns!#REF!</definedName>
    <definedName name="RT">Dropdowns!#REF!</definedName>
    <definedName name="Settlement" localSheetId="34">Sheet5!#REF!</definedName>
    <definedName name="Settlement" localSheetId="35">Sheet5!#REF!</definedName>
    <definedName name="Settlement" localSheetId="36">Sheet5!#REF!</definedName>
    <definedName name="Settlement" localSheetId="37">Sheet5!#REF!</definedName>
    <definedName name="Settlement" localSheetId="38">Sheet5!#REF!</definedName>
    <definedName name="Settlement" localSheetId="39">Sheet5!#REF!</definedName>
    <definedName name="Settlement" localSheetId="40">Sheet5!#REF!</definedName>
    <definedName name="Settlement" localSheetId="41">Sheet5!#REF!</definedName>
    <definedName name="Settlement" localSheetId="42">Sheet5!#REF!</definedName>
    <definedName name="Settlement" localSheetId="43">Sheet5!#REF!</definedName>
    <definedName name="Settlement">Sheet5!#REF!</definedName>
    <definedName name="Strategic">Sheet5!$B$126:$B$149</definedName>
    <definedName name="StrategicExpansionRisk" localSheetId="34">Sheet5!#REF!</definedName>
    <definedName name="StrategicExpansionRisk" localSheetId="35">Sheet5!#REF!</definedName>
    <definedName name="StrategicExpansionRisk" localSheetId="36">Sheet5!#REF!</definedName>
    <definedName name="StrategicExpansionRisk" localSheetId="37">Sheet5!#REF!</definedName>
    <definedName name="StrategicExpansionRisk" localSheetId="38">Sheet5!#REF!</definedName>
    <definedName name="StrategicExpansionRisk" localSheetId="39">Sheet5!#REF!</definedName>
    <definedName name="StrategicExpansionRisk" localSheetId="40">Sheet5!#REF!</definedName>
    <definedName name="StrategicExpansionRisk" localSheetId="41">Sheet5!#REF!</definedName>
    <definedName name="StrategicExpansionRisk" localSheetId="42">Sheet5!#REF!</definedName>
    <definedName name="StrategicExpansionRisk" localSheetId="43">Sheet5!#REF!</definedName>
    <definedName name="StrategicExpansionRisk">Sheet5!#REF!</definedName>
    <definedName name="StrategicExternalFactors" localSheetId="34">Sheet5!#REF!</definedName>
    <definedName name="StrategicExternalFactors" localSheetId="35">Sheet5!#REF!</definedName>
    <definedName name="StrategicExternalFactors" localSheetId="36">Sheet5!#REF!</definedName>
    <definedName name="StrategicExternalFactors" localSheetId="37">Sheet5!#REF!</definedName>
    <definedName name="StrategicExternalFactors" localSheetId="38">Sheet5!#REF!</definedName>
    <definedName name="StrategicExternalFactors" localSheetId="39">Sheet5!#REF!</definedName>
    <definedName name="StrategicExternalFactors" localSheetId="40">Sheet5!#REF!</definedName>
    <definedName name="StrategicExternalFactors" localSheetId="41">Sheet5!#REF!</definedName>
    <definedName name="StrategicExternalFactors" localSheetId="42">Sheet5!#REF!</definedName>
    <definedName name="StrategicExternalFactors" localSheetId="43">Sheet5!#REF!</definedName>
    <definedName name="StrategicExternalFactors">Sheet5!#REF!</definedName>
    <definedName name="Strategicfactors" localSheetId="34">Sheet5!#REF!</definedName>
    <definedName name="Strategicfactors" localSheetId="35">Sheet5!#REF!</definedName>
    <definedName name="Strategicfactors" localSheetId="36">Sheet5!#REF!</definedName>
    <definedName name="Strategicfactors" localSheetId="37">Sheet5!#REF!</definedName>
    <definedName name="Strategicfactors" localSheetId="38">Sheet5!#REF!</definedName>
    <definedName name="Strategicfactors" localSheetId="39">Sheet5!#REF!</definedName>
    <definedName name="Strategicfactors" localSheetId="40">Sheet5!#REF!</definedName>
    <definedName name="Strategicfactors" localSheetId="41">Sheet5!#REF!</definedName>
    <definedName name="Strategicfactors" localSheetId="42">Sheet5!#REF!</definedName>
    <definedName name="Strategicfactors" localSheetId="43">Sheet5!#REF!</definedName>
    <definedName name="Strategicfactors">Sheet5!#REF!</definedName>
    <definedName name="StrategicManagementandOtherPersonnel" localSheetId="34">Sheet5!#REF!</definedName>
    <definedName name="StrategicManagementandOtherPersonnel" localSheetId="35">Sheet5!#REF!</definedName>
    <definedName name="StrategicManagementandOtherPersonnel" localSheetId="36">Sheet5!#REF!</definedName>
    <definedName name="StrategicManagementandOtherPersonnel" localSheetId="37">Sheet5!#REF!</definedName>
    <definedName name="StrategicManagementandOtherPersonnel" localSheetId="38">Sheet5!#REF!</definedName>
    <definedName name="StrategicManagementandOtherPersonnel" localSheetId="39">Sheet5!#REF!</definedName>
    <definedName name="StrategicManagementandOtherPersonnel" localSheetId="40">Sheet5!#REF!</definedName>
    <definedName name="StrategicManagementandOtherPersonnel" localSheetId="41">Sheet5!#REF!</definedName>
    <definedName name="StrategicManagementandOtherPersonnel" localSheetId="42">Sheet5!#REF!</definedName>
    <definedName name="StrategicManagementandOtherPersonnel" localSheetId="43">Sheet5!#REF!</definedName>
    <definedName name="StrategicManagementandOtherPersonnel">Sheet5!#REF!</definedName>
    <definedName name="StrategicManagementInformationSystems" localSheetId="34">Sheet5!#REF!</definedName>
    <definedName name="StrategicManagementInformationSystems" localSheetId="35">Sheet5!#REF!</definedName>
    <definedName name="StrategicManagementInformationSystems" localSheetId="36">Sheet5!#REF!</definedName>
    <definedName name="StrategicManagementInformationSystems" localSheetId="37">Sheet5!#REF!</definedName>
    <definedName name="StrategicManagementInformationSystems" localSheetId="38">Sheet5!#REF!</definedName>
    <definedName name="StrategicManagementInformationSystems" localSheetId="39">Sheet5!#REF!</definedName>
    <definedName name="StrategicManagementInformationSystems" localSheetId="40">Sheet5!#REF!</definedName>
    <definedName name="StrategicManagementInformationSystems" localSheetId="41">Sheet5!#REF!</definedName>
    <definedName name="StrategicManagementInformationSystems" localSheetId="42">Sheet5!#REF!</definedName>
    <definedName name="StrategicManagementInformationSystems" localSheetId="43">Sheet5!#REF!</definedName>
    <definedName name="StrategicManagementInformationSystems">Sheet5!#REF!</definedName>
    <definedName name="StrategicObjectives" localSheetId="34">Sheet5!#REF!</definedName>
    <definedName name="StrategicObjectives" localSheetId="35">Sheet5!#REF!</definedName>
    <definedName name="StrategicObjectives" localSheetId="36">Sheet5!#REF!</definedName>
    <definedName name="StrategicObjectives" localSheetId="37">Sheet5!#REF!</definedName>
    <definedName name="StrategicObjectives" localSheetId="38">Sheet5!#REF!</definedName>
    <definedName name="StrategicObjectives" localSheetId="39">Sheet5!#REF!</definedName>
    <definedName name="StrategicObjectives" localSheetId="40">Sheet5!#REF!</definedName>
    <definedName name="StrategicObjectives" localSheetId="41">Sheet5!#REF!</definedName>
    <definedName name="StrategicObjectives" localSheetId="42">Sheet5!#REF!</definedName>
    <definedName name="StrategicObjectives" localSheetId="43">Sheet5!#REF!</definedName>
    <definedName name="StrategicObjectives">Sheet5!#REF!</definedName>
    <definedName name="Tolerance" localSheetId="34">Dropdowns!#REF!</definedName>
    <definedName name="Tolerance" localSheetId="35">Dropdowns!#REF!</definedName>
    <definedName name="Tolerance" localSheetId="36">Dropdowns!#REF!</definedName>
    <definedName name="Tolerance" localSheetId="37">Dropdowns!#REF!</definedName>
    <definedName name="Tolerance" localSheetId="38">Dropdowns!#REF!</definedName>
    <definedName name="Tolerance" localSheetId="39">Dropdowns!#REF!</definedName>
    <definedName name="Tolerance" localSheetId="40">Dropdowns!#REF!</definedName>
    <definedName name="Tolerance" localSheetId="41">Dropdowns!#REF!</definedName>
    <definedName name="Tolerance" localSheetId="42">Dropdowns!#REF!</definedName>
    <definedName name="Tolerance" localSheetId="43">Dropdowns!#REF!</definedName>
    <definedName name="Tolerance">Dropdowns!#REF!</definedName>
    <definedName name="Training" localSheetId="34">Sheet5!#REF!</definedName>
    <definedName name="Training" localSheetId="35">Sheet5!#REF!</definedName>
    <definedName name="Training" localSheetId="36">Sheet5!#REF!</definedName>
    <definedName name="Training" localSheetId="37">Sheet5!#REF!</definedName>
    <definedName name="Training" localSheetId="38">Sheet5!#REF!</definedName>
    <definedName name="Training" localSheetId="39">Sheet5!#REF!</definedName>
    <definedName name="Training" localSheetId="40">Sheet5!#REF!</definedName>
    <definedName name="Training" localSheetId="41">Sheet5!#REF!</definedName>
    <definedName name="Training" localSheetId="42">Sheet5!#REF!</definedName>
    <definedName name="Training" localSheetId="43">Sheet5!#REF!</definedName>
    <definedName name="Training">Sheet5!#REF!</definedName>
    <definedName name="Trend" localSheetId="34">Dropdowns!#REF!</definedName>
    <definedName name="Trend" localSheetId="35">Dropdowns!#REF!</definedName>
    <definedName name="Trend" localSheetId="36">Dropdowns!#REF!</definedName>
    <definedName name="Trend" localSheetId="37">Dropdowns!#REF!</definedName>
    <definedName name="Trend" localSheetId="38">Dropdowns!#REF!</definedName>
    <definedName name="Trend" localSheetId="39">Dropdowns!#REF!</definedName>
    <definedName name="Trend" localSheetId="40">Dropdowns!#REF!</definedName>
    <definedName name="Trend" localSheetId="41">Dropdowns!#REF!</definedName>
    <definedName name="Trend" localSheetId="42">Dropdowns!#REF!</definedName>
    <definedName name="Trend" localSheetId="43">Dropdowns!#REF!</definedName>
    <definedName name="Trend">Dropdowns!#REF!</definedName>
    <definedName name="Unit" localSheetId="34">Dropdowns!#REF!</definedName>
    <definedName name="Unit" localSheetId="35">Dropdowns!#REF!</definedName>
    <definedName name="Unit" localSheetId="36">Dropdowns!#REF!</definedName>
    <definedName name="Unit" localSheetId="37">Dropdowns!#REF!</definedName>
    <definedName name="Unit" localSheetId="38">Dropdowns!#REF!</definedName>
    <definedName name="Unit" localSheetId="39">Dropdowns!#REF!</definedName>
    <definedName name="Unit" localSheetId="40">Dropdowns!#REF!</definedName>
    <definedName name="Unit" localSheetId="41">Dropdowns!#REF!</definedName>
    <definedName name="Unit" localSheetId="42">Dropdowns!#REF!</definedName>
    <definedName name="Unit" localSheetId="43">Dropdowns!#REF!</definedName>
    <definedName name="Unit">Dropdowns!#REF!</definedName>
    <definedName name="ValidationRange">'[1]Risk ID - Template'!$J$7:$J$2000</definedName>
    <definedName name="ValidationRange14">'[1]Risk ID - Template'!$D$7:$D$2000</definedName>
    <definedName name="ValidationRange15">'[1]Risk ID - Template'!$E$7:$E$2000</definedName>
    <definedName name="ValidationRange16">'[1]Risk ID - Template'!$F$7:$F$2000</definedName>
    <definedName name="ValidationRange17">'[1]Risk ID - Template'!$Q$7:$Q$2000</definedName>
    <definedName name="ValidationRange2">'[1]Risk ID - Template'!$H$7:$H$2000</definedName>
    <definedName name="ValidationRange6">'[1]Risk ID - Template'!$P$7:$P$2000</definedName>
    <definedName name="VolumesandTypesofAssets" localSheetId="34">Sheet5!#REF!</definedName>
    <definedName name="VolumesandTypesofAssets" localSheetId="35">Sheet5!#REF!</definedName>
    <definedName name="VolumesandTypesofAssets" localSheetId="36">Sheet5!#REF!</definedName>
    <definedName name="VolumesandTypesofAssets" localSheetId="37">Sheet5!#REF!</definedName>
    <definedName name="VolumesandTypesofAssets" localSheetId="38">Sheet5!#REF!</definedName>
    <definedName name="VolumesandTypesofAssets" localSheetId="39">Sheet5!#REF!</definedName>
    <definedName name="VolumesandTypesofAssets" localSheetId="40">Sheet5!#REF!</definedName>
    <definedName name="VolumesandTypesofAssets" localSheetId="41">Sheet5!#REF!</definedName>
    <definedName name="VolumesandTypesofAssets" localSheetId="42">Sheet5!#REF!</definedName>
    <definedName name="VolumesandTypesofAssets" localSheetId="43">Sheet5!#REF!</definedName>
    <definedName name="VolumesandTypesofAssets">Sheet5!#REF!</definedName>
  </definedNames>
  <calcPr calcId="145621"/>
</workbook>
</file>

<file path=xl/calcChain.xml><?xml version="1.0" encoding="utf-8"?>
<calcChain xmlns="http://schemas.openxmlformats.org/spreadsheetml/2006/main">
  <c r="K42" i="1" l="1"/>
  <c r="K41" i="1"/>
  <c r="K40" i="1"/>
  <c r="K39" i="1"/>
  <c r="K38" i="1"/>
  <c r="K37" i="1"/>
  <c r="K36" i="1"/>
  <c r="K35" i="1"/>
  <c r="K34" i="1"/>
  <c r="K33" i="1"/>
  <c r="K32" i="1"/>
  <c r="K31" i="1"/>
  <c r="K30" i="1"/>
  <c r="K29" i="1"/>
  <c r="K28" i="1"/>
  <c r="K27" i="1"/>
  <c r="K26" i="1"/>
  <c r="K25" i="1"/>
  <c r="K24" i="1"/>
  <c r="K23" i="1"/>
  <c r="K22" i="1"/>
  <c r="K21" i="1"/>
  <c r="K20" i="1"/>
  <c r="K19" i="1"/>
  <c r="K18" i="1"/>
  <c r="K17" i="1"/>
  <c r="K16" i="1"/>
  <c r="K15" i="1"/>
  <c r="K14" i="1"/>
  <c r="K13" i="1"/>
  <c r="K12" i="1"/>
  <c r="K11" i="1"/>
  <c r="K10" i="1"/>
  <c r="K9" i="1"/>
  <c r="K8" i="1"/>
  <c r="K7" i="1"/>
  <c r="K6" i="1"/>
  <c r="K5" i="1"/>
  <c r="K4" i="1"/>
  <c r="K3" i="1"/>
  <c r="N42" i="1" l="1"/>
  <c r="M42" i="1"/>
  <c r="L42" i="1"/>
  <c r="J42" i="1"/>
  <c r="I42" i="1"/>
  <c r="H42" i="1"/>
  <c r="G42" i="1"/>
  <c r="F42" i="1"/>
  <c r="D42" i="1"/>
  <c r="N41" i="1"/>
  <c r="M41" i="1"/>
  <c r="L41" i="1"/>
  <c r="J41" i="1"/>
  <c r="I41" i="1"/>
  <c r="H41" i="1"/>
  <c r="G41" i="1"/>
  <c r="F41" i="1"/>
  <c r="D41" i="1"/>
  <c r="N40" i="1"/>
  <c r="M40" i="1"/>
  <c r="L40" i="1"/>
  <c r="J40" i="1"/>
  <c r="I40" i="1"/>
  <c r="H40" i="1"/>
  <c r="G40" i="1"/>
  <c r="F40" i="1"/>
  <c r="D40" i="1"/>
  <c r="N39" i="1"/>
  <c r="M39" i="1"/>
  <c r="L39" i="1"/>
  <c r="J39" i="1"/>
  <c r="I39" i="1"/>
  <c r="H39" i="1"/>
  <c r="G39" i="1"/>
  <c r="F39" i="1"/>
  <c r="D39" i="1"/>
  <c r="N38" i="1"/>
  <c r="M38" i="1"/>
  <c r="L38" i="1"/>
  <c r="J38" i="1"/>
  <c r="I38" i="1"/>
  <c r="H38" i="1"/>
  <c r="G38" i="1"/>
  <c r="F38" i="1"/>
  <c r="D38" i="1"/>
  <c r="N37" i="1"/>
  <c r="M37" i="1"/>
  <c r="L37" i="1"/>
  <c r="J37" i="1"/>
  <c r="I37" i="1"/>
  <c r="H37" i="1"/>
  <c r="G37" i="1"/>
  <c r="F37" i="1"/>
  <c r="D37" i="1"/>
  <c r="N36" i="1"/>
  <c r="M36" i="1"/>
  <c r="L36" i="1"/>
  <c r="J36" i="1"/>
  <c r="I36" i="1"/>
  <c r="H36" i="1"/>
  <c r="G36" i="1"/>
  <c r="F36" i="1"/>
  <c r="D36" i="1"/>
  <c r="N35" i="1"/>
  <c r="M35" i="1"/>
  <c r="L35" i="1"/>
  <c r="J35" i="1"/>
  <c r="I35" i="1"/>
  <c r="H35" i="1"/>
  <c r="G35" i="1"/>
  <c r="F35" i="1"/>
  <c r="D35" i="1"/>
  <c r="N34" i="1"/>
  <c r="M34" i="1"/>
  <c r="L34" i="1"/>
  <c r="J34" i="1"/>
  <c r="I34" i="1"/>
  <c r="H34" i="1"/>
  <c r="G34" i="1"/>
  <c r="F34" i="1"/>
  <c r="D34" i="1"/>
  <c r="N33" i="1"/>
  <c r="M33" i="1"/>
  <c r="L33" i="1"/>
  <c r="J33" i="1"/>
  <c r="I33" i="1"/>
  <c r="H33" i="1"/>
  <c r="G33" i="1"/>
  <c r="F33" i="1"/>
  <c r="D33" i="1"/>
  <c r="B33" i="1"/>
  <c r="C33" i="1"/>
  <c r="B34" i="1"/>
  <c r="C34" i="1"/>
  <c r="B35" i="1"/>
  <c r="C35" i="1"/>
  <c r="B36" i="1"/>
  <c r="C36" i="1"/>
  <c r="B37" i="1"/>
  <c r="C37" i="1"/>
  <c r="B38" i="1"/>
  <c r="C38" i="1"/>
  <c r="B39" i="1"/>
  <c r="C39" i="1"/>
  <c r="B40" i="1"/>
  <c r="C40" i="1"/>
  <c r="B41" i="1"/>
  <c r="C41" i="1"/>
  <c r="B42" i="1"/>
  <c r="C42" i="1"/>
  <c r="AA1" i="9" l="1"/>
  <c r="AA1" i="10"/>
  <c r="AA1" i="11"/>
  <c r="AA1" i="12"/>
  <c r="AA1" i="13"/>
  <c r="AA1" i="14"/>
  <c r="AA1" i="15"/>
  <c r="AA1" i="16"/>
  <c r="AA1" i="17"/>
  <c r="AA1" i="18"/>
  <c r="AA1" i="19"/>
  <c r="AA1" i="20"/>
  <c r="AA1" i="21"/>
  <c r="AA1" i="22"/>
  <c r="AA1" i="23"/>
  <c r="AA1" i="24"/>
  <c r="AA1" i="25"/>
  <c r="AA1" i="26"/>
  <c r="AA1" i="27"/>
  <c r="AA1" i="46"/>
  <c r="AA1" i="47"/>
  <c r="AA1" i="48"/>
  <c r="AA1" i="49"/>
  <c r="AA1" i="50"/>
  <c r="AA1" i="51"/>
  <c r="AA1" i="52"/>
  <c r="AA1" i="53"/>
  <c r="AA1" i="54"/>
  <c r="AA1" i="55"/>
  <c r="AA1" i="58"/>
  <c r="AA1" i="59"/>
  <c r="AA1" i="60"/>
  <c r="AA1" i="61"/>
  <c r="AA1" i="62"/>
  <c r="AA1" i="63"/>
  <c r="AA1" i="64"/>
  <c r="AA1" i="65"/>
  <c r="AA1" i="66"/>
  <c r="AA1" i="67"/>
  <c r="AA1" i="8"/>
  <c r="Q12" i="59"/>
  <c r="Q11" i="59"/>
  <c r="Q9" i="59"/>
  <c r="Q8" i="59"/>
  <c r="R7" i="59"/>
  <c r="R6" i="59"/>
  <c r="R5" i="59"/>
  <c r="R4" i="59"/>
  <c r="R3" i="59"/>
  <c r="R2" i="59"/>
  <c r="Q12" i="60"/>
  <c r="Q11" i="60"/>
  <c r="Q9" i="60"/>
  <c r="Q8" i="60"/>
  <c r="R7" i="60"/>
  <c r="R6" i="60"/>
  <c r="R5" i="60"/>
  <c r="R4" i="60"/>
  <c r="R3" i="60"/>
  <c r="R2" i="60"/>
  <c r="Q12" i="61"/>
  <c r="Q11" i="61"/>
  <c r="Q9" i="61"/>
  <c r="Q8" i="61"/>
  <c r="R7" i="61"/>
  <c r="R6" i="61"/>
  <c r="R5" i="61"/>
  <c r="R4" i="61"/>
  <c r="R3" i="61"/>
  <c r="R2" i="61"/>
  <c r="Q12" i="62"/>
  <c r="Q11" i="62"/>
  <c r="Q9" i="62"/>
  <c r="Q8" i="62"/>
  <c r="R7" i="62"/>
  <c r="R6" i="62"/>
  <c r="R5" i="62"/>
  <c r="R4" i="62"/>
  <c r="R3" i="62"/>
  <c r="R2" i="62"/>
  <c r="Q12" i="63"/>
  <c r="Q11" i="63"/>
  <c r="Q9" i="63"/>
  <c r="Q8" i="63"/>
  <c r="R7" i="63"/>
  <c r="R6" i="63"/>
  <c r="R5" i="63"/>
  <c r="R4" i="63"/>
  <c r="R3" i="63"/>
  <c r="R2" i="63"/>
  <c r="Q12" i="64"/>
  <c r="Q11" i="64"/>
  <c r="Q9" i="64"/>
  <c r="Q8" i="64"/>
  <c r="R7" i="64"/>
  <c r="R6" i="64"/>
  <c r="R5" i="64"/>
  <c r="R4" i="64"/>
  <c r="R3" i="64"/>
  <c r="R2" i="64"/>
  <c r="Q12" i="65"/>
  <c r="Q11" i="65"/>
  <c r="Q9" i="65"/>
  <c r="Q8" i="65"/>
  <c r="R7" i="65"/>
  <c r="R6" i="65"/>
  <c r="R5" i="65"/>
  <c r="R4" i="65"/>
  <c r="R3" i="65"/>
  <c r="R2" i="65"/>
  <c r="Q12" i="66"/>
  <c r="Q11" i="66"/>
  <c r="Q9" i="66"/>
  <c r="Q8" i="66"/>
  <c r="R7" i="66"/>
  <c r="R6" i="66"/>
  <c r="R5" i="66"/>
  <c r="R4" i="66"/>
  <c r="R3" i="66"/>
  <c r="R2" i="66"/>
  <c r="Q12" i="67"/>
  <c r="Q11" i="67"/>
  <c r="Q9" i="67"/>
  <c r="Q8" i="67"/>
  <c r="R7" i="67"/>
  <c r="R6" i="67"/>
  <c r="R5" i="67"/>
  <c r="R4" i="67"/>
  <c r="R3" i="67"/>
  <c r="R2" i="67"/>
  <c r="Q12" i="58"/>
  <c r="Q11" i="58"/>
  <c r="Q9" i="58"/>
  <c r="Q8" i="58"/>
  <c r="R7" i="58"/>
  <c r="R6" i="58"/>
  <c r="R5" i="58"/>
  <c r="R4" i="58"/>
  <c r="R3" i="58"/>
  <c r="R2" i="58"/>
  <c r="D32" i="1" l="1"/>
  <c r="D31" i="1"/>
  <c r="D30" i="1"/>
  <c r="D29" i="1"/>
  <c r="D28" i="1"/>
  <c r="D27" i="1"/>
  <c r="D26" i="1"/>
  <c r="D25" i="1"/>
  <c r="D24" i="1"/>
  <c r="D23" i="1"/>
  <c r="D22" i="1"/>
  <c r="D21" i="1"/>
  <c r="D20" i="1"/>
  <c r="D19" i="1"/>
  <c r="D18" i="1"/>
  <c r="D17" i="1"/>
  <c r="D16" i="1"/>
  <c r="D15" i="1"/>
  <c r="D14" i="1"/>
  <c r="D13" i="1"/>
  <c r="D12" i="1"/>
  <c r="D11" i="1"/>
  <c r="D10" i="1"/>
  <c r="D9" i="1"/>
  <c r="D8" i="1"/>
  <c r="D7" i="1"/>
  <c r="D6" i="1"/>
  <c r="D5" i="1"/>
  <c r="D4" i="1"/>
  <c r="D3" i="1"/>
  <c r="N32" i="1" l="1"/>
  <c r="M32" i="1"/>
  <c r="L32" i="1"/>
  <c r="J32" i="1"/>
  <c r="I32" i="1"/>
  <c r="H32" i="1"/>
  <c r="G32" i="1"/>
  <c r="F32" i="1"/>
  <c r="N31" i="1"/>
  <c r="M31" i="1"/>
  <c r="L31" i="1"/>
  <c r="J31" i="1"/>
  <c r="I31" i="1"/>
  <c r="H31" i="1"/>
  <c r="G31" i="1"/>
  <c r="F31" i="1"/>
  <c r="N30" i="1"/>
  <c r="M30" i="1"/>
  <c r="L30" i="1"/>
  <c r="J30" i="1"/>
  <c r="I30" i="1"/>
  <c r="H30" i="1"/>
  <c r="G30" i="1"/>
  <c r="F30" i="1"/>
  <c r="N29" i="1"/>
  <c r="M29" i="1"/>
  <c r="L29" i="1"/>
  <c r="J29" i="1"/>
  <c r="I29" i="1"/>
  <c r="H29" i="1"/>
  <c r="G29" i="1"/>
  <c r="F29" i="1"/>
  <c r="N28" i="1"/>
  <c r="M28" i="1"/>
  <c r="L28" i="1"/>
  <c r="J28" i="1"/>
  <c r="I28" i="1"/>
  <c r="H28" i="1"/>
  <c r="G28" i="1"/>
  <c r="F28" i="1"/>
  <c r="N27" i="1"/>
  <c r="M27" i="1"/>
  <c r="L27" i="1"/>
  <c r="J27" i="1"/>
  <c r="I27" i="1"/>
  <c r="H27" i="1"/>
  <c r="G27" i="1"/>
  <c r="F27" i="1"/>
  <c r="N26" i="1"/>
  <c r="M26" i="1"/>
  <c r="L26" i="1"/>
  <c r="J26" i="1"/>
  <c r="I26" i="1"/>
  <c r="H26" i="1"/>
  <c r="G26" i="1"/>
  <c r="F26" i="1"/>
  <c r="N25" i="1"/>
  <c r="M25" i="1"/>
  <c r="L25" i="1"/>
  <c r="J25" i="1"/>
  <c r="I25" i="1"/>
  <c r="H25" i="1"/>
  <c r="G25" i="1"/>
  <c r="F25" i="1"/>
  <c r="N24" i="1"/>
  <c r="M24" i="1"/>
  <c r="L24" i="1"/>
  <c r="J24" i="1"/>
  <c r="I24" i="1"/>
  <c r="H24" i="1"/>
  <c r="G24" i="1"/>
  <c r="F24" i="1"/>
  <c r="N23" i="1"/>
  <c r="M23" i="1"/>
  <c r="L23" i="1"/>
  <c r="J23" i="1"/>
  <c r="I23" i="1"/>
  <c r="H23" i="1"/>
  <c r="G23" i="1"/>
  <c r="F23" i="1"/>
  <c r="B23" i="1"/>
  <c r="C23" i="1"/>
  <c r="B24" i="1"/>
  <c r="C24" i="1"/>
  <c r="B25" i="1"/>
  <c r="C25" i="1"/>
  <c r="B26" i="1"/>
  <c r="C26" i="1"/>
  <c r="B27" i="1"/>
  <c r="C27" i="1"/>
  <c r="B28" i="1"/>
  <c r="C28" i="1"/>
  <c r="B29" i="1"/>
  <c r="C29" i="1"/>
  <c r="B30" i="1"/>
  <c r="C30" i="1"/>
  <c r="B31" i="1"/>
  <c r="C31" i="1"/>
  <c r="B32" i="1"/>
  <c r="C32" i="1"/>
  <c r="Q12" i="55"/>
  <c r="Q11" i="55"/>
  <c r="Q9" i="55"/>
  <c r="Q8" i="55"/>
  <c r="R7" i="55"/>
  <c r="R6" i="55"/>
  <c r="R5" i="55"/>
  <c r="R4" i="55"/>
  <c r="R3" i="55"/>
  <c r="R2" i="55"/>
  <c r="Q12" i="54"/>
  <c r="Q11" i="54"/>
  <c r="Q9" i="54"/>
  <c r="Q8" i="54"/>
  <c r="R7" i="54"/>
  <c r="R6" i="54"/>
  <c r="R5" i="54"/>
  <c r="R4" i="54"/>
  <c r="R3" i="54"/>
  <c r="R2" i="54"/>
  <c r="Q12" i="53"/>
  <c r="Q11" i="53"/>
  <c r="Q9" i="53"/>
  <c r="Q8" i="53"/>
  <c r="R7" i="53"/>
  <c r="R6" i="53"/>
  <c r="R5" i="53"/>
  <c r="R4" i="53"/>
  <c r="R3" i="53"/>
  <c r="R2" i="53"/>
  <c r="Q12" i="52"/>
  <c r="Q11" i="52"/>
  <c r="Q9" i="52"/>
  <c r="Q8" i="52"/>
  <c r="R7" i="52"/>
  <c r="R6" i="52"/>
  <c r="R5" i="52"/>
  <c r="R4" i="52"/>
  <c r="R3" i="52"/>
  <c r="R2" i="52"/>
  <c r="Q12" i="51"/>
  <c r="Q11" i="51"/>
  <c r="Q9" i="51"/>
  <c r="Q8" i="51"/>
  <c r="R7" i="51"/>
  <c r="R6" i="51"/>
  <c r="R5" i="51"/>
  <c r="R4" i="51"/>
  <c r="R3" i="51"/>
  <c r="R2" i="51"/>
  <c r="Q12" i="50"/>
  <c r="Q11" i="50"/>
  <c r="Q9" i="50"/>
  <c r="Q8" i="50"/>
  <c r="R7" i="50"/>
  <c r="R6" i="50"/>
  <c r="R5" i="50"/>
  <c r="R4" i="50"/>
  <c r="R3" i="50"/>
  <c r="R2" i="50"/>
  <c r="Q12" i="49"/>
  <c r="Q11" i="49"/>
  <c r="Q9" i="49"/>
  <c r="Q8" i="49"/>
  <c r="R7" i="49"/>
  <c r="R6" i="49"/>
  <c r="R5" i="49"/>
  <c r="R4" i="49"/>
  <c r="R3" i="49"/>
  <c r="R2" i="49"/>
  <c r="Q12" i="48"/>
  <c r="Q11" i="48"/>
  <c r="Q9" i="48"/>
  <c r="Q8" i="48"/>
  <c r="R7" i="48"/>
  <c r="R6" i="48"/>
  <c r="R5" i="48"/>
  <c r="R4" i="48"/>
  <c r="R3" i="48"/>
  <c r="R2" i="48"/>
  <c r="Q12" i="47"/>
  <c r="Q11" i="47"/>
  <c r="Q9" i="47"/>
  <c r="Q8" i="47"/>
  <c r="R7" i="47"/>
  <c r="R6" i="47"/>
  <c r="R5" i="47"/>
  <c r="R4" i="47"/>
  <c r="R3" i="47"/>
  <c r="R2" i="47"/>
  <c r="Q12" i="46"/>
  <c r="Q11" i="46"/>
  <c r="Q9" i="46"/>
  <c r="Q8" i="46"/>
  <c r="R7" i="46"/>
  <c r="R6" i="46"/>
  <c r="R5" i="46"/>
  <c r="R4" i="46"/>
  <c r="R3" i="46"/>
  <c r="R2" i="46"/>
  <c r="N22" i="1"/>
  <c r="M22" i="1"/>
  <c r="L22" i="1"/>
  <c r="J22" i="1"/>
  <c r="I22" i="1"/>
  <c r="H22" i="1"/>
  <c r="G22" i="1"/>
  <c r="F22" i="1"/>
  <c r="N21" i="1"/>
  <c r="M21" i="1"/>
  <c r="L21" i="1"/>
  <c r="J21" i="1"/>
  <c r="I21" i="1"/>
  <c r="H21" i="1"/>
  <c r="G21" i="1"/>
  <c r="F21" i="1"/>
  <c r="N20" i="1"/>
  <c r="M20" i="1"/>
  <c r="L20" i="1"/>
  <c r="J20" i="1"/>
  <c r="I20" i="1"/>
  <c r="H20" i="1"/>
  <c r="G20" i="1"/>
  <c r="F20" i="1"/>
  <c r="N19" i="1"/>
  <c r="M19" i="1"/>
  <c r="L19" i="1"/>
  <c r="J19" i="1"/>
  <c r="I19" i="1"/>
  <c r="H19" i="1"/>
  <c r="G19" i="1"/>
  <c r="F19" i="1"/>
  <c r="N18" i="1"/>
  <c r="M18" i="1"/>
  <c r="L18" i="1"/>
  <c r="J18" i="1"/>
  <c r="I18" i="1"/>
  <c r="H18" i="1"/>
  <c r="G18" i="1"/>
  <c r="F18" i="1"/>
  <c r="N17" i="1"/>
  <c r="M17" i="1"/>
  <c r="L17" i="1"/>
  <c r="J17" i="1"/>
  <c r="I17" i="1"/>
  <c r="H17" i="1"/>
  <c r="G17" i="1"/>
  <c r="F17" i="1"/>
  <c r="N16" i="1"/>
  <c r="M16" i="1"/>
  <c r="L16" i="1"/>
  <c r="J16" i="1"/>
  <c r="I16" i="1"/>
  <c r="H16" i="1"/>
  <c r="G16" i="1"/>
  <c r="F16" i="1"/>
  <c r="N15" i="1"/>
  <c r="M15" i="1"/>
  <c r="L15" i="1"/>
  <c r="J15" i="1"/>
  <c r="I15" i="1"/>
  <c r="H15" i="1"/>
  <c r="G15" i="1"/>
  <c r="F15" i="1"/>
  <c r="N14" i="1"/>
  <c r="M14" i="1"/>
  <c r="L14" i="1"/>
  <c r="J14" i="1"/>
  <c r="I14" i="1"/>
  <c r="H14" i="1"/>
  <c r="G14" i="1"/>
  <c r="F14" i="1"/>
  <c r="N13" i="1"/>
  <c r="M13" i="1"/>
  <c r="L13" i="1"/>
  <c r="J13" i="1"/>
  <c r="I13" i="1"/>
  <c r="H13" i="1"/>
  <c r="G13" i="1"/>
  <c r="F13" i="1"/>
  <c r="N12" i="1"/>
  <c r="M12" i="1"/>
  <c r="L12" i="1"/>
  <c r="J12" i="1"/>
  <c r="I12" i="1"/>
  <c r="H12" i="1"/>
  <c r="G12" i="1"/>
  <c r="F12" i="1"/>
  <c r="N11" i="1"/>
  <c r="M11" i="1"/>
  <c r="L11" i="1"/>
  <c r="J11" i="1"/>
  <c r="I11" i="1"/>
  <c r="H11" i="1"/>
  <c r="G11" i="1"/>
  <c r="F11" i="1"/>
  <c r="N10" i="1"/>
  <c r="M10" i="1"/>
  <c r="L10" i="1"/>
  <c r="J10" i="1"/>
  <c r="I10" i="1"/>
  <c r="H10" i="1"/>
  <c r="G10" i="1"/>
  <c r="F10" i="1"/>
  <c r="N9" i="1"/>
  <c r="M9" i="1"/>
  <c r="L9" i="1"/>
  <c r="J9" i="1"/>
  <c r="I9" i="1"/>
  <c r="H9" i="1"/>
  <c r="G9" i="1"/>
  <c r="F9" i="1"/>
  <c r="N8" i="1"/>
  <c r="M8" i="1"/>
  <c r="L8" i="1"/>
  <c r="J8" i="1"/>
  <c r="I8" i="1"/>
  <c r="H8" i="1"/>
  <c r="G8" i="1"/>
  <c r="F8" i="1"/>
  <c r="N7" i="1"/>
  <c r="M7" i="1"/>
  <c r="L7" i="1"/>
  <c r="J7" i="1"/>
  <c r="I7" i="1"/>
  <c r="H7" i="1"/>
  <c r="G7" i="1"/>
  <c r="F7" i="1"/>
  <c r="N6" i="1"/>
  <c r="M6" i="1"/>
  <c r="L6" i="1"/>
  <c r="J6" i="1"/>
  <c r="I6" i="1"/>
  <c r="H6" i="1"/>
  <c r="G6" i="1"/>
  <c r="F6" i="1"/>
  <c r="N5" i="1"/>
  <c r="M5" i="1"/>
  <c r="L5" i="1"/>
  <c r="J5" i="1"/>
  <c r="I5" i="1"/>
  <c r="H5" i="1"/>
  <c r="G5" i="1"/>
  <c r="F5" i="1"/>
  <c r="N4" i="1"/>
  <c r="M4" i="1"/>
  <c r="L4" i="1"/>
  <c r="J4" i="1"/>
  <c r="I4" i="1"/>
  <c r="H4" i="1"/>
  <c r="G4" i="1"/>
  <c r="F4" i="1"/>
  <c r="B21" i="1"/>
  <c r="C21" i="1"/>
  <c r="B22" i="1"/>
  <c r="C22" i="1"/>
  <c r="N3" i="1"/>
  <c r="M3" i="1"/>
  <c r="L3" i="1"/>
  <c r="J3" i="1"/>
  <c r="I3" i="1"/>
  <c r="H3" i="1"/>
  <c r="G3" i="1"/>
  <c r="F3" i="1"/>
  <c r="C4" i="1"/>
  <c r="C5" i="1"/>
  <c r="C6" i="1"/>
  <c r="C7" i="1"/>
  <c r="C8" i="1"/>
  <c r="C9" i="1"/>
  <c r="C10" i="1"/>
  <c r="C11" i="1"/>
  <c r="C12" i="1"/>
  <c r="C13" i="1"/>
  <c r="C14" i="1"/>
  <c r="C15" i="1"/>
  <c r="C16" i="1"/>
  <c r="C17" i="1"/>
  <c r="C18" i="1"/>
  <c r="C19" i="1"/>
  <c r="C20" i="1"/>
  <c r="C3" i="1"/>
  <c r="B4" i="1"/>
  <c r="B5" i="1"/>
  <c r="B6" i="1"/>
  <c r="B7" i="1"/>
  <c r="B8" i="1"/>
  <c r="B9" i="1"/>
  <c r="B10" i="1"/>
  <c r="B11" i="1"/>
  <c r="B12" i="1"/>
  <c r="B13" i="1"/>
  <c r="B14" i="1"/>
  <c r="B15" i="1"/>
  <c r="B16" i="1"/>
  <c r="B17" i="1"/>
  <c r="B18" i="1"/>
  <c r="B19" i="1"/>
  <c r="B20" i="1"/>
  <c r="B3" i="1"/>
  <c r="Q12" i="27" l="1"/>
  <c r="Q12" i="26"/>
  <c r="Q9" i="26"/>
  <c r="Q12" i="25"/>
  <c r="Q9" i="25"/>
  <c r="Q12" i="24"/>
  <c r="Q12" i="23"/>
  <c r="Q12" i="22"/>
  <c r="Q9" i="22"/>
  <c r="Q12" i="21"/>
  <c r="Q9" i="21"/>
  <c r="Q12" i="20"/>
  <c r="Q12" i="19"/>
  <c r="Q12" i="18"/>
  <c r="Q12" i="17"/>
  <c r="Q9" i="17"/>
  <c r="Q12" i="16"/>
  <c r="Q9" i="16"/>
  <c r="Q12" i="15"/>
  <c r="Q9" i="15"/>
  <c r="Q12" i="14"/>
  <c r="Q9" i="14"/>
  <c r="Q12" i="13"/>
  <c r="Q9" i="13"/>
  <c r="Q12" i="12"/>
  <c r="Q9" i="12"/>
  <c r="Q12" i="11"/>
  <c r="Q9" i="11"/>
  <c r="Q12" i="10"/>
  <c r="Q9" i="10"/>
  <c r="Q12" i="9"/>
  <c r="Q9" i="9"/>
  <c r="Q11" i="10"/>
  <c r="Q8" i="10"/>
  <c r="R7" i="10"/>
  <c r="R6" i="10"/>
  <c r="R5" i="10"/>
  <c r="R4" i="10"/>
  <c r="R3" i="10"/>
  <c r="R2" i="10"/>
  <c r="Q11" i="11"/>
  <c r="Q8" i="11"/>
  <c r="R7" i="11"/>
  <c r="R6" i="11"/>
  <c r="R5" i="11"/>
  <c r="R4" i="11"/>
  <c r="R3" i="11"/>
  <c r="R2" i="11"/>
  <c r="Q11" i="12"/>
  <c r="Q8" i="12"/>
  <c r="R7" i="12"/>
  <c r="R6" i="12"/>
  <c r="R5" i="12"/>
  <c r="R4" i="12"/>
  <c r="R3" i="12"/>
  <c r="R2" i="12"/>
  <c r="Q11" i="13"/>
  <c r="Q8" i="13"/>
  <c r="R7" i="13"/>
  <c r="R6" i="13"/>
  <c r="R5" i="13"/>
  <c r="R4" i="13"/>
  <c r="R3" i="13"/>
  <c r="R2" i="13"/>
  <c r="Q11" i="14"/>
  <c r="Q8" i="14"/>
  <c r="R7" i="14"/>
  <c r="R6" i="14"/>
  <c r="R5" i="14"/>
  <c r="R4" i="14"/>
  <c r="R3" i="14"/>
  <c r="R2" i="14"/>
  <c r="Q11" i="15"/>
  <c r="Q8" i="15"/>
  <c r="R7" i="15"/>
  <c r="R6" i="15"/>
  <c r="R5" i="15"/>
  <c r="R4" i="15"/>
  <c r="R3" i="15"/>
  <c r="R2" i="15"/>
  <c r="Q11" i="16"/>
  <c r="Q8" i="16"/>
  <c r="R7" i="16"/>
  <c r="R6" i="16"/>
  <c r="R5" i="16"/>
  <c r="R4" i="16"/>
  <c r="R3" i="16"/>
  <c r="R2" i="16"/>
  <c r="Q11" i="17"/>
  <c r="Q8" i="17"/>
  <c r="R7" i="17"/>
  <c r="R6" i="17"/>
  <c r="R5" i="17"/>
  <c r="R4" i="17"/>
  <c r="R3" i="17"/>
  <c r="R2" i="17"/>
  <c r="Q11" i="18"/>
  <c r="Q9" i="18"/>
  <c r="Q8" i="18"/>
  <c r="R7" i="18"/>
  <c r="R6" i="18"/>
  <c r="R5" i="18"/>
  <c r="R4" i="18"/>
  <c r="R3" i="18"/>
  <c r="R2" i="18"/>
  <c r="Q11" i="19"/>
  <c r="Q9" i="19"/>
  <c r="Q8" i="19"/>
  <c r="R7" i="19"/>
  <c r="R6" i="19"/>
  <c r="R5" i="19"/>
  <c r="R4" i="19"/>
  <c r="R3" i="19"/>
  <c r="R2" i="19"/>
  <c r="Q11" i="20"/>
  <c r="Q9" i="20"/>
  <c r="Q8" i="20"/>
  <c r="R7" i="20"/>
  <c r="R6" i="20"/>
  <c r="R5" i="20"/>
  <c r="R4" i="20"/>
  <c r="R3" i="20"/>
  <c r="R2" i="20"/>
  <c r="Q11" i="21"/>
  <c r="Q8" i="21"/>
  <c r="R7" i="21"/>
  <c r="R6" i="21"/>
  <c r="R5" i="21"/>
  <c r="R4" i="21"/>
  <c r="R3" i="21"/>
  <c r="R2" i="21"/>
  <c r="Q11" i="22"/>
  <c r="Q8" i="22"/>
  <c r="R7" i="22"/>
  <c r="R6" i="22"/>
  <c r="R5" i="22"/>
  <c r="R4" i="22"/>
  <c r="R3" i="22"/>
  <c r="R2" i="22"/>
  <c r="Q11" i="23"/>
  <c r="Q9" i="23"/>
  <c r="Q8" i="23"/>
  <c r="R7" i="23"/>
  <c r="R6" i="23"/>
  <c r="R5" i="23"/>
  <c r="R4" i="23"/>
  <c r="R3" i="23"/>
  <c r="R2" i="23"/>
  <c r="Q11" i="24"/>
  <c r="Q9" i="24"/>
  <c r="Q8" i="24"/>
  <c r="R7" i="24"/>
  <c r="R6" i="24"/>
  <c r="R5" i="24"/>
  <c r="R4" i="24"/>
  <c r="R3" i="24"/>
  <c r="R2" i="24"/>
  <c r="Q11" i="25"/>
  <c r="Q8" i="25"/>
  <c r="R7" i="25"/>
  <c r="R6" i="25"/>
  <c r="R5" i="25"/>
  <c r="R4" i="25"/>
  <c r="R3" i="25"/>
  <c r="R2" i="25"/>
  <c r="Q11" i="26"/>
  <c r="Q8" i="26"/>
  <c r="R7" i="26"/>
  <c r="R6" i="26"/>
  <c r="R5" i="26"/>
  <c r="R4" i="26"/>
  <c r="R3" i="26"/>
  <c r="R2" i="26"/>
  <c r="Q11" i="27"/>
  <c r="Q9" i="27"/>
  <c r="Q8" i="27"/>
  <c r="R7" i="27"/>
  <c r="R6" i="27"/>
  <c r="R5" i="27"/>
  <c r="R4" i="27"/>
  <c r="R3" i="27"/>
  <c r="R2" i="27"/>
  <c r="Q11" i="9"/>
  <c r="Q8" i="9"/>
  <c r="R7" i="9"/>
  <c r="R6" i="9"/>
  <c r="R5" i="9"/>
  <c r="R4" i="9"/>
  <c r="R3" i="9"/>
  <c r="R2" i="9"/>
  <c r="R2" i="8"/>
  <c r="R3" i="8"/>
  <c r="R4" i="8"/>
  <c r="R5" i="8"/>
  <c r="R6" i="8"/>
  <c r="R7" i="8"/>
  <c r="Q11" i="8"/>
  <c r="Q8" i="8"/>
  <c r="Q12" i="8"/>
  <c r="Q9" i="8"/>
  <c r="C126" i="4" l="1"/>
  <c r="C119" i="4"/>
  <c r="C79" i="4"/>
  <c r="C74" i="4"/>
  <c r="C63" i="4"/>
  <c r="C49" i="4"/>
  <c r="C35" i="4"/>
  <c r="C1" i="4"/>
  <c r="AL11" i="5" l="1"/>
  <c r="AM11" i="5" s="1"/>
  <c r="AL12" i="5"/>
  <c r="AM12" i="5" s="1"/>
  <c r="AK13" i="5"/>
  <c r="AL13" i="5" s="1"/>
  <c r="AM13" i="5" s="1"/>
  <c r="AK14" i="5"/>
  <c r="AL14" i="5" s="1"/>
  <c r="AM14" i="5" s="1"/>
  <c r="AK15" i="5"/>
  <c r="AL15" i="5" s="1"/>
  <c r="AM15" i="5" s="1"/>
  <c r="AK16" i="5"/>
  <c r="AL16" i="5" s="1"/>
  <c r="AM16" i="5" s="1"/>
  <c r="AK17" i="5"/>
  <c r="AL17" i="5" s="1"/>
  <c r="AM17" i="5" s="1"/>
  <c r="AK18" i="5"/>
  <c r="AL18" i="5" s="1"/>
  <c r="AM18" i="5" s="1"/>
  <c r="AK19" i="5"/>
  <c r="AL19" i="5" s="1"/>
  <c r="AM19" i="5" s="1"/>
</calcChain>
</file>

<file path=xl/sharedStrings.xml><?xml version="1.0" encoding="utf-8"?>
<sst xmlns="http://schemas.openxmlformats.org/spreadsheetml/2006/main" count="1325" uniqueCount="551">
  <si>
    <t>Business Entity</t>
  </si>
  <si>
    <t>Line of Business</t>
  </si>
  <si>
    <t>Risk Id</t>
  </si>
  <si>
    <t>Risk Type</t>
  </si>
  <si>
    <t>Controls</t>
  </si>
  <si>
    <t>Financial Impact:  Rationale / Commentary
(stressed and normal)</t>
  </si>
  <si>
    <t>Risk Narrative</t>
  </si>
  <si>
    <t>Risk ID</t>
  </si>
  <si>
    <t>Puerto Rico</t>
  </si>
  <si>
    <t>Model</t>
  </si>
  <si>
    <t>External Factors</t>
  </si>
  <si>
    <t>Compliance</t>
  </si>
  <si>
    <t>Legal</t>
  </si>
  <si>
    <t>Market</t>
  </si>
  <si>
    <t>Market External Factors</t>
  </si>
  <si>
    <t>Liquidity</t>
  </si>
  <si>
    <t>Contingent Liquidity</t>
  </si>
  <si>
    <t>Credit</t>
  </si>
  <si>
    <t>Collateral</t>
  </si>
  <si>
    <t>Strategic Objectives</t>
  </si>
  <si>
    <t xml:space="preserve">Strategic </t>
  </si>
  <si>
    <t>Management Information Systems</t>
  </si>
  <si>
    <t>Management and Other Personnel</t>
  </si>
  <si>
    <t>Expansion Risk</t>
  </si>
  <si>
    <t>Volume and Types of Assets</t>
  </si>
  <si>
    <t>Reputational</t>
  </si>
  <si>
    <t>Litigations</t>
  </si>
  <si>
    <t>Control Systems</t>
  </si>
  <si>
    <t>Complaints</t>
  </si>
  <si>
    <t>Brand Image/Customers Experience</t>
  </si>
  <si>
    <t>Internal Fraud</t>
  </si>
  <si>
    <t>Operational</t>
  </si>
  <si>
    <t>External Fraud</t>
  </si>
  <si>
    <t>Execution, Delivery and Process Management</t>
  </si>
  <si>
    <t>Employment Practices &amp; Workplace Safety</t>
  </si>
  <si>
    <t>Data -Risk Aggregation Capabilities</t>
  </si>
  <si>
    <t>Data - Reporting Framework</t>
  </si>
  <si>
    <t>Damage to Physical Assets</t>
  </si>
  <si>
    <t>Clients, Products and Business Practices</t>
  </si>
  <si>
    <t>Business Disruption and System Failures</t>
  </si>
  <si>
    <t>Training</t>
  </si>
  <si>
    <t>Misuse</t>
  </si>
  <si>
    <t>Deterioration</t>
  </si>
  <si>
    <t>Data Availability</t>
  </si>
  <si>
    <t>Assumptions</t>
  </si>
  <si>
    <t>Price Risk</t>
  </si>
  <si>
    <t>Non Linear Risk</t>
  </si>
  <si>
    <t>Market Correlation Risk</t>
  </si>
  <si>
    <t>Basis Risk</t>
  </si>
  <si>
    <t>Market Liquidity</t>
  </si>
  <si>
    <t>Funding Liquidity</t>
  </si>
  <si>
    <t>Strategic factors</t>
  </si>
  <si>
    <t>Settlement</t>
  </si>
  <si>
    <t>Rating Migration</t>
  </si>
  <si>
    <t>Issuer/Borrower</t>
  </si>
  <si>
    <t>Country</t>
  </si>
  <si>
    <t>Counterparty</t>
  </si>
  <si>
    <t>Concentration</t>
  </si>
  <si>
    <t>Reporting</t>
  </si>
  <si>
    <t>Regulatory Programs</t>
  </si>
  <si>
    <t>Regulatory Compliance</t>
  </si>
  <si>
    <t>Governance</t>
  </si>
  <si>
    <t>Core Banking and Fair Lending</t>
  </si>
  <si>
    <t>BSA/AML/OFAC</t>
  </si>
  <si>
    <t>Default</t>
  </si>
  <si>
    <t>Drivers</t>
  </si>
  <si>
    <t>Line(s) of Business</t>
  </si>
  <si>
    <t>Probability
(within 9 quarters)</t>
  </si>
  <si>
    <t>Santander Investment Securities</t>
  </si>
  <si>
    <t>High</t>
  </si>
  <si>
    <t>Banco Santander Intl. (Miami)</t>
  </si>
  <si>
    <t>$50 M - $250 M</t>
  </si>
  <si>
    <t>SCUSA</t>
  </si>
  <si>
    <t>SBNA</t>
  </si>
  <si>
    <t>Low</t>
  </si>
  <si>
    <t>Business Entities</t>
  </si>
  <si>
    <t>Risk Name</t>
  </si>
  <si>
    <t xml:space="preserve">  </t>
  </si>
  <si>
    <t>Consumer Confidence (Up)</t>
  </si>
  <si>
    <t>Consumer Confidence (Down)</t>
  </si>
  <si>
    <t>Unemployment (Up)</t>
  </si>
  <si>
    <t>Unemployment (Down)</t>
  </si>
  <si>
    <t>Inflation</t>
  </si>
  <si>
    <t>Deflation</t>
  </si>
  <si>
    <t>Interest Rates (Up)</t>
  </si>
  <si>
    <t>Interest Rates (Down)</t>
  </si>
  <si>
    <t>Interest Rates (Steepen)</t>
  </si>
  <si>
    <t>Interest Rates (Decline)</t>
  </si>
  <si>
    <t>Corporate Credit Spreads (Widen)</t>
  </si>
  <si>
    <t>Corporate Credit Spreads (Narrow)</t>
  </si>
  <si>
    <t>Equity Prices (Up)</t>
  </si>
  <si>
    <t>Equity Prices (Down)</t>
  </si>
  <si>
    <t>Housing Prices (Up)</t>
  </si>
  <si>
    <t>Housing Prices (Down)</t>
  </si>
  <si>
    <t>Used Vehicle Prices (Up)</t>
  </si>
  <si>
    <t>Used Vehicle Prices (Down)</t>
  </si>
  <si>
    <t>US Dollar Appreciation</t>
  </si>
  <si>
    <t>US Dollar Depreciation</t>
  </si>
  <si>
    <t>Soft Commodity Prices (Up)</t>
  </si>
  <si>
    <t>Soft Commodity Prices (Down)</t>
  </si>
  <si>
    <t>Oil Prices (Up)</t>
  </si>
  <si>
    <t>Oil Prices (Down)</t>
  </si>
  <si>
    <t>Other Hard Commodity Prices (Up)</t>
  </si>
  <si>
    <t>Other Hard Commodity Prices (Down)</t>
  </si>
  <si>
    <t>Localized Economic Downturn (Specify Geography in risk description)</t>
  </si>
  <si>
    <t>Financial Impact Scale</t>
  </si>
  <si>
    <t>Control Suite Rating</t>
  </si>
  <si>
    <t>Medium Low</t>
  </si>
  <si>
    <t>Medium</t>
  </si>
  <si>
    <t>Very High</t>
  </si>
  <si>
    <t>Stressed Financial Impact (Worst 1 in 10 year impact)</t>
  </si>
  <si>
    <t>The primary economic driver or business force leading to an increase/decrease in the Financial Impact. (multiple selection allowed)</t>
  </si>
  <si>
    <t>Regulatory Compliance - Lending Laws/Regulations</t>
  </si>
  <si>
    <t>Regulatory Compliance - Bank Operations Laws/Regulations</t>
  </si>
  <si>
    <t>Regulatory Compliance - CRA Laws/Regulations</t>
  </si>
  <si>
    <t>Core Banking and Fair Lending - Credit Operations</t>
  </si>
  <si>
    <t>Core Banking and Fair Lending - Product Risk</t>
  </si>
  <si>
    <t>Core Banking and Fair Lending - Marketing</t>
  </si>
  <si>
    <t>Core Banking and Fair Lending - Underwriting</t>
  </si>
  <si>
    <t>Core Banking and Fair Lending - Pricing</t>
  </si>
  <si>
    <t>Core Banking and Fair Lending - Steering</t>
  </si>
  <si>
    <t>Core Banking and Fair Lending - Redlining</t>
  </si>
  <si>
    <t>Core Banking and Fair Lending - Loan Servicing</t>
  </si>
  <si>
    <t>Core Banking and Fair Lending - Debt Collection Activitites</t>
  </si>
  <si>
    <t>BSA/AML/OFAC - Customer Type</t>
  </si>
  <si>
    <t>BSA/AML/OFAC - Geography (Customers and Geography)</t>
  </si>
  <si>
    <t>BSA/AML/OFAC - Products/Channels/Services per customer</t>
  </si>
  <si>
    <t>BSA/AML/OFAC - Concentration Accounts</t>
  </si>
  <si>
    <t>BSA/AML/OFAC - Vendors</t>
  </si>
  <si>
    <t>BSA/AML/OFAC - Customer Processes (Screnning/Id/Rating/Due Diligence)</t>
  </si>
  <si>
    <t>BSA/AML/OFAC - Transaction Scanning/Monitoring</t>
  </si>
  <si>
    <t>BSA/AML/OFAC - Record Retention</t>
  </si>
  <si>
    <t>BSA/AML/OFAC - Training</t>
  </si>
  <si>
    <t>Regulatory Programs - Emerging regulatory requirements</t>
  </si>
  <si>
    <t>Regulatory Programs - Regulatory Change Management</t>
  </si>
  <si>
    <t>Regulatory Programs - Remediation activities</t>
  </si>
  <si>
    <t>Governance - Staffing levels and skills</t>
  </si>
  <si>
    <t>Governance - Adequacy of policies and procedures</t>
  </si>
  <si>
    <t>Residual Value</t>
  </si>
  <si>
    <t>Concentration - One obligor</t>
  </si>
  <si>
    <t>Concentration - Industry</t>
  </si>
  <si>
    <t>Concentration - Product</t>
  </si>
  <si>
    <t>Concentration - Maturity</t>
  </si>
  <si>
    <t>Concentration - Geography</t>
  </si>
  <si>
    <t>Other Than Temporary Impairment (OTTI) Accounting</t>
  </si>
  <si>
    <t>Brand Image</t>
  </si>
  <si>
    <t>Strategic Planning</t>
  </si>
  <si>
    <t>Market Liquidity - General Market Liquidity</t>
  </si>
  <si>
    <t>Market Liquidity - Strategic Factors</t>
  </si>
  <si>
    <t>Market Liquidity - External Factors</t>
  </si>
  <si>
    <t>Market Liquidity - Liquid Asset-Based Factors</t>
  </si>
  <si>
    <t>Funding Liquidity - Wholesale Liabilities</t>
  </si>
  <si>
    <t>Funding Liquidity - Retail Liabilities</t>
  </si>
  <si>
    <t>Funding Liquidity - Diversification</t>
  </si>
  <si>
    <t>Contingent Liquidity - General Contingent Liability</t>
  </si>
  <si>
    <t>Contingent Liquidity - Unsecured funding</t>
  </si>
  <si>
    <t xml:space="preserve">Contingent Liquidity - Securitization </t>
  </si>
  <si>
    <t>Contingent Liquidity - Off-balance-sheet items</t>
  </si>
  <si>
    <t>Interest rates</t>
  </si>
  <si>
    <t>Price Risk - Foreign Exchange Rates</t>
  </si>
  <si>
    <t>Price Risk - Equity/Equity Indices</t>
  </si>
  <si>
    <t>Price Risk - Commodity Prices</t>
  </si>
  <si>
    <t>Price Risk - Credit Spreads</t>
  </si>
  <si>
    <t>Correlation Risk</t>
  </si>
  <si>
    <t>Non Linear Risk - Behavioral Risks</t>
  </si>
  <si>
    <t>Non Linear Risk - Embedded options</t>
  </si>
  <si>
    <t>Internal Fraud - Internal Unauthorised Activity acting alone or in collusion with others</t>
  </si>
  <si>
    <t>Internal Fraud - Internal theft and financial misrepresentation</t>
  </si>
  <si>
    <t>Internal Fraud - Unauthorised Trading Activity</t>
  </si>
  <si>
    <t>Internal Fraud - Bribery &amp; Corruption</t>
  </si>
  <si>
    <t>Internal Fraud - Sales Malpractice</t>
  </si>
  <si>
    <t>External Fraud - External Theft</t>
  </si>
  <si>
    <t>External Fraud - External Misrepresentation or Deception</t>
  </si>
  <si>
    <t>External Fraud - Digital/Online Banking Fraud</t>
  </si>
  <si>
    <t>Employment Practices &amp; Workplace Safety - Health &amp; Safety Breach</t>
  </si>
  <si>
    <t>Employment Practices &amp; Workplace Safety - Discrimination or Harassment</t>
  </si>
  <si>
    <t>Employment Practices &amp; Workplace Safety - Employment Liability and Disputes</t>
  </si>
  <si>
    <t>Clients, Products and Business Practices - Breach of Fiduciary Duties (Improper or inappropriate Investment Advice, Investment Representation, or sales practices)</t>
  </si>
  <si>
    <t>Clients, Products and Business Practices - Inappropriate/Unsuitable product design</t>
  </si>
  <si>
    <t>Clients, Products and Business Practices - Not reporting in accordance with financial regulatory/legal requirements</t>
  </si>
  <si>
    <t>Clients, Products and Business Practices - IT risk, non-cyber (eg, access controls, inventory mgmt)</t>
  </si>
  <si>
    <t>Clients, Products and Business Practices - Non-Compliance with Taxation law and regulation</t>
  </si>
  <si>
    <t>Clients, Products and Business Practices - Failure to Meet Contractual Terms (written or implied)</t>
  </si>
  <si>
    <t>Clients, Products and Business Practices - Failure to obtain appropriate regulatory authorisation, permissions and licence requirements</t>
  </si>
  <si>
    <t>Damage to Physical Assets - Accidental damage to Physical Assets</t>
  </si>
  <si>
    <t>Damage to Physical Assets - Wilful damage to Physical Assets</t>
  </si>
  <si>
    <t>Damage to Physical Assets - Natural Disaster causes damage to Physical Assets</t>
  </si>
  <si>
    <t>Business Disruption and System Failures - Ineffective management of Change</t>
  </si>
  <si>
    <t>Business Disruption and System Failures - Workforce Disruption</t>
  </si>
  <si>
    <t>Business Disruption and System Failures - External Service Disruption or Denial of Service</t>
  </si>
  <si>
    <t>Business Disruption and System Failures - Internal Systems Infrastructure and Application Failure or Defect</t>
  </si>
  <si>
    <t>Execution, Delivery and Process Management - Insufficient capacity to process transaction in a timely fashion</t>
  </si>
  <si>
    <t>Execution, Delivery and Process Management - Transaction Capture and Input Errors</t>
  </si>
  <si>
    <t>Execution, Delivery and Process Management - Inadequate Client Account Management</t>
  </si>
  <si>
    <t>Execution, Delivery and Process Management - Erroneous Customer Statements and Financial records</t>
  </si>
  <si>
    <t>Execution, Delivery and Process Management - Model or Product Structuring Error
Investment Banking, Treasury &amp; Asset Management</t>
  </si>
  <si>
    <t>Execution, Delivery and Process Management - Inadequate Management of Suppliers/Vendors</t>
  </si>
  <si>
    <t>Brand Image - Financial Stability</t>
  </si>
  <si>
    <t>Brand Image - Product offerings</t>
  </si>
  <si>
    <t>Brand Image - Fraud</t>
  </si>
  <si>
    <t>Brand Image - Complaints</t>
  </si>
  <si>
    <t>Brand Image - Litigations</t>
  </si>
  <si>
    <t>Brand Image - Regulators</t>
  </si>
  <si>
    <t>Strategic Planning - Execution Risk</t>
  </si>
  <si>
    <t>Strategic Planning - Magnitude of change</t>
  </si>
  <si>
    <t>Strategic Planning - Cost Control Initiatives</t>
  </si>
  <si>
    <t>Strategic Planning - Diversification</t>
  </si>
  <si>
    <t>Strategic Planning - Parent Influence</t>
  </si>
  <si>
    <t>Strategic Planning - Resources</t>
  </si>
  <si>
    <t>Expansion Risk - Product</t>
  </si>
  <si>
    <t>Expansion Risk - Customers</t>
  </si>
  <si>
    <t>Expansion Risk - Mergers and Acquisitions</t>
  </si>
  <si>
    <t>Expansion Risk - Systems/Technology</t>
  </si>
  <si>
    <t>Systems strategy and data architecture</t>
  </si>
  <si>
    <t>External Factors - Economic conditions / market performance</t>
  </si>
  <si>
    <t>External Factors - Industry</t>
  </si>
  <si>
    <t>External Factors - Competition</t>
  </si>
  <si>
    <t>External Factors - Technology</t>
  </si>
  <si>
    <t>Management and Other Personnel - Expertise</t>
  </si>
  <si>
    <t>Management and Other Personnel - Responsiveness</t>
  </si>
  <si>
    <t>Management and Other Personnel - Communication skills</t>
  </si>
  <si>
    <t>Management and Other Personnel - Performance management and compensation</t>
  </si>
  <si>
    <t>Corporate Governance</t>
  </si>
  <si>
    <t>An executive level summary of the risk. It should address the nature of the risk, the expected impact, the worst one in ten year impact, the risk drivers and the controls. The narrative should clearly articulate the nature of the risk as it pertains to the line of business.</t>
  </si>
  <si>
    <t>Annual Expected Loss</t>
  </si>
  <si>
    <t>The negative impact to revenues/expenses within a typical 12 month period. (after considering controls &amp; likelihood)</t>
  </si>
  <si>
    <t>Sub Risk</t>
  </si>
  <si>
    <t xml:space="preserve">Annual expected loss, considers a severe combination of circumstances reasonably expected to occur in one annual period out of ten.  </t>
  </si>
  <si>
    <t>The second tier of the Risk Taxonomy consisting of approximately 40 Sub Risks and over 100 Detailed Sub Risks.</t>
  </si>
  <si>
    <t>The eight risk classifications as defined in Framework</t>
  </si>
  <si>
    <t xml:space="preserve">A risk name developed by the business  which in brief terms describes the risk </t>
  </si>
  <si>
    <t>High Level explanation of activities and limits put in place to mitigate risk.   Controls can be preventive, detective, or oversight. The Program requires high level controls including Policies and Guidance, Limit Monitoring, Committee Oversight Controls, External Relationship Monitoring, Staffing Controls, Information/Security Access Controls, Insurance, and Process Controls.</t>
  </si>
  <si>
    <t>$1 - $5 M</t>
  </si>
  <si>
    <t>$5 M - $50 M</t>
  </si>
  <si>
    <t>$250 M - $500 M</t>
  </si>
  <si>
    <t>&gt; $500 M</t>
  </si>
  <si>
    <t>&amp;","&amp;</t>
  </si>
  <si>
    <t>Regulatory Compliance - Securities &amp; Insurance and Other Financial Services Laws/Regulations</t>
  </si>
  <si>
    <t>BSA/AML/OFAC,BSA/AML/OFAC - Concentration Accounts,BSA/AML/OFAC - Customer Processes (Screnning/Id/Rating/Due Diligence),BSA/AML/OFAC - Customer Type,BSA/AML/OFAC - Geography (Customers and Geography),BSA/AML/OFAC - Products/Channels/Services per customer,BSA/AML/OFAC - Record Retention,BSA/AML/OFAC - Training,BSA/AML/OFAC - Transaction Scanning/Monitoring,BSA/AML/OFAC - Vendors,Core Banking and Fair Lending,Core Banking and Fair Lending - Credit Operations,Core Banking and Fair Lending - Debt Collection Activitites,Core Banking and Fair Lending - Loan Servicing,Core Banking and Fair Lending - Marketing,Core Banking and Fair Lending - Pricing,Core Banking and Fair Lending - Product Risk,Core Banking and Fair Lending - Redlining,Core Banking and Fair Lending - Steering,Core Banking and Fair Lending - Underwriting,Governance,Governance - Adequacy of policies and procedures,Governance - Staffing levels and skills,Legal,Regulatory Compliance,Regulatory Compliance - Bank Operations Laws/Regulations,Regulatory Compliance - CRA Laws/Regulations,Regulatory Compliance - Lending Laws/Regulations,Regulatory Compliance - Privacy Laws/Regulations,Regulatory Compliance - Securities &amp; Insurance and Other Financial Services Laws/Regulations,Regulatory Programs,Regulatory Programs - Emerging regulatory requirements,Regulatory Programs - Regulatory Change Management,Regulatory Programs - Remediation activities,Reporting</t>
  </si>
  <si>
    <t>Collateral,Concentration,Concentration - Geography,Concentration - Industry,Concentration - Maturity,Concentration - One obligor,Concentration - Product,Counterparty,Country,Default,Other Than Temporary Impairment (OTTI) Accounting,Rating Migration,Residual Value,Settlement</t>
  </si>
  <si>
    <t>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t>
  </si>
  <si>
    <t>Basis Risk,Correlation Risk,Interest rates,Non Linear Risk,Non Linear Risk - Behavioral Risks,Non Linear Risk - Embedded options,Price Risk,Price Risk - Commodity Prices,Price Risk - Credit Spreads,Price Risk - Equity/Equity Indices,Price Risk - Foreign Exchange Rates</t>
  </si>
  <si>
    <t>Assumptions,Data Availability,Deterioration,Misuse,Training</t>
  </si>
  <si>
    <t>Business Disruption and System Failures,Business Disruption and System Failures - External Service Disruption or Denial of Service,Business Disruption and System Failures - Ineffective management of Change,Business Disruption and System Failures - Internal Systems Infrastructure and Application Failure or Defect,Business Disruption and System Failures - Workforce Disruption,Clients, Products and Business Practices,Clients, Products and Business Practices - Breach of Fiduciary Duties,Clients, Products and Business Practices - Failure to Meet Contractual Terms (written or implied),Clients, Products and Business Practices - Failure to obtain appropriate regulatory authorisation/ permissions or licence requirements,Clients/ Products and Business Practices - Inappropriate disclosure of Client Data,Clients/ Products and Business Practices - Inappropriate/Unsuitable product design,Clients/ Products and Business Practices - IT risk and non-cybe,Clients, Products and Business Practices - Non-Compliance with Taxation law and regulation,Clients/ Products and Business Practices - Not reporting in accordance with financial regulatory/legal requirements,Damage to Physical Assets,Damage to Physical Assets - Accidental damage to Physical Assets,Damage to Physical Assets - Natural Disaster causes damage to Physical Assets,Damage to Physical Assets - Wilful damage to Physical Assets,Employment Practices &amp; Workplace Safety,Employment Practices &amp; Workplace Safety - Discrimination or Harassment,Employment Practices &amp; Workplace Safety - Employment Liability and Disputes,Employment Practices &amp; Workplace Safety - Health &amp; Safety Breach,Execution/ Delivery and Process Management,Execution/ Delivery and Process Management - Erroneous Customer Statements / Financial records,Execution/ Delivery and Process Management - Inaccurate Financial Reporting ,Execution/ Delivery and Process Management - Inadequate Client Account Management,Execution/ Delivery and Process Management - Inadequate Management of Suppliers/Vendors,Execution/ Delivery and Process Management - Insufficient capacity to process transaction in a timely fashion,Execution/ Delivery and Process Management - Model or Product Structuring Error
,Execution/ Delivery and Process Management - Transaction Capture and Input Errors,External Fraud,External Fraud - Cyberattack,External Fraud - Digital/Online Banking Fraud,External Fraud - External Misrepresentation or Deception,External Fraud - External Theft,Internal Fraud,Internal Fraud - Bribery &amp; Corruption,Internal Fraud - Internal theft and financial misrepresentation,Internal Fraud - Internal Unauthorised Activity acting alone or in collusion with others,Internal Fraud - Sales Malpractice,Internal Fraud - Unauthorised Trading Activity</t>
  </si>
  <si>
    <t>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t>
  </si>
  <si>
    <t>Brand Image,Brand Image - Complaints,Brand Image - Financial Stability,Brand Image - Fraud,Brand Image - Litigations,Brand Image - Product offerings,Brand Image - Regulators</t>
  </si>
  <si>
    <t>Aggregation Summary (for Business Line and Entity Inventory creation)</t>
  </si>
  <si>
    <t>Indicate which risks by Line of Business/Business Line were aggregated to derive this Risk. Make reference to the Risk ID# found in column C.</t>
  </si>
  <si>
    <t>Business Line</t>
  </si>
  <si>
    <t>Business Line(s)</t>
  </si>
  <si>
    <t>Explanation on the analysis and data utilized to determine the annual and stressed impact bands selected. Include effect of Firm specific events and Risk Drivers.</t>
  </si>
  <si>
    <r>
      <t>Risk Sub Type  -</t>
    </r>
    <r>
      <rPr>
        <sz val="10"/>
        <color theme="1"/>
        <rFont val="Calibri"/>
        <family val="2"/>
        <scheme val="minor"/>
      </rPr>
      <t xml:space="preserve"> The Risk Sub-Category from the SHUSA ERM Risk Taxonomy</t>
    </r>
  </si>
  <si>
    <r>
      <t>Risk Name</t>
    </r>
    <r>
      <rPr>
        <sz val="10"/>
        <color theme="1"/>
        <rFont val="Calibri"/>
        <family val="2"/>
        <scheme val="minor"/>
      </rPr>
      <t xml:space="preserve"> - The name of the risk which helps define it and differentiate it from other risks in other Business Lines with a similar Risk Category</t>
    </r>
  </si>
  <si>
    <r>
      <t>Annual Expected Loss (Base)</t>
    </r>
    <r>
      <rPr>
        <sz val="10"/>
        <color theme="1"/>
        <rFont val="Calibri"/>
        <family val="2"/>
        <scheme val="minor"/>
      </rPr>
      <t xml:space="preserve"> - The annual expected financial impact range amount. The dollar range should be supported by internal/external loss data and other MRI sources.  This impact amount assumes controls are working as designed.</t>
    </r>
  </si>
  <si>
    <r>
      <t>Stressed</t>
    </r>
    <r>
      <rPr>
        <sz val="10"/>
        <color theme="1"/>
        <rFont val="Calibri"/>
        <family val="2"/>
        <scheme val="minor"/>
      </rPr>
      <t xml:space="preserve"> </t>
    </r>
    <r>
      <rPr>
        <b/>
        <sz val="10"/>
        <color theme="1"/>
        <rFont val="Calibri"/>
        <family val="2"/>
        <scheme val="minor"/>
      </rPr>
      <t xml:space="preserve">Financial Impact </t>
    </r>
    <r>
      <rPr>
        <sz val="10"/>
        <color theme="1"/>
        <rFont val="Calibri"/>
        <family val="2"/>
        <scheme val="minor"/>
      </rPr>
      <t>- The worst 1 in 10 year financial impact range amount. This impact should be supported by internal and external loss data and other MRI sources and external events.  This impact assumes that all controls may not be working as designed.</t>
    </r>
  </si>
  <si>
    <r>
      <t xml:space="preserve">Key Controls (narrative) - </t>
    </r>
    <r>
      <rPr>
        <sz val="11"/>
        <color theme="1"/>
        <rFont val="Calibri"/>
        <family val="2"/>
        <scheme val="minor"/>
      </rPr>
      <t>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t>
    </r>
  </si>
  <si>
    <r>
      <t>Risk Narrative -</t>
    </r>
    <r>
      <rPr>
        <sz val="11"/>
        <color theme="1"/>
        <rFont val="Calibri"/>
        <family val="2"/>
        <scheme val="minor"/>
      </rPr>
      <t xml:space="preserve"> The risk narrative should be an executive level write up touching on the nature of the risk, the expected impact, the worst one in ten year impact, the risk drivers and the adequacy of the control suite.</t>
    </r>
  </si>
  <si>
    <r>
      <rPr>
        <b/>
        <sz val="11"/>
        <color theme="1"/>
        <rFont val="Calibri"/>
        <family val="2"/>
        <scheme val="minor"/>
      </rPr>
      <t xml:space="preserve">Risk Type </t>
    </r>
    <r>
      <rPr>
        <sz val="11"/>
        <color theme="1"/>
        <rFont val="Calibri"/>
        <family val="2"/>
        <scheme val="minor"/>
      </rPr>
      <t xml:space="preserve"> - The Risk Type from the SHUSA ERM Risk Taxonomy</t>
    </r>
  </si>
  <si>
    <t>Approval &amp; Documentation</t>
  </si>
  <si>
    <t>Assessment Cycle</t>
  </si>
  <si>
    <t>Line of Business Head</t>
  </si>
  <si>
    <t>Key Meeting Dates</t>
  </si>
  <si>
    <t>Participants involved in  Analysis</t>
  </si>
  <si>
    <t>Approver(s):</t>
  </si>
  <si>
    <t>This document will:</t>
  </si>
  <si>
    <t xml:space="preserve">
The section should be an abstract providing an overview and orientation of the business (an introduction as to what the Business is all about); it may highlight the current Business Model and include the business’s location(s), what product(s) or service(s) it provides and its general purpose within the larger organization. Should include descriptions, volumes, exposures, etc. for line of business:
</t>
  </si>
  <si>
    <t>2. Business Overview</t>
  </si>
  <si>
    <t>3. Process Followed</t>
  </si>
  <si>
    <t>4. Strategic Plan</t>
  </si>
  <si>
    <t xml:space="preserve">
This section should be a high level overview of Material Risks identified. Completion of this section will be facilitated once the remainder of this template is completed:
</t>
  </si>
  <si>
    <t>1. Executive Summary</t>
  </si>
  <si>
    <t>Product/Service Name</t>
  </si>
  <si>
    <t>Final Approval Date</t>
  </si>
  <si>
    <t>Target Launch Date</t>
  </si>
  <si>
    <t>Status</t>
  </si>
  <si>
    <t>Risk Review Date</t>
  </si>
  <si>
    <t>5. New Products</t>
  </si>
  <si>
    <t xml:space="preserve">Listing of new Products / Services being offered (or planned). Ensure New Product Assessments are used to inform this section:
</t>
  </si>
  <si>
    <t>Include commentary surrounding any delayed products/services or those which will have a large impact on business functions/risk profile. Include an explanation regarding any new product or service which has not/will not undergo review by Risk and Compliance. Include summary (if any) of changes to the Material Risk Inventory.</t>
  </si>
  <si>
    <t>Date of Occurrence</t>
  </si>
  <si>
    <t>Paid Date (if applicable)</t>
  </si>
  <si>
    <t>Dollar Amount</t>
  </si>
  <si>
    <t xml:space="preserve">Description </t>
  </si>
  <si>
    <t>Emerging Events commentary, including process for capture of emerging events:</t>
  </si>
  <si>
    <t>Include events (paid or emerging) in excess of $1 Million recognized over the past 12 months and/or those remaining unpaid:</t>
  </si>
  <si>
    <t>Internal loss/gain data analysis including all data used to assess and quantify their Material Risks across the 8 Risk Types. Lines of Business should consult with their Second Line of Defense to determine the appropriate sources of information for each risk type. When possible three or more years’ worth of data should be utilized:</t>
  </si>
  <si>
    <t>Source Data Used and Time period of data</t>
  </si>
  <si>
    <t>Strategic</t>
  </si>
  <si>
    <t>Summary of external data sources used to understand, analyze and validate the quantification of the Material Risk, for each risk type:</t>
  </si>
  <si>
    <t>Enter significant Audit/Regulatory finds and/or resolutions since the last annual assessment cycle.</t>
  </si>
  <si>
    <t>Business Area</t>
  </si>
  <si>
    <t>Finding</t>
  </si>
  <si>
    <t>Severity</t>
  </si>
  <si>
    <t>Date of finding</t>
  </si>
  <si>
    <t>Resolution Date</t>
  </si>
  <si>
    <t>Below is an aggregate summary of most the recent RCSA Results followed by a high level summary of the output along with the methodology employed and the key data elements of the program. Commentary will indicate how this RCSA results which were leveraged to inform and develop the Line of Business Material risks covered in this document.</t>
  </si>
  <si>
    <t>Base Line Impact</t>
  </si>
  <si>
    <t>Impact (other)</t>
  </si>
  <si>
    <t>Overview on the RCSA process and results, i.e. was the entire Line of Business assessed, methodology used, key findings if any, etc…:</t>
  </si>
  <si>
    <t>Highlight any significant failures, action plans or significant events over the past 12 months:</t>
  </si>
  <si>
    <t xml:space="preserve"> [Enter Business Continuity events and program highlights here if applicable]
</t>
  </si>
  <si>
    <t>High level summary of vendor management program highlighting any significant events over the past 12 months:</t>
  </si>
  <si>
    <t xml:space="preserve"> [Enter Vendor Management and program highlights here if applicable]
</t>
  </si>
  <si>
    <t xml:space="preserve"> [Enter IT Assessment results and any significant events, i.e. intrusions, firewall breaches, etc…]
</t>
  </si>
  <si>
    <t>Summary results of most recent Credit Assessment:</t>
  </si>
  <si>
    <t xml:space="preserve"> [Enter Assessment results and any significant events]
</t>
  </si>
  <si>
    <t>Summary results of most recent Model Assessment:</t>
  </si>
  <si>
    <t xml:space="preserve">[Enter Assessment results and any significant events]
</t>
  </si>
  <si>
    <t>Highlight any other key inputs which informed the assessment and how they were used:</t>
  </si>
  <si>
    <t xml:space="preserve"> [Enter any other key inputs and how they were used]
</t>
  </si>
  <si>
    <t>Below are the key metrics utilized by Management for this Line of Business which helps to inform the Risk Identification process:</t>
  </si>
  <si>
    <t>Business Metric Name</t>
  </si>
  <si>
    <t>Prior Year</t>
  </si>
  <si>
    <t>Current Year</t>
  </si>
  <si>
    <t>Q1 – 2014</t>
  </si>
  <si>
    <t>Q2 – 2014</t>
  </si>
  <si>
    <t>Q3 – 2014</t>
  </si>
  <si>
    <t>Q4 - 2014</t>
  </si>
  <si>
    <t>Q1 – 2015</t>
  </si>
  <si>
    <t>Q2 - 2015</t>
  </si>
  <si>
    <t>Commentary:</t>
  </si>
  <si>
    <t xml:space="preserve"> [Enter Business Metric commentary here if applicable]
</t>
  </si>
  <si>
    <t>Santander Holdings USA</t>
  </si>
  <si>
    <t>Business Segment</t>
  </si>
  <si>
    <t>Business Segment Head</t>
  </si>
  <si>
    <t>Sub Risk Definition</t>
  </si>
  <si>
    <t>Detailed Sub Risk</t>
  </si>
  <si>
    <t>Obstacles to successfully implementing strategic objectives</t>
  </si>
  <si>
    <t>Execution Risk</t>
  </si>
  <si>
    <t>Magnitude of change</t>
  </si>
  <si>
    <t>Cost Control Initiatives</t>
  </si>
  <si>
    <t>Diversification</t>
  </si>
  <si>
    <t>Parent Influence</t>
  </si>
  <si>
    <t>Resources</t>
  </si>
  <si>
    <t>Risk related to expansion in customer base, products or geography</t>
  </si>
  <si>
    <t>Product</t>
  </si>
  <si>
    <t>Customers</t>
  </si>
  <si>
    <t>Mergers and Acquisitions</t>
  </si>
  <si>
    <t>Systems/Technology</t>
  </si>
  <si>
    <t>Economic conditions / market performance</t>
  </si>
  <si>
    <t>Industry</t>
  </si>
  <si>
    <t>Competition</t>
  </si>
  <si>
    <t>Technology</t>
  </si>
  <si>
    <t>Risk brought on by communications or actions, intentional or unintended, by management.</t>
  </si>
  <si>
    <t>Expertise</t>
  </si>
  <si>
    <t>Responsiveness</t>
  </si>
  <si>
    <t>Communication skills</t>
  </si>
  <si>
    <t>Risk brought by inadequate corporate governance or oversight.</t>
  </si>
  <si>
    <r>
      <t xml:space="preserve">Strategic - </t>
    </r>
    <r>
      <rPr>
        <sz val="11"/>
        <color theme="1"/>
        <rFont val="Calibri"/>
        <family val="2"/>
        <scheme val="minor"/>
      </rPr>
      <t>Strategic risk is the current and prospective impact on earnings or capital arising from adverse business decisions, improper implementation of decisions, or lack of responsiveness to industry changes. This risk is a function of the compatibility of an organization's strategic goals, the business strategies developed to achieve those goals, industry factors such as competition and customer preference, the resources deployed against these goals, and the quality of implementation.</t>
    </r>
  </si>
  <si>
    <t>Adverse effects to Santander as a result of changes external environment.</t>
  </si>
  <si>
    <t>Performance management &amp; compensation</t>
  </si>
  <si>
    <r>
      <t xml:space="preserve">Reputational - </t>
    </r>
    <r>
      <rPr>
        <sz val="11"/>
        <color theme="1"/>
        <rFont val="Calibri"/>
        <family val="2"/>
        <scheme val="minor"/>
      </rPr>
      <t>Reputational Risk is the potential that a corporate practice, or a new fact or rumor concerning products and services sold by the firm or practices at the firm changes the public’s perception, including that of investors, customers, and regulatory bodies and ratings agencies, of the corporation in a negative fashion</t>
    </r>
  </si>
  <si>
    <t>Risk of damages to the Santander brand image or to our customers</t>
  </si>
  <si>
    <t>Financial Stability</t>
  </si>
  <si>
    <t>Product offerings</t>
  </si>
  <si>
    <t>Fraud</t>
  </si>
  <si>
    <t>Regulators</t>
  </si>
  <si>
    <r>
      <t>Credit</t>
    </r>
    <r>
      <rPr>
        <sz val="12"/>
        <color theme="1"/>
        <rFont val="Calibri"/>
        <family val="2"/>
        <scheme val="minor"/>
      </rPr>
      <t xml:space="preserve"> - </t>
    </r>
    <r>
      <rPr>
        <sz val="11"/>
        <color theme="1"/>
        <rFont val="Calibri"/>
        <family val="2"/>
        <scheme val="minor"/>
      </rPr>
      <t>The potential that a bank borrower or counterparty will fail to meet its obligations in accordance with agreed terms. The goal of credit risk management is to maximize a bank's risk-adjusted rate of return by maintaining credit risk exposure within acceptable parameters.</t>
    </r>
  </si>
  <si>
    <t>Risk of loss caused by the effect of changes in the credit quality of the issuer/borrower on the valuation of financial assets.</t>
  </si>
  <si>
    <t>The risk of financial loss should an obligor not be able or willing to fulfill its obligations to pay on the maturity date of the obligation. It is measured as the higher of the maximum gross exposure of the individual transaction (i.e. before application of collateral or credit risk mitigation). Examples of direct credit risk include:</t>
  </si>
  <si>
    <t>− Cash exposures (e.g. loans, bonds, overdrafts, asset finance, leases, preferred shares, equities).</t>
  </si>
  <si>
    <t>− Commitments (e.g. undrawn facilities, guarantees issued on behalf of an obligor).</t>
  </si>
  <si>
    <t>− Committed and uncommitted trade finance exposures</t>
  </si>
  <si>
    <t>− Contingent exposures (e.g. relating to 3rd party guarantors)</t>
  </si>
  <si>
    <t>This is the risk that the counterparty to a transaction could default before the final settlement of the transaction’s cash flows, leading to a performance loss. While this can be applied to loan products, it covers a broad range of exposures due to transactions with broker/dealers, derivatives trades, clearing entities etc. This risk can also occur in a secondary or contingent fashion in the case where counterparty offers a guarantee for a collateralized security or derivative, or where there is recourse in the event of collateral short-fall, such as in a clearing relationship.</t>
  </si>
  <si>
    <t>Residual Value (RV) risk is the risk of financial loss that may occur if, at the end of a lease contract, even if the obligor has complied fully with his financial obligations under the contract, the actual proceeds realized upon the sale of returned assets are lower than the projection of the expected value used in establishing the pricing at lease origination.</t>
  </si>
  <si>
    <t>Concentration risk (also referred to as Aggregation/Correlation risk) refers to an exposure with the potential to produce losses large enough to threaten a financial institution’s health or ability to maintain its core operations. The loss may arise through exposures to: individual counterparties; groups of individual counterparties or related entities;  counterparties in specific geographical locations; industry sectors; specific products; service providers (e.g. back office services); and natural disasters or catastrophes.</t>
  </si>
  <si>
    <t>One obligor</t>
  </si>
  <si>
    <t>Maturity</t>
  </si>
  <si>
    <t>Geography</t>
  </si>
  <si>
    <t>The risk that funds held or controlled outside the US are unable to be repatriated in order to meet obligations as they fall due because: a) a sovereign state freezes foreign currency payments (transfer/conversion risk) or b) a sovereign state defaults on its obligations (sovereign risk).</t>
  </si>
  <si>
    <t>Settlement risk arises when the Bank pays away funds on behalf of a customer before the</t>
  </si>
  <si>
    <t>corresponding cleared funds have been received. Typical products giving rise to settlement risk include uncleared effects, derivatives settlement, cash transmission and payments through clearing houses.</t>
  </si>
  <si>
    <t>Collateral risk is the risk that legally pledged collateral (e.g. real estate, business assets, underlying treasury instruments) will be insufficient to cover the customer’s exposure upon liquidation.</t>
  </si>
  <si>
    <t>Risk of not properly accounting for Other Than Temporary Impairment requirements</t>
  </si>
  <si>
    <t>OTTI</t>
  </si>
  <si>
    <r>
      <t>Market</t>
    </r>
    <r>
      <rPr>
        <sz val="12"/>
        <color theme="1"/>
        <rFont val="Calibri"/>
        <family val="2"/>
        <scheme val="minor"/>
      </rPr>
      <t xml:space="preserve"> - The risk to current or anticipated earnings or capital resulting from adverse movements in market rates or prices, including, but not limited to, interest rates, foreign exchange rates, or equity prices.</t>
    </r>
  </si>
  <si>
    <t>Risk in interest rate spreads compressing negatively affecting our margins</t>
  </si>
  <si>
    <t>Interest Rates</t>
  </si>
  <si>
    <t>The risk to current or anticipated earnings or capital arising from adverse movements in:</t>
  </si>
  <si>
    <t>· Interest Rates (e.g. LIBOR, EURIBOR, OIS, etc.)</t>
  </si>
  <si>
    <t>· Foreign exchange rates (e.g. EUR/USD, EUR/GBP, etc.)</t>
  </si>
  <si>
    <t>· Equity or equity indices (e.g. Euro Stoxx 50, etc.)</t>
  </si>
  <si>
    <t>· Commodity prices (e.g. crude oil, copper)</t>
  </si>
  <si>
    <t>· Credit Spreads (including counterparty Credit Valuation Adjustment - CVA)</t>
  </si>
  <si>
    <t>Price Risk Includes the potential economic impact (decrease in the value of assets) that could be derived from SHUSA’s Subsidiaries participating in the underwriting of equity or debt capital markets transactions that are not fully sold into the market, and where the Subsidiary retains on its balance sheet a higher amount of exposure than anticipated.</t>
  </si>
  <si>
    <t>Foreign Exchange Rates</t>
  </si>
  <si>
    <t>Equity/Equity Indices</t>
  </si>
  <si>
    <t>Commodity Prices</t>
  </si>
  <si>
    <t>Credit Spreads</t>
  </si>
  <si>
    <t>The risk that one subtype of market risk is offset with another subtype and they do not exhibit perfect correlation to one another. This includes mismatching of underlying tenors or interest rates. (Examples: when 90-day LIBOR is hedged with 180-day LIBOR; when Mortgaged Backed Securities are hedged with LIBOR; when cash instruments are hedged with forwards or futures contracts).</t>
  </si>
  <si>
    <t>The risk that a portfolio of assets believed to be diversified all decline in value simultaneously.</t>
  </si>
  <si>
    <t>Includes behavioral risks and volatility:</t>
  </si>
  <si>
    <t>Behavioral risks like the potential economic impact (decrease in value of assets) coming from early unscheduled return of principal on a fixed-income security or derivative of a security. This is a significant risk in mortgages and securities with underlying mortgage assets. The volatility risk is the potential economic impact (decrease in value of assets) coming from adverse changes in the volatility of the risk factors.</t>
  </si>
  <si>
    <t>Behavioral Risks</t>
  </si>
  <si>
    <t>Embedded options</t>
  </si>
  <si>
    <r>
      <t>Liquidity</t>
    </r>
    <r>
      <rPr>
        <sz val="12"/>
        <color theme="1"/>
        <rFont val="Calibri"/>
        <family val="2"/>
        <scheme val="minor"/>
      </rPr>
      <t xml:space="preserve"> - The risk to current or anticipated earnings or capital arising from an inability to meet its obligations when they come due without incurring unacceptable losses. The firm, although solvent, either does not have available sufficient financial resources to enable it to meet its obligations as they fall due, or can secure them only at excessive cost. </t>
    </r>
  </si>
  <si>
    <t>How external liquidity sources view the bank's asset quality, earnings, and capital - e.g., agency ratings, economic conditions (job growth, migration, industry concentrations, competition, etc.), depth and breadth of the market, system-wide shocks to markets and market participants.</t>
  </si>
  <si>
    <t>General Market Liquidity</t>
  </si>
  <si>
    <t>Strategic Factors</t>
  </si>
  <si>
    <t>Liquid Asset-Based Factors</t>
  </si>
  <si>
    <t>Risk that a unit is unable to effectively and efficiently meet the expected and unexpected current and future cash flow.</t>
  </si>
  <si>
    <t>Wholesale Liabilities</t>
  </si>
  <si>
    <t>Retail Liabilities</t>
  </si>
  <si>
    <t xml:space="preserve">Risk that future events will create a greater need for cash than previously anticipated by management, given that commitments to lend are uncertain both in probability and amount. Also describes the risk of finding new liabilities or replacing liabilities under difficult market conditions. </t>
  </si>
  <si>
    <t>General Contingent Liability</t>
  </si>
  <si>
    <t>Unsecured funding</t>
  </si>
  <si>
    <t>Securitization</t>
  </si>
  <si>
    <t>Off-balance-sheet items</t>
  </si>
  <si>
    <r>
      <t>Operational Risk</t>
    </r>
    <r>
      <rPr>
        <sz val="12"/>
        <color theme="1"/>
        <rFont val="Calibri"/>
        <family val="2"/>
        <scheme val="minor"/>
      </rPr>
      <t xml:space="preserve"> - </t>
    </r>
    <r>
      <rPr>
        <sz val="11"/>
        <color theme="1"/>
        <rFont val="Calibri"/>
        <family val="2"/>
        <scheme val="minor"/>
      </rPr>
      <t>The risk of loss resulting from inadequate or failed internal processes, people &amp; systems, or from external events.</t>
    </r>
  </si>
  <si>
    <t>The risk of losses from willful actions designed to defraud, misappropriate goods or evade business regulations, laws or policies (excluding diversity/discrimination events) in which at least one person linked to the company is implicated. Examples; misappropriation of assets, tax evasion, intentional mismarking of positions, bribery.</t>
  </si>
  <si>
    <t>Internal Unauthorized Activity acting alone or in collusion with others</t>
  </si>
  <si>
    <t>Internal theft and financial misrepresentation</t>
  </si>
  <si>
    <t>Unauthorized Trading Activity</t>
  </si>
  <si>
    <t>Bribery &amp; Corruption</t>
  </si>
  <si>
    <t>Sales Malpractice</t>
  </si>
  <si>
    <t>The risk of losses from willful actions designed to defraud, misappropriate goods or evade business regulations, by a third party separate from the company. Examples; theft of information, hacking damage, third-party theft and forgery.</t>
  </si>
  <si>
    <t>External Theft</t>
  </si>
  <si>
    <t>External Misrepresentation or Deception</t>
  </si>
  <si>
    <t>Cyber attack</t>
  </si>
  <si>
    <t>Digital/Online Banking Fraud</t>
  </si>
  <si>
    <t>The risk of losses from actions that is incompatible with legislation or agreements on labor, health or safety. Indemnity payments for damage to people, or diversity/discrimination events. Examples; discrimination, workers compensation, employee health and safety.</t>
  </si>
  <si>
    <t>Health &amp; Safety Breach</t>
  </si>
  <si>
    <t>Discrimination or Harassment</t>
  </si>
  <si>
    <t>Employment Liability and Disputes</t>
  </si>
  <si>
    <t>The risk of losses arising from accidental or negligent breaches of professional obligations with specific clients, (including fiduciary or suitability requirements), or from the nature or design of a product. Examples; market manipulation, antitrust, improper trade, product defects, fiduciary breaches, account churning.</t>
  </si>
  <si>
    <t>Breach of Fiduciary Duties (Improper or inappropriate Investment Advice, Investment Representation, or sales practices)</t>
  </si>
  <si>
    <t>Inappropriate/Unsuitable product design</t>
  </si>
  <si>
    <t>Not reporting in accordance with financial regulatory/legal requirements</t>
  </si>
  <si>
    <t>IT risk, non-cyber (e.g., access controls, inventory mgmt.)</t>
  </si>
  <si>
    <t>Non-Compliance with Taxation law and regulation</t>
  </si>
  <si>
    <t>Inappropriate disclosure of Client Data</t>
  </si>
  <si>
    <t>Failure to Meet Contractual Terms (written or implied)</t>
  </si>
  <si>
    <t>Failure to obtain appropriate regulatory authorization, permissions and license requirements</t>
  </si>
  <si>
    <t>The risk of losses of non.-budgeted value or costs in material assets, derived from damages produced by natural disasters or other external events. Examples: natural disasters, terrorism, vandalism.</t>
  </si>
  <si>
    <t>Accidental damage to Physical Assets</t>
  </si>
  <si>
    <t>Willful damage to Physical Assets</t>
  </si>
  <si>
    <t>Natural Disaster causes damage to Physical Assets</t>
  </si>
  <si>
    <t>The risk of losses and compensation caused by disruption of business or systems malfunctions. Examples; utility disruptions, software failures, hardware failures.</t>
  </si>
  <si>
    <t>Ineffective management of Change</t>
  </si>
  <si>
    <t>Workforce Disruption</t>
  </si>
  <si>
    <t>External Service Disruption or Denial of Service</t>
  </si>
  <si>
    <t>Internal Systems Infrastructure and Application Failure or Defect</t>
  </si>
  <si>
    <t>The risk of losses arising from failed transaction processing or process management, from relationships with trade counterparties, suppliers and vendors. Examples; data entry errors, accounting errors, failed mandatory reporting, negligent loss of client assets.</t>
  </si>
  <si>
    <t>Insufficient capacity to process transaction in a timely fashion</t>
  </si>
  <si>
    <t>Transaction Capture and Input Errors</t>
  </si>
  <si>
    <t>Inadequate Client Account Management</t>
  </si>
  <si>
    <t>Erroneous Customer Statements and Financial records</t>
  </si>
  <si>
    <t>Inaccurate Financial Reporting</t>
  </si>
  <si>
    <t>Model or Product Structuring Error</t>
  </si>
  <si>
    <t>Investment Banking, Treasury &amp; Asset Management</t>
  </si>
  <si>
    <t>Inadequate Management of Suppliers/Vendors</t>
  </si>
  <si>
    <r>
      <t>Compliance</t>
    </r>
    <r>
      <rPr>
        <sz val="12"/>
        <color theme="1"/>
        <rFont val="Calibri"/>
        <family val="2"/>
        <scheme val="minor"/>
      </rPr>
      <t xml:space="preserve"> - </t>
    </r>
    <r>
      <rPr>
        <sz val="11"/>
        <color theme="1"/>
        <rFont val="Calibri"/>
        <family val="2"/>
        <scheme val="minor"/>
      </rPr>
      <t>The risk to current or anticipated earnings or capital arising from violations of, or nonconformance with laws, rules, regulations, prescribed practices, internal policies and procedures, or ethical standards. When the violations or nonconformance previously mentioned are related to the prevention and/or detection of money laundering, tax evasion, or other criminal activities, there is a BSA/AML compliance risk.</t>
    </r>
  </si>
  <si>
    <t>The risk that a change in laws and regulations will materially impact a security, business, sector or market. A change in laws or regulations made by the government or a regulatory body can increase the costs of operating a business, reduce the attractiveness of investment and/or change the competitive landscape.</t>
  </si>
  <si>
    <t>Lending Laws/Regulations</t>
  </si>
  <si>
    <t>Bank Operations Laws/Regulations</t>
  </si>
  <si>
    <t>Privacy Laws/Regulations</t>
  </si>
  <si>
    <t>CRA Laws/Regulations</t>
  </si>
  <si>
    <t>Securities, Insurance and Other Financial Services Laws/Regulations</t>
  </si>
  <si>
    <t>Risk of failing to comply with Core Banking and Fair Lending requirements.</t>
  </si>
  <si>
    <t>Credit Operations</t>
  </si>
  <si>
    <t>Product Risk</t>
  </si>
  <si>
    <t>Marketing</t>
  </si>
  <si>
    <t>Underwriting</t>
  </si>
  <si>
    <t>Pricing</t>
  </si>
  <si>
    <t>Steering</t>
  </si>
  <si>
    <t>Redlining</t>
  </si>
  <si>
    <t>Loan Servicing</t>
  </si>
  <si>
    <t>Debt Collection Activities</t>
  </si>
  <si>
    <t>Risk of failing to comply with BSA, AML and OFAC requirements.</t>
  </si>
  <si>
    <t>Customer Type</t>
  </si>
  <si>
    <t>Geography (Customers and Geography)</t>
  </si>
  <si>
    <t>Products/Channels/Services per customer</t>
  </si>
  <si>
    <t>Concentration Accounts</t>
  </si>
  <si>
    <t>Vendors</t>
  </si>
  <si>
    <t>Customer Processes (Screening/Id/Rating/Due Diligence)</t>
  </si>
  <si>
    <t>Transaction Scanning/Monitoring</t>
  </si>
  <si>
    <t>Record Retention</t>
  </si>
  <si>
    <t>Risk of failing to execute/implement regulatory program requirements.</t>
  </si>
  <si>
    <t>Emerging regulatory requirements</t>
  </si>
  <si>
    <t>Regulatory Change Management</t>
  </si>
  <si>
    <t>Remediation activities</t>
  </si>
  <si>
    <t>Risk of inadequate Governance over the Banks Compliance Program</t>
  </si>
  <si>
    <t>Staffing levels and skills</t>
  </si>
  <si>
    <t>Adequacy of policies and procedures</t>
  </si>
  <si>
    <t>Failure to abide by all applicable regulations leading to inaccurate reporting and regulatory findings and/or financial losses</t>
  </si>
  <si>
    <t>Risk of non-compliance leading to legal action against the Bank</t>
  </si>
  <si>
    <r>
      <t>Model</t>
    </r>
    <r>
      <rPr>
        <sz val="12"/>
        <color theme="1"/>
        <rFont val="Calibri"/>
        <family val="2"/>
        <scheme val="minor"/>
      </rPr>
      <t xml:space="preserve"> - </t>
    </r>
    <r>
      <rPr>
        <sz val="11"/>
        <color theme="1"/>
        <rFont val="Calibri"/>
        <family val="2"/>
        <scheme val="minor"/>
      </rPr>
      <t>Potential for loss arising when a financial model used to measure a firm's risks or value transactions does not perform the tasks or capture the risks it was intended to. Typically this is due to either a conceptual flaw or implementation error; poor quality data or missing data, or due to the model being used inappropriately or in error.</t>
    </r>
  </si>
  <si>
    <t>The risk that the assumptions upon which the model was designed were flawed.</t>
  </si>
  <si>
    <t>The Risk that the assumptions and methodology behind the model seize to be correlated with the changing world.</t>
  </si>
  <si>
    <t>The risk that a model is misapplied or not used when called for.</t>
  </si>
  <si>
    <t>The risk that data required for accurate model output is not available.</t>
  </si>
  <si>
    <t>The risk that personnel are not adequately trained in the use and methodology of the model.</t>
  </si>
  <si>
    <t xml:space="preserve">
The section should be an overview of the approach followed to identify the full range of Material Risks specific to the products and processes performed within the Line of Business including factors such as exposures, counterparties, concentrations, new products, distribution channels, off-balance sheet risks, etc… using the underlying risk programs and other key inputs. Additionally reference the manner in which the Risk Taxonomy was used to ensure completeness:
For Business Segments, this section should more simply be an overview of the approach followed to enrich/aggregate the full range of Material Risks specific to the products and processes performed within the Business Line. This analysis will be supported by various underlying Line of Business Material Risk Inventories:
</t>
  </si>
  <si>
    <t xml:space="preserve">
This section highlights the strategic plan and may include projected volumes, profits and keys to success. Any planned changes in the operating model or strategy should be highlighted including the manner in which risk management is integrated in the change management process.
Potentially it may include embedded highlights/ charts—a bar chart showings volumes, net interest margin and projected profits for the next three years. If included, these charts should be cited and explain in the text. Include a discussion of new risks identified as a result of the review of the Strategic plan:
</t>
  </si>
  <si>
    <t>Material Risk Inventory</t>
  </si>
  <si>
    <t>Aggregation Summary (for Business Segment and Entity Inventory creation)</t>
  </si>
  <si>
    <t>Indicate which risks by Line of Business/Business Segment were aggregated to derive this Risk. Make reference to the Risk ID# found in column C.</t>
  </si>
  <si>
    <t xml:space="preserve">[Enter Business Name here] </t>
  </si>
  <si>
    <r>
      <t>Aggregation:</t>
    </r>
    <r>
      <rPr>
        <sz val="11"/>
        <color theme="1"/>
        <rFont val="Calibri"/>
        <family val="2"/>
        <scheme val="minor"/>
      </rPr>
      <t xml:space="preserve"> This Risk was derived from the following Lines of Business</t>
    </r>
  </si>
  <si>
    <t>Aggregation</t>
  </si>
  <si>
    <t>Indicates which underlying Inventories Risks were combined to create this one Risk</t>
  </si>
  <si>
    <r>
      <rPr>
        <b/>
        <sz val="11"/>
        <color theme="1"/>
        <rFont val="Calibri"/>
        <family val="2"/>
        <scheme val="minor"/>
      </rPr>
      <t>Aggregation:</t>
    </r>
    <r>
      <rPr>
        <sz val="11"/>
        <color theme="1"/>
        <rFont val="Calibri"/>
        <family val="2"/>
        <scheme val="minor"/>
      </rPr>
      <t xml:space="preserve"> This Risk was derived from the following Lines of Business or Segments</t>
    </r>
  </si>
  <si>
    <r>
      <rPr>
        <b/>
        <sz val="11"/>
        <color theme="1"/>
        <rFont val="Calibri"/>
        <family val="2"/>
        <scheme val="minor"/>
      </rPr>
      <t>Aggregation:</t>
    </r>
    <r>
      <rPr>
        <sz val="11"/>
        <color theme="1"/>
        <rFont val="Calibri"/>
        <family val="2"/>
        <scheme val="minor"/>
      </rPr>
      <t xml:space="preserve"> This Risk was derived from the following Lines of Business or Segments (not requried for Line of Business Inventories)</t>
    </r>
  </si>
  <si>
    <r>
      <t xml:space="preserve">Risk Driver </t>
    </r>
    <r>
      <rPr>
        <sz val="10"/>
        <color theme="1"/>
        <rFont val="Calibri"/>
        <family val="2"/>
        <scheme val="minor"/>
      </rPr>
      <t>- The economic, business or regulatory force(s) leading to the potential increase(s) in the Risk profile as capture under the 'Stressed Financial Impact'. Diver(s) must be supported in the 'Financial Impact Rationale'.</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</si>
  <si>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</si>
  <si>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 xml:space="preserve">Financial Impact Analysis - </t>
    </r>
    <r>
      <rPr>
        <sz val="11"/>
        <color theme="1"/>
        <rFont val="Calibri"/>
        <family val="2"/>
        <scheme val="minor"/>
      </rPr>
      <t>Explanation on the analysis and data utilized to determine the annual and stressed impact bands selected and forward assumptions (Firm specific events and Risk Driver(s) selected).</t>
    </r>
  </si>
  <si>
    <r>
      <t>Approver Name (printed):</t>
    </r>
    <r>
      <rPr>
        <sz val="11"/>
        <color theme="1"/>
        <rFont val="Calibri"/>
        <family val="2"/>
        <scheme val="minor"/>
      </rPr>
      <t xml:space="preserve"> </t>
    </r>
  </si>
  <si>
    <t xml:space="preserve">[Enter Business Overview here, to create a Carriage Return hold down the [ALT]+[RETURN] ]
</t>
  </si>
  <si>
    <t>[Enter Overview of process followed and key inputs utilized here, to create a Carriage Return hold down the [ALT]+[RETURN] ]</t>
  </si>
  <si>
    <t xml:space="preserve"> [Enter highlights of strategic plan along with changes to risk profile here, to create a Carriage Return hold down the [ALT]+[RETURN] ]
</t>
  </si>
  <si>
    <t xml:space="preserve"> [Summary overview on New products/Services. Enter here if applicable, to create a Carriage Return hold down the [ALT]+[RETURN] ]</t>
  </si>
  <si>
    <t xml:space="preserve"> [Enter external data sources utilized in this exercise to address each risk type, to create a Carriage Return hold down the [ALT]+[RETURN] ]
</t>
  </si>
  <si>
    <t>a</t>
  </si>
  <si>
    <t>A</t>
  </si>
  <si>
    <t>7.  Significant Events and Emerging</t>
  </si>
  <si>
    <t>8.   Loss/Gain Analysis</t>
  </si>
  <si>
    <t>8.1 Internal Loss/Gain Data</t>
  </si>
  <si>
    <r>
      <t>8.2</t>
    </r>
    <r>
      <rPr>
        <b/>
        <sz val="7"/>
        <color rgb="FF000000"/>
        <rFont val="Times New Roman"/>
        <family val="1"/>
      </rPr>
      <t xml:space="preserve">     </t>
    </r>
    <r>
      <rPr>
        <b/>
        <sz val="11"/>
        <color theme="1"/>
        <rFont val="Calibri"/>
        <family val="2"/>
        <scheme val="minor"/>
      </rPr>
      <t>External Data / Loss Data</t>
    </r>
  </si>
  <si>
    <t>10.1 RCSA</t>
  </si>
  <si>
    <t>10.2 Business Continuity</t>
  </si>
  <si>
    <t>10.3 Vendor Management</t>
  </si>
  <si>
    <t>10.4 IT Assessments</t>
  </si>
  <si>
    <t>10.5 Credit Assessments</t>
  </si>
  <si>
    <t>10.6 Model Assessments</t>
  </si>
  <si>
    <t>10.7  Other</t>
  </si>
  <si>
    <t>Reputational Impact</t>
  </si>
  <si>
    <t>6. Off-balance Sheet Risks</t>
  </si>
  <si>
    <t xml:space="preserve">
A high level overview of assets or liabilities which do not appear on our balance sheet.   The nature of these balances and related transactional responsibilities need to be understood and assessed as part of the Material Risk Program.
</t>
  </si>
  <si>
    <t xml:space="preserve"> [Enter Off-balance sheet related commentary here, to create a Carriage Return hold down the [ALT]+[RETURN] ]
</t>
  </si>
  <si>
    <r>
      <t>9.</t>
    </r>
    <r>
      <rPr>
        <b/>
        <sz val="11"/>
        <color rgb="FFFF0000"/>
        <rFont val="Times New Roman"/>
        <family val="1"/>
      </rPr>
      <t>  </t>
    </r>
    <r>
      <rPr>
        <b/>
        <sz val="11"/>
        <color rgb="FFFF0000"/>
        <rFont val="Calibri"/>
        <family val="2"/>
        <scheme val="minor"/>
      </rPr>
      <t>Audit/Regulatory Findings</t>
    </r>
  </si>
  <si>
    <r>
      <rPr>
        <b/>
        <sz val="11"/>
        <color rgb="FFFF0000"/>
        <rFont val="Times New Roman"/>
        <family val="1"/>
      </rPr>
      <t xml:space="preserve">10.  </t>
    </r>
    <r>
      <rPr>
        <b/>
        <sz val="11"/>
        <color rgb="FFFF0000"/>
        <rFont val="Calibri"/>
        <family val="2"/>
        <scheme val="minor"/>
      </rPr>
      <t>Line of Business Assessments</t>
    </r>
  </si>
  <si>
    <r>
      <t>11.</t>
    </r>
    <r>
      <rPr>
        <b/>
        <sz val="11"/>
        <color rgb="FFFF0000"/>
        <rFont val="Times New Roman"/>
        <family val="1"/>
      </rPr>
      <t>   </t>
    </r>
    <r>
      <rPr>
        <b/>
        <sz val="11"/>
        <color rgb="FFFF0000"/>
        <rFont val="Calibri"/>
        <family val="2"/>
        <scheme val="minor"/>
      </rPr>
      <t>Business Metrics</t>
    </r>
  </si>
  <si>
    <t>• Demonstrate the comprehensive approach taken to identify Material Risks, clearly documenting the manner in which underlying programs and other key inputs where incorporated into the assessment
• Inform managements’ understanding of its Material Risk profile and guide appropriate actions for risk management
• Contain the supporting analysis used in the assessment process
• Document key participants involved in the process
• Provide a centralized location for sign off and approval  
• Be submitted to Business Entity and SHUSA ERM along with the Excel based Material Risk Inventory in accordance with established timeframes
• Used by Regulators and Second and Third Line of Defence to assess the Identification and assessment of Material Risks
• Used to document, via commentary sections, how inputs, such as 'New Products', 'Off-Balance Sheet', etc... resulted in the identification and inclusion of Material Risk</t>
  </si>
  <si>
    <t>Significant Reptutational Component to Risk?</t>
  </si>
  <si>
    <r>
      <rPr>
        <b/>
        <sz val="11"/>
        <color theme="1"/>
        <rFont val="Calibri"/>
        <family val="2"/>
        <scheme val="minor"/>
      </rPr>
      <t>MACRO - INSTRUCTIONS</t>
    </r>
    <r>
      <rPr>
        <sz val="11"/>
        <color theme="1"/>
        <rFont val="Calibri"/>
        <family val="2"/>
        <scheme val="minor"/>
      </rPr>
      <t xml:space="preserve">
Lines of Business must comply all sections of this template and it is recommended, between 5 - 20 Risk sheets, which will contain the Material Risks for the Line of Business.
</t>
    </r>
    <r>
      <rPr>
        <b/>
        <sz val="11"/>
        <color theme="1"/>
        <rFont val="Calibri"/>
        <family val="2"/>
        <scheme val="minor"/>
      </rPr>
      <t>Business Segments</t>
    </r>
    <r>
      <rPr>
        <sz val="11"/>
        <color theme="1"/>
        <rFont val="Calibri"/>
        <family val="2"/>
        <scheme val="minor"/>
      </rPr>
      <t xml:space="preserve"> (made up of various Lines of Business) need only complete the tabs:
-Approval and Documentation
-Summaries  
-Sheets 1 - 30 (recommended)
</t>
    </r>
    <r>
      <rPr>
        <b/>
        <sz val="11"/>
        <color theme="1"/>
        <rFont val="Calibri"/>
        <family val="2"/>
        <scheme val="minor"/>
      </rPr>
      <t>Business Entities</t>
    </r>
    <r>
      <rPr>
        <sz val="11"/>
        <color theme="1"/>
        <rFont val="Calibri"/>
        <family val="2"/>
        <scheme val="minor"/>
      </rPr>
      <t xml:space="preserve"> (made up of multiple Business Segments) must complete tabs:
- Approval and Documentation
- Summaries
- Entity Material Risk Inventory
- Any other tabs may be completed as appropriate but are not required (requirements for this are in process for definition)
</t>
    </r>
    <r>
      <rPr>
        <b/>
        <sz val="11"/>
        <color theme="1"/>
        <rFont val="Calibri"/>
        <family val="2"/>
        <scheme val="minor"/>
      </rPr>
      <t>Note:</t>
    </r>
    <r>
      <rPr>
        <sz val="11"/>
        <color theme="1"/>
        <rFont val="Calibri"/>
        <family val="2"/>
        <scheme val="minor"/>
      </rPr>
      <t xml:space="preserve"> This workbook contains a hidden sheet named 'Risk Inventory'. This sheet automatically pulls all data from sheets 1 through 40. To unhide it simply right click on the button below. This sheet will be of use for any additional reporting or when aggregating multiple Material Risk Inventories. Since it is formula driven it should be copied and pasted using 'Paste Special' / 'Values'. Clicking the below button will make it appear before  Sheet '1. it is labeled 'Risk Inventory'. To hide this sheet simply click applicable assessment button.</t>
    </r>
  </si>
  <si>
    <t>BERC Approval Date</t>
  </si>
  <si>
    <t>ERMC Appvoval Date</t>
  </si>
  <si>
    <t>First Line Risk Managers</t>
  </si>
  <si>
    <r>
      <t>Approver signature:</t>
    </r>
    <r>
      <rPr>
        <sz val="11"/>
        <color theme="1"/>
        <rFont val="Calibri"/>
        <family val="2"/>
        <scheme val="minor"/>
      </rPr>
      <t>________________________________________________________________</t>
    </r>
  </si>
  <si>
    <t>Business Segment(s)</t>
  </si>
  <si>
    <t>PLEASE CLICK THE BUTTON 'ENABLE CONTENT'!!!!!!</t>
  </si>
  <si>
    <t xml:space="preserve"> [Enter commentary here, to create a Carriage Return hold down the [ALT]+[RETURN] ]
</t>
  </si>
  <si>
    <t xml:space="preserve"> [Enter commentary here, to create a Carriage Return hold down the [ALT]+[RETURN] ]</t>
  </si>
  <si>
    <t>Audit/Regulatory commentaries:</t>
  </si>
  <si>
    <t xml:space="preserve"> [Enter Executive Summary here, to create a Carriage Return hold down the [ALT]+[RETURN] ]
</t>
  </si>
  <si>
    <t xml:space="preserve">Clients, Products and Business Practices - Inaccurate Financial Reporting </t>
  </si>
  <si>
    <t>Clients, Products and Business Practices - Non-Compliance with data protection/privacy laws and regulations</t>
  </si>
  <si>
    <r>
      <rPr>
        <b/>
        <u/>
        <sz val="11"/>
        <color theme="1"/>
        <rFont val="Calibri"/>
        <family val="2"/>
        <scheme val="minor"/>
      </rPr>
      <t>INSTRUCTIONS</t>
    </r>
    <r>
      <rPr>
        <sz val="11"/>
        <color theme="1"/>
        <rFont val="Calibri"/>
        <family val="2"/>
        <scheme val="minor"/>
      </rPr>
      <t xml:space="preserve">
Lines of Business must complete all sections of this template and it is recommended, between 5 - 20 Risk sheets, which will contain the Material Risks for the Line of Business. Requirements for Business Segments and Business Entities differ and additional detailed instructions are included below.
</t>
    </r>
    <r>
      <rPr>
        <b/>
        <sz val="11"/>
        <color theme="1"/>
        <rFont val="Calibri"/>
        <family val="2"/>
        <scheme val="minor"/>
      </rPr>
      <t>Step</t>
    </r>
    <r>
      <rPr>
        <sz val="11"/>
        <color theme="1"/>
        <rFont val="Calibri"/>
        <family val="2"/>
        <scheme val="minor"/>
      </rPr>
      <t xml:space="preserve"> </t>
    </r>
    <r>
      <rPr>
        <b/>
        <sz val="11"/>
        <color theme="1"/>
        <rFont val="Calibri"/>
        <family val="2"/>
        <scheme val="minor"/>
      </rPr>
      <t xml:space="preserve">1 </t>
    </r>
    <r>
      <rPr>
        <sz val="11"/>
        <color theme="1"/>
        <rFont val="Calibri"/>
        <family val="2"/>
        <scheme val="minor"/>
      </rPr>
      <t xml:space="preserve">- Select the 'Title Page' tab and on row 33 overwrite the place holder and enter the assessment entity name, i.e. the name of the Line of Business, Business Segment or Enmity, depending at which level the assessment is being conducted at.
</t>
    </r>
    <r>
      <rPr>
        <b/>
        <sz val="11"/>
        <color theme="1"/>
        <rFont val="Calibri"/>
        <family val="2"/>
        <scheme val="minor"/>
      </rPr>
      <t xml:space="preserve">Step 2 </t>
    </r>
    <r>
      <rPr>
        <sz val="11"/>
        <color theme="1"/>
        <rFont val="Calibri"/>
        <family val="2"/>
        <scheme val="minor"/>
      </rPr>
      <t xml:space="preserve">- Gather your areas 'Foundational Input Sources' per program Guidance document, i.e. Credit Assessments, RCSAs, Loss data, Macroeconomic Driver data, etc... Your Entity ERM Team and Entity Risk Management (Second Line of Defense) will be available as a resource if you should need it. It is strongly recommended they be invited to discussions and working groups.
</t>
    </r>
    <r>
      <rPr>
        <b/>
        <sz val="11"/>
        <color theme="1"/>
        <rFont val="Calibri"/>
        <family val="2"/>
        <scheme val="minor"/>
      </rPr>
      <t xml:space="preserve">Step 3 </t>
    </r>
    <r>
      <rPr>
        <sz val="11"/>
        <color theme="1"/>
        <rFont val="Calibri"/>
        <family val="2"/>
        <scheme val="minor"/>
      </rPr>
      <t xml:space="preserve">- Update the tabs in this workbook with the Foundational Input data. This will be used to inform your Material Risk Identification exercise.
</t>
    </r>
    <r>
      <rPr>
        <b/>
        <sz val="11"/>
        <color theme="1"/>
        <rFont val="Calibri"/>
        <family val="2"/>
        <scheme val="minor"/>
      </rPr>
      <t>Step 4 -</t>
    </r>
    <r>
      <rPr>
        <sz val="11"/>
        <color theme="1"/>
        <rFont val="Calibri"/>
        <family val="2"/>
        <scheme val="minor"/>
      </rPr>
      <t xml:space="preserve"> Perform Risk identification and assessment (Sheets 1 - 40).
</t>
    </r>
    <r>
      <rPr>
        <b/>
        <sz val="11"/>
        <color theme="1"/>
        <rFont val="Calibri"/>
        <family val="2"/>
        <scheme val="minor"/>
      </rPr>
      <t>Step 5</t>
    </r>
    <r>
      <rPr>
        <sz val="11"/>
        <color theme="1"/>
        <rFont val="Calibri"/>
        <family val="2"/>
        <scheme val="minor"/>
      </rPr>
      <t xml:space="preserve"> - Update 'Summaries' tab with 'Executive Summary' and 'Process Followed' (sections 1 and 3). These should be populated last. Ensure the commentary sections on the other tabs, such as 'New Products', 'Off-balance Sheet', etc... are updated to indicate whether analysis of that particular content resulted in the inclusion or agrandizement of a Material Risk.
</t>
    </r>
    <r>
      <rPr>
        <b/>
        <sz val="11"/>
        <color theme="1"/>
        <rFont val="Calibri"/>
        <family val="2"/>
        <scheme val="minor"/>
      </rPr>
      <t>Step 6</t>
    </r>
    <r>
      <rPr>
        <sz val="11"/>
        <color theme="1"/>
        <rFont val="Calibri"/>
        <family val="2"/>
        <scheme val="minor"/>
      </rPr>
      <t xml:space="preserve"> - Fill in the 'Approval and Documentation' tab, print off or email for Approval and Challenge. The buttons atop this page will automatically print off and or PDF this file for ease of process. </t>
    </r>
  </si>
  <si>
    <t xml:space="preserve"> [Enter commentary here if applicable]</t>
  </si>
  <si>
    <t>Material Risk Tool version 1.2 updated May 8, 2015</t>
  </si>
</sst>
</file>

<file path=xl/styles.xml><?xml version="1.0" encoding="utf-8"?>
<styleSheet xmlns="http://schemas.openxmlformats.org/spreadsheetml/2006/main" xmlns:mc="http://schemas.openxmlformats.org/markup-compatibility/2006" xmlns:x14ac="http://schemas.microsoft.com/office/spreadsheetml/2009/9/ac" mc:Ignorable="x14ac">
  <numFmts count="12">
    <numFmt numFmtId="5" formatCode="&quot;$&quot;#,##0_);\(&quot;$&quot;#,##0\)"/>
    <numFmt numFmtId="6" formatCode="&quot;$&quot;#,##0_);[Red]\(&quot;$&quot;#,##0\)"/>
    <numFmt numFmtId="44" formatCode="_(&quot;$&quot;* #,##0.00_);_(&quot;$&quot;* \(#,##0.00\);_(&quot;$&quot;* &quot;-&quot;??_);_(@_)"/>
    <numFmt numFmtId="43" formatCode="_(* #,##0.00_);_(* \(#,##0.00\);_(* &quot;-&quot;??_);_(@_)"/>
    <numFmt numFmtId="164" formatCode="_-* #,##0.00_-;\-* #,##0.00_-;_-* &quot;-&quot;??_-;_-@_-"/>
    <numFmt numFmtId="165" formatCode="_-* #,##0.00\ _p_t_a_-;\-* #,##0.00\ _p_t_a_-;_-* &quot;-&quot;??\ _p_t_a_-;_-@_-"/>
    <numFmt numFmtId="166" formatCode="_-* #,##0.00\ _€_-;\-* #,##0.00\ _€_-;_-* &quot;-&quot;??\ _€_-;_-@_-"/>
    <numFmt numFmtId="167" formatCode="_-* #,##0.00\ &quot;€&quot;_-;\-* #,##0.00\ &quot;€&quot;_-;_-* &quot;-&quot;??\ &quot;€&quot;_-;_-@_-"/>
    <numFmt numFmtId="168" formatCode="_-* #,##0.00\ [$€-1]_-;\-* #,##0.00\ [$€-1]_-;_-* &quot;-&quot;??\ [$€-1]_-"/>
    <numFmt numFmtId="169" formatCode="_-* #,##0\ _p_t_a_-;\-* #,##0\ _p_t_a_-;_-* &quot;-&quot;\ _p_t_a_-;_-@_-"/>
    <numFmt numFmtId="170" formatCode="0.000"/>
    <numFmt numFmtId="171" formatCode="0.0"/>
  </numFmts>
  <fonts count="65" x14ac:knownFonts="1">
    <font>
      <sz val="11"/>
      <color theme="1"/>
      <name val="Calibri"/>
      <family val="2"/>
      <scheme val="minor"/>
    </font>
    <font>
      <sz val="12"/>
      <color theme="1"/>
      <name val="Arial"/>
      <family val="2"/>
    </font>
    <font>
      <b/>
      <sz val="12"/>
      <color theme="1"/>
      <name val="Arial"/>
      <family val="2"/>
    </font>
    <font>
      <sz val="12"/>
      <name val="Arial"/>
      <family val="2"/>
    </font>
    <font>
      <sz val="11"/>
      <color theme="1"/>
      <name val="Calibri"/>
      <family val="2"/>
      <scheme val="minor"/>
    </font>
    <font>
      <b/>
      <sz val="11"/>
      <color theme="0"/>
      <name val="Calibri"/>
      <family val="2"/>
      <scheme val="minor"/>
    </font>
    <font>
      <b/>
      <sz val="11"/>
      <color theme="1"/>
      <name val="Calibri"/>
      <family val="2"/>
      <scheme val="minor"/>
    </font>
    <font>
      <sz val="11"/>
      <color theme="0"/>
      <name val="Calibri"/>
      <family val="2"/>
      <scheme val="minor"/>
    </font>
    <font>
      <sz val="11"/>
      <color indexed="8"/>
      <name val="Calibri"/>
      <family val="2"/>
    </font>
    <font>
      <sz val="11"/>
      <color indexed="9"/>
      <name val="Calibri"/>
      <family val="2"/>
    </font>
    <font>
      <sz val="11"/>
      <color indexed="20"/>
      <name val="Calibri"/>
      <family val="2"/>
    </font>
    <font>
      <sz val="11"/>
      <color indexed="17"/>
      <name val="Calibri"/>
      <family val="2"/>
    </font>
    <font>
      <b/>
      <sz val="11"/>
      <color indexed="52"/>
      <name val="Calibri"/>
      <family val="2"/>
    </font>
    <font>
      <b/>
      <sz val="11"/>
      <color indexed="9"/>
      <name val="Calibri"/>
      <family val="2"/>
    </font>
    <font>
      <sz val="11"/>
      <color indexed="52"/>
      <name val="Calibri"/>
      <family val="2"/>
    </font>
    <font>
      <sz val="10"/>
      <name val="Arial"/>
      <family val="2"/>
    </font>
    <font>
      <sz val="8"/>
      <name val="Arial"/>
      <family val="2"/>
    </font>
    <font>
      <sz val="8"/>
      <name val="Verdana"/>
      <family val="2"/>
    </font>
    <font>
      <b/>
      <i/>
      <sz val="10"/>
      <name val="Arial"/>
      <family val="2"/>
    </font>
    <font>
      <sz val="10"/>
      <color theme="1"/>
      <name val="Calibri"/>
      <family val="2"/>
      <scheme val="minor"/>
    </font>
    <font>
      <b/>
      <sz val="11"/>
      <color indexed="56"/>
      <name val="Calibri"/>
      <family val="2"/>
    </font>
    <font>
      <sz val="11"/>
      <color indexed="62"/>
      <name val="Calibri"/>
      <family val="2"/>
    </font>
    <font>
      <i/>
      <sz val="11"/>
      <color indexed="23"/>
      <name val="Calibri"/>
      <family val="2"/>
    </font>
    <font>
      <b/>
      <sz val="15"/>
      <color indexed="62"/>
      <name val="Calibri"/>
      <family val="2"/>
    </font>
    <font>
      <b/>
      <sz val="13"/>
      <color indexed="62"/>
      <name val="Calibri"/>
      <family val="2"/>
    </font>
    <font>
      <b/>
      <sz val="11"/>
      <color indexed="62"/>
      <name val="Calibri"/>
      <family val="2"/>
    </font>
    <font>
      <u/>
      <sz val="10"/>
      <color indexed="12"/>
      <name val="Arial"/>
      <family val="2"/>
    </font>
    <font>
      <u/>
      <sz val="9"/>
      <color indexed="12"/>
      <name val="Arial"/>
      <family val="2"/>
    </font>
    <font>
      <sz val="11"/>
      <color indexed="60"/>
      <name val="Calibri"/>
      <family val="2"/>
    </font>
    <font>
      <sz val="10"/>
      <name val="Courier"/>
      <family val="3"/>
    </font>
    <font>
      <sz val="8"/>
      <name val="Microsoft Sans Serif"/>
      <family val="2"/>
      <charset val="204"/>
    </font>
    <font>
      <sz val="10"/>
      <color theme="1"/>
      <name val="Arial"/>
      <family val="2"/>
    </font>
    <font>
      <b/>
      <sz val="11"/>
      <color indexed="63"/>
      <name val="Calibri"/>
      <family val="2"/>
    </font>
    <font>
      <sz val="11"/>
      <color indexed="10"/>
      <name val="Calibri"/>
      <family val="2"/>
    </font>
    <font>
      <b/>
      <sz val="18"/>
      <color indexed="62"/>
      <name val="Cambria"/>
      <family val="2"/>
    </font>
    <font>
      <b/>
      <sz val="18"/>
      <color indexed="56"/>
      <name val="Cambria"/>
      <family val="2"/>
    </font>
    <font>
      <b/>
      <sz val="15"/>
      <color indexed="56"/>
      <name val="Calibri"/>
      <family val="2"/>
    </font>
    <font>
      <b/>
      <sz val="13"/>
      <color indexed="56"/>
      <name val="Calibri"/>
      <family val="2"/>
    </font>
    <font>
      <b/>
      <sz val="11"/>
      <color indexed="8"/>
      <name val="Calibri"/>
      <family val="2"/>
    </font>
    <font>
      <sz val="11"/>
      <color rgb="FF000000"/>
      <name val="Calibri"/>
      <family val="2"/>
      <scheme val="minor"/>
    </font>
    <font>
      <sz val="11"/>
      <color rgb="FF000000"/>
      <name val="Calibri"/>
      <family val="2"/>
    </font>
    <font>
      <b/>
      <sz val="10"/>
      <color theme="1"/>
      <name val="Calibri"/>
      <family val="2"/>
      <scheme val="minor"/>
    </font>
    <font>
      <b/>
      <sz val="16"/>
      <color theme="1"/>
      <name val="Calibri"/>
      <family val="2"/>
      <scheme val="minor"/>
    </font>
    <font>
      <b/>
      <sz val="10"/>
      <color rgb="FFFFFFFF"/>
      <name val="Calibri"/>
      <family val="2"/>
      <scheme val="minor"/>
    </font>
    <font>
      <sz val="10"/>
      <color rgb="FFFFFFFF"/>
      <name val="Calibri"/>
      <family val="2"/>
      <scheme val="minor"/>
    </font>
    <font>
      <b/>
      <sz val="11"/>
      <color rgb="FFFF0000"/>
      <name val="Calibri"/>
      <family val="2"/>
      <scheme val="minor"/>
    </font>
    <font>
      <b/>
      <sz val="11"/>
      <name val="Calibri"/>
      <family val="2"/>
      <scheme val="minor"/>
    </font>
    <font>
      <b/>
      <sz val="12"/>
      <color rgb="FF000000"/>
      <name val="Calibri"/>
      <family val="2"/>
      <scheme val="minor"/>
    </font>
    <font>
      <b/>
      <sz val="7"/>
      <color rgb="FF000000"/>
      <name val="Times New Roman"/>
      <family val="1"/>
    </font>
    <font>
      <sz val="9"/>
      <color rgb="FF808080"/>
      <name val="Calibri"/>
      <family val="2"/>
      <scheme val="minor"/>
    </font>
    <font>
      <sz val="12"/>
      <color theme="1"/>
      <name val="Calibri"/>
      <family val="2"/>
      <scheme val="minor"/>
    </font>
    <font>
      <b/>
      <sz val="28"/>
      <color rgb="FFFF0000"/>
      <name val="Cambria"/>
      <family val="1"/>
    </font>
    <font>
      <sz val="26"/>
      <color theme="1"/>
      <name val="Calibri"/>
      <family val="2"/>
      <scheme val="minor"/>
    </font>
    <font>
      <b/>
      <sz val="26"/>
      <color rgb="FFFF0000"/>
      <name val="Calibri"/>
      <family val="2"/>
      <scheme val="minor"/>
    </font>
    <font>
      <b/>
      <sz val="28"/>
      <color theme="1"/>
      <name val="Calibri"/>
      <family val="2"/>
      <scheme val="minor"/>
    </font>
    <font>
      <sz val="11"/>
      <color rgb="FFFFFFFF"/>
      <name val="Calibri"/>
      <family val="2"/>
      <scheme val="minor"/>
    </font>
    <font>
      <i/>
      <sz val="11"/>
      <color theme="1"/>
      <name val="Calibri"/>
      <family val="2"/>
      <scheme val="minor"/>
    </font>
    <font>
      <i/>
      <sz val="11"/>
      <color rgb="FFFFFFFF"/>
      <name val="Calibri"/>
      <family val="2"/>
      <scheme val="minor"/>
    </font>
    <font>
      <b/>
      <u/>
      <sz val="11"/>
      <color theme="1"/>
      <name val="Calibri"/>
      <family val="2"/>
      <scheme val="minor"/>
    </font>
    <font>
      <sz val="16"/>
      <color rgb="FFFF0000"/>
      <name val="Calibri"/>
      <family val="2"/>
      <scheme val="minor"/>
    </font>
    <font>
      <sz val="20"/>
      <color rgb="FFFF0000"/>
      <name val="Calibri"/>
      <family val="2"/>
    </font>
    <font>
      <b/>
      <sz val="11"/>
      <color rgb="FFFF0000"/>
      <name val="Calibri"/>
      <family val="2"/>
    </font>
    <font>
      <b/>
      <sz val="11"/>
      <color rgb="FFFF0000"/>
      <name val="Times New Roman"/>
      <family val="1"/>
    </font>
    <font>
      <sz val="10"/>
      <name val="Calibri"/>
      <family val="2"/>
      <scheme val="minor"/>
    </font>
    <font>
      <sz val="11"/>
      <name val="Calibri"/>
      <family val="2"/>
      <scheme val="minor"/>
    </font>
  </fonts>
  <fills count="36">
    <fill>
      <patternFill patternType="none"/>
    </fill>
    <fill>
      <patternFill patternType="gray125"/>
    </fill>
    <fill>
      <patternFill patternType="solid">
        <fgColor theme="0" tint="-0.34998626667073579"/>
        <bgColor indexed="64"/>
      </patternFill>
    </fill>
    <fill>
      <patternFill patternType="solid">
        <fgColor theme="0" tint="-0.14999847407452621"/>
        <bgColor indexed="64"/>
      </patternFill>
    </fill>
    <fill>
      <patternFill patternType="solid">
        <fgColor rgb="FFFFFF00"/>
        <bgColor indexed="64"/>
      </patternFill>
    </fill>
    <fill>
      <patternFill patternType="solid">
        <fgColor indexed="11"/>
      </patternFill>
    </fill>
    <fill>
      <patternFill patternType="solid">
        <fgColor indexed="47"/>
      </patternFill>
    </fill>
    <fill>
      <patternFill patternType="solid">
        <fgColor indexed="26"/>
      </patternFill>
    </fill>
    <fill>
      <patternFill patternType="solid">
        <fgColor indexed="27"/>
      </patternFill>
    </fill>
    <fill>
      <patternFill patternType="solid">
        <fgColor indexed="31"/>
      </patternFill>
    </fill>
    <fill>
      <patternFill patternType="solid">
        <fgColor indexed="45"/>
      </patternFill>
    </fill>
    <fill>
      <patternFill patternType="solid">
        <fgColor indexed="42"/>
      </patternFill>
    </fill>
    <fill>
      <patternFill patternType="solid">
        <fgColor indexed="46"/>
      </patternFill>
    </fill>
    <fill>
      <patternFill patternType="solid">
        <fgColor indexed="22"/>
      </patternFill>
    </fill>
    <fill>
      <patternFill patternType="solid">
        <fgColor indexed="29"/>
      </patternFill>
    </fill>
    <fill>
      <patternFill patternType="solid">
        <fgColor indexed="43"/>
      </patternFill>
    </fill>
    <fill>
      <patternFill patternType="solid">
        <fgColor indexed="44"/>
      </patternFill>
    </fill>
    <fill>
      <patternFill patternType="solid">
        <fgColor indexed="51"/>
      </patternFill>
    </fill>
    <fill>
      <patternFill patternType="solid">
        <fgColor indexed="49"/>
      </patternFill>
    </fill>
    <fill>
      <patternFill patternType="solid">
        <fgColor indexed="30"/>
      </patternFill>
    </fill>
    <fill>
      <patternFill patternType="solid">
        <fgColor indexed="36"/>
      </patternFill>
    </fill>
    <fill>
      <patternFill patternType="solid">
        <fgColor indexed="52"/>
      </patternFill>
    </fill>
    <fill>
      <patternFill patternType="solid">
        <fgColor indexed="10"/>
      </patternFill>
    </fill>
    <fill>
      <patternFill patternType="solid">
        <fgColor indexed="57"/>
      </patternFill>
    </fill>
    <fill>
      <patternFill patternType="solid">
        <fgColor indexed="54"/>
      </patternFill>
    </fill>
    <fill>
      <patternFill patternType="solid">
        <fgColor indexed="53"/>
      </patternFill>
    </fill>
    <fill>
      <patternFill patternType="solid">
        <fgColor indexed="9"/>
      </patternFill>
    </fill>
    <fill>
      <patternFill patternType="solid">
        <fgColor indexed="55"/>
      </patternFill>
    </fill>
    <fill>
      <patternFill patternType="solid">
        <fgColor indexed="62"/>
      </patternFill>
    </fill>
    <fill>
      <patternFill patternType="solid">
        <fgColor rgb="FFFF0000"/>
        <bgColor indexed="64"/>
      </patternFill>
    </fill>
    <fill>
      <patternFill patternType="solid">
        <fgColor theme="0"/>
        <bgColor indexed="64"/>
      </patternFill>
    </fill>
    <fill>
      <patternFill patternType="solid">
        <fgColor indexed="65"/>
        <bgColor indexed="64"/>
      </patternFill>
    </fill>
    <fill>
      <patternFill patternType="solid">
        <fgColor theme="4" tint="0.79998168889431442"/>
        <bgColor indexed="64"/>
      </patternFill>
    </fill>
    <fill>
      <patternFill patternType="solid">
        <fgColor rgb="FFDBE5F1"/>
        <bgColor indexed="64"/>
      </patternFill>
    </fill>
    <fill>
      <patternFill patternType="solid">
        <fgColor theme="8" tint="0.39997558519241921"/>
        <bgColor indexed="64"/>
      </patternFill>
    </fill>
    <fill>
      <patternFill patternType="solid">
        <fgColor rgb="FF1F497D"/>
        <bgColor indexed="64"/>
      </patternFill>
    </fill>
  </fills>
  <borders count="49">
    <border>
      <left/>
      <right/>
      <top/>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medium">
        <color indexed="64"/>
      </left>
      <right style="medium">
        <color indexed="64"/>
      </right>
      <top style="medium">
        <color indexed="64"/>
      </top>
      <bottom style="medium">
        <color indexed="64"/>
      </bottom>
      <diagonal/>
    </border>
    <border>
      <left style="thin">
        <color indexed="23"/>
      </left>
      <right style="thin">
        <color indexed="23"/>
      </right>
      <top style="thin">
        <color indexed="23"/>
      </top>
      <bottom style="thin">
        <color indexed="23"/>
      </bottom>
      <diagonal/>
    </border>
    <border>
      <left style="double">
        <color indexed="63"/>
      </left>
      <right style="double">
        <color indexed="63"/>
      </right>
      <top style="double">
        <color indexed="63"/>
      </top>
      <bottom style="double">
        <color indexed="63"/>
      </bottom>
      <diagonal/>
    </border>
    <border>
      <left/>
      <right/>
      <top/>
      <bottom style="double">
        <color indexed="52"/>
      </bottom>
      <diagonal/>
    </border>
    <border>
      <left/>
      <right/>
      <top/>
      <bottom style="thick">
        <color indexed="49"/>
      </bottom>
      <diagonal/>
    </border>
    <border>
      <left/>
      <right/>
      <top/>
      <bottom style="thick">
        <color indexed="22"/>
      </bottom>
      <diagonal/>
    </border>
    <border>
      <left/>
      <right/>
      <top/>
      <bottom style="medium">
        <color indexed="49"/>
      </bottom>
      <diagonal/>
    </border>
    <border>
      <left style="thin">
        <color indexed="22"/>
      </left>
      <right style="thin">
        <color indexed="22"/>
      </right>
      <top style="thin">
        <color indexed="22"/>
      </top>
      <bottom style="thin">
        <color indexed="22"/>
      </bottom>
      <diagonal/>
    </border>
    <border>
      <left style="thin">
        <color indexed="63"/>
      </left>
      <right style="thin">
        <color indexed="63"/>
      </right>
      <top style="thin">
        <color indexed="63"/>
      </top>
      <bottom style="thin">
        <color indexed="63"/>
      </bottom>
      <diagonal/>
    </border>
    <border>
      <left/>
      <right/>
      <top/>
      <bottom style="thick">
        <color indexed="62"/>
      </bottom>
      <diagonal/>
    </border>
    <border>
      <left/>
      <right/>
      <top/>
      <bottom style="medium">
        <color indexed="30"/>
      </bottom>
      <diagonal/>
    </border>
    <border>
      <left/>
      <right/>
      <top style="thin">
        <color indexed="62"/>
      </top>
      <bottom style="double">
        <color indexed="62"/>
      </bottom>
      <diagonal/>
    </border>
    <border>
      <left style="medium">
        <color indexed="64"/>
      </left>
      <right style="medium">
        <color indexed="64"/>
      </right>
      <top style="medium">
        <color indexed="64"/>
      </top>
      <bottom/>
      <diagonal/>
    </border>
    <border>
      <left style="thin">
        <color indexed="64"/>
      </left>
      <right style="thin">
        <color indexed="64"/>
      </right>
      <top/>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right style="medium">
        <color indexed="64"/>
      </right>
      <top style="medium">
        <color indexed="64"/>
      </top>
      <bottom/>
      <diagonal/>
    </border>
    <border>
      <left/>
      <right/>
      <top style="medium">
        <color indexed="64"/>
      </top>
      <bottom style="medium">
        <color indexed="64"/>
      </bottom>
      <diagonal/>
    </border>
    <border>
      <left/>
      <right/>
      <top style="medium">
        <color indexed="64"/>
      </top>
      <bottom/>
      <diagonal/>
    </border>
    <border>
      <left style="medium">
        <color indexed="64"/>
      </left>
      <right style="medium">
        <color indexed="64"/>
      </right>
      <top/>
      <bottom style="medium">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style="thin">
        <color indexed="64"/>
      </bottom>
      <diagonal/>
    </border>
    <border>
      <left/>
      <right/>
      <top/>
      <bottom style="thin">
        <color indexed="64"/>
      </bottom>
      <diagonal/>
    </border>
    <border>
      <left/>
      <right style="thin">
        <color indexed="64"/>
      </right>
      <top/>
      <bottom style="thin">
        <color indexed="64"/>
      </bottom>
      <diagonal/>
    </border>
    <border>
      <left/>
      <right/>
      <top/>
      <bottom style="medium">
        <color indexed="64"/>
      </bottom>
      <diagonal/>
    </border>
    <border>
      <left/>
      <right/>
      <top/>
      <bottom style="medium">
        <color rgb="FFFF0000"/>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top style="medium">
        <color rgb="FFFF0000"/>
      </top>
      <bottom/>
      <diagonal/>
    </border>
    <border>
      <left style="thin">
        <color theme="1"/>
      </left>
      <right/>
      <top style="thin">
        <color theme="1"/>
      </top>
      <bottom style="thin">
        <color theme="1"/>
      </bottom>
      <diagonal/>
    </border>
    <border>
      <left/>
      <right/>
      <top style="thin">
        <color theme="1"/>
      </top>
      <bottom style="thin">
        <color theme="1"/>
      </bottom>
      <diagonal/>
    </border>
    <border>
      <left/>
      <right style="thin">
        <color theme="1"/>
      </right>
      <top style="thin">
        <color theme="1"/>
      </top>
      <bottom style="thin">
        <color theme="1"/>
      </bottom>
      <diagonal/>
    </border>
    <border>
      <left style="medium">
        <color indexed="64"/>
      </left>
      <right style="medium">
        <color indexed="64"/>
      </right>
      <top/>
      <bottom/>
      <diagonal/>
    </border>
    <border>
      <left/>
      <right style="medium">
        <color indexed="64"/>
      </right>
      <top/>
      <bottom/>
      <diagonal/>
    </border>
    <border>
      <left style="medium">
        <color indexed="64"/>
      </left>
      <right style="thin">
        <color indexed="64"/>
      </right>
      <top style="medium">
        <color indexed="64"/>
      </top>
      <bottom style="medium">
        <color indexed="64"/>
      </bottom>
      <diagonal/>
    </border>
    <border>
      <left/>
      <right style="thin">
        <color indexed="64"/>
      </right>
      <top style="medium">
        <color indexed="64"/>
      </top>
      <bottom style="medium">
        <color indexed="64"/>
      </bottom>
      <diagonal/>
    </border>
    <border>
      <left/>
      <right style="thin">
        <color indexed="64"/>
      </right>
      <top style="medium">
        <color indexed="64"/>
      </top>
      <bottom/>
      <diagonal/>
    </border>
    <border>
      <left style="medium">
        <color indexed="64"/>
      </left>
      <right style="thin">
        <color indexed="64"/>
      </right>
      <top/>
      <bottom style="medium">
        <color indexed="64"/>
      </bottom>
      <diagonal/>
    </border>
    <border>
      <left style="thin">
        <color indexed="64"/>
      </left>
      <right/>
      <top/>
      <bottom/>
      <diagonal/>
    </border>
    <border>
      <left/>
      <right style="thin">
        <color indexed="64"/>
      </right>
      <top/>
      <bottom/>
      <diagonal/>
    </border>
  </borders>
  <cellStyleXfs count="451">
    <xf numFmtId="0" fontId="0" fillId="0" borderId="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7"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9" borderId="0" applyNumberFormat="0" applyBorder="0" applyAlignment="0" applyProtection="0"/>
    <xf numFmtId="0" fontId="8" fillId="9" borderId="0" applyNumberFormat="0" applyBorder="0" applyAlignment="0" applyProtection="0"/>
    <xf numFmtId="0" fontId="8" fillId="10" borderId="0" applyNumberFormat="0" applyBorder="0" applyAlignment="0" applyProtection="0"/>
    <xf numFmtId="0" fontId="8" fillId="10" borderId="0" applyNumberFormat="0" applyBorder="0" applyAlignment="0" applyProtection="0"/>
    <xf numFmtId="0" fontId="8" fillId="11" borderId="0" applyNumberFormat="0" applyBorder="0" applyAlignment="0" applyProtection="0"/>
    <xf numFmtId="0" fontId="8" fillId="11"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8" borderId="0" applyNumberFormat="0" applyBorder="0" applyAlignment="0" applyProtection="0"/>
    <xf numFmtId="0" fontId="8" fillId="8"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5"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3"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6"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4" borderId="0" applyNumberFormat="0" applyBorder="0" applyAlignment="0" applyProtection="0"/>
    <xf numFmtId="0" fontId="8" fillId="14" borderId="0" applyNumberFormat="0" applyBorder="0" applyAlignment="0" applyProtection="0"/>
    <xf numFmtId="0" fontId="8" fillId="5" borderId="0" applyNumberFormat="0" applyBorder="0" applyAlignment="0" applyProtection="0"/>
    <xf numFmtId="0" fontId="8" fillId="5" borderId="0" applyNumberFormat="0" applyBorder="0" applyAlignment="0" applyProtection="0"/>
    <xf numFmtId="0" fontId="8" fillId="12" borderId="0" applyNumberFormat="0" applyBorder="0" applyAlignment="0" applyProtection="0"/>
    <xf numFmtId="0" fontId="8" fillId="12" borderId="0" applyNumberFormat="0" applyBorder="0" applyAlignment="0" applyProtection="0"/>
    <xf numFmtId="0" fontId="8" fillId="16" borderId="0" applyNumberFormat="0" applyBorder="0" applyAlignment="0" applyProtection="0"/>
    <xf numFmtId="0" fontId="8" fillId="16" borderId="0" applyNumberFormat="0" applyBorder="0" applyAlignment="0" applyProtection="0"/>
    <xf numFmtId="0" fontId="8" fillId="17" borderId="0" applyNumberFormat="0" applyBorder="0" applyAlignment="0" applyProtection="0"/>
    <xf numFmtId="0" fontId="8" fillId="17"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5"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3"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6" borderId="0" applyNumberFormat="0" applyBorder="0" applyAlignment="0" applyProtection="0"/>
    <xf numFmtId="0" fontId="9" fillId="19" borderId="0" applyNumberFormat="0" applyBorder="0" applyAlignment="0" applyProtection="0"/>
    <xf numFmtId="0" fontId="9" fillId="19" borderId="0" applyNumberFormat="0" applyBorder="0" applyAlignment="0" applyProtection="0"/>
    <xf numFmtId="0" fontId="9" fillId="14" borderId="0" applyNumberFormat="0" applyBorder="0" applyAlignment="0" applyProtection="0"/>
    <xf numFmtId="0" fontId="9" fillId="14" borderId="0" applyNumberFormat="0" applyBorder="0" applyAlignment="0" applyProtection="0"/>
    <xf numFmtId="0" fontId="9" fillId="5" borderId="0" applyNumberFormat="0" applyBorder="0" applyAlignment="0" applyProtection="0"/>
    <xf numFmtId="0" fontId="9" fillId="5"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1" borderId="0" applyNumberFormat="0" applyBorder="0" applyAlignment="0" applyProtection="0"/>
    <xf numFmtId="0" fontId="9" fillId="21"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24"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0" fillId="10"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26"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2" fillId="13" borderId="5" applyNumberFormat="0" applyAlignment="0" applyProtection="0"/>
    <xf numFmtId="0" fontId="13" fillId="27" borderId="6" applyNumberFormat="0" applyAlignment="0" applyProtection="0"/>
    <xf numFmtId="0" fontId="13" fillId="27" borderId="6" applyNumberFormat="0" applyAlignment="0" applyProtection="0"/>
    <xf numFmtId="0" fontId="14" fillId="0" borderId="7" applyNumberFormat="0" applyFill="0" applyAlignment="0" applyProtection="0"/>
    <xf numFmtId="0" fontId="14" fillId="0" borderId="7" applyNumberFormat="0" applyFill="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0" fontId="13" fillId="27" borderId="6" applyNumberFormat="0" applyAlignment="0" applyProtection="0"/>
    <xf numFmtId="43" fontId="4" fillId="0" borderId="0" applyFont="0" applyFill="0" applyBorder="0" applyAlignment="0" applyProtection="0"/>
    <xf numFmtId="43" fontId="8" fillId="0" borderId="0" applyFont="0" applyFill="0" applyBorder="0" applyAlignment="0" applyProtection="0"/>
    <xf numFmtId="43" fontId="15" fillId="0" borderId="0" applyFont="0" applyFill="0" applyBorder="0" applyAlignment="0" applyProtection="0"/>
    <xf numFmtId="164"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7" fillId="0" borderId="0" applyFont="0" applyFill="0" applyBorder="0" applyAlignment="0" applyProtection="0"/>
    <xf numFmtId="165" fontId="15" fillId="0" borderId="0" applyFont="0" applyFill="0" applyBorder="0" applyAlignment="0" applyProtection="0"/>
    <xf numFmtId="165"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18" fillId="0" borderId="0" applyFont="0" applyFill="0" applyBorder="0" applyAlignment="0" applyProtection="0"/>
    <xf numFmtId="166" fontId="15"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43" fontId="15" fillId="0" borderId="0" applyFont="0" applyFill="0" applyBorder="0" applyAlignment="0" applyProtection="0"/>
    <xf numFmtId="43" fontId="4" fillId="0" borderId="0" applyFont="0" applyFill="0" applyBorder="0" applyAlignment="0" applyProtection="0"/>
    <xf numFmtId="43" fontId="15" fillId="0" borderId="0" applyFont="0" applyFill="0" applyBorder="0" applyAlignment="0" applyProtection="0"/>
    <xf numFmtId="43" fontId="15" fillId="0" borderId="0" applyFont="0" applyFill="0" applyBorder="0" applyAlignment="0" applyProtection="0"/>
    <xf numFmtId="43" fontId="17" fillId="0" borderId="0" applyFont="0" applyFill="0" applyBorder="0" applyAlignment="0" applyProtection="0"/>
    <xf numFmtId="43" fontId="15" fillId="0" borderId="0" applyFont="0" applyFill="0" applyBorder="0" applyAlignment="0" applyProtection="0"/>
    <xf numFmtId="43" fontId="16"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166" fontId="15" fillId="0" borderId="0" applyFont="0" applyFill="0" applyBorder="0" applyAlignment="0" applyProtection="0"/>
    <xf numFmtId="43" fontId="19" fillId="0" borderId="0" applyFont="0" applyFill="0" applyBorder="0" applyAlignment="0" applyProtection="0"/>
    <xf numFmtId="166" fontId="15" fillId="0" borderId="0" applyFont="0" applyFill="0" applyBorder="0" applyAlignment="0" applyProtection="0"/>
    <xf numFmtId="43" fontId="17" fillId="0" borderId="0" applyFont="0" applyFill="0" applyBorder="0" applyAlignment="0" applyProtection="0"/>
    <xf numFmtId="3" fontId="3"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44" fontId="16"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17" fillId="0" borderId="0" applyFont="0" applyFill="0" applyBorder="0" applyAlignment="0" applyProtection="0"/>
    <xf numFmtId="44" fontId="15"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4" fillId="0" borderId="0" applyFont="0" applyFill="0" applyBorder="0" applyAlignment="0" applyProtection="0"/>
    <xf numFmtId="44" fontId="16" fillId="0" borderId="0" applyFont="0" applyFill="0" applyBorder="0" applyAlignment="0" applyProtection="0"/>
    <xf numFmtId="44" fontId="15" fillId="0" borderId="0" applyFont="0" applyFill="0" applyBorder="0" applyAlignment="0" applyProtection="0"/>
    <xf numFmtId="44" fontId="4" fillId="0" borderId="0" applyFont="0" applyFill="0" applyBorder="0" applyAlignment="0" applyProtection="0"/>
    <xf numFmtId="44" fontId="15"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167" fontId="15" fillId="0" borderId="0" applyFont="0" applyFill="0" applyBorder="0" applyAlignment="0" applyProtection="0"/>
    <xf numFmtId="44" fontId="17" fillId="0" borderId="0" applyFont="0" applyFill="0" applyBorder="0" applyAlignment="0" applyProtection="0"/>
    <xf numFmtId="5" fontId="3" fillId="0" borderId="0" applyFont="0" applyFill="0" applyBorder="0" applyAlignment="0" applyProtection="0"/>
    <xf numFmtId="0" fontId="3" fillId="0" borderId="0" applyFont="0" applyFill="0" applyBorder="0" applyAlignment="0" applyProtection="0"/>
    <xf numFmtId="0" fontId="20" fillId="0" borderId="0" applyNumberFormat="0" applyFill="0" applyBorder="0" applyAlignment="0" applyProtection="0"/>
    <xf numFmtId="0" fontId="20" fillId="0" borderId="0" applyNumberFormat="0" applyFill="0" applyBorder="0" applyAlignment="0" applyProtection="0"/>
    <xf numFmtId="0" fontId="9" fillId="28" borderId="0" applyNumberFormat="0" applyBorder="0" applyAlignment="0" applyProtection="0"/>
    <xf numFmtId="0" fontId="9" fillId="28" borderId="0" applyNumberFormat="0" applyBorder="0" applyAlignment="0" applyProtection="0"/>
    <xf numFmtId="0" fontId="9" fillId="22" borderId="0" applyNumberFormat="0" applyBorder="0" applyAlignment="0" applyProtection="0"/>
    <xf numFmtId="0" fontId="9" fillId="22" borderId="0" applyNumberFormat="0" applyBorder="0" applyAlignment="0" applyProtection="0"/>
    <xf numFmtId="0" fontId="9" fillId="23" borderId="0" applyNumberFormat="0" applyBorder="0" applyAlignment="0" applyProtection="0"/>
    <xf numFmtId="0" fontId="9" fillId="23" borderId="0" applyNumberFormat="0" applyBorder="0" applyAlignment="0" applyProtection="0"/>
    <xf numFmtId="0" fontId="9" fillId="20" borderId="0" applyNumberFormat="0" applyBorder="0" applyAlignment="0" applyProtection="0"/>
    <xf numFmtId="0" fontId="9" fillId="20" borderId="0" applyNumberFormat="0" applyBorder="0" applyAlignment="0" applyProtection="0"/>
    <xf numFmtId="0" fontId="9" fillId="18" borderId="0" applyNumberFormat="0" applyBorder="0" applyAlignment="0" applyProtection="0"/>
    <xf numFmtId="0" fontId="9" fillId="18" borderId="0" applyNumberFormat="0" applyBorder="0" applyAlignment="0" applyProtection="0"/>
    <xf numFmtId="0" fontId="9" fillId="25" borderId="0" applyNumberFormat="0" applyBorder="0" applyAlignment="0" applyProtection="0"/>
    <xf numFmtId="0" fontId="9" fillId="25"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15" fontId="15" fillId="0" borderId="0"/>
    <xf numFmtId="15" fontId="15" fillId="0" borderId="0"/>
    <xf numFmtId="15" fontId="15" fillId="0" borderId="0"/>
    <xf numFmtId="15" fontId="15" fillId="0" borderId="0"/>
    <xf numFmtId="15" fontId="15" fillId="0" borderId="0"/>
    <xf numFmtId="15" fontId="15" fillId="0" borderId="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168" fontId="15" fillId="0" borderId="0" applyFont="0" applyFill="0" applyBorder="0" applyAlignment="0" applyProtection="0"/>
    <xf numFmtId="167" fontId="15" fillId="0" borderId="0" applyFont="0" applyFill="0" applyBorder="0" applyAlignment="0" applyProtection="0"/>
    <xf numFmtId="168" fontId="15" fillId="0" borderId="0" applyFon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2" fontId="3" fillId="0" borderId="0" applyFont="0" applyFill="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11" fillId="11" borderId="0" applyNumberFormat="0" applyBorder="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3" fillId="0" borderId="8"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4" fillId="0" borderId="9"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10" applyNumberFormat="0" applyFill="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5" fillId="0" borderId="0" applyNumberFormat="0" applyFill="0" applyBorder="0" applyAlignment="0" applyProtection="0"/>
    <xf numFmtId="0" fontId="26" fillId="0" borderId="0" applyNumberFormat="0" applyFill="0" applyBorder="0" applyAlignment="0" applyProtection="0">
      <alignment vertical="top"/>
      <protection locked="0"/>
    </xf>
    <xf numFmtId="0" fontId="27" fillId="0" borderId="0" applyNumberFormat="0" applyFill="0" applyBorder="0" applyAlignment="0" applyProtection="0">
      <alignment vertical="top"/>
      <protection locked="0"/>
    </xf>
    <xf numFmtId="0" fontId="10" fillId="10" borderId="0" applyNumberFormat="0" applyBorder="0" applyAlignment="0" applyProtection="0"/>
    <xf numFmtId="0" fontId="10" fillId="10" borderId="0" applyNumberFormat="0" applyBorder="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21" fillId="6" borderId="5" applyNumberFormat="0" applyAlignment="0" applyProtection="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5" fillId="0" borderId="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0" fontId="14" fillId="0" borderId="7" applyNumberFormat="0" applyFill="0" applyAlignment="0" applyProtection="0"/>
    <xf numFmtId="169" fontId="15" fillId="0" borderId="0" applyFont="0" applyFill="0" applyBorder="0" applyAlignment="0" applyProtection="0"/>
    <xf numFmtId="165" fontId="15" fillId="0" borderId="0" applyFont="0" applyFill="0" applyBorder="0" applyAlignment="0" applyProtection="0"/>
    <xf numFmtId="0" fontId="28" fillId="15" borderId="0" applyNumberFormat="0" applyBorder="0" applyAlignment="0" applyProtection="0"/>
    <xf numFmtId="0" fontId="28" fillId="15" borderId="0" applyNumberFormat="0" applyBorder="0" applyAlignment="0" applyProtection="0"/>
    <xf numFmtId="0" fontId="29" fillId="0" borderId="0"/>
    <xf numFmtId="0" fontId="4" fillId="0" borderId="0"/>
    <xf numFmtId="0" fontId="19" fillId="0" borderId="0"/>
    <xf numFmtId="0" fontId="15" fillId="0" borderId="0"/>
    <xf numFmtId="0" fontId="15" fillId="0" borderId="0"/>
    <xf numFmtId="0" fontId="15" fillId="0" borderId="0"/>
    <xf numFmtId="0" fontId="17" fillId="0" borderId="0"/>
    <xf numFmtId="0" fontId="30" fillId="0" borderId="0"/>
    <xf numFmtId="0" fontId="15" fillId="0" borderId="0"/>
    <xf numFmtId="0" fontId="4" fillId="0" borderId="0"/>
    <xf numFmtId="0" fontId="15" fillId="0" borderId="0"/>
    <xf numFmtId="0" fontId="16" fillId="0" borderId="0"/>
    <xf numFmtId="0" fontId="15" fillId="0" borderId="0"/>
    <xf numFmtId="0" fontId="15" fillId="0" borderId="0"/>
    <xf numFmtId="0" fontId="4" fillId="0" borderId="0"/>
    <xf numFmtId="0" fontId="15" fillId="0" borderId="0"/>
    <xf numFmtId="0" fontId="15" fillId="0" borderId="0"/>
    <xf numFmtId="0" fontId="16" fillId="0" borderId="0"/>
    <xf numFmtId="0" fontId="15" fillId="0" borderId="0"/>
    <xf numFmtId="0" fontId="15" fillId="0" borderId="0"/>
    <xf numFmtId="0" fontId="17" fillId="0" borderId="0"/>
    <xf numFmtId="0" fontId="15" fillId="0" borderId="0"/>
    <xf numFmtId="0" fontId="16" fillId="0" borderId="0"/>
    <xf numFmtId="0" fontId="16" fillId="0" borderId="0"/>
    <xf numFmtId="0" fontId="16" fillId="0" borderId="0"/>
    <xf numFmtId="0" fontId="16" fillId="0" borderId="0"/>
    <xf numFmtId="0" fontId="15" fillId="0" borderId="0"/>
    <xf numFmtId="0" fontId="16" fillId="0" borderId="0"/>
    <xf numFmtId="0" fontId="15" fillId="0" borderId="0"/>
    <xf numFmtId="0" fontId="4" fillId="0" borderId="0"/>
    <xf numFmtId="0" fontId="4" fillId="0" borderId="0"/>
    <xf numFmtId="0" fontId="16" fillId="0" borderId="0"/>
    <xf numFmtId="0" fontId="16" fillId="0" borderId="0"/>
    <xf numFmtId="0" fontId="16" fillId="0" borderId="0"/>
    <xf numFmtId="0" fontId="16" fillId="0" borderId="0"/>
    <xf numFmtId="0" fontId="31" fillId="0" borderId="0"/>
    <xf numFmtId="0" fontId="15" fillId="0" borderId="0"/>
    <xf numFmtId="0" fontId="15" fillId="0" borderId="0"/>
    <xf numFmtId="0" fontId="15" fillId="0" borderId="0"/>
    <xf numFmtId="0" fontId="15" fillId="0" borderId="0"/>
    <xf numFmtId="0" fontId="16" fillId="0" borderId="0"/>
    <xf numFmtId="0" fontId="15" fillId="0" borderId="0"/>
    <xf numFmtId="0" fontId="15" fillId="0" borderId="0"/>
    <xf numFmtId="0" fontId="15" fillId="0" borderId="0"/>
    <xf numFmtId="0" fontId="15" fillId="0" borderId="0"/>
    <xf numFmtId="0" fontId="17" fillId="0" borderId="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15" fillId="7" borderId="11" applyNumberFormat="0" applyFon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0" fontId="32" fillId="26" borderId="12" applyNumberFormat="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6" fillId="0" borderId="0" applyFont="0" applyFill="0" applyBorder="0" applyAlignment="0" applyProtection="0"/>
    <xf numFmtId="9" fontId="16" fillId="0" borderId="0" applyFont="0" applyFill="0" applyBorder="0" applyAlignment="0" applyProtection="0"/>
    <xf numFmtId="9" fontId="4"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6"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5" fillId="0" borderId="0" applyFont="0" applyFill="0" applyBorder="0" applyAlignment="0" applyProtection="0"/>
    <xf numFmtId="9" fontId="19" fillId="0" borderId="0" applyFont="0" applyFill="0" applyBorder="0" applyAlignment="0" applyProtection="0"/>
    <xf numFmtId="9" fontId="15" fillId="0" borderId="0" applyFont="0" applyFill="0" applyBorder="0" applyAlignment="0" applyProtection="0"/>
    <xf numFmtId="9" fontId="17" fillId="0" borderId="0" applyFont="0" applyFill="0" applyBorder="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32" fillId="13" borderId="12" applyNumberFormat="0" applyAlignment="0" applyProtection="0"/>
    <xf numFmtId="0" fontId="15" fillId="0" borderId="0"/>
    <xf numFmtId="0" fontId="15" fillId="0" borderId="0">
      <alignment horizontal="left" wrapText="1"/>
    </xf>
    <xf numFmtId="15" fontId="15" fillId="0" borderId="0"/>
    <xf numFmtId="0" fontId="33" fillId="0" borderId="0" applyNumberFormat="0" applyFill="0" applyBorder="0" applyAlignment="0" applyProtection="0"/>
    <xf numFmtId="0" fontId="33" fillId="0" borderId="0" applyNumberFormat="0" applyFill="0" applyBorder="0" applyAlignment="0" applyProtection="0"/>
    <xf numFmtId="0" fontId="22" fillId="0" borderId="0" applyNumberFormat="0" applyFill="0" applyBorder="0" applyAlignment="0" applyProtection="0"/>
    <xf numFmtId="0" fontId="22"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4" fillId="0" borderId="0" applyNumberFormat="0" applyFill="0" applyBorder="0" applyAlignment="0" applyProtection="0"/>
    <xf numFmtId="0" fontId="35" fillId="0" borderId="0" applyNumberFormat="0" applyFill="0" applyBorder="0" applyAlignment="0" applyProtection="0"/>
    <xf numFmtId="0" fontId="36" fillId="0" borderId="13" applyNumberFormat="0" applyFill="0" applyAlignment="0" applyProtection="0"/>
    <xf numFmtId="0" fontId="36" fillId="0" borderId="13" applyNumberFormat="0" applyFill="0" applyAlignment="0" applyProtection="0"/>
    <xf numFmtId="0" fontId="37" fillId="0" borderId="9" applyNumberFormat="0" applyFill="0" applyAlignment="0" applyProtection="0"/>
    <xf numFmtId="0" fontId="37" fillId="0" borderId="9" applyNumberFormat="0" applyFill="0" applyAlignment="0" applyProtection="0"/>
    <xf numFmtId="0" fontId="20" fillId="0" borderId="14" applyNumberFormat="0" applyFill="0" applyAlignment="0" applyProtection="0"/>
    <xf numFmtId="0" fontId="20" fillId="0" borderId="14" applyNumberFormat="0" applyFill="0" applyAlignment="0" applyProtection="0"/>
    <xf numFmtId="0" fontId="35" fillId="0" borderId="0" applyNumberFormat="0" applyFill="0" applyBorder="0" applyAlignment="0" applyProtection="0"/>
    <xf numFmtId="0" fontId="38" fillId="0" borderId="15" applyNumberFormat="0" applyFill="0" applyAlignment="0" applyProtection="0"/>
    <xf numFmtId="0" fontId="38" fillId="0" borderId="15" applyNumberFormat="0" applyFill="0" applyAlignment="0" applyProtection="0"/>
    <xf numFmtId="0" fontId="38" fillId="0" borderId="15" applyNumberFormat="0" applyFill="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xf numFmtId="0" fontId="33" fillId="0" borderId="0" applyNumberFormat="0" applyFill="0" applyBorder="0" applyAlignment="0" applyProtection="0"/>
  </cellStyleXfs>
  <cellXfs count="220">
    <xf numFmtId="0" fontId="0" fillId="0" borderId="0" xfId="0"/>
    <xf numFmtId="0" fontId="2" fillId="2" borderId="2" xfId="0" applyFont="1" applyFill="1" applyBorder="1" applyAlignment="1">
      <alignment horizontal="center" vertical="center" wrapText="1"/>
    </xf>
    <xf numFmtId="0" fontId="2" fillId="2" borderId="2" xfId="0" applyFont="1" applyFill="1" applyBorder="1" applyAlignment="1">
      <alignment horizontal="center" vertical="center"/>
    </xf>
    <xf numFmtId="0" fontId="2" fillId="2" borderId="1" xfId="0" applyFont="1" applyFill="1" applyBorder="1" applyAlignment="1">
      <alignment horizontal="center" vertical="center"/>
    </xf>
    <xf numFmtId="0" fontId="2" fillId="2" borderId="3" xfId="0" applyFont="1" applyFill="1" applyBorder="1" applyAlignment="1">
      <alignment horizontal="center" vertical="center" wrapText="1"/>
    </xf>
    <xf numFmtId="0" fontId="1" fillId="3" borderId="2" xfId="0" applyFont="1" applyFill="1" applyBorder="1" applyAlignment="1">
      <alignment horizontal="center" vertical="center" wrapText="1"/>
    </xf>
    <xf numFmtId="0" fontId="1" fillId="3" borderId="1" xfId="0" applyFont="1" applyFill="1" applyBorder="1" applyAlignment="1">
      <alignment horizontal="center" vertical="center" wrapText="1"/>
    </xf>
    <xf numFmtId="0" fontId="1" fillId="0" borderId="2" xfId="0" applyFont="1" applyBorder="1" applyAlignment="1" applyProtection="1">
      <alignment horizontal="center" vertical="center"/>
      <protection locked="0"/>
    </xf>
    <xf numFmtId="0" fontId="1" fillId="0" borderId="2" xfId="0" applyFont="1" applyBorder="1" applyAlignment="1" applyProtection="1">
      <alignment horizontal="center" vertical="center" wrapText="1"/>
      <protection locked="0"/>
    </xf>
    <xf numFmtId="0" fontId="1" fillId="0" borderId="2" xfId="0" applyFont="1" applyFill="1" applyBorder="1" applyAlignment="1" applyProtection="1">
      <alignment horizontal="left" vertical="top" wrapText="1"/>
      <protection locked="0"/>
    </xf>
    <xf numFmtId="0" fontId="1" fillId="0" borderId="2" xfId="0" quotePrefix="1" applyFont="1" applyFill="1" applyBorder="1" applyAlignment="1" applyProtection="1">
      <alignment horizontal="left" vertical="top" wrapText="1"/>
      <protection locked="0"/>
    </xf>
    <xf numFmtId="0" fontId="1" fillId="0" borderId="2" xfId="0" applyFont="1" applyFill="1" applyBorder="1" applyAlignment="1" applyProtection="1">
      <alignment horizontal="center" vertical="center"/>
      <protection locked="0"/>
    </xf>
    <xf numFmtId="0" fontId="3" fillId="0" borderId="2" xfId="0" applyFont="1" applyFill="1" applyBorder="1" applyAlignment="1" applyProtection="1">
      <alignment horizontal="left" vertical="top" wrapText="1"/>
      <protection locked="0"/>
    </xf>
    <xf numFmtId="0" fontId="6" fillId="0" borderId="0" xfId="0" applyFont="1"/>
    <xf numFmtId="0" fontId="6" fillId="4" borderId="0" xfId="0" applyFont="1" applyFill="1"/>
    <xf numFmtId="0" fontId="0" fillId="4" borderId="0" xfId="0" applyFill="1"/>
    <xf numFmtId="0" fontId="0" fillId="0" borderId="0" xfId="0" applyAlignment="1">
      <alignment horizontal="left"/>
    </xf>
    <xf numFmtId="0" fontId="6" fillId="0" borderId="0" xfId="0" applyFont="1" applyAlignment="1">
      <alignment horizontal="left"/>
    </xf>
    <xf numFmtId="170" fontId="0" fillId="0" borderId="0" xfId="0" applyNumberFormat="1"/>
    <xf numFmtId="171" fontId="0" fillId="0" borderId="0" xfId="0" applyNumberFormat="1"/>
    <xf numFmtId="1" fontId="0" fillId="0" borderId="0" xfId="0" applyNumberFormat="1"/>
    <xf numFmtId="0" fontId="0" fillId="0" borderId="0" xfId="0" applyAlignment="1">
      <alignment wrapText="1"/>
    </xf>
    <xf numFmtId="0" fontId="7" fillId="29" borderId="0" xfId="0" applyFont="1" applyFill="1"/>
    <xf numFmtId="0" fontId="5" fillId="29" borderId="0" xfId="0" applyFont="1" applyFill="1"/>
    <xf numFmtId="0" fontId="39" fillId="0" borderId="0" xfId="0" applyFont="1" applyAlignment="1">
      <alignment horizontal="left" vertical="center" readingOrder="1"/>
    </xf>
    <xf numFmtId="0" fontId="1" fillId="3" borderId="2" xfId="0" applyFont="1" applyFill="1" applyBorder="1" applyAlignment="1">
      <alignment horizontal="left" vertical="center" wrapText="1"/>
    </xf>
    <xf numFmtId="0" fontId="39" fillId="0" borderId="0" xfId="0" applyFont="1" applyFill="1" applyBorder="1" applyAlignment="1">
      <alignment horizontal="left" vertical="center" readingOrder="1"/>
    </xf>
    <xf numFmtId="0" fontId="0" fillId="0" borderId="0" xfId="0" applyProtection="1">
      <protection locked="0"/>
    </xf>
    <xf numFmtId="0" fontId="40" fillId="30" borderId="16" xfId="0" applyFont="1" applyFill="1" applyBorder="1" applyAlignment="1">
      <alignment vertical="top" wrapText="1"/>
    </xf>
    <xf numFmtId="0" fontId="40" fillId="30" borderId="0" xfId="0" applyFont="1" applyFill="1" applyBorder="1" applyAlignment="1">
      <alignment vertical="top" wrapText="1"/>
    </xf>
    <xf numFmtId="0" fontId="0" fillId="30" borderId="16" xfId="0" applyFill="1" applyBorder="1" applyAlignment="1">
      <alignment vertical="top"/>
    </xf>
    <xf numFmtId="0" fontId="6" fillId="0" borderId="4" xfId="0" applyFont="1" applyBorder="1"/>
    <xf numFmtId="0" fontId="6" fillId="0" borderId="16" xfId="0" applyFont="1" applyBorder="1"/>
    <xf numFmtId="0" fontId="0" fillId="30" borderId="0" xfId="0" applyFill="1" applyBorder="1" applyAlignment="1">
      <alignment vertical="top"/>
    </xf>
    <xf numFmtId="0" fontId="6" fillId="4" borderId="4" xfId="0" applyFont="1" applyFill="1" applyBorder="1"/>
    <xf numFmtId="0" fontId="6" fillId="4" borderId="16" xfId="0" applyFont="1" applyFill="1" applyBorder="1"/>
    <xf numFmtId="0" fontId="0" fillId="0" borderId="0" xfId="0" applyAlignment="1"/>
    <xf numFmtId="0" fontId="1" fillId="3" borderId="17" xfId="0" applyFont="1" applyFill="1" applyBorder="1" applyAlignment="1">
      <alignment horizontal="center" vertical="center" wrapText="1"/>
    </xf>
    <xf numFmtId="0" fontId="0" fillId="31" borderId="0" xfId="0" applyFill="1" applyAlignment="1">
      <alignment vertical="top" wrapText="1"/>
    </xf>
    <xf numFmtId="0" fontId="0" fillId="31" borderId="0" xfId="0" applyFill="1" applyAlignment="1"/>
    <xf numFmtId="0" fontId="0" fillId="31" borderId="0" xfId="0" applyFill="1" applyAlignment="1">
      <alignment wrapText="1"/>
    </xf>
    <xf numFmtId="0" fontId="6" fillId="31" borderId="4" xfId="0" applyFont="1" applyFill="1" applyBorder="1" applyAlignment="1">
      <alignment vertical="top" wrapText="1"/>
    </xf>
    <xf numFmtId="0" fontId="0" fillId="31" borderId="0" xfId="0" applyFill="1" applyAlignment="1">
      <alignment horizontal="left" vertical="top" wrapText="1"/>
    </xf>
    <xf numFmtId="0" fontId="0" fillId="31" borderId="0" xfId="0" applyFill="1"/>
    <xf numFmtId="0" fontId="0" fillId="0" borderId="0" xfId="0" applyAlignment="1">
      <alignment vertical="center"/>
    </xf>
    <xf numFmtId="0" fontId="42" fillId="0" borderId="0" xfId="0" applyFont="1" applyAlignment="1">
      <alignment vertical="center"/>
    </xf>
    <xf numFmtId="0" fontId="0" fillId="0" borderId="26" xfId="0" applyBorder="1" applyAlignment="1">
      <alignment vertical="center" wrapText="1"/>
    </xf>
    <xf numFmtId="0" fontId="6" fillId="0" borderId="0" xfId="0" applyFont="1" applyAlignment="1">
      <alignment vertical="center"/>
    </xf>
    <xf numFmtId="0" fontId="0" fillId="0" borderId="27" xfId="0" applyBorder="1" applyAlignment="1">
      <alignment vertical="center"/>
    </xf>
    <xf numFmtId="0" fontId="0" fillId="31" borderId="28" xfId="0" applyFill="1" applyBorder="1"/>
    <xf numFmtId="0" fontId="0" fillId="31" borderId="29" xfId="0" applyFill="1" applyBorder="1"/>
    <xf numFmtId="0" fontId="0" fillId="31" borderId="0" xfId="0" applyFill="1" applyAlignment="1">
      <alignment horizontal="left" vertical="top"/>
    </xf>
    <xf numFmtId="0" fontId="43" fillId="35" borderId="4" xfId="0" applyFont="1" applyFill="1" applyBorder="1" applyAlignment="1">
      <alignment horizontal="center" vertical="center" wrapText="1"/>
    </xf>
    <xf numFmtId="0" fontId="43" fillId="35" borderId="19" xfId="0" applyFont="1" applyFill="1" applyBorder="1" applyAlignment="1">
      <alignment horizontal="center" vertical="center" wrapText="1"/>
    </xf>
    <xf numFmtId="0" fontId="0" fillId="0" borderId="21" xfId="0" applyBorder="1" applyAlignment="1">
      <alignment vertical="center" wrapText="1"/>
    </xf>
    <xf numFmtId="0" fontId="0" fillId="0" borderId="0" xfId="0" applyAlignment="1">
      <alignment vertical="top"/>
    </xf>
    <xf numFmtId="0" fontId="0" fillId="31" borderId="34" xfId="0" applyFill="1" applyBorder="1"/>
    <xf numFmtId="0" fontId="45" fillId="31" borderId="34" xfId="0" applyFont="1" applyFill="1" applyBorder="1"/>
    <xf numFmtId="0" fontId="0" fillId="30" borderId="0" xfId="0" applyFill="1" applyBorder="1" applyAlignment="1">
      <alignment vertical="top" wrapText="1"/>
    </xf>
    <xf numFmtId="0" fontId="19" fillId="0" borderId="2" xfId="0" applyFont="1" applyBorder="1" applyAlignment="1">
      <alignment vertical="center" wrapText="1"/>
    </xf>
    <xf numFmtId="0" fontId="19" fillId="0" borderId="3" xfId="0" applyFont="1" applyBorder="1" applyAlignment="1">
      <alignment vertical="center" wrapText="1"/>
    </xf>
    <xf numFmtId="0" fontId="44" fillId="35" borderId="2" xfId="0" applyFont="1" applyFill="1" applyBorder="1" applyAlignment="1">
      <alignment vertical="center" wrapText="1"/>
    </xf>
    <xf numFmtId="0" fontId="0" fillId="30" borderId="34" xfId="0" applyFill="1" applyBorder="1" applyAlignment="1">
      <alignment vertical="top"/>
    </xf>
    <xf numFmtId="0" fontId="46" fillId="31" borderId="37" xfId="0" applyFont="1" applyFill="1" applyBorder="1"/>
    <xf numFmtId="0" fontId="0" fillId="31" borderId="37" xfId="0" applyFill="1" applyBorder="1"/>
    <xf numFmtId="0" fontId="44" fillId="35" borderId="4" xfId="0" applyFont="1" applyFill="1" applyBorder="1" applyAlignment="1">
      <alignment horizontal="center" vertical="center" wrapText="1"/>
    </xf>
    <xf numFmtId="0" fontId="44" fillId="35" borderId="19" xfId="0" applyFont="1" applyFill="1" applyBorder="1" applyAlignment="1">
      <alignment horizontal="center" vertical="center" wrapText="1"/>
    </xf>
    <xf numFmtId="0" fontId="44" fillId="35" borderId="2" xfId="0" applyFont="1" applyFill="1" applyBorder="1" applyAlignment="1">
      <alignment horizontal="center" vertical="center" wrapText="1"/>
    </xf>
    <xf numFmtId="0" fontId="6" fillId="31" borderId="0" xfId="0" applyFont="1" applyFill="1"/>
    <xf numFmtId="0" fontId="50" fillId="0" borderId="26" xfId="0" applyFont="1" applyBorder="1" applyAlignment="1">
      <alignment vertical="center" wrapText="1"/>
    </xf>
    <xf numFmtId="0" fontId="31" fillId="32" borderId="4" xfId="0" applyFont="1" applyFill="1" applyBorder="1" applyAlignment="1" applyProtection="1">
      <alignment horizontal="center" vertical="center" wrapText="1"/>
      <protection locked="0"/>
    </xf>
    <xf numFmtId="0" fontId="31" fillId="32" borderId="4" xfId="0" applyFont="1" applyFill="1" applyBorder="1" applyAlignment="1" applyProtection="1">
      <alignment horizontal="center" vertical="top" wrapText="1"/>
      <protection locked="0"/>
    </xf>
    <xf numFmtId="0" fontId="45" fillId="31" borderId="34" xfId="0" applyFont="1" applyFill="1" applyBorder="1" applyAlignment="1">
      <alignment horizontal="left"/>
    </xf>
    <xf numFmtId="0" fontId="0" fillId="32" borderId="4" xfId="0" applyFill="1" applyBorder="1" applyAlignment="1" applyProtection="1">
      <alignment horizontal="center" vertical="top" wrapText="1"/>
      <protection locked="0"/>
    </xf>
    <xf numFmtId="0" fontId="55" fillId="35" borderId="4" xfId="0" applyFont="1" applyFill="1" applyBorder="1" applyAlignment="1">
      <alignment vertical="center" wrapText="1"/>
    </xf>
    <xf numFmtId="0" fontId="55" fillId="35" borderId="19" xfId="0" applyFont="1" applyFill="1" applyBorder="1" applyAlignment="1">
      <alignment vertical="center" wrapText="1"/>
    </xf>
    <xf numFmtId="0" fontId="0" fillId="0" borderId="42" xfId="0" applyBorder="1" applyAlignment="1">
      <alignment vertical="center" wrapText="1"/>
    </xf>
    <xf numFmtId="0" fontId="50" fillId="0" borderId="0" xfId="0" applyFont="1" applyAlignment="1">
      <alignment vertical="center"/>
    </xf>
    <xf numFmtId="0" fontId="57" fillId="35" borderId="19" xfId="0" applyFont="1" applyFill="1" applyBorder="1" applyAlignment="1">
      <alignment vertical="center" wrapText="1"/>
    </xf>
    <xf numFmtId="0" fontId="0" fillId="0" borderId="21" xfId="0" applyBorder="1" applyAlignment="1">
      <alignment vertical="center"/>
    </xf>
    <xf numFmtId="0" fontId="0" fillId="0" borderId="0" xfId="0" applyBorder="1" applyAlignment="1">
      <alignment vertical="center" wrapText="1"/>
    </xf>
    <xf numFmtId="0" fontId="0" fillId="31" borderId="0" xfId="0" applyFill="1" applyAlignment="1">
      <alignment vertical="top" wrapText="1"/>
    </xf>
    <xf numFmtId="0" fontId="0" fillId="32" borderId="19" xfId="0" applyFill="1" applyBorder="1" applyAlignment="1" applyProtection="1">
      <alignment horizontal="center" vertical="top" wrapText="1"/>
      <protection locked="0"/>
    </xf>
    <xf numFmtId="0" fontId="0" fillId="32" borderId="43" xfId="0" applyFill="1" applyBorder="1" applyAlignment="1" applyProtection="1">
      <alignment horizontal="center" vertical="top" wrapText="1"/>
      <protection locked="0"/>
    </xf>
    <xf numFmtId="0" fontId="31" fillId="32" borderId="43" xfId="0" applyFont="1" applyFill="1" applyBorder="1" applyAlignment="1" applyProtection="1">
      <alignment horizontal="center" vertical="center" wrapText="1"/>
      <protection locked="0"/>
    </xf>
    <xf numFmtId="0" fontId="31" fillId="32" borderId="43" xfId="0" applyFont="1" applyFill="1" applyBorder="1" applyAlignment="1" applyProtection="1">
      <alignment horizontal="center" vertical="top" wrapText="1"/>
      <protection locked="0"/>
    </xf>
    <xf numFmtId="0" fontId="0" fillId="31" borderId="0" xfId="0" applyFill="1" applyAlignment="1">
      <alignment vertical="top" wrapText="1"/>
    </xf>
    <xf numFmtId="0" fontId="0" fillId="31" borderId="0" xfId="0" applyFill="1" applyAlignment="1">
      <alignment wrapText="1"/>
    </xf>
    <xf numFmtId="0" fontId="59" fillId="31" borderId="0" xfId="0" applyFont="1" applyFill="1"/>
    <xf numFmtId="0" fontId="6" fillId="31" borderId="0" xfId="0" applyFont="1" applyFill="1" applyAlignment="1">
      <alignment vertical="center"/>
    </xf>
    <xf numFmtId="0" fontId="31" fillId="32" borderId="26" xfId="0" applyFont="1" applyFill="1" applyBorder="1" applyAlignment="1" applyProtection="1">
      <alignment horizontal="center" vertical="center" wrapText="1"/>
      <protection locked="0"/>
    </xf>
    <xf numFmtId="0" fontId="31" fillId="32" borderId="46" xfId="0" applyFont="1" applyFill="1" applyBorder="1" applyAlignment="1" applyProtection="1">
      <alignment horizontal="center" vertical="center" wrapText="1"/>
      <protection locked="0"/>
    </xf>
    <xf numFmtId="0" fontId="0" fillId="30" borderId="0" xfId="0" applyFill="1" applyBorder="1" applyAlignment="1">
      <alignment horizontal="left" vertical="top"/>
    </xf>
    <xf numFmtId="0" fontId="0" fillId="31" borderId="0" xfId="0" applyFill="1" applyProtection="1">
      <protection locked="0"/>
    </xf>
    <xf numFmtId="0" fontId="19" fillId="0" borderId="21" xfId="0" applyFont="1" applyBorder="1" applyAlignment="1" applyProtection="1">
      <alignment vertical="center" wrapText="1"/>
      <protection locked="0"/>
    </xf>
    <xf numFmtId="0" fontId="0" fillId="31" borderId="0" xfId="0" applyFill="1" applyAlignment="1" applyProtection="1">
      <alignment vertical="top"/>
      <protection locked="0"/>
    </xf>
    <xf numFmtId="0" fontId="19" fillId="0" borderId="26" xfId="0" applyFont="1" applyBorder="1" applyAlignment="1" applyProtection="1">
      <alignment vertical="center" wrapText="1"/>
      <protection locked="0"/>
    </xf>
    <xf numFmtId="0" fontId="43" fillId="35" borderId="21" xfId="0" applyFont="1" applyFill="1" applyBorder="1" applyAlignment="1" applyProtection="1">
      <alignment horizontal="center" vertical="center" wrapText="1"/>
      <protection locked="0"/>
    </xf>
    <xf numFmtId="0" fontId="0" fillId="34" borderId="2" xfId="0" applyFill="1" applyBorder="1" applyAlignment="1" applyProtection="1">
      <alignment horizontal="left" vertical="top" wrapText="1"/>
      <protection locked="0"/>
    </xf>
    <xf numFmtId="0" fontId="45" fillId="30" borderId="0" xfId="0" applyFont="1" applyFill="1" applyBorder="1" applyAlignment="1" applyProtection="1">
      <alignment horizontal="left"/>
      <protection locked="0"/>
    </xf>
    <xf numFmtId="0" fontId="0" fillId="30" borderId="0" xfId="0" applyFill="1" applyBorder="1" applyAlignment="1" applyProtection="1">
      <alignment horizontal="left" vertical="top" wrapText="1"/>
      <protection locked="0"/>
    </xf>
    <xf numFmtId="0" fontId="45" fillId="0" borderId="34" xfId="0" applyFont="1" applyBorder="1" applyAlignment="1">
      <alignment horizontal="left" vertical="center"/>
    </xf>
    <xf numFmtId="0" fontId="45" fillId="31" borderId="0" xfId="0" applyFont="1" applyFill="1" applyAlignment="1">
      <alignment horizontal="left" vertical="center"/>
    </xf>
    <xf numFmtId="0" fontId="0" fillId="0" borderId="0" xfId="0" applyAlignment="1">
      <alignment vertical="top" wrapText="1"/>
    </xf>
    <xf numFmtId="0" fontId="19" fillId="0" borderId="2" xfId="0" applyFont="1" applyBorder="1" applyAlignment="1" applyProtection="1">
      <alignment vertical="center" wrapText="1"/>
      <protection locked="0"/>
    </xf>
    <xf numFmtId="0" fontId="49" fillId="0" borderId="2" xfId="0" applyFont="1" applyBorder="1" applyAlignment="1" applyProtection="1">
      <alignment vertical="center" wrapText="1"/>
      <protection locked="0"/>
    </xf>
    <xf numFmtId="0" fontId="19" fillId="33" borderId="19" xfId="0" applyFont="1" applyFill="1" applyBorder="1" applyAlignment="1" applyProtection="1">
      <alignment vertical="center" wrapText="1"/>
      <protection locked="0"/>
    </xf>
    <xf numFmtId="0" fontId="19" fillId="33" borderId="21" xfId="0" applyFont="1" applyFill="1" applyBorder="1" applyAlignment="1" applyProtection="1">
      <alignment vertical="center" wrapText="1"/>
      <protection locked="0"/>
    </xf>
    <xf numFmtId="0" fontId="45" fillId="31" borderId="0" xfId="0" applyFont="1" applyFill="1" applyAlignment="1"/>
    <xf numFmtId="0" fontId="47" fillId="31" borderId="0" xfId="0" applyFont="1" applyFill="1" applyAlignment="1">
      <alignment horizontal="left" vertical="center"/>
    </xf>
    <xf numFmtId="0" fontId="0" fillId="31" borderId="0" xfId="0" applyFill="1" applyAlignment="1">
      <alignment vertical="center"/>
    </xf>
    <xf numFmtId="0" fontId="45" fillId="31" borderId="34" xfId="0" applyFont="1" applyFill="1" applyBorder="1" applyAlignment="1">
      <alignment horizontal="left" vertical="center"/>
    </xf>
    <xf numFmtId="0" fontId="63" fillId="0" borderId="2" xfId="0" applyFont="1" applyBorder="1" applyAlignment="1" applyProtection="1">
      <alignment vertical="center" wrapText="1"/>
      <protection locked="0"/>
    </xf>
    <xf numFmtId="14" fontId="63" fillId="0" borderId="2" xfId="0" applyNumberFormat="1" applyFont="1" applyBorder="1" applyAlignment="1" applyProtection="1">
      <alignment vertical="center" wrapText="1"/>
      <protection locked="0"/>
    </xf>
    <xf numFmtId="6" fontId="63" fillId="0" borderId="2" xfId="0" applyNumberFormat="1" applyFont="1" applyBorder="1" applyAlignment="1" applyProtection="1">
      <alignment vertical="center" wrapText="1"/>
      <protection locked="0"/>
    </xf>
    <xf numFmtId="0" fontId="63" fillId="0" borderId="21" xfId="0" applyFont="1" applyBorder="1" applyAlignment="1" applyProtection="1">
      <alignment vertical="center" wrapText="1"/>
      <protection locked="0"/>
    </xf>
    <xf numFmtId="0" fontId="63" fillId="0" borderId="26" xfId="0" applyFont="1" applyBorder="1" applyAlignment="1" applyProtection="1">
      <alignment vertical="center" wrapText="1"/>
      <protection locked="0"/>
    </xf>
    <xf numFmtId="14" fontId="63" fillId="0" borderId="21" xfId="0" applyNumberFormat="1" applyFont="1" applyBorder="1" applyAlignment="1" applyProtection="1">
      <alignment vertical="center" wrapText="1"/>
      <protection locked="0"/>
    </xf>
    <xf numFmtId="0" fontId="56" fillId="31" borderId="0" xfId="0" applyFont="1" applyFill="1"/>
    <xf numFmtId="0" fontId="0" fillId="0" borderId="0" xfId="0" applyAlignment="1">
      <alignment vertical="top"/>
    </xf>
    <xf numFmtId="0" fontId="0" fillId="31" borderId="0" xfId="0" applyFill="1" applyAlignment="1">
      <alignment vertical="top"/>
    </xf>
    <xf numFmtId="0" fontId="0" fillId="31" borderId="27" xfId="0" applyFill="1" applyBorder="1" applyAlignment="1">
      <alignment vertical="top" wrapText="1"/>
    </xf>
    <xf numFmtId="0" fontId="0" fillId="0" borderId="29" xfId="0" applyBorder="1" applyAlignment="1"/>
    <xf numFmtId="0" fontId="0" fillId="0" borderId="47" xfId="0" applyBorder="1" applyAlignment="1">
      <alignment vertical="top" wrapText="1"/>
    </xf>
    <xf numFmtId="0" fontId="0" fillId="0" borderId="48" xfId="0" applyBorder="1" applyAlignment="1"/>
    <xf numFmtId="0" fontId="0" fillId="0" borderId="30" xfId="0" applyBorder="1" applyAlignment="1">
      <alignment vertical="top" wrapText="1"/>
    </xf>
    <xf numFmtId="0" fontId="0" fillId="0" borderId="32" xfId="0" applyBorder="1" applyAlignment="1"/>
    <xf numFmtId="0" fontId="0" fillId="31" borderId="27" xfId="0" applyFont="1" applyFill="1" applyBorder="1" applyAlignment="1">
      <alignment vertical="top" wrapText="1"/>
    </xf>
    <xf numFmtId="0" fontId="0" fillId="0" borderId="28" xfId="0" applyFont="1" applyBorder="1" applyAlignment="1">
      <alignment vertical="top" wrapText="1"/>
    </xf>
    <xf numFmtId="0" fontId="0" fillId="0" borderId="28" xfId="0" applyBorder="1" applyAlignment="1">
      <alignment vertical="top"/>
    </xf>
    <xf numFmtId="0" fontId="0" fillId="0" borderId="47" xfId="0" applyFont="1" applyBorder="1" applyAlignment="1">
      <alignment vertical="top" wrapText="1"/>
    </xf>
    <xf numFmtId="0" fontId="0" fillId="0" borderId="0" xfId="0" applyFont="1" applyBorder="1" applyAlignment="1">
      <alignment vertical="top" wrapText="1"/>
    </xf>
    <xf numFmtId="0" fontId="0" fillId="0" borderId="0" xfId="0" applyBorder="1" applyAlignment="1">
      <alignment vertical="top"/>
    </xf>
    <xf numFmtId="0" fontId="0" fillId="0" borderId="30" xfId="0" applyFont="1" applyBorder="1" applyAlignment="1">
      <alignment vertical="top" wrapText="1"/>
    </xf>
    <xf numFmtId="0" fontId="0" fillId="0" borderId="31" xfId="0" applyFont="1" applyBorder="1" applyAlignment="1">
      <alignment vertical="top" wrapText="1"/>
    </xf>
    <xf numFmtId="0" fontId="0" fillId="0" borderId="31" xfId="0" applyBorder="1" applyAlignment="1">
      <alignment vertical="top"/>
    </xf>
    <xf numFmtId="0" fontId="51" fillId="31" borderId="0" xfId="0" applyFont="1" applyFill="1" applyAlignment="1">
      <alignment horizontal="center" vertical="center" wrapText="1"/>
    </xf>
    <xf numFmtId="0" fontId="51" fillId="0" borderId="0" xfId="0" applyFont="1" applyAlignment="1">
      <alignment horizontal="center" vertical="center"/>
    </xf>
    <xf numFmtId="0" fontId="53" fillId="31" borderId="0" xfId="0" applyFont="1" applyFill="1" applyAlignment="1">
      <alignment horizontal="center" vertical="center" wrapText="1"/>
    </xf>
    <xf numFmtId="0" fontId="53" fillId="0" borderId="0" xfId="0" applyFont="1" applyAlignment="1">
      <alignment horizontal="center" vertical="center"/>
    </xf>
    <xf numFmtId="0" fontId="52" fillId="0" borderId="0" xfId="0" applyFont="1" applyAlignment="1">
      <alignment horizontal="center" vertical="center"/>
    </xf>
    <xf numFmtId="0" fontId="54" fillId="31" borderId="0" xfId="0" applyFont="1" applyFill="1" applyAlignment="1" applyProtection="1">
      <alignment horizontal="center" vertical="center"/>
      <protection locked="0"/>
    </xf>
    <xf numFmtId="0" fontId="54" fillId="0" borderId="0" xfId="0" applyFont="1" applyAlignment="1" applyProtection="1">
      <alignment horizontal="center" vertical="center"/>
      <protection locked="0"/>
    </xf>
    <xf numFmtId="0" fontId="41" fillId="0" borderId="18" xfId="0" applyFont="1" applyBorder="1" applyAlignment="1">
      <alignment vertical="top" wrapText="1"/>
    </xf>
    <xf numFmtId="0" fontId="0" fillId="0" borderId="19" xfId="0" applyBorder="1" applyAlignment="1">
      <alignment vertical="top" wrapText="1"/>
    </xf>
    <xf numFmtId="0" fontId="6" fillId="31" borderId="33" xfId="0" applyFont="1" applyFill="1" applyBorder="1" applyAlignment="1"/>
    <xf numFmtId="0" fontId="0" fillId="31" borderId="33" xfId="0" applyFill="1" applyBorder="1" applyAlignment="1"/>
    <xf numFmtId="0" fontId="0" fillId="31" borderId="30" xfId="0" applyFill="1" applyBorder="1" applyAlignment="1">
      <alignment vertical="top" wrapText="1"/>
    </xf>
    <xf numFmtId="0" fontId="0" fillId="0" borderId="32" xfId="0" applyBorder="1" applyAlignment="1">
      <alignment vertical="top"/>
    </xf>
    <xf numFmtId="0" fontId="0" fillId="31" borderId="0" xfId="0" applyFill="1" applyAlignment="1">
      <alignment vertical="top" wrapText="1"/>
    </xf>
    <xf numFmtId="0" fontId="0" fillId="0" borderId="0" xfId="0" applyAlignment="1">
      <alignment vertical="top"/>
    </xf>
    <xf numFmtId="0" fontId="0" fillId="0" borderId="0" xfId="0" applyAlignment="1">
      <alignment vertical="top" wrapText="1"/>
    </xf>
    <xf numFmtId="0" fontId="0" fillId="34" borderId="35" xfId="0" applyFill="1" applyBorder="1" applyAlignment="1" applyProtection="1">
      <alignment vertical="top" wrapText="1"/>
      <protection locked="0"/>
    </xf>
    <xf numFmtId="0" fontId="0" fillId="0" borderId="36" xfId="0" applyBorder="1" applyAlignment="1" applyProtection="1">
      <alignment wrapText="1"/>
      <protection locked="0"/>
    </xf>
    <xf numFmtId="0" fontId="0" fillId="0" borderId="1" xfId="0" applyBorder="1" applyAlignment="1" applyProtection="1">
      <alignment wrapText="1"/>
      <protection locked="0"/>
    </xf>
    <xf numFmtId="0" fontId="0" fillId="34" borderId="38" xfId="0" applyFill="1" applyBorder="1" applyAlignment="1" applyProtection="1">
      <alignment vertical="top" wrapText="1"/>
      <protection locked="0"/>
    </xf>
    <xf numFmtId="0" fontId="0" fillId="34" borderId="39" xfId="0" applyFill="1" applyBorder="1" applyAlignment="1" applyProtection="1">
      <alignment vertical="top"/>
      <protection locked="0"/>
    </xf>
    <xf numFmtId="0" fontId="0" fillId="34" borderId="40" xfId="0" applyFill="1" applyBorder="1" applyAlignment="1" applyProtection="1">
      <alignment vertical="top"/>
      <protection locked="0"/>
    </xf>
    <xf numFmtId="0" fontId="63" fillId="0" borderId="2" xfId="0" applyFont="1" applyBorder="1" applyAlignment="1" applyProtection="1">
      <alignment vertical="center" wrapText="1"/>
      <protection locked="0"/>
    </xf>
    <xf numFmtId="0" fontId="64" fillId="0" borderId="2" xfId="0" applyFont="1" applyBorder="1" applyAlignment="1" applyProtection="1">
      <protection locked="0"/>
    </xf>
    <xf numFmtId="0" fontId="63" fillId="0" borderId="30" xfId="0" applyFont="1" applyBorder="1" applyAlignment="1" applyProtection="1">
      <alignment vertical="center" wrapText="1"/>
      <protection locked="0"/>
    </xf>
    <xf numFmtId="0" fontId="64" fillId="0" borderId="31" xfId="0" applyFont="1" applyBorder="1" applyAlignment="1" applyProtection="1">
      <protection locked="0"/>
    </xf>
    <xf numFmtId="0" fontId="64" fillId="0" borderId="32" xfId="0" applyFont="1" applyBorder="1" applyAlignment="1" applyProtection="1">
      <protection locked="0"/>
    </xf>
    <xf numFmtId="0" fontId="63" fillId="0" borderId="35" xfId="0" applyFont="1" applyBorder="1" applyAlignment="1" applyProtection="1">
      <alignment vertical="center" wrapText="1"/>
      <protection locked="0"/>
    </xf>
    <xf numFmtId="0" fontId="64" fillId="0" borderId="36" xfId="0" applyFont="1" applyBorder="1" applyAlignment="1" applyProtection="1">
      <protection locked="0"/>
    </xf>
    <xf numFmtId="0" fontId="64" fillId="0" borderId="1" xfId="0" applyFont="1" applyBorder="1" applyAlignment="1" applyProtection="1">
      <protection locked="0"/>
    </xf>
    <xf numFmtId="0" fontId="0" fillId="34" borderId="36" xfId="0" applyFill="1" applyBorder="1" applyAlignment="1" applyProtection="1">
      <alignment vertical="top"/>
      <protection locked="0"/>
    </xf>
    <xf numFmtId="0" fontId="0" fillId="34" borderId="1" xfId="0" applyFill="1" applyBorder="1" applyAlignment="1" applyProtection="1">
      <alignment vertical="top"/>
      <protection locked="0"/>
    </xf>
    <xf numFmtId="0" fontId="0" fillId="31" borderId="0" xfId="0" applyFill="1" applyAlignment="1">
      <alignment wrapText="1"/>
    </xf>
    <xf numFmtId="0" fontId="0" fillId="0" borderId="0" xfId="0" applyAlignment="1">
      <alignment wrapText="1"/>
    </xf>
    <xf numFmtId="0" fontId="0" fillId="31" borderId="0" xfId="0" applyFill="1" applyBorder="1" applyAlignment="1">
      <alignment vertical="top" wrapText="1"/>
    </xf>
    <xf numFmtId="0" fontId="44" fillId="35" borderId="2" xfId="0" applyFont="1" applyFill="1" applyBorder="1" applyAlignment="1">
      <alignment horizontal="center" vertical="center" wrapText="1"/>
    </xf>
    <xf numFmtId="0" fontId="0" fillId="0" borderId="2" xfId="0" applyBorder="1" applyAlignment="1">
      <alignment horizontal="center"/>
    </xf>
    <xf numFmtId="0" fontId="0" fillId="34" borderId="27" xfId="0" applyFill="1" applyBorder="1" applyAlignment="1" applyProtection="1">
      <alignment vertical="top" wrapText="1"/>
      <protection locked="0"/>
    </xf>
    <xf numFmtId="0" fontId="0" fillId="34" borderId="28" xfId="0" applyFill="1" applyBorder="1" applyAlignment="1" applyProtection="1">
      <alignment vertical="top" wrapText="1"/>
      <protection locked="0"/>
    </xf>
    <xf numFmtId="0" fontId="0" fillId="0" borderId="28" xfId="0" applyBorder="1" applyAlignment="1" applyProtection="1">
      <alignment wrapText="1"/>
      <protection locked="0"/>
    </xf>
    <xf numFmtId="0" fontId="0" fillId="0" borderId="29" xfId="0" applyBorder="1" applyAlignment="1" applyProtection="1">
      <alignment wrapText="1"/>
      <protection locked="0"/>
    </xf>
    <xf numFmtId="0" fontId="0" fillId="0" borderId="30" xfId="0" applyBorder="1" applyAlignment="1" applyProtection="1">
      <alignment wrapText="1"/>
      <protection locked="0"/>
    </xf>
    <xf numFmtId="0" fontId="0" fillId="0" borderId="31" xfId="0" applyBorder="1" applyAlignment="1" applyProtection="1">
      <alignment wrapText="1"/>
      <protection locked="0"/>
    </xf>
    <xf numFmtId="0" fontId="0" fillId="0" borderId="32" xfId="0" applyBorder="1" applyAlignment="1" applyProtection="1">
      <alignment wrapText="1"/>
      <protection locked="0"/>
    </xf>
    <xf numFmtId="0" fontId="0" fillId="0" borderId="36" xfId="0" applyBorder="1" applyAlignment="1" applyProtection="1">
      <alignment vertical="top" wrapText="1"/>
      <protection locked="0"/>
    </xf>
    <xf numFmtId="0" fontId="0" fillId="0" borderId="1" xfId="0" applyBorder="1" applyAlignment="1" applyProtection="1">
      <alignment vertical="top" wrapText="1"/>
      <protection locked="0"/>
    </xf>
    <xf numFmtId="0" fontId="0" fillId="31" borderId="33" xfId="0" applyFill="1" applyBorder="1" applyAlignment="1">
      <alignment vertical="top" wrapText="1"/>
    </xf>
    <xf numFmtId="0" fontId="0" fillId="0" borderId="33" xfId="0" applyBorder="1" applyAlignment="1">
      <alignment vertical="top" wrapText="1"/>
    </xf>
    <xf numFmtId="0" fontId="43" fillId="35" borderId="16" xfId="0" applyFont="1" applyFill="1" applyBorder="1" applyAlignment="1">
      <alignment horizontal="center" vertical="center" wrapText="1"/>
    </xf>
    <xf numFmtId="0" fontId="43" fillId="35" borderId="26" xfId="0" applyFont="1" applyFill="1" applyBorder="1" applyAlignment="1">
      <alignment horizontal="center" vertical="center" wrapText="1"/>
    </xf>
    <xf numFmtId="0" fontId="43" fillId="35" borderId="18" xfId="0" applyFont="1" applyFill="1" applyBorder="1" applyAlignment="1" applyProtection="1">
      <alignment horizontal="center" vertical="center" wrapText="1"/>
      <protection locked="0"/>
    </xf>
    <xf numFmtId="0" fontId="43" fillId="35" borderId="24" xfId="0" applyFont="1" applyFill="1" applyBorder="1" applyAlignment="1" applyProtection="1">
      <alignment horizontal="center" vertical="center" wrapText="1"/>
      <protection locked="0"/>
    </xf>
    <xf numFmtId="0" fontId="43" fillId="35" borderId="19" xfId="0" applyFont="1" applyFill="1" applyBorder="1" applyAlignment="1" applyProtection="1">
      <alignment horizontal="center" vertical="center" wrapText="1"/>
      <protection locked="0"/>
    </xf>
    <xf numFmtId="0" fontId="41" fillId="31" borderId="18" xfId="0" applyFont="1" applyFill="1" applyBorder="1" applyAlignment="1">
      <alignment vertical="top" wrapText="1"/>
    </xf>
    <xf numFmtId="0" fontId="0" fillId="31" borderId="20" xfId="0" applyFill="1" applyBorder="1" applyAlignment="1">
      <alignment vertical="top" wrapText="1"/>
    </xf>
    <xf numFmtId="0" fontId="0" fillId="0" borderId="21" xfId="0" applyBorder="1" applyAlignment="1">
      <alignment vertical="top" wrapText="1"/>
    </xf>
    <xf numFmtId="0" fontId="0" fillId="32" borderId="18" xfId="0" applyFill="1" applyBorder="1" applyAlignment="1" applyProtection="1">
      <alignment horizontal="left" vertical="top" wrapText="1"/>
      <protection locked="0"/>
    </xf>
    <xf numFmtId="0" fontId="0" fillId="32" borderId="24" xfId="0" applyFill="1" applyBorder="1" applyAlignment="1" applyProtection="1">
      <alignment horizontal="left" vertical="top" wrapText="1"/>
      <protection locked="0"/>
    </xf>
    <xf numFmtId="0" fontId="0" fillId="32" borderId="19" xfId="0" applyFill="1" applyBorder="1" applyAlignment="1" applyProtection="1">
      <alignment horizontal="left" vertical="top" wrapText="1"/>
      <protection locked="0"/>
    </xf>
    <xf numFmtId="0" fontId="41" fillId="31" borderId="20" xfId="0" applyFont="1" applyFill="1" applyBorder="1" applyAlignment="1">
      <alignment vertical="top" wrapText="1"/>
    </xf>
    <xf numFmtId="0" fontId="0" fillId="0" borderId="19" xfId="0" applyBorder="1" applyAlignment="1" applyProtection="1">
      <alignment vertical="top" wrapText="1"/>
      <protection locked="0"/>
    </xf>
    <xf numFmtId="0" fontId="6" fillId="31" borderId="18" xfId="0" applyFont="1" applyFill="1" applyBorder="1" applyAlignment="1">
      <alignment vertical="top" wrapText="1"/>
    </xf>
    <xf numFmtId="0" fontId="6" fillId="31" borderId="24" xfId="0" applyFont="1" applyFill="1" applyBorder="1" applyAlignment="1">
      <alignment vertical="top" wrapText="1"/>
    </xf>
    <xf numFmtId="0" fontId="0" fillId="31" borderId="19" xfId="0" applyFill="1" applyBorder="1" applyAlignment="1">
      <alignment vertical="top" wrapText="1"/>
    </xf>
    <xf numFmtId="0" fontId="0" fillId="32" borderId="22" xfId="0" applyFill="1" applyBorder="1" applyAlignment="1" applyProtection="1">
      <alignment horizontal="left" vertical="top" wrapText="1"/>
      <protection locked="0"/>
    </xf>
    <xf numFmtId="0" fontId="0" fillId="32" borderId="25" xfId="0" applyFill="1" applyBorder="1" applyAlignment="1" applyProtection="1">
      <alignment horizontal="left" vertical="top" wrapText="1"/>
      <protection locked="0"/>
    </xf>
    <xf numFmtId="0" fontId="0" fillId="32" borderId="23" xfId="0" applyFill="1" applyBorder="1" applyAlignment="1" applyProtection="1">
      <alignment horizontal="left" vertical="top" wrapText="1"/>
      <protection locked="0"/>
    </xf>
    <xf numFmtId="0" fontId="0" fillId="31" borderId="18" xfId="0" applyFill="1" applyBorder="1" applyAlignment="1">
      <alignment wrapText="1"/>
    </xf>
    <xf numFmtId="0" fontId="0" fillId="0" borderId="44" xfId="0" applyBorder="1" applyAlignment="1">
      <alignment wrapText="1"/>
    </xf>
    <xf numFmtId="0" fontId="0" fillId="31" borderId="18" xfId="0" applyFill="1" applyBorder="1" applyAlignment="1">
      <alignment vertical="top" wrapText="1"/>
    </xf>
    <xf numFmtId="0" fontId="0" fillId="31" borderId="44" xfId="0" applyFill="1" applyBorder="1" applyAlignment="1">
      <alignment vertical="top" wrapText="1"/>
    </xf>
    <xf numFmtId="0" fontId="0" fillId="32" borderId="45" xfId="0" applyFill="1" applyBorder="1" applyAlignment="1" applyProtection="1">
      <alignment horizontal="left" vertical="top" wrapText="1"/>
      <protection locked="0"/>
    </xf>
    <xf numFmtId="0" fontId="0" fillId="0" borderId="44" xfId="0" applyBorder="1" applyAlignment="1" applyProtection="1">
      <alignment vertical="top" wrapText="1"/>
      <protection locked="0"/>
    </xf>
    <xf numFmtId="0" fontId="0" fillId="32" borderId="44" xfId="0" applyFill="1" applyBorder="1" applyAlignment="1" applyProtection="1">
      <alignment horizontal="left" vertical="top" wrapText="1"/>
      <protection locked="0"/>
    </xf>
    <xf numFmtId="0" fontId="6" fillId="0" borderId="0" xfId="0" applyFont="1" applyBorder="1" applyAlignment="1">
      <alignment vertical="center" wrapText="1"/>
    </xf>
    <xf numFmtId="0" fontId="0" fillId="0" borderId="0" xfId="0" applyBorder="1" applyAlignment="1">
      <alignment wrapText="1"/>
    </xf>
    <xf numFmtId="0" fontId="6" fillId="0" borderId="33" xfId="0" applyFont="1" applyBorder="1" applyAlignment="1">
      <alignment vertical="center" wrapText="1"/>
    </xf>
    <xf numFmtId="0" fontId="0" fillId="0" borderId="33" xfId="0" applyBorder="1" applyAlignment="1">
      <alignment wrapText="1"/>
    </xf>
    <xf numFmtId="0" fontId="0" fillId="0" borderId="16" xfId="0" applyBorder="1" applyAlignment="1">
      <alignment vertical="center" wrapText="1"/>
    </xf>
    <xf numFmtId="0" fontId="0" fillId="0" borderId="41" xfId="0" applyBorder="1" applyAlignment="1">
      <alignment vertical="center" wrapText="1"/>
    </xf>
    <xf numFmtId="0" fontId="0" fillId="0" borderId="26" xfId="0" applyBorder="1" applyAlignment="1">
      <alignment vertical="center" wrapText="1"/>
    </xf>
    <xf numFmtId="0" fontId="56" fillId="0" borderId="16" xfId="0" applyFont="1" applyBorder="1" applyAlignment="1">
      <alignment vertical="center" wrapText="1"/>
    </xf>
    <xf numFmtId="0" fontId="56" fillId="0" borderId="41" xfId="0" applyFont="1" applyBorder="1" applyAlignment="1">
      <alignment vertical="center" wrapText="1"/>
    </xf>
    <xf numFmtId="0" fontId="56" fillId="0" borderId="26" xfId="0" applyFont="1" applyBorder="1" applyAlignment="1">
      <alignment vertical="center" wrapText="1"/>
    </xf>
  </cellXfs>
  <cellStyles count="451">
    <cellStyle name="20% - Accent1 2" xfId="1"/>
    <cellStyle name="20% - Accent1 3" xfId="2"/>
    <cellStyle name="20% - Accent1 4" xfId="3"/>
    <cellStyle name="20% - Accent1 5" xfId="4"/>
    <cellStyle name="20% - Accent2 2" xfId="5"/>
    <cellStyle name="20% - Accent2 3" xfId="6"/>
    <cellStyle name="20% - Accent2 4" xfId="7"/>
    <cellStyle name="20% - Accent2 5" xfId="8"/>
    <cellStyle name="20% - Accent3 2" xfId="9"/>
    <cellStyle name="20% - Accent3 3" xfId="10"/>
    <cellStyle name="20% - Accent3 4" xfId="11"/>
    <cellStyle name="20% - Accent3 5" xfId="12"/>
    <cellStyle name="20% - Accent4 2" xfId="13"/>
    <cellStyle name="20% - Accent4 3" xfId="14"/>
    <cellStyle name="20% - Accent4 4" xfId="15"/>
    <cellStyle name="20% - Accent4 5" xfId="16"/>
    <cellStyle name="20% - Accent5 2" xfId="17"/>
    <cellStyle name="20% - Accent5 3" xfId="18"/>
    <cellStyle name="20% - Accent5 4" xfId="19"/>
    <cellStyle name="20% - Accent5 5" xfId="20"/>
    <cellStyle name="20% - Accent6 2" xfId="21"/>
    <cellStyle name="20% - Accent6 3" xfId="22"/>
    <cellStyle name="20% - Accent6 4" xfId="23"/>
    <cellStyle name="20% - Accent6 5" xfId="24"/>
    <cellStyle name="20% - Énfasis1" xfId="25"/>
    <cellStyle name="20% - Énfasis1 2" xfId="26"/>
    <cellStyle name="20% - Énfasis2" xfId="27"/>
    <cellStyle name="20% - Énfasis2 2" xfId="28"/>
    <cellStyle name="20% - Énfasis3" xfId="29"/>
    <cellStyle name="20% - Énfasis3 2" xfId="30"/>
    <cellStyle name="20% - Énfasis4" xfId="31"/>
    <cellStyle name="20% - Énfasis4 2" xfId="32"/>
    <cellStyle name="20% - Énfasis5" xfId="33"/>
    <cellStyle name="20% - Énfasis5 2" xfId="34"/>
    <cellStyle name="20% - Énfasis6" xfId="35"/>
    <cellStyle name="20% - Énfasis6 2" xfId="36"/>
    <cellStyle name="40% - Accent1 2" xfId="37"/>
    <cellStyle name="40% - Accent1 3" xfId="38"/>
    <cellStyle name="40% - Accent1 4" xfId="39"/>
    <cellStyle name="40% - Accent1 5" xfId="40"/>
    <cellStyle name="40% - Accent2 2" xfId="41"/>
    <cellStyle name="40% - Accent2 3" xfId="42"/>
    <cellStyle name="40% - Accent2 4" xfId="43"/>
    <cellStyle name="40% - Accent2 5" xfId="44"/>
    <cellStyle name="40% - Accent3 2" xfId="45"/>
    <cellStyle name="40% - Accent3 3" xfId="46"/>
    <cellStyle name="40% - Accent3 4" xfId="47"/>
    <cellStyle name="40% - Accent3 5" xfId="48"/>
    <cellStyle name="40% - Accent4 2" xfId="49"/>
    <cellStyle name="40% - Accent4 3" xfId="50"/>
    <cellStyle name="40% - Accent4 4" xfId="51"/>
    <cellStyle name="40% - Accent4 5" xfId="52"/>
    <cellStyle name="40% - Accent5 2" xfId="53"/>
    <cellStyle name="40% - Accent5 3" xfId="54"/>
    <cellStyle name="40% - Accent5 4" xfId="55"/>
    <cellStyle name="40% - Accent5 5" xfId="56"/>
    <cellStyle name="40% - Accent6 2" xfId="57"/>
    <cellStyle name="40% - Accent6 3" xfId="58"/>
    <cellStyle name="40% - Accent6 4" xfId="59"/>
    <cellStyle name="40% - Accent6 5" xfId="60"/>
    <cellStyle name="40% - Énfasis1" xfId="61"/>
    <cellStyle name="40% - Énfasis1 2" xfId="62"/>
    <cellStyle name="40% - Énfasis2" xfId="63"/>
    <cellStyle name="40% - Énfasis2 2" xfId="64"/>
    <cellStyle name="40% - Énfasis3" xfId="65"/>
    <cellStyle name="40% - Énfasis3 2" xfId="66"/>
    <cellStyle name="40% - Énfasis4" xfId="67"/>
    <cellStyle name="40% - Énfasis4 2" xfId="68"/>
    <cellStyle name="40% - Énfasis5" xfId="69"/>
    <cellStyle name="40% - Énfasis5 2" xfId="70"/>
    <cellStyle name="40% - Énfasis6" xfId="71"/>
    <cellStyle name="40% - Énfasis6 2" xfId="72"/>
    <cellStyle name="60% - Accent1 2" xfId="73"/>
    <cellStyle name="60% - Accent1 3" xfId="74"/>
    <cellStyle name="60% - Accent1 4" xfId="75"/>
    <cellStyle name="60% - Accent1 5" xfId="76"/>
    <cellStyle name="60% - Accent2 2" xfId="77"/>
    <cellStyle name="60% - Accent2 3" xfId="78"/>
    <cellStyle name="60% - Accent2 4" xfId="79"/>
    <cellStyle name="60% - Accent2 5" xfId="80"/>
    <cellStyle name="60% - Accent3 2" xfId="81"/>
    <cellStyle name="60% - Accent3 3" xfId="82"/>
    <cellStyle name="60% - Accent3 4" xfId="83"/>
    <cellStyle name="60% - Accent3 5" xfId="84"/>
    <cellStyle name="60% - Accent4 2" xfId="85"/>
    <cellStyle name="60% - Accent4 3" xfId="86"/>
    <cellStyle name="60% - Accent4 4" xfId="87"/>
    <cellStyle name="60% - Accent4 5" xfId="88"/>
    <cellStyle name="60% - Accent5 2" xfId="89"/>
    <cellStyle name="60% - Accent5 3" xfId="90"/>
    <cellStyle name="60% - Accent5 4" xfId="91"/>
    <cellStyle name="60% - Accent5 5" xfId="92"/>
    <cellStyle name="60% - Accent6 2" xfId="93"/>
    <cellStyle name="60% - Accent6 3" xfId="94"/>
    <cellStyle name="60% - Accent6 4" xfId="95"/>
    <cellStyle name="60% - Accent6 5" xfId="96"/>
    <cellStyle name="60% - Énfasis1" xfId="97"/>
    <cellStyle name="60% - Énfasis1 2" xfId="98"/>
    <cellStyle name="60% - Énfasis2" xfId="99"/>
    <cellStyle name="60% - Énfasis2 2" xfId="100"/>
    <cellStyle name="60% - Énfasis3" xfId="101"/>
    <cellStyle name="60% - Énfasis3 2" xfId="102"/>
    <cellStyle name="60% - Énfasis4" xfId="103"/>
    <cellStyle name="60% - Énfasis4 2" xfId="104"/>
    <cellStyle name="60% - Énfasis5" xfId="105"/>
    <cellStyle name="60% - Énfasis5 2" xfId="106"/>
    <cellStyle name="60% - Énfasis6" xfId="107"/>
    <cellStyle name="60% - Énfasis6 2" xfId="108"/>
    <cellStyle name="Accent1 2" xfId="109"/>
    <cellStyle name="Accent1 3" xfId="110"/>
    <cellStyle name="Accent1 4" xfId="111"/>
    <cellStyle name="Accent1 5" xfId="112"/>
    <cellStyle name="Accent2 2" xfId="113"/>
    <cellStyle name="Accent2 3" xfId="114"/>
    <cellStyle name="Accent2 4" xfId="115"/>
    <cellStyle name="Accent2 5" xfId="116"/>
    <cellStyle name="Accent3 2" xfId="117"/>
    <cellStyle name="Accent3 3" xfId="118"/>
    <cellStyle name="Accent3 4" xfId="119"/>
    <cellStyle name="Accent3 5" xfId="120"/>
    <cellStyle name="Accent4 2" xfId="121"/>
    <cellStyle name="Accent4 3" xfId="122"/>
    <cellStyle name="Accent4 4" xfId="123"/>
    <cellStyle name="Accent4 5" xfId="124"/>
    <cellStyle name="Accent5 2" xfId="125"/>
    <cellStyle name="Accent5 3" xfId="126"/>
    <cellStyle name="Accent5 4" xfId="127"/>
    <cellStyle name="Accent5 5" xfId="128"/>
    <cellStyle name="Accent6 2" xfId="129"/>
    <cellStyle name="Accent6 3" xfId="130"/>
    <cellStyle name="Accent6 4" xfId="131"/>
    <cellStyle name="Accent6 5" xfId="132"/>
    <cellStyle name="Bad 2" xfId="133"/>
    <cellStyle name="Bad 3" xfId="134"/>
    <cellStyle name="Bad 4" xfId="135"/>
    <cellStyle name="Bad 5" xfId="136"/>
    <cellStyle name="Buena" xfId="137"/>
    <cellStyle name="Buena 2" xfId="138"/>
    <cellStyle name="Calculation 2" xfId="139"/>
    <cellStyle name="Calculation 3" xfId="140"/>
    <cellStyle name="Calculation 4" xfId="141"/>
    <cellStyle name="Calculation 5" xfId="142"/>
    <cellStyle name="Cálculo" xfId="143"/>
    <cellStyle name="Cálculo 2" xfId="144"/>
    <cellStyle name="Cálculo 2 2" xfId="145"/>
    <cellStyle name="Cálculo 2 2 2" xfId="146"/>
    <cellStyle name="Cálculo 2 2 2 2" xfId="147"/>
    <cellStyle name="Cálculo 2 2 3" xfId="148"/>
    <cellStyle name="Cálculo 2 3" xfId="149"/>
    <cellStyle name="Cálculo 3" xfId="150"/>
    <cellStyle name="Cálculo 3 2" xfId="151"/>
    <cellStyle name="Cálculo 3 2 2" xfId="152"/>
    <cellStyle name="Cálculo 3 3" xfId="153"/>
    <cellStyle name="Cálculo 4" xfId="154"/>
    <cellStyle name="Cálculo 4 2" xfId="155"/>
    <cellStyle name="Cálculo 4 2 2" xfId="156"/>
    <cellStyle name="Celda de comprobación" xfId="157"/>
    <cellStyle name="Celda de comprobación 2" xfId="158"/>
    <cellStyle name="Celda vinculada" xfId="159"/>
    <cellStyle name="Celda vinculada 2" xfId="160"/>
    <cellStyle name="Check Cell 2" xfId="161"/>
    <cellStyle name="Check Cell 3" xfId="162"/>
    <cellStyle name="Check Cell 4" xfId="163"/>
    <cellStyle name="Check Cell 5" xfId="164"/>
    <cellStyle name="Comma 12" xfId="165"/>
    <cellStyle name="Comma 2" xfId="166"/>
    <cellStyle name="Comma 2 2" xfId="167"/>
    <cellStyle name="Comma 2 2 2" xfId="168"/>
    <cellStyle name="Comma 2 3" xfId="169"/>
    <cellStyle name="Comma 2 3 2" xfId="170"/>
    <cellStyle name="Comma 2 3 3" xfId="171"/>
    <cellStyle name="Comma 2 4" xfId="172"/>
    <cellStyle name="Comma 2 5" xfId="173"/>
    <cellStyle name="Comma 3" xfId="174"/>
    <cellStyle name="Comma 3 2" xfId="175"/>
    <cellStyle name="Comma 3 2 2" xfId="176"/>
    <cellStyle name="Comma 3 3" xfId="177"/>
    <cellStyle name="Comma 3 3 2" xfId="178"/>
    <cellStyle name="Comma 3 4" xfId="179"/>
    <cellStyle name="Comma 3 5" xfId="180"/>
    <cellStyle name="Comma 4" xfId="181"/>
    <cellStyle name="Comma 4 2" xfId="182"/>
    <cellStyle name="Comma 4 2 2" xfId="183"/>
    <cellStyle name="Comma 4 2 3" xfId="184"/>
    <cellStyle name="Comma 5" xfId="185"/>
    <cellStyle name="Comma 5 2" xfId="186"/>
    <cellStyle name="Comma 5 3" xfId="187"/>
    <cellStyle name="Comma 6" xfId="188"/>
    <cellStyle name="Comma 6 2" xfId="189"/>
    <cellStyle name="Comma 6 3" xfId="190"/>
    <cellStyle name="Comma 7" xfId="191"/>
    <cellStyle name="Comma 7 2" xfId="192"/>
    <cellStyle name="Comma 8" xfId="193"/>
    <cellStyle name="Comma 8 2" xfId="194"/>
    <cellStyle name="Comma 9" xfId="195"/>
    <cellStyle name="Comma0" xfId="196"/>
    <cellStyle name="Currency 2" xfId="197"/>
    <cellStyle name="Currency 2 2" xfId="198"/>
    <cellStyle name="Currency 2 2 2" xfId="199"/>
    <cellStyle name="Currency 2 3" xfId="200"/>
    <cellStyle name="Currency 2 4" xfId="201"/>
    <cellStyle name="Currency 2 5" xfId="202"/>
    <cellStyle name="Currency 3" xfId="203"/>
    <cellStyle name="Currency 3 2" xfId="204"/>
    <cellStyle name="Currency 3 3" xfId="205"/>
    <cellStyle name="Currency 4" xfId="206"/>
    <cellStyle name="Currency 4 2" xfId="207"/>
    <cellStyle name="Currency 4 3" xfId="208"/>
    <cellStyle name="Currency 5" xfId="209"/>
    <cellStyle name="Currency 5 2" xfId="210"/>
    <cellStyle name="Currency 5 3" xfId="211"/>
    <cellStyle name="Currency 6" xfId="212"/>
    <cellStyle name="Currency 6 2" xfId="213"/>
    <cellStyle name="Currency 6 2 2" xfId="214"/>
    <cellStyle name="Currency 6 3" xfId="215"/>
    <cellStyle name="Currency 6 3 2" xfId="216"/>
    <cellStyle name="Currency 6 4" xfId="217"/>
    <cellStyle name="Currency 7" xfId="218"/>
    <cellStyle name="Currency 7 2" xfId="219"/>
    <cellStyle name="Currency 8" xfId="220"/>
    <cellStyle name="Currency0" xfId="221"/>
    <cellStyle name="Date" xfId="222"/>
    <cellStyle name="Encabezado 4" xfId="223"/>
    <cellStyle name="Encabezado 4 2" xfId="224"/>
    <cellStyle name="Énfasis1" xfId="225"/>
    <cellStyle name="Énfasis1 2" xfId="226"/>
    <cellStyle name="Énfasis2" xfId="227"/>
    <cellStyle name="Énfasis2 2" xfId="228"/>
    <cellStyle name="Énfasis3" xfId="229"/>
    <cellStyle name="Énfasis3 2" xfId="230"/>
    <cellStyle name="Énfasis4" xfId="231"/>
    <cellStyle name="Énfasis4 2" xfId="232"/>
    <cellStyle name="Énfasis5" xfId="233"/>
    <cellStyle name="Énfasis5 2" xfId="234"/>
    <cellStyle name="Énfasis6" xfId="235"/>
    <cellStyle name="Énfasis6 2" xfId="236"/>
    <cellStyle name="Entrada" xfId="237"/>
    <cellStyle name="Entrada 2" xfId="238"/>
    <cellStyle name="Entrada 2 2" xfId="239"/>
    <cellStyle name="Entrada 2 2 2" xfId="240"/>
    <cellStyle name="Entrada 2 2 2 2" xfId="241"/>
    <cellStyle name="Entrada 2 2 3" xfId="242"/>
    <cellStyle name="Entrada 2 3" xfId="243"/>
    <cellStyle name="Entrada 3" xfId="244"/>
    <cellStyle name="Entrada 3 2" xfId="245"/>
    <cellStyle name="Entrada 3 2 2" xfId="246"/>
    <cellStyle name="Entrada 3 3" xfId="247"/>
    <cellStyle name="Entrada 4" xfId="248"/>
    <cellStyle name="Entrada 4 2" xfId="249"/>
    <cellStyle name="Entrada 4 2 2" xfId="250"/>
    <cellStyle name="Estilo 1" xfId="251"/>
    <cellStyle name="Estilo 1 2" xfId="252"/>
    <cellStyle name="Estilo 1 2 2" xfId="253"/>
    <cellStyle name="Estilo 1 3" xfId="254"/>
    <cellStyle name="Estilo 1 4" xfId="255"/>
    <cellStyle name="Estilo 1 5" xfId="256"/>
    <cellStyle name="Euro" xfId="257"/>
    <cellStyle name="Euro 2" xfId="258"/>
    <cellStyle name="Euro 2 2" xfId="259"/>
    <cellStyle name="Euro 3" xfId="260"/>
    <cellStyle name="Euro 4" xfId="261"/>
    <cellStyle name="Euro 4 2" xfId="262"/>
    <cellStyle name="Euro 4 3" xfId="263"/>
    <cellStyle name="Euro 5" xfId="264"/>
    <cellStyle name="Euro 6" xfId="265"/>
    <cellStyle name="Explanatory Text 2" xfId="266"/>
    <cellStyle name="Explanatory Text 3" xfId="267"/>
    <cellStyle name="Explanatory Text 4" xfId="268"/>
    <cellStyle name="Explanatory Text 5" xfId="269"/>
    <cellStyle name="Fixed" xfId="270"/>
    <cellStyle name="Good 2" xfId="271"/>
    <cellStyle name="Good 3" xfId="272"/>
    <cellStyle name="Good 4" xfId="273"/>
    <cellStyle name="Good 5" xfId="274"/>
    <cellStyle name="Heading 1 2" xfId="275"/>
    <cellStyle name="Heading 1 3" xfId="276"/>
    <cellStyle name="Heading 1 4" xfId="277"/>
    <cellStyle name="Heading 1 5" xfId="278"/>
    <cellStyle name="Heading 2 2" xfId="279"/>
    <cellStyle name="Heading 2 3" xfId="280"/>
    <cellStyle name="Heading 2 4" xfId="281"/>
    <cellStyle name="Heading 2 5" xfId="282"/>
    <cellStyle name="Heading 3 2" xfId="283"/>
    <cellStyle name="Heading 3 3" xfId="284"/>
    <cellStyle name="Heading 3 4" xfId="285"/>
    <cellStyle name="Heading 3 5" xfId="286"/>
    <cellStyle name="Heading 4 2" xfId="287"/>
    <cellStyle name="Heading 4 3" xfId="288"/>
    <cellStyle name="Heading 4 4" xfId="289"/>
    <cellStyle name="Heading 4 5" xfId="290"/>
    <cellStyle name="Hyperlink 2" xfId="291"/>
    <cellStyle name="Hyperlink 2 2" xfId="292"/>
    <cellStyle name="Incorrecto" xfId="293"/>
    <cellStyle name="Incorrecto 2" xfId="294"/>
    <cellStyle name="Input 2" xfId="295"/>
    <cellStyle name="Input 3" xfId="296"/>
    <cellStyle name="Input 4" xfId="297"/>
    <cellStyle name="Input 5" xfId="298"/>
    <cellStyle name="l]_x000a__x000a_Path=M:\RIOCEN01_x000a__x000a_Name=Carlos Emilio Brousse_x000a__x000a_DDEApps=nsf,nsg,nsh,ntf,ns2,ors,org_x000a__x000a_SmartIcons=Todos_x000a__x000a_" xfId="299"/>
    <cellStyle name="l]_x000a__x000a_Path=M:\RIOCEN01_x000a__x000a_Name=Carlos Emilio Brousse_x000a__x000a_DDEApps=nsf,nsg,nsh,ntf,ns2,ors,org_x000a__x000a_SmartIcons=Todos_x000a__x000a_ 2" xfId="300"/>
    <cellStyle name="l]_x000a__x000a_Path=M:\RIOCEN01_x000a__x000a_Name=Carlos Emilio Brousse_x000a__x000a_DDEApps=nsf,nsg,nsh,ntf,ns2,ors,org_x000a__x000a_SmartIcons=Todos_x000a__x000a_ 2 2" xfId="301"/>
    <cellStyle name="l]_x000a__x000a_Path=M:\RIOCEN01_x000a__x000a_Name=Carlos Emilio Brousse_x000a__x000a_DDEApps=nsf,nsg,nsh,ntf,ns2,ors,org_x000a__x000a_SmartIcons=Todos_x000a__x000a_ 3" xfId="302"/>
    <cellStyle name="l]_x000a__x000a_Path=M:\RIOCEN01_x000a__x000a_Name=Carlos Emilio Brousse_x000a__x000a_DDEApps=nsf,nsg,nsh,ntf,ns2,ors,org_x000a__x000a_SmartIcons=Todos_x000a__x000a_ 4" xfId="303"/>
    <cellStyle name="l]_x000a__x000a_Path=M:\RIOCEN01_x000a__x000a_Name=Carlos Emilio Brousse_x000a__x000a_DDEApps=nsf,nsg,nsh,ntf,ns2,ors,org_x000a__x000a_SmartIcons=Todos_x000a__x000a_ 5" xfId="304"/>
    <cellStyle name="l]_x000d__x000a_Path=M:\RIOCEN01_x000d__x000a_Name=Carlos Emilio Brousse_x000d__x000a_DDEApps=nsf,nsg,nsh,ntf,ns2,ors,org_x000d__x000a_SmartIcons=Todos_x000d__x000a_" xfId="305"/>
    <cellStyle name="l]_x000d__x000a_Path=M:\RIOCEN01_x000d__x000a_Name=Carlos Emilio Brousse_x000d__x000a_DDEApps=nsf,nsg,nsh,ntf,ns2,ors,org_x000d__x000a_SmartIcons=Todos_x000d__x000a_ 2" xfId="306"/>
    <cellStyle name="l]_x000d__x000a_Path=M:\RIOCEN01_x000d__x000a_Name=Carlos Emilio Brousse_x000d__x000a_DDEApps=nsf,nsg,nsh,ntf,ns2,ors,org_x000d__x000a_SmartIcons=Todos_x000d__x000a_ 2 2" xfId="307"/>
    <cellStyle name="l]_x000d__x000a_Path=M:\RIOCEN01_x000d__x000a_Name=Carlos Emilio Brousse_x000d__x000a_DDEApps=nsf,nsg,nsh,ntf,ns2,ors,org_x000d__x000a_SmartIcons=Todos_x000d__x000a_ 3" xfId="308"/>
    <cellStyle name="l]_x000d__x000a_Path=M:\RIOCEN01_x000d__x000a_Name=Carlos Emilio Brousse_x000d__x000a_DDEApps=nsf,nsg,nsh,ntf,ns2,ors,org_x000d__x000a_SmartIcons=Todos_x000d__x000a_ 4" xfId="309"/>
    <cellStyle name="l]_x000d__x000a_Path=M:\RIOCEN01_x000d__x000a_Name=Carlos Emilio Brousse_x000d__x000a_DDEApps=nsf,nsg,nsh,ntf,ns2,ors,org_x000d__x000a_SmartIcons=Todos_x000d__x000a_ 4 2" xfId="310"/>
    <cellStyle name="l]_x000d__x000a_Path=M:\RIOCEN01_x000d__x000a_Name=Carlos Emilio Brousse_x000d__x000a_DDEApps=nsf,nsg,nsh,ntf,ns2,ors,org_x000d__x000a_SmartIcons=Todos_x000d__x000a_ 4 3" xfId="311"/>
    <cellStyle name="l]_x000d__x000a_Path=M:\RIOCEN01_x000d__x000a_Name=Carlos Emilio Brousse_x000d__x000a_DDEApps=nsf,nsg,nsh,ntf,ns2,ors,org_x000d__x000a_SmartIcons=Todos_x000d__x000a_ 5" xfId="312"/>
    <cellStyle name="Linked Cell 2" xfId="313"/>
    <cellStyle name="Linked Cell 3" xfId="314"/>
    <cellStyle name="Linked Cell 4" xfId="315"/>
    <cellStyle name="Linked Cell 5" xfId="316"/>
    <cellStyle name="Millares [0]_Anexo 9.3. Mapa conceptual de Admision e Informes de Soporte" xfId="317"/>
    <cellStyle name="Millares_Anexo 9.3. Mapa conceptual de Admision e Informes de Soporte" xfId="318"/>
    <cellStyle name="Neutral 2" xfId="319"/>
    <cellStyle name="Neutral 3" xfId="320"/>
    <cellStyle name="No-definido" xfId="321"/>
    <cellStyle name="Normal" xfId="0" builtinId="0"/>
    <cellStyle name="Normal 10" xfId="322"/>
    <cellStyle name="Normal 11" xfId="323"/>
    <cellStyle name="Normal 12" xfId="324"/>
    <cellStyle name="Normal 12 2" xfId="325"/>
    <cellStyle name="Normal 13" xfId="326"/>
    <cellStyle name="Normal 14" xfId="327"/>
    <cellStyle name="Normal 15" xfId="328"/>
    <cellStyle name="Normal 2" xfId="329"/>
    <cellStyle name="Normal 2 2" xfId="330"/>
    <cellStyle name="Normal 2 2 2" xfId="331"/>
    <cellStyle name="Normal 2 3" xfId="332"/>
    <cellStyle name="Normal 2 4" xfId="333"/>
    <cellStyle name="Normal 3" xfId="334"/>
    <cellStyle name="Normal 3 2" xfId="335"/>
    <cellStyle name="Normal 3 2 2" xfId="336"/>
    <cellStyle name="Normal 4" xfId="337"/>
    <cellStyle name="Normal 4 2" xfId="338"/>
    <cellStyle name="Normal 4 2 2" xfId="339"/>
    <cellStyle name="Normal 4 3" xfId="340"/>
    <cellStyle name="Normal 4 4" xfId="341"/>
    <cellStyle name="Normal 5" xfId="342"/>
    <cellStyle name="Normal 5 2" xfId="343"/>
    <cellStyle name="Normal 5 2 2" xfId="344"/>
    <cellStyle name="Normal 5 2 2 2" xfId="345"/>
    <cellStyle name="Normal 5 2 2 2 2" xfId="346"/>
    <cellStyle name="Normal 5 2 2 3" xfId="347"/>
    <cellStyle name="Normal 5 2 3" xfId="348"/>
    <cellStyle name="Normal 5 2 4" xfId="349"/>
    <cellStyle name="Normal 5 3" xfId="350"/>
    <cellStyle name="Normal 5 3 2" xfId="351"/>
    <cellStyle name="Normal 5 4" xfId="352"/>
    <cellStyle name="Normal 5 5" xfId="353"/>
    <cellStyle name="Normal 5 5 2" xfId="354"/>
    <cellStyle name="Normal 5 5 2 2" xfId="355"/>
    <cellStyle name="Normal 6" xfId="356"/>
    <cellStyle name="Normal 6 2" xfId="357"/>
    <cellStyle name="Normal 6 2 2" xfId="358"/>
    <cellStyle name="Normal 6 2 2 2" xfId="359"/>
    <cellStyle name="Normal 6 3" xfId="360"/>
    <cellStyle name="Normal 7" xfId="361"/>
    <cellStyle name="Normal 7 2" xfId="362"/>
    <cellStyle name="Normal 8" xfId="363"/>
    <cellStyle name="Normal 8 2" xfId="364"/>
    <cellStyle name="Normal 8 2 2" xfId="365"/>
    <cellStyle name="Normal 9" xfId="366"/>
    <cellStyle name="Notas" xfId="367"/>
    <cellStyle name="Notas 2" xfId="368"/>
    <cellStyle name="Notas 2 2" xfId="369"/>
    <cellStyle name="Notas 2 2 2" xfId="370"/>
    <cellStyle name="Notas 2 3" xfId="371"/>
    <cellStyle name="Notas 3" xfId="372"/>
    <cellStyle name="Notas 3 2" xfId="373"/>
    <cellStyle name="Notas 4" xfId="374"/>
    <cellStyle name="Notas 4 2" xfId="375"/>
    <cellStyle name="Notas 4 2 2" xfId="376"/>
    <cellStyle name="Notas 4 3" xfId="377"/>
    <cellStyle name="Notas 5" xfId="378"/>
    <cellStyle name="Note 2" xfId="379"/>
    <cellStyle name="Note 3" xfId="380"/>
    <cellStyle name="Note 4" xfId="381"/>
    <cellStyle name="Note 5" xfId="382"/>
    <cellStyle name="Output 2" xfId="383"/>
    <cellStyle name="Output 3" xfId="384"/>
    <cellStyle name="Output 4" xfId="385"/>
    <cellStyle name="Output 5" xfId="386"/>
    <cellStyle name="Percent 2" xfId="387"/>
    <cellStyle name="Percent 2 2" xfId="388"/>
    <cellStyle name="Percent 2 2 2" xfId="389"/>
    <cellStyle name="Percent 2 3" xfId="390"/>
    <cellStyle name="Percent 2 3 2" xfId="391"/>
    <cellStyle name="Percent 3" xfId="392"/>
    <cellStyle name="Percent 3 2" xfId="393"/>
    <cellStyle name="Percent 3 2 2" xfId="394"/>
    <cellStyle name="Percent 4" xfId="395"/>
    <cellStyle name="Percent 4 2" xfId="396"/>
    <cellStyle name="Percent 4 3" xfId="397"/>
    <cellStyle name="Percent 5" xfId="398"/>
    <cellStyle name="Percent 5 2" xfId="399"/>
    <cellStyle name="Percent 5 3" xfId="400"/>
    <cellStyle name="Percent 5 4" xfId="401"/>
    <cellStyle name="Percent 6" xfId="402"/>
    <cellStyle name="Percent 6 2" xfId="403"/>
    <cellStyle name="Percent 7" xfId="404"/>
    <cellStyle name="Percent 7 2" xfId="405"/>
    <cellStyle name="Percent 7 3" xfId="406"/>
    <cellStyle name="Percent 7 4" xfId="407"/>
    <cellStyle name="Percent 8" xfId="408"/>
    <cellStyle name="Percent 8 2" xfId="409"/>
    <cellStyle name="Percent 9" xfId="410"/>
    <cellStyle name="Salida" xfId="411"/>
    <cellStyle name="Salida 2" xfId="412"/>
    <cellStyle name="Salida 2 2" xfId="413"/>
    <cellStyle name="Salida 2 2 2" xfId="414"/>
    <cellStyle name="Salida 2 2 2 2" xfId="415"/>
    <cellStyle name="Salida 2 2 3" xfId="416"/>
    <cellStyle name="Salida 2 3" xfId="417"/>
    <cellStyle name="Salida 3" xfId="418"/>
    <cellStyle name="Salida 3 2" xfId="419"/>
    <cellStyle name="Salida 3 2 2" xfId="420"/>
    <cellStyle name="Salida 3 3" xfId="421"/>
    <cellStyle name="Salida 4" xfId="422"/>
    <cellStyle name="Salida 4 2" xfId="423"/>
    <cellStyle name="Salida 4 2 2" xfId="424"/>
    <cellStyle name="Style 1" xfId="425"/>
    <cellStyle name="Style 1 2" xfId="426"/>
    <cellStyle name="Style 1 3" xfId="427"/>
    <cellStyle name="Texto de advertencia" xfId="428"/>
    <cellStyle name="Texto de advertencia 2" xfId="429"/>
    <cellStyle name="Texto explicativo" xfId="430"/>
    <cellStyle name="Texto explicativo 2" xfId="431"/>
    <cellStyle name="Title 2" xfId="432"/>
    <cellStyle name="Title 3" xfId="433"/>
    <cellStyle name="Title 4" xfId="434"/>
    <cellStyle name="Title 5" xfId="435"/>
    <cellStyle name="Título" xfId="436"/>
    <cellStyle name="Título 1" xfId="437"/>
    <cellStyle name="Título 1 2" xfId="438"/>
    <cellStyle name="Título 2" xfId="439"/>
    <cellStyle name="Título 2 2" xfId="440"/>
    <cellStyle name="Título 3" xfId="441"/>
    <cellStyle name="Título 3 2" xfId="442"/>
    <cellStyle name="Título 4" xfId="443"/>
    <cellStyle name="Total 2" xfId="444"/>
    <cellStyle name="Total 2 2" xfId="445"/>
    <cellStyle name="Total 3" xfId="446"/>
    <cellStyle name="Warning Text 2" xfId="447"/>
    <cellStyle name="Warning Text 3" xfId="448"/>
    <cellStyle name="Warning Text 4" xfId="449"/>
    <cellStyle name="Warning Text 5" xfId="450"/>
  </cellStyles>
  <dxfs count="32">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
      <font>
        <color theme="0"/>
      </font>
      <fill>
        <patternFill>
          <bgColor rgb="FFFF0000"/>
        </patternFill>
      </fill>
    </dxf>
    <dxf>
      <font>
        <color theme="1"/>
      </font>
      <fill>
        <patternFill>
          <bgColor rgb="FFFFFF00"/>
        </patternFill>
      </fill>
    </dxf>
    <dxf>
      <font>
        <color theme="0"/>
      </font>
      <fill>
        <patternFill>
          <bgColor rgb="FF92D050"/>
        </patternFill>
      </fill>
    </dxf>
    <dxf>
      <font>
        <color theme="0"/>
      </font>
      <fill>
        <patternFill>
          <bgColor rgb="FF00B050"/>
        </patternFill>
      </fill>
    </dxf>
    <dxf>
      <font>
        <color theme="0"/>
      </font>
      <fill>
        <patternFill>
          <bgColor rgb="FF0070C0"/>
        </patternFill>
      </fill>
    </dxf>
    <dxf>
      <font>
        <color theme="0"/>
      </font>
      <fill>
        <patternFill>
          <bgColor rgb="FFFF0000"/>
        </patternFill>
      </fill>
    </dxf>
    <dxf>
      <font>
        <color theme="1"/>
      </font>
      <fill>
        <patternFill>
          <bgColor rgb="FFFFFF00"/>
        </patternFill>
      </fill>
    </dxf>
    <dxf>
      <font>
        <color theme="0"/>
      </font>
      <fill>
        <patternFill>
          <bgColor rgb="FF00B05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worksheet" Target="worksheets/sheet39.xml"/><Relationship Id="rId21" Type="http://schemas.openxmlformats.org/officeDocument/2006/relationships/worksheet" Target="worksheets/sheet21.xml"/><Relationship Id="rId34" Type="http://schemas.openxmlformats.org/officeDocument/2006/relationships/worksheet" Target="worksheets/sheet34.xml"/><Relationship Id="rId42" Type="http://schemas.openxmlformats.org/officeDocument/2006/relationships/worksheet" Target="worksheets/sheet42.xml"/><Relationship Id="rId47" Type="http://schemas.openxmlformats.org/officeDocument/2006/relationships/worksheet" Target="worksheets/sheet47.xml"/><Relationship Id="rId50" Type="http://schemas.openxmlformats.org/officeDocument/2006/relationships/worksheet" Target="worksheets/sheet50.xml"/><Relationship Id="rId55" Type="http://schemas.openxmlformats.org/officeDocument/2006/relationships/worksheet" Target="worksheets/sheet55.xml"/><Relationship Id="rId7" Type="http://schemas.openxmlformats.org/officeDocument/2006/relationships/worksheet" Target="worksheets/sheet7.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worksheet" Target="worksheets/sheet29.xml"/><Relationship Id="rId41" Type="http://schemas.openxmlformats.org/officeDocument/2006/relationships/worksheet" Target="worksheets/sheet41.xml"/><Relationship Id="rId54" Type="http://schemas.openxmlformats.org/officeDocument/2006/relationships/worksheet" Target="worksheets/sheet54.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worksheet" Target="worksheets/sheet32.xml"/><Relationship Id="rId37" Type="http://schemas.openxmlformats.org/officeDocument/2006/relationships/worksheet" Target="worksheets/sheet37.xml"/><Relationship Id="rId40" Type="http://schemas.openxmlformats.org/officeDocument/2006/relationships/worksheet" Target="worksheets/sheet40.xml"/><Relationship Id="rId45" Type="http://schemas.openxmlformats.org/officeDocument/2006/relationships/worksheet" Target="worksheets/sheet45.xml"/><Relationship Id="rId53" Type="http://schemas.openxmlformats.org/officeDocument/2006/relationships/worksheet" Target="worksheets/sheet53.xml"/><Relationship Id="rId58"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theme" Target="theme/theme1.xml"/><Relationship Id="rId61"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worksheet" Target="worksheets/sheet30.xml"/><Relationship Id="rId35" Type="http://schemas.openxmlformats.org/officeDocument/2006/relationships/worksheet" Target="worksheets/sheet35.xml"/><Relationship Id="rId43" Type="http://schemas.openxmlformats.org/officeDocument/2006/relationships/worksheet" Target="worksheets/sheet43.xml"/><Relationship Id="rId48" Type="http://schemas.openxmlformats.org/officeDocument/2006/relationships/worksheet" Target="worksheets/sheet48.xml"/><Relationship Id="rId56" Type="http://schemas.openxmlformats.org/officeDocument/2006/relationships/externalLink" Target="externalLinks/externalLink1.xml"/><Relationship Id="rId8" Type="http://schemas.openxmlformats.org/officeDocument/2006/relationships/worksheet" Target="worksheets/sheet8.xml"/><Relationship Id="rId51" Type="http://schemas.openxmlformats.org/officeDocument/2006/relationships/worksheet" Target="worksheets/sheet51.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0</xdr:col>
      <xdr:colOff>0</xdr:colOff>
      <xdr:row>17</xdr:row>
      <xdr:rowOff>177597</xdr:rowOff>
    </xdr:from>
    <xdr:to>
      <xdr:col>0</xdr:col>
      <xdr:colOff>0</xdr:colOff>
      <xdr:row>21</xdr:row>
      <xdr:rowOff>151562</xdr:rowOff>
    </xdr:to>
    <xdr:pic>
      <xdr:nvPicPr>
        <xdr:cNvPr id="2" name="Picture 1"/>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898072" y="3492297"/>
          <a:ext cx="2207491" cy="783590"/>
        </a:xfrm>
        <a:prstGeom prst="rect">
          <a:avLst/>
        </a:prstGeom>
        <a:noFill/>
        <a:ln>
          <a:noFill/>
        </a:ln>
      </xdr:spPr>
    </xdr:pic>
    <xdr:clientData/>
  </xdr:twoCellAnchor>
  <mc:AlternateContent xmlns:mc="http://schemas.openxmlformats.org/markup-compatibility/2006">
    <mc:Choice xmlns:a14="http://schemas.microsoft.com/office/drawing/2010/main" Requires="a14">
      <xdr:twoCellAnchor>
        <xdr:from>
          <xdr:col>0</xdr:col>
          <xdr:colOff>371475</xdr:colOff>
          <xdr:row>1</xdr:row>
          <xdr:rowOff>114300</xdr:rowOff>
        </xdr:from>
        <xdr:to>
          <xdr:col>3</xdr:col>
          <xdr:colOff>790575</xdr:colOff>
          <xdr:row>4</xdr:row>
          <xdr:rowOff>0</xdr:rowOff>
        </xdr:to>
        <xdr:sp macro="" textlink="">
          <xdr:nvSpPr>
            <xdr:cNvPr id="8193" name="Button 1" hidden="1">
              <a:extLst>
                <a:ext uri="{63B3BB69-23CF-44E3-9099-C40C66FF867C}">
                  <a14:compatExt spid="_x0000_s8193"/>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390525</xdr:colOff>
          <xdr:row>6</xdr:row>
          <xdr:rowOff>19050</xdr:rowOff>
        </xdr:from>
        <xdr:to>
          <xdr:col>3</xdr:col>
          <xdr:colOff>800100</xdr:colOff>
          <xdr:row>8</xdr:row>
          <xdr:rowOff>9525</xdr:rowOff>
        </xdr:to>
        <xdr:sp macro="" textlink="">
          <xdr:nvSpPr>
            <xdr:cNvPr id="8194" name="Button 2" hidden="1">
              <a:extLst>
                <a:ext uri="{63B3BB69-23CF-44E3-9099-C40C66FF867C}">
                  <a14:compatExt spid="_x0000_s8194"/>
                </a:ext>
              </a:extLst>
            </xdr:cNvPr>
            <xdr:cNvSpPr/>
          </xdr:nvSpPr>
          <xdr:spPr>
            <a:xfrm>
              <a:off x="0" y="0"/>
              <a:ext cx="0" cy="0"/>
            </a:xfrm>
            <a:prstGeom prst="rect">
              <a:avLst/>
            </a:prstGeom>
          </xdr:spPr>
          <xdr:txBody>
            <a:bodyPr vertOverflow="clip" wrap="square" lIns="45720" tIns="41148" rIns="45720" bIns="41148" anchor="ctr" upright="1"/>
            <a:lstStyle/>
            <a:p>
              <a:pPr algn="ctr" rtl="0">
                <a:defRPr sz="1000"/>
              </a:pPr>
              <a:r>
                <a:rPr lang="en-US" sz="2000" b="0" i="0" u="none" strike="noStrike" baseline="0">
                  <a:solidFill>
                    <a:srgbClr val="FF0000"/>
                  </a:solidFill>
                  <a:latin typeface="Calibri"/>
                </a:rPr>
                <a:t>Print Entire Workbook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1895475</xdr:colOff>
          <xdr:row>7</xdr:row>
          <xdr:rowOff>133350</xdr:rowOff>
        </xdr:from>
        <xdr:to>
          <xdr:col>5</xdr:col>
          <xdr:colOff>695325</xdr:colOff>
          <xdr:row>14</xdr:row>
          <xdr:rowOff>0</xdr:rowOff>
        </xdr:to>
        <xdr:sp macro="" textlink="">
          <xdr:nvSpPr>
            <xdr:cNvPr id="8195" name="Button 3" hidden="1">
              <a:extLst>
                <a:ext uri="{63B3BB69-23CF-44E3-9099-C40C66FF867C}">
                  <a14:compatExt spid="_x0000_s819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Line of Business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16</xdr:row>
          <xdr:rowOff>57150</xdr:rowOff>
        </xdr:from>
        <xdr:to>
          <xdr:col>5</xdr:col>
          <xdr:colOff>723900</xdr:colOff>
          <xdr:row>17</xdr:row>
          <xdr:rowOff>0</xdr:rowOff>
        </xdr:to>
        <xdr:sp macro="" textlink="">
          <xdr:nvSpPr>
            <xdr:cNvPr id="8196" name="Button 4" hidden="1">
              <a:extLst>
                <a:ext uri="{63B3BB69-23CF-44E3-9099-C40C66FF867C}">
                  <a14:compatExt spid="_x0000_s819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Segment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1914525</xdr:colOff>
          <xdr:row>19</xdr:row>
          <xdr:rowOff>28575</xdr:rowOff>
        </xdr:from>
        <xdr:to>
          <xdr:col>5</xdr:col>
          <xdr:colOff>771525</xdr:colOff>
          <xdr:row>22</xdr:row>
          <xdr:rowOff>47625</xdr:rowOff>
        </xdr:to>
        <xdr:sp macro="" textlink="">
          <xdr:nvSpPr>
            <xdr:cNvPr id="8197" name="Button 5" hidden="1">
              <a:extLst>
                <a:ext uri="{63B3BB69-23CF-44E3-9099-C40C66FF867C}">
                  <a14:compatExt spid="_x0000_s819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Click here if Business Entity Assessment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1933575</xdr:colOff>
          <xdr:row>28</xdr:row>
          <xdr:rowOff>428625</xdr:rowOff>
        </xdr:from>
        <xdr:to>
          <xdr:col>5</xdr:col>
          <xdr:colOff>895350</xdr:colOff>
          <xdr:row>30</xdr:row>
          <xdr:rowOff>9525</xdr:rowOff>
        </xdr:to>
        <xdr:sp macro="" textlink="">
          <xdr:nvSpPr>
            <xdr:cNvPr id="8198" name="Button 6" hidden="1">
              <a:extLst>
                <a:ext uri="{63B3BB69-23CF-44E3-9099-C40C66FF867C}">
                  <a14:compatExt spid="_x0000_s819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US" sz="1100" b="1" i="0" u="none" strike="noStrike" baseline="0">
                  <a:solidFill>
                    <a:srgbClr val="FF0000"/>
                  </a:solidFill>
                  <a:latin typeface="Calibri"/>
                </a:rPr>
                <a:t>Unhide Master List of 1 - 40 Risks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3</xdr:col>
      <xdr:colOff>69272</xdr:colOff>
      <xdr:row>17</xdr:row>
      <xdr:rowOff>177597</xdr:rowOff>
    </xdr:from>
    <xdr:to>
      <xdr:col>6</xdr:col>
      <xdr:colOff>447963</xdr:colOff>
      <xdr:row>21</xdr:row>
      <xdr:rowOff>151562</xdr:rowOff>
    </xdr:to>
    <xdr:pic>
      <xdr:nvPicPr>
        <xdr:cNvPr id="3" name="Picture 2"/>
        <xdr:cNvPicPr/>
      </xdr:nvPicPr>
      <xdr:blipFill>
        <a:blip xmlns:r="http://schemas.openxmlformats.org/officeDocument/2006/relationships" r:embed="rId1">
          <a:extLst>
            <a:ext uri="{28A0092B-C50C-407E-A947-70E740481C1C}">
              <a14:useLocalDpi xmlns:a14="http://schemas.microsoft.com/office/drawing/2010/main" val="0"/>
            </a:ext>
          </a:extLst>
        </a:blip>
        <a:srcRect l="50322"/>
        <a:stretch>
          <a:fillRect/>
        </a:stretch>
      </xdr:blipFill>
      <xdr:spPr bwMode="auto">
        <a:xfrm>
          <a:off x="1910772" y="3490180"/>
          <a:ext cx="2220191" cy="783590"/>
        </a:xfrm>
        <a:prstGeom prst="rect">
          <a:avLst/>
        </a:prstGeom>
        <a:noFill/>
        <a:ln>
          <a:noFill/>
        </a:ln>
      </xdr:spPr>
    </xdr:pic>
    <xdr:clientData/>
  </xdr:twoCellAnchor>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C:\Users\n816859\Documents\3%20-10%20-%2015%20ii.xls"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isk ID - Template"/>
      <sheetName val="Sheet5"/>
      <sheetName val="Dropdowns"/>
      <sheetName val="Sheet12"/>
      <sheetName val="Sheet4"/>
      <sheetName val="Sheet1"/>
      <sheetName val="Sheet2"/>
      <sheetName val="Sheet3"/>
      <sheetName val="Controls"/>
      <sheetName val="Strategic Plan"/>
      <sheetName val="Risks"/>
      <sheetName val="Drivers"/>
      <sheetName val="Risk Rating - Impact Scale"/>
      <sheetName val="Likelihood Scale"/>
      <sheetName val="Control Suite Eff. Scale"/>
      <sheetName val="Control Methodology"/>
      <sheetName val="Macros"/>
    </sheetNames>
    <sheetDataSet>
      <sheetData sheetId="0">
        <row r="7">
          <cell r="D7" t="str">
            <v>Model</v>
          </cell>
          <cell r="E7" t="str">
            <v>External Factors</v>
          </cell>
          <cell r="F7" t="str">
            <v>Technology</v>
          </cell>
          <cell r="H7" t="str">
            <v>Inflation / Deflation</v>
          </cell>
          <cell r="J7" t="str">
            <v>0 - $100 K</v>
          </cell>
          <cell r="P7">
            <v>0</v>
          </cell>
          <cell r="Q7">
            <v>0</v>
          </cell>
        </row>
        <row r="8">
          <cell r="D8" t="str">
            <v>Compliance</v>
          </cell>
          <cell r="E8" t="str">
            <v>Legal</v>
          </cell>
          <cell r="F8" t="str">
            <v>Legal</v>
          </cell>
          <cell r="H8">
            <v>0</v>
          </cell>
          <cell r="J8" t="str">
            <v>$3 M - $15 M</v>
          </cell>
          <cell r="P8">
            <v>0</v>
          </cell>
          <cell r="Q8">
            <v>0</v>
          </cell>
        </row>
        <row r="9">
          <cell r="D9" t="str">
            <v>Market</v>
          </cell>
          <cell r="E9" t="str">
            <v>External Factors</v>
          </cell>
          <cell r="F9" t="str">
            <v>Economy / Market Conditions</v>
          </cell>
          <cell r="H9" t="str">
            <v>Organization Size (number of employees / number of facilities)</v>
          </cell>
          <cell r="J9" t="str">
            <v>$1 M - $3 M</v>
          </cell>
          <cell r="P9">
            <v>0</v>
          </cell>
          <cell r="Q9">
            <v>0</v>
          </cell>
        </row>
        <row r="10">
          <cell r="D10" t="str">
            <v>Market</v>
          </cell>
          <cell r="E10" t="str">
            <v>Market External Factors</v>
          </cell>
          <cell r="F10" t="str">
            <v>Legislative and regulatory changes</v>
          </cell>
          <cell r="H10">
            <v>0</v>
          </cell>
          <cell r="J10" t="str">
            <v>$10 B - $20 B</v>
          </cell>
          <cell r="P10">
            <v>0</v>
          </cell>
          <cell r="Q10">
            <v>0</v>
          </cell>
        </row>
        <row r="11">
          <cell r="D11" t="str">
            <v>Liquidity</v>
          </cell>
          <cell r="E11" t="str">
            <v>Contingent Liquidity</v>
          </cell>
          <cell r="F11" t="str">
            <v xml:space="preserve">Securitization </v>
          </cell>
          <cell r="H11">
            <v>0</v>
          </cell>
          <cell r="J11" t="str">
            <v>$250 M - $750 M</v>
          </cell>
          <cell r="P11">
            <v>0</v>
          </cell>
          <cell r="Q11">
            <v>0</v>
          </cell>
        </row>
        <row r="12">
          <cell r="D12" t="str">
            <v>Model</v>
          </cell>
          <cell r="E12" t="str">
            <v>External Factors</v>
          </cell>
          <cell r="F12" t="str">
            <v>Economy / Market Conditions</v>
          </cell>
          <cell r="H12">
            <v>0</v>
          </cell>
          <cell r="J12" t="str">
            <v>$100 K - $1 M</v>
          </cell>
          <cell r="P12">
            <v>0</v>
          </cell>
          <cell r="Q12">
            <v>0</v>
          </cell>
        </row>
        <row r="13">
          <cell r="D13" t="str">
            <v>Compliance</v>
          </cell>
          <cell r="E13" t="str">
            <v>Legal</v>
          </cell>
          <cell r="F13">
            <v>0</v>
          </cell>
          <cell r="H13">
            <v>0</v>
          </cell>
          <cell r="J13" t="str">
            <v>$100 K - $1 M</v>
          </cell>
          <cell r="P13">
            <v>0</v>
          </cell>
          <cell r="Q13">
            <v>0</v>
          </cell>
        </row>
        <row r="14">
          <cell r="D14" t="str">
            <v>Market</v>
          </cell>
          <cell r="E14" t="str">
            <v>External Factors</v>
          </cell>
          <cell r="F14">
            <v>0</v>
          </cell>
          <cell r="H14">
            <v>0</v>
          </cell>
          <cell r="J14">
            <v>0</v>
          </cell>
          <cell r="P14">
            <v>0</v>
          </cell>
          <cell r="Q14">
            <v>0</v>
          </cell>
        </row>
        <row r="15">
          <cell r="D15" t="str">
            <v>Market</v>
          </cell>
          <cell r="E15" t="str">
            <v>Market External Factors</v>
          </cell>
          <cell r="F15">
            <v>0</v>
          </cell>
          <cell r="H15">
            <v>0</v>
          </cell>
          <cell r="J15">
            <v>0</v>
          </cell>
          <cell r="P15">
            <v>0</v>
          </cell>
          <cell r="Q15">
            <v>0</v>
          </cell>
        </row>
        <row r="16">
          <cell r="D16" t="str">
            <v>Liquidity</v>
          </cell>
          <cell r="E16" t="str">
            <v>Contingent Liquidity</v>
          </cell>
          <cell r="F16">
            <v>0</v>
          </cell>
          <cell r="H16">
            <v>0</v>
          </cell>
          <cell r="J16">
            <v>0</v>
          </cell>
          <cell r="P16">
            <v>0</v>
          </cell>
          <cell r="Q16">
            <v>0</v>
          </cell>
        </row>
        <row r="17">
          <cell r="D17">
            <v>0</v>
          </cell>
          <cell r="E17">
            <v>0</v>
          </cell>
          <cell r="F17">
            <v>0</v>
          </cell>
          <cell r="H17">
            <v>0</v>
          </cell>
          <cell r="J17">
            <v>0</v>
          </cell>
          <cell r="P17">
            <v>0</v>
          </cell>
          <cell r="Q17">
            <v>0</v>
          </cell>
        </row>
        <row r="18">
          <cell r="D18">
            <v>0</v>
          </cell>
          <cell r="E18">
            <v>0</v>
          </cell>
          <cell r="F18">
            <v>0</v>
          </cell>
          <cell r="H18">
            <v>0</v>
          </cell>
          <cell r="J18">
            <v>0</v>
          </cell>
          <cell r="P18">
            <v>0</v>
          </cell>
          <cell r="Q18">
            <v>0</v>
          </cell>
        </row>
        <row r="19">
          <cell r="D19">
            <v>0</v>
          </cell>
          <cell r="E19">
            <v>0</v>
          </cell>
          <cell r="F19">
            <v>0</v>
          </cell>
          <cell r="H19">
            <v>0</v>
          </cell>
          <cell r="J19">
            <v>0</v>
          </cell>
          <cell r="P19">
            <v>0</v>
          </cell>
          <cell r="Q19">
            <v>0</v>
          </cell>
        </row>
        <row r="20">
          <cell r="D20">
            <v>0</v>
          </cell>
          <cell r="E20">
            <v>0</v>
          </cell>
          <cell r="F20">
            <v>0</v>
          </cell>
          <cell r="H20">
            <v>0</v>
          </cell>
          <cell r="J20">
            <v>0</v>
          </cell>
          <cell r="P20">
            <v>0</v>
          </cell>
          <cell r="Q20">
            <v>0</v>
          </cell>
        </row>
        <row r="21">
          <cell r="D21">
            <v>0</v>
          </cell>
          <cell r="E21">
            <v>0</v>
          </cell>
          <cell r="F21">
            <v>0</v>
          </cell>
          <cell r="H21">
            <v>0</v>
          </cell>
          <cell r="J21">
            <v>0</v>
          </cell>
          <cell r="P21">
            <v>0</v>
          </cell>
          <cell r="Q21">
            <v>0</v>
          </cell>
        </row>
        <row r="22">
          <cell r="D22">
            <v>0</v>
          </cell>
          <cell r="E22">
            <v>0</v>
          </cell>
          <cell r="F22">
            <v>0</v>
          </cell>
          <cell r="H22">
            <v>0</v>
          </cell>
          <cell r="J22">
            <v>0</v>
          </cell>
          <cell r="P22">
            <v>0</v>
          </cell>
          <cell r="Q22">
            <v>0</v>
          </cell>
        </row>
        <row r="23">
          <cell r="D23">
            <v>0</v>
          </cell>
          <cell r="E23">
            <v>0</v>
          </cell>
          <cell r="F23">
            <v>0</v>
          </cell>
          <cell r="H23">
            <v>0</v>
          </cell>
          <cell r="J23">
            <v>0</v>
          </cell>
          <cell r="P23">
            <v>0</v>
          </cell>
          <cell r="Q23">
            <v>0</v>
          </cell>
        </row>
        <row r="24">
          <cell r="D24" t="str">
            <v>Credit</v>
          </cell>
          <cell r="E24" t="str">
            <v>Collateral</v>
          </cell>
          <cell r="F24">
            <v>0</v>
          </cell>
          <cell r="H24">
            <v>0</v>
          </cell>
          <cell r="J24">
            <v>0</v>
          </cell>
          <cell r="P24">
            <v>0</v>
          </cell>
          <cell r="Q24">
            <v>0</v>
          </cell>
        </row>
        <row r="25">
          <cell r="D25">
            <v>0</v>
          </cell>
          <cell r="E25">
            <v>0</v>
          </cell>
          <cell r="F25">
            <v>0</v>
          </cell>
          <cell r="H25">
            <v>0</v>
          </cell>
          <cell r="J25">
            <v>0</v>
          </cell>
          <cell r="P25">
            <v>0</v>
          </cell>
          <cell r="Q25">
            <v>0</v>
          </cell>
        </row>
        <row r="26">
          <cell r="D26">
            <v>0</v>
          </cell>
          <cell r="E26">
            <v>0</v>
          </cell>
          <cell r="F26">
            <v>0</v>
          </cell>
          <cell r="H26">
            <v>0</v>
          </cell>
          <cell r="J26">
            <v>0</v>
          </cell>
          <cell r="P26">
            <v>0</v>
          </cell>
          <cell r="Q26">
            <v>0</v>
          </cell>
        </row>
        <row r="27">
          <cell r="D27">
            <v>0</v>
          </cell>
          <cell r="E27">
            <v>0</v>
          </cell>
          <cell r="F27">
            <v>0</v>
          </cell>
          <cell r="H27">
            <v>0</v>
          </cell>
          <cell r="J27">
            <v>0</v>
          </cell>
          <cell r="P27">
            <v>0</v>
          </cell>
          <cell r="Q27">
            <v>0</v>
          </cell>
        </row>
        <row r="28">
          <cell r="D28">
            <v>0</v>
          </cell>
          <cell r="E28">
            <v>0</v>
          </cell>
          <cell r="F28">
            <v>0</v>
          </cell>
          <cell r="H28">
            <v>0</v>
          </cell>
          <cell r="J28">
            <v>0</v>
          </cell>
          <cell r="P28">
            <v>0</v>
          </cell>
          <cell r="Q28">
            <v>0</v>
          </cell>
        </row>
        <row r="29">
          <cell r="D29">
            <v>0</v>
          </cell>
          <cell r="E29">
            <v>0</v>
          </cell>
          <cell r="F29">
            <v>0</v>
          </cell>
          <cell r="H29">
            <v>0</v>
          </cell>
          <cell r="J29">
            <v>0</v>
          </cell>
          <cell r="P29">
            <v>0</v>
          </cell>
          <cell r="Q29">
            <v>0</v>
          </cell>
        </row>
        <row r="30">
          <cell r="D30">
            <v>0</v>
          </cell>
          <cell r="E30">
            <v>0</v>
          </cell>
          <cell r="F30">
            <v>0</v>
          </cell>
          <cell r="H30">
            <v>0</v>
          </cell>
          <cell r="J30">
            <v>0</v>
          </cell>
          <cell r="P30">
            <v>0</v>
          </cell>
          <cell r="Q30">
            <v>0</v>
          </cell>
        </row>
        <row r="31">
          <cell r="D31">
            <v>0</v>
          </cell>
          <cell r="E31">
            <v>0</v>
          </cell>
          <cell r="F31">
            <v>0</v>
          </cell>
          <cell r="H31">
            <v>0</v>
          </cell>
          <cell r="J31">
            <v>0</v>
          </cell>
          <cell r="P31">
            <v>0</v>
          </cell>
          <cell r="Q31">
            <v>0</v>
          </cell>
        </row>
        <row r="32">
          <cell r="D32">
            <v>0</v>
          </cell>
          <cell r="E32">
            <v>0</v>
          </cell>
          <cell r="F32">
            <v>0</v>
          </cell>
          <cell r="H32">
            <v>0</v>
          </cell>
          <cell r="J32">
            <v>0</v>
          </cell>
          <cell r="P32">
            <v>0</v>
          </cell>
          <cell r="Q32">
            <v>0</v>
          </cell>
        </row>
        <row r="33">
          <cell r="D33">
            <v>0</v>
          </cell>
          <cell r="E33">
            <v>0</v>
          </cell>
          <cell r="F33">
            <v>0</v>
          </cell>
          <cell r="H33">
            <v>0</v>
          </cell>
          <cell r="J33">
            <v>0</v>
          </cell>
          <cell r="P33">
            <v>0</v>
          </cell>
          <cell r="Q33">
            <v>0</v>
          </cell>
        </row>
        <row r="34">
          <cell r="D34">
            <v>0</v>
          </cell>
          <cell r="E34">
            <v>0</v>
          </cell>
          <cell r="F34">
            <v>0</v>
          </cell>
          <cell r="H34">
            <v>0</v>
          </cell>
          <cell r="J34">
            <v>0</v>
          </cell>
          <cell r="P34">
            <v>0</v>
          </cell>
          <cell r="Q34">
            <v>0</v>
          </cell>
        </row>
        <row r="35">
          <cell r="D35">
            <v>0</v>
          </cell>
          <cell r="E35">
            <v>0</v>
          </cell>
          <cell r="F35">
            <v>0</v>
          </cell>
          <cell r="H35">
            <v>0</v>
          </cell>
          <cell r="J35">
            <v>0</v>
          </cell>
          <cell r="P35">
            <v>0</v>
          </cell>
          <cell r="Q35">
            <v>0</v>
          </cell>
        </row>
        <row r="36">
          <cell r="D36">
            <v>0</v>
          </cell>
          <cell r="E36">
            <v>0</v>
          </cell>
          <cell r="F36">
            <v>0</v>
          </cell>
          <cell r="H36">
            <v>0</v>
          </cell>
          <cell r="J36">
            <v>0</v>
          </cell>
          <cell r="P36">
            <v>0</v>
          </cell>
          <cell r="Q36">
            <v>0</v>
          </cell>
        </row>
        <row r="37">
          <cell r="D37">
            <v>0</v>
          </cell>
          <cell r="E37">
            <v>0</v>
          </cell>
          <cell r="F37">
            <v>0</v>
          </cell>
          <cell r="H37">
            <v>0</v>
          </cell>
          <cell r="J37">
            <v>0</v>
          </cell>
          <cell r="P37">
            <v>0</v>
          </cell>
          <cell r="Q37">
            <v>0</v>
          </cell>
        </row>
        <row r="38">
          <cell r="D38">
            <v>0</v>
          </cell>
          <cell r="E38">
            <v>0</v>
          </cell>
          <cell r="F38">
            <v>0</v>
          </cell>
          <cell r="H38">
            <v>0</v>
          </cell>
          <cell r="J38">
            <v>0</v>
          </cell>
          <cell r="P38">
            <v>0</v>
          </cell>
          <cell r="Q38">
            <v>0</v>
          </cell>
        </row>
        <row r="39">
          <cell r="D39">
            <v>0</v>
          </cell>
          <cell r="E39">
            <v>0</v>
          </cell>
          <cell r="F39">
            <v>0</v>
          </cell>
          <cell r="H39">
            <v>0</v>
          </cell>
          <cell r="J39">
            <v>0</v>
          </cell>
          <cell r="P39">
            <v>0</v>
          </cell>
          <cell r="Q39">
            <v>0</v>
          </cell>
        </row>
        <row r="40">
          <cell r="D40">
            <v>0</v>
          </cell>
          <cell r="E40">
            <v>0</v>
          </cell>
          <cell r="F40">
            <v>0</v>
          </cell>
          <cell r="H40">
            <v>0</v>
          </cell>
          <cell r="J40">
            <v>0</v>
          </cell>
          <cell r="P40">
            <v>0</v>
          </cell>
          <cell r="Q40">
            <v>0</v>
          </cell>
        </row>
        <row r="41">
          <cell r="D41">
            <v>0</v>
          </cell>
          <cell r="E41">
            <v>0</v>
          </cell>
          <cell r="F41">
            <v>0</v>
          </cell>
          <cell r="H41">
            <v>0</v>
          </cell>
          <cell r="J41">
            <v>0</v>
          </cell>
          <cell r="P41">
            <v>0</v>
          </cell>
          <cell r="Q41">
            <v>0</v>
          </cell>
        </row>
        <row r="42">
          <cell r="D42">
            <v>0</v>
          </cell>
          <cell r="E42">
            <v>0</v>
          </cell>
          <cell r="F42">
            <v>0</v>
          </cell>
          <cell r="H42">
            <v>0</v>
          </cell>
          <cell r="J42">
            <v>0</v>
          </cell>
          <cell r="P42">
            <v>0</v>
          </cell>
          <cell r="Q42">
            <v>0</v>
          </cell>
        </row>
        <row r="43">
          <cell r="D43">
            <v>0</v>
          </cell>
          <cell r="E43">
            <v>0</v>
          </cell>
          <cell r="F43">
            <v>0</v>
          </cell>
          <cell r="H43">
            <v>0</v>
          </cell>
          <cell r="J43">
            <v>0</v>
          </cell>
          <cell r="P43">
            <v>0</v>
          </cell>
          <cell r="Q43">
            <v>0</v>
          </cell>
        </row>
        <row r="44">
          <cell r="D44">
            <v>0</v>
          </cell>
          <cell r="E44">
            <v>0</v>
          </cell>
          <cell r="F44">
            <v>0</v>
          </cell>
          <cell r="H44">
            <v>0</v>
          </cell>
          <cell r="J44">
            <v>0</v>
          </cell>
          <cell r="P44">
            <v>0</v>
          </cell>
          <cell r="Q44">
            <v>0</v>
          </cell>
        </row>
        <row r="45">
          <cell r="D45">
            <v>0</v>
          </cell>
          <cell r="E45">
            <v>0</v>
          </cell>
          <cell r="F45">
            <v>0</v>
          </cell>
          <cell r="H45">
            <v>0</v>
          </cell>
          <cell r="J45">
            <v>0</v>
          </cell>
          <cell r="P45">
            <v>0</v>
          </cell>
          <cell r="Q45">
            <v>0</v>
          </cell>
        </row>
        <row r="46">
          <cell r="D46">
            <v>0</v>
          </cell>
          <cell r="E46">
            <v>0</v>
          </cell>
          <cell r="F46">
            <v>0</v>
          </cell>
          <cell r="H46">
            <v>0</v>
          </cell>
          <cell r="J46">
            <v>0</v>
          </cell>
          <cell r="P46">
            <v>0</v>
          </cell>
          <cell r="Q46">
            <v>0</v>
          </cell>
        </row>
        <row r="47">
          <cell r="D47">
            <v>0</v>
          </cell>
          <cell r="E47">
            <v>0</v>
          </cell>
          <cell r="F47">
            <v>0</v>
          </cell>
          <cell r="H47">
            <v>0</v>
          </cell>
          <cell r="J47">
            <v>0</v>
          </cell>
          <cell r="P47">
            <v>0</v>
          </cell>
          <cell r="Q47">
            <v>0</v>
          </cell>
        </row>
        <row r="48">
          <cell r="D48">
            <v>0</v>
          </cell>
          <cell r="E48">
            <v>0</v>
          </cell>
          <cell r="F48">
            <v>0</v>
          </cell>
          <cell r="H48">
            <v>0</v>
          </cell>
          <cell r="J48">
            <v>0</v>
          </cell>
          <cell r="P48">
            <v>0</v>
          </cell>
          <cell r="Q48">
            <v>0</v>
          </cell>
        </row>
        <row r="49">
          <cell r="D49">
            <v>0</v>
          </cell>
          <cell r="E49">
            <v>0</v>
          </cell>
          <cell r="F49">
            <v>0</v>
          </cell>
          <cell r="H49">
            <v>0</v>
          </cell>
          <cell r="J49">
            <v>0</v>
          </cell>
          <cell r="P49">
            <v>0</v>
          </cell>
          <cell r="Q49">
            <v>0</v>
          </cell>
        </row>
        <row r="50">
          <cell r="D50">
            <v>0</v>
          </cell>
          <cell r="E50">
            <v>0</v>
          </cell>
          <cell r="F50">
            <v>0</v>
          </cell>
          <cell r="H50">
            <v>0</v>
          </cell>
          <cell r="J50">
            <v>0</v>
          </cell>
          <cell r="P50">
            <v>0</v>
          </cell>
          <cell r="Q50">
            <v>0</v>
          </cell>
        </row>
        <row r="51">
          <cell r="D51">
            <v>0</v>
          </cell>
          <cell r="E51">
            <v>0</v>
          </cell>
          <cell r="F51">
            <v>0</v>
          </cell>
          <cell r="H51">
            <v>0</v>
          </cell>
          <cell r="J51">
            <v>0</v>
          </cell>
          <cell r="P51">
            <v>0</v>
          </cell>
          <cell r="Q51">
            <v>0</v>
          </cell>
        </row>
        <row r="52">
          <cell r="D52">
            <v>0</v>
          </cell>
          <cell r="E52">
            <v>0</v>
          </cell>
          <cell r="F52">
            <v>0</v>
          </cell>
          <cell r="H52">
            <v>0</v>
          </cell>
          <cell r="J52">
            <v>0</v>
          </cell>
          <cell r="P52">
            <v>0</v>
          </cell>
          <cell r="Q52">
            <v>0</v>
          </cell>
        </row>
        <row r="53">
          <cell r="D53">
            <v>0</v>
          </cell>
          <cell r="E53">
            <v>0</v>
          </cell>
          <cell r="F53">
            <v>0</v>
          </cell>
          <cell r="H53">
            <v>0</v>
          </cell>
          <cell r="J53">
            <v>0</v>
          </cell>
          <cell r="P53">
            <v>0</v>
          </cell>
          <cell r="Q53">
            <v>0</v>
          </cell>
        </row>
        <row r="54">
          <cell r="D54">
            <v>0</v>
          </cell>
          <cell r="E54">
            <v>0</v>
          </cell>
          <cell r="F54">
            <v>0</v>
          </cell>
          <cell r="H54">
            <v>0</v>
          </cell>
          <cell r="J54">
            <v>0</v>
          </cell>
          <cell r="P54">
            <v>0</v>
          </cell>
          <cell r="Q54">
            <v>0</v>
          </cell>
        </row>
        <row r="55">
          <cell r="D55">
            <v>0</v>
          </cell>
          <cell r="E55">
            <v>0</v>
          </cell>
          <cell r="F55">
            <v>0</v>
          </cell>
          <cell r="H55">
            <v>0</v>
          </cell>
          <cell r="J55">
            <v>0</v>
          </cell>
          <cell r="P55">
            <v>0</v>
          </cell>
          <cell r="Q55">
            <v>0</v>
          </cell>
        </row>
        <row r="56">
          <cell r="D56">
            <v>0</v>
          </cell>
          <cell r="E56">
            <v>0</v>
          </cell>
          <cell r="F56">
            <v>0</v>
          </cell>
          <cell r="H56">
            <v>0</v>
          </cell>
          <cell r="J56">
            <v>0</v>
          </cell>
          <cell r="P56">
            <v>0</v>
          </cell>
          <cell r="Q56">
            <v>0</v>
          </cell>
        </row>
        <row r="57">
          <cell r="D57">
            <v>0</v>
          </cell>
          <cell r="E57">
            <v>0</v>
          </cell>
          <cell r="F57">
            <v>0</v>
          </cell>
          <cell r="H57">
            <v>0</v>
          </cell>
          <cell r="J57">
            <v>0</v>
          </cell>
          <cell r="P57">
            <v>0</v>
          </cell>
          <cell r="Q57">
            <v>0</v>
          </cell>
        </row>
        <row r="58">
          <cell r="D58">
            <v>0</v>
          </cell>
          <cell r="E58">
            <v>0</v>
          </cell>
          <cell r="F58">
            <v>0</v>
          </cell>
          <cell r="H58">
            <v>0</v>
          </cell>
          <cell r="J58">
            <v>0</v>
          </cell>
          <cell r="P58">
            <v>0</v>
          </cell>
          <cell r="Q58">
            <v>0</v>
          </cell>
        </row>
        <row r="59">
          <cell r="D59">
            <v>0</v>
          </cell>
          <cell r="E59">
            <v>0</v>
          </cell>
          <cell r="F59">
            <v>0</v>
          </cell>
          <cell r="H59">
            <v>0</v>
          </cell>
          <cell r="J59">
            <v>0</v>
          </cell>
          <cell r="P59">
            <v>0</v>
          </cell>
          <cell r="Q59">
            <v>0</v>
          </cell>
        </row>
        <row r="60">
          <cell r="D60">
            <v>0</v>
          </cell>
          <cell r="E60">
            <v>0</v>
          </cell>
          <cell r="F60">
            <v>0</v>
          </cell>
          <cell r="H60">
            <v>0</v>
          </cell>
          <cell r="J60">
            <v>0</v>
          </cell>
          <cell r="P60">
            <v>0</v>
          </cell>
          <cell r="Q60">
            <v>0</v>
          </cell>
        </row>
        <row r="61">
          <cell r="D61">
            <v>0</v>
          </cell>
          <cell r="E61">
            <v>0</v>
          </cell>
          <cell r="F61">
            <v>0</v>
          </cell>
          <cell r="H61">
            <v>0</v>
          </cell>
          <cell r="J61">
            <v>0</v>
          </cell>
          <cell r="P61">
            <v>0</v>
          </cell>
          <cell r="Q61">
            <v>0</v>
          </cell>
        </row>
        <row r="62">
          <cell r="D62">
            <v>0</v>
          </cell>
          <cell r="E62">
            <v>0</v>
          </cell>
          <cell r="F62">
            <v>0</v>
          </cell>
          <cell r="H62">
            <v>0</v>
          </cell>
          <cell r="J62">
            <v>0</v>
          </cell>
          <cell r="P62">
            <v>0</v>
          </cell>
          <cell r="Q62">
            <v>0</v>
          </cell>
        </row>
        <row r="63">
          <cell r="D63">
            <v>0</v>
          </cell>
          <cell r="E63">
            <v>0</v>
          </cell>
          <cell r="F63">
            <v>0</v>
          </cell>
          <cell r="H63">
            <v>0</v>
          </cell>
          <cell r="J63">
            <v>0</v>
          </cell>
          <cell r="P63">
            <v>0</v>
          </cell>
          <cell r="Q63">
            <v>0</v>
          </cell>
        </row>
        <row r="64">
          <cell r="D64">
            <v>0</v>
          </cell>
          <cell r="E64">
            <v>0</v>
          </cell>
          <cell r="F64">
            <v>0</v>
          </cell>
          <cell r="H64">
            <v>0</v>
          </cell>
          <cell r="J64">
            <v>0</v>
          </cell>
          <cell r="P64">
            <v>0</v>
          </cell>
          <cell r="Q64">
            <v>0</v>
          </cell>
        </row>
        <row r="65">
          <cell r="D65">
            <v>0</v>
          </cell>
          <cell r="E65">
            <v>0</v>
          </cell>
          <cell r="F65">
            <v>0</v>
          </cell>
          <cell r="H65">
            <v>0</v>
          </cell>
          <cell r="J65">
            <v>0</v>
          </cell>
          <cell r="P65">
            <v>0</v>
          </cell>
          <cell r="Q65">
            <v>0</v>
          </cell>
        </row>
        <row r="66">
          <cell r="D66">
            <v>0</v>
          </cell>
          <cell r="E66">
            <v>0</v>
          </cell>
          <cell r="F66">
            <v>0</v>
          </cell>
          <cell r="H66">
            <v>0</v>
          </cell>
          <cell r="J66">
            <v>0</v>
          </cell>
          <cell r="P66">
            <v>0</v>
          </cell>
          <cell r="Q66">
            <v>0</v>
          </cell>
        </row>
        <row r="67">
          <cell r="D67">
            <v>0</v>
          </cell>
          <cell r="E67">
            <v>0</v>
          </cell>
          <cell r="F67">
            <v>0</v>
          </cell>
          <cell r="H67">
            <v>0</v>
          </cell>
          <cell r="J67">
            <v>0</v>
          </cell>
          <cell r="P67">
            <v>0</v>
          </cell>
          <cell r="Q67">
            <v>0</v>
          </cell>
        </row>
        <row r="68">
          <cell r="D68">
            <v>0</v>
          </cell>
          <cell r="E68">
            <v>0</v>
          </cell>
          <cell r="F68">
            <v>0</v>
          </cell>
          <cell r="H68">
            <v>0</v>
          </cell>
          <cell r="J68">
            <v>0</v>
          </cell>
          <cell r="P68">
            <v>0</v>
          </cell>
          <cell r="Q68">
            <v>0</v>
          </cell>
        </row>
        <row r="69">
          <cell r="D69">
            <v>0</v>
          </cell>
          <cell r="E69">
            <v>0</v>
          </cell>
          <cell r="F69">
            <v>0</v>
          </cell>
          <cell r="H69">
            <v>0</v>
          </cell>
          <cell r="J69">
            <v>0</v>
          </cell>
          <cell r="P69">
            <v>0</v>
          </cell>
          <cell r="Q69">
            <v>0</v>
          </cell>
        </row>
        <row r="70">
          <cell r="D70">
            <v>0</v>
          </cell>
          <cell r="E70">
            <v>0</v>
          </cell>
          <cell r="F70">
            <v>0</v>
          </cell>
          <cell r="H70">
            <v>0</v>
          </cell>
          <cell r="J70">
            <v>0</v>
          </cell>
          <cell r="P70">
            <v>0</v>
          </cell>
          <cell r="Q70">
            <v>0</v>
          </cell>
        </row>
        <row r="71">
          <cell r="D71">
            <v>0</v>
          </cell>
          <cell r="E71">
            <v>0</v>
          </cell>
          <cell r="F71">
            <v>0</v>
          </cell>
          <cell r="H71">
            <v>0</v>
          </cell>
          <cell r="J71">
            <v>0</v>
          </cell>
          <cell r="P71">
            <v>0</v>
          </cell>
          <cell r="Q71">
            <v>0</v>
          </cell>
        </row>
        <row r="72">
          <cell r="D72">
            <v>0</v>
          </cell>
          <cell r="E72">
            <v>0</v>
          </cell>
          <cell r="F72">
            <v>0</v>
          </cell>
          <cell r="H72">
            <v>0</v>
          </cell>
          <cell r="J72">
            <v>0</v>
          </cell>
          <cell r="P72">
            <v>0</v>
          </cell>
          <cell r="Q72">
            <v>0</v>
          </cell>
        </row>
        <row r="73">
          <cell r="D73">
            <v>0</v>
          </cell>
          <cell r="E73">
            <v>0</v>
          </cell>
          <cell r="F73">
            <v>0</v>
          </cell>
          <cell r="H73">
            <v>0</v>
          </cell>
          <cell r="J73">
            <v>0</v>
          </cell>
          <cell r="P73">
            <v>0</v>
          </cell>
          <cell r="Q73">
            <v>0</v>
          </cell>
        </row>
        <row r="74">
          <cell r="D74">
            <v>0</v>
          </cell>
          <cell r="E74">
            <v>0</v>
          </cell>
          <cell r="F74">
            <v>0</v>
          </cell>
          <cell r="H74">
            <v>0</v>
          </cell>
          <cell r="J74">
            <v>0</v>
          </cell>
          <cell r="P74">
            <v>0</v>
          </cell>
          <cell r="Q74">
            <v>0</v>
          </cell>
        </row>
        <row r="75">
          <cell r="D75">
            <v>0</v>
          </cell>
          <cell r="E75">
            <v>0</v>
          </cell>
          <cell r="F75">
            <v>0</v>
          </cell>
          <cell r="H75">
            <v>0</v>
          </cell>
          <cell r="J75">
            <v>0</v>
          </cell>
          <cell r="P75">
            <v>0</v>
          </cell>
          <cell r="Q75">
            <v>0</v>
          </cell>
        </row>
        <row r="76">
          <cell r="D76">
            <v>0</v>
          </cell>
          <cell r="E76">
            <v>0</v>
          </cell>
          <cell r="F76">
            <v>0</v>
          </cell>
          <cell r="H76">
            <v>0</v>
          </cell>
          <cell r="J76">
            <v>0</v>
          </cell>
          <cell r="P76">
            <v>0</v>
          </cell>
          <cell r="Q76">
            <v>0</v>
          </cell>
        </row>
        <row r="77">
          <cell r="D77">
            <v>0</v>
          </cell>
          <cell r="E77">
            <v>0</v>
          </cell>
          <cell r="F77">
            <v>0</v>
          </cell>
          <cell r="H77">
            <v>0</v>
          </cell>
          <cell r="J77">
            <v>0</v>
          </cell>
          <cell r="P77">
            <v>0</v>
          </cell>
          <cell r="Q77">
            <v>0</v>
          </cell>
        </row>
        <row r="78">
          <cell r="D78">
            <v>0</v>
          </cell>
          <cell r="E78">
            <v>0</v>
          </cell>
          <cell r="F78">
            <v>0</v>
          </cell>
          <cell r="H78">
            <v>0</v>
          </cell>
          <cell r="J78">
            <v>0</v>
          </cell>
          <cell r="P78">
            <v>0</v>
          </cell>
          <cell r="Q78">
            <v>0</v>
          </cell>
        </row>
        <row r="79">
          <cell r="D79">
            <v>0</v>
          </cell>
          <cell r="E79">
            <v>0</v>
          </cell>
          <cell r="F79">
            <v>0</v>
          </cell>
          <cell r="H79">
            <v>0</v>
          </cell>
          <cell r="J79">
            <v>0</v>
          </cell>
          <cell r="P79">
            <v>0</v>
          </cell>
          <cell r="Q79">
            <v>0</v>
          </cell>
        </row>
        <row r="80">
          <cell r="D80">
            <v>0</v>
          </cell>
          <cell r="E80">
            <v>0</v>
          </cell>
          <cell r="F80">
            <v>0</v>
          </cell>
          <cell r="H80">
            <v>0</v>
          </cell>
          <cell r="J80">
            <v>0</v>
          </cell>
          <cell r="P80">
            <v>0</v>
          </cell>
          <cell r="Q80">
            <v>0</v>
          </cell>
        </row>
        <row r="81">
          <cell r="D81">
            <v>0</v>
          </cell>
          <cell r="E81">
            <v>0</v>
          </cell>
          <cell r="F81">
            <v>0</v>
          </cell>
          <cell r="H81">
            <v>0</v>
          </cell>
          <cell r="J81">
            <v>0</v>
          </cell>
          <cell r="P81">
            <v>0</v>
          </cell>
          <cell r="Q81">
            <v>0</v>
          </cell>
        </row>
        <row r="82">
          <cell r="D82">
            <v>0</v>
          </cell>
          <cell r="E82">
            <v>0</v>
          </cell>
          <cell r="F82">
            <v>0</v>
          </cell>
          <cell r="H82">
            <v>0</v>
          </cell>
          <cell r="J82">
            <v>0</v>
          </cell>
          <cell r="P82">
            <v>0</v>
          </cell>
          <cell r="Q82">
            <v>0</v>
          </cell>
        </row>
        <row r="83">
          <cell r="D83">
            <v>0</v>
          </cell>
          <cell r="E83">
            <v>0</v>
          </cell>
          <cell r="F83">
            <v>0</v>
          </cell>
          <cell r="H83">
            <v>0</v>
          </cell>
          <cell r="J83">
            <v>0</v>
          </cell>
          <cell r="P83">
            <v>0</v>
          </cell>
          <cell r="Q83">
            <v>0</v>
          </cell>
        </row>
        <row r="84">
          <cell r="D84">
            <v>0</v>
          </cell>
          <cell r="E84">
            <v>0</v>
          </cell>
          <cell r="F84">
            <v>0</v>
          </cell>
          <cell r="H84">
            <v>0</v>
          </cell>
          <cell r="J84">
            <v>0</v>
          </cell>
          <cell r="P84">
            <v>0</v>
          </cell>
          <cell r="Q84">
            <v>0</v>
          </cell>
        </row>
        <row r="85">
          <cell r="D85">
            <v>0</v>
          </cell>
          <cell r="E85">
            <v>0</v>
          </cell>
          <cell r="F85">
            <v>0</v>
          </cell>
          <cell r="H85">
            <v>0</v>
          </cell>
          <cell r="J85">
            <v>0</v>
          </cell>
          <cell r="P85">
            <v>0</v>
          </cell>
          <cell r="Q85">
            <v>0</v>
          </cell>
        </row>
        <row r="86">
          <cell r="D86">
            <v>0</v>
          </cell>
          <cell r="E86">
            <v>0</v>
          </cell>
          <cell r="F86">
            <v>0</v>
          </cell>
          <cell r="H86">
            <v>0</v>
          </cell>
          <cell r="J86">
            <v>0</v>
          </cell>
          <cell r="P86">
            <v>0</v>
          </cell>
          <cell r="Q86">
            <v>0</v>
          </cell>
        </row>
        <row r="87">
          <cell r="D87">
            <v>0</v>
          </cell>
          <cell r="E87">
            <v>0</v>
          </cell>
          <cell r="F87">
            <v>0</v>
          </cell>
          <cell r="H87">
            <v>0</v>
          </cell>
          <cell r="J87">
            <v>0</v>
          </cell>
          <cell r="P87">
            <v>0</v>
          </cell>
          <cell r="Q87">
            <v>0</v>
          </cell>
        </row>
        <row r="88">
          <cell r="D88">
            <v>0</v>
          </cell>
          <cell r="E88">
            <v>0</v>
          </cell>
          <cell r="F88">
            <v>0</v>
          </cell>
          <cell r="H88">
            <v>0</v>
          </cell>
          <cell r="J88">
            <v>0</v>
          </cell>
          <cell r="P88">
            <v>0</v>
          </cell>
          <cell r="Q88">
            <v>0</v>
          </cell>
        </row>
        <row r="89">
          <cell r="D89">
            <v>0</v>
          </cell>
          <cell r="E89">
            <v>0</v>
          </cell>
          <cell r="F89">
            <v>0</v>
          </cell>
          <cell r="H89">
            <v>0</v>
          </cell>
          <cell r="J89">
            <v>0</v>
          </cell>
          <cell r="P89">
            <v>0</v>
          </cell>
          <cell r="Q89">
            <v>0</v>
          </cell>
        </row>
        <row r="90">
          <cell r="D90">
            <v>0</v>
          </cell>
          <cell r="E90">
            <v>0</v>
          </cell>
          <cell r="F90">
            <v>0</v>
          </cell>
          <cell r="H90">
            <v>0</v>
          </cell>
          <cell r="J90">
            <v>0</v>
          </cell>
          <cell r="P90">
            <v>0</v>
          </cell>
          <cell r="Q90">
            <v>0</v>
          </cell>
        </row>
        <row r="91">
          <cell r="D91">
            <v>0</v>
          </cell>
          <cell r="E91">
            <v>0</v>
          </cell>
          <cell r="F91">
            <v>0</v>
          </cell>
          <cell r="H91">
            <v>0</v>
          </cell>
          <cell r="J91">
            <v>0</v>
          </cell>
          <cell r="P91">
            <v>0</v>
          </cell>
          <cell r="Q91">
            <v>0</v>
          </cell>
        </row>
        <row r="92">
          <cell r="D92">
            <v>0</v>
          </cell>
          <cell r="E92">
            <v>0</v>
          </cell>
          <cell r="F92">
            <v>0</v>
          </cell>
          <cell r="H92">
            <v>0</v>
          </cell>
          <cell r="J92">
            <v>0</v>
          </cell>
          <cell r="P92">
            <v>0</v>
          </cell>
          <cell r="Q92">
            <v>0</v>
          </cell>
        </row>
        <row r="93">
          <cell r="D93">
            <v>0</v>
          </cell>
          <cell r="E93">
            <v>0</v>
          </cell>
          <cell r="F93">
            <v>0</v>
          </cell>
          <cell r="H93">
            <v>0</v>
          </cell>
          <cell r="J93">
            <v>0</v>
          </cell>
          <cell r="P93">
            <v>0</v>
          </cell>
          <cell r="Q93">
            <v>0</v>
          </cell>
        </row>
        <row r="94">
          <cell r="D94">
            <v>0</v>
          </cell>
          <cell r="E94">
            <v>0</v>
          </cell>
          <cell r="F94">
            <v>0</v>
          </cell>
          <cell r="H94">
            <v>0</v>
          </cell>
          <cell r="J94">
            <v>0</v>
          </cell>
          <cell r="P94">
            <v>0</v>
          </cell>
          <cell r="Q94">
            <v>0</v>
          </cell>
        </row>
        <row r="95">
          <cell r="D95">
            <v>0</v>
          </cell>
          <cell r="E95">
            <v>0</v>
          </cell>
          <cell r="F95">
            <v>0</v>
          </cell>
          <cell r="H95">
            <v>0</v>
          </cell>
          <cell r="J95">
            <v>0</v>
          </cell>
          <cell r="P95">
            <v>0</v>
          </cell>
          <cell r="Q95">
            <v>0</v>
          </cell>
        </row>
        <row r="96">
          <cell r="D96">
            <v>0</v>
          </cell>
          <cell r="E96">
            <v>0</v>
          </cell>
          <cell r="F96">
            <v>0</v>
          </cell>
          <cell r="H96">
            <v>0</v>
          </cell>
          <cell r="J96">
            <v>0</v>
          </cell>
          <cell r="P96">
            <v>0</v>
          </cell>
          <cell r="Q96">
            <v>0</v>
          </cell>
        </row>
        <row r="97">
          <cell r="D97">
            <v>0</v>
          </cell>
          <cell r="E97">
            <v>0</v>
          </cell>
          <cell r="F97">
            <v>0</v>
          </cell>
          <cell r="H97">
            <v>0</v>
          </cell>
          <cell r="J97">
            <v>0</v>
          </cell>
          <cell r="P97">
            <v>0</v>
          </cell>
          <cell r="Q97">
            <v>0</v>
          </cell>
        </row>
        <row r="98">
          <cell r="D98">
            <v>0</v>
          </cell>
          <cell r="E98">
            <v>0</v>
          </cell>
          <cell r="F98">
            <v>0</v>
          </cell>
          <cell r="H98">
            <v>0</v>
          </cell>
          <cell r="J98">
            <v>0</v>
          </cell>
          <cell r="P98">
            <v>0</v>
          </cell>
          <cell r="Q98">
            <v>0</v>
          </cell>
        </row>
        <row r="99">
          <cell r="D99">
            <v>0</v>
          </cell>
          <cell r="E99">
            <v>0</v>
          </cell>
          <cell r="F99">
            <v>0</v>
          </cell>
          <cell r="H99">
            <v>0</v>
          </cell>
          <cell r="J99">
            <v>0</v>
          </cell>
          <cell r="P99">
            <v>0</v>
          </cell>
          <cell r="Q99">
            <v>0</v>
          </cell>
        </row>
        <row r="100">
          <cell r="D100">
            <v>0</v>
          </cell>
          <cell r="E100">
            <v>0</v>
          </cell>
          <cell r="F100">
            <v>0</v>
          </cell>
          <cell r="H100">
            <v>0</v>
          </cell>
          <cell r="J100">
            <v>0</v>
          </cell>
          <cell r="P100">
            <v>0</v>
          </cell>
          <cell r="Q100">
            <v>0</v>
          </cell>
        </row>
        <row r="101">
          <cell r="D101">
            <v>0</v>
          </cell>
          <cell r="E101">
            <v>0</v>
          </cell>
          <cell r="F101">
            <v>0</v>
          </cell>
          <cell r="H101">
            <v>0</v>
          </cell>
          <cell r="J101">
            <v>0</v>
          </cell>
          <cell r="P101">
            <v>0</v>
          </cell>
          <cell r="Q101">
            <v>0</v>
          </cell>
        </row>
        <row r="102">
          <cell r="D102">
            <v>0</v>
          </cell>
          <cell r="E102">
            <v>0</v>
          </cell>
          <cell r="F102">
            <v>0</v>
          </cell>
          <cell r="H102">
            <v>0</v>
          </cell>
          <cell r="J102">
            <v>0</v>
          </cell>
          <cell r="P102">
            <v>0</v>
          </cell>
          <cell r="Q102">
            <v>0</v>
          </cell>
        </row>
        <row r="103">
          <cell r="D103">
            <v>0</v>
          </cell>
          <cell r="E103">
            <v>0</v>
          </cell>
          <cell r="F103">
            <v>0</v>
          </cell>
          <cell r="H103">
            <v>0</v>
          </cell>
          <cell r="J103">
            <v>0</v>
          </cell>
          <cell r="P103">
            <v>0</v>
          </cell>
          <cell r="Q103">
            <v>0</v>
          </cell>
        </row>
        <row r="104">
          <cell r="D104">
            <v>0</v>
          </cell>
          <cell r="E104">
            <v>0</v>
          </cell>
          <cell r="F104">
            <v>0</v>
          </cell>
          <cell r="H104">
            <v>0</v>
          </cell>
          <cell r="J104">
            <v>0</v>
          </cell>
          <cell r="P104">
            <v>0</v>
          </cell>
          <cell r="Q104">
            <v>0</v>
          </cell>
        </row>
        <row r="105">
          <cell r="D105">
            <v>0</v>
          </cell>
          <cell r="E105">
            <v>0</v>
          </cell>
          <cell r="F105">
            <v>0</v>
          </cell>
          <cell r="H105">
            <v>0</v>
          </cell>
          <cell r="J105">
            <v>0</v>
          </cell>
          <cell r="P105">
            <v>0</v>
          </cell>
          <cell r="Q105">
            <v>0</v>
          </cell>
        </row>
        <row r="106">
          <cell r="D106">
            <v>0</v>
          </cell>
          <cell r="E106">
            <v>0</v>
          </cell>
          <cell r="F106">
            <v>0</v>
          </cell>
          <cell r="H106">
            <v>0</v>
          </cell>
          <cell r="J106">
            <v>0</v>
          </cell>
          <cell r="P106">
            <v>0</v>
          </cell>
          <cell r="Q106">
            <v>0</v>
          </cell>
        </row>
        <row r="107">
          <cell r="D107">
            <v>0</v>
          </cell>
          <cell r="E107">
            <v>0</v>
          </cell>
          <cell r="F107">
            <v>0</v>
          </cell>
          <cell r="H107">
            <v>0</v>
          </cell>
          <cell r="J107">
            <v>0</v>
          </cell>
          <cell r="P107">
            <v>0</v>
          </cell>
          <cell r="Q107">
            <v>0</v>
          </cell>
        </row>
        <row r="108">
          <cell r="D108">
            <v>0</v>
          </cell>
          <cell r="E108">
            <v>0</v>
          </cell>
          <cell r="F108">
            <v>0</v>
          </cell>
          <cell r="H108">
            <v>0</v>
          </cell>
          <cell r="J108">
            <v>0</v>
          </cell>
          <cell r="P108">
            <v>0</v>
          </cell>
          <cell r="Q108">
            <v>0</v>
          </cell>
        </row>
        <row r="109">
          <cell r="D109">
            <v>0</v>
          </cell>
          <cell r="E109">
            <v>0</v>
          </cell>
          <cell r="F109">
            <v>0</v>
          </cell>
          <cell r="H109">
            <v>0</v>
          </cell>
          <cell r="J109">
            <v>0</v>
          </cell>
          <cell r="P109">
            <v>0</v>
          </cell>
          <cell r="Q109">
            <v>0</v>
          </cell>
        </row>
        <row r="110">
          <cell r="D110">
            <v>0</v>
          </cell>
          <cell r="E110">
            <v>0</v>
          </cell>
          <cell r="F110">
            <v>0</v>
          </cell>
          <cell r="H110">
            <v>0</v>
          </cell>
          <cell r="J110">
            <v>0</v>
          </cell>
          <cell r="P110">
            <v>0</v>
          </cell>
          <cell r="Q110">
            <v>0</v>
          </cell>
        </row>
        <row r="111">
          <cell r="D111">
            <v>0</v>
          </cell>
          <cell r="E111">
            <v>0</v>
          </cell>
          <cell r="F111">
            <v>0</v>
          </cell>
          <cell r="H111">
            <v>0</v>
          </cell>
          <cell r="J111">
            <v>0</v>
          </cell>
          <cell r="P111">
            <v>0</v>
          </cell>
          <cell r="Q111">
            <v>0</v>
          </cell>
        </row>
        <row r="112">
          <cell r="D112">
            <v>0</v>
          </cell>
          <cell r="E112">
            <v>0</v>
          </cell>
          <cell r="F112">
            <v>0</v>
          </cell>
          <cell r="H112">
            <v>0</v>
          </cell>
          <cell r="J112">
            <v>0</v>
          </cell>
          <cell r="P112">
            <v>0</v>
          </cell>
          <cell r="Q112">
            <v>0</v>
          </cell>
        </row>
        <row r="113">
          <cell r="D113">
            <v>0</v>
          </cell>
          <cell r="E113">
            <v>0</v>
          </cell>
          <cell r="F113">
            <v>0</v>
          </cell>
          <cell r="H113">
            <v>0</v>
          </cell>
          <cell r="J113">
            <v>0</v>
          </cell>
          <cell r="P113">
            <v>0</v>
          </cell>
          <cell r="Q113">
            <v>0</v>
          </cell>
        </row>
        <row r="114">
          <cell r="D114">
            <v>0</v>
          </cell>
          <cell r="E114">
            <v>0</v>
          </cell>
          <cell r="F114">
            <v>0</v>
          </cell>
          <cell r="H114">
            <v>0</v>
          </cell>
          <cell r="J114">
            <v>0</v>
          </cell>
          <cell r="P114">
            <v>0</v>
          </cell>
          <cell r="Q114">
            <v>0</v>
          </cell>
        </row>
        <row r="115">
          <cell r="D115">
            <v>0</v>
          </cell>
          <cell r="E115">
            <v>0</v>
          </cell>
          <cell r="F115">
            <v>0</v>
          </cell>
          <cell r="H115">
            <v>0</v>
          </cell>
          <cell r="J115">
            <v>0</v>
          </cell>
          <cell r="P115">
            <v>0</v>
          </cell>
          <cell r="Q115">
            <v>0</v>
          </cell>
        </row>
        <row r="116">
          <cell r="D116">
            <v>0</v>
          </cell>
          <cell r="E116">
            <v>0</v>
          </cell>
          <cell r="F116">
            <v>0</v>
          </cell>
          <cell r="H116">
            <v>0</v>
          </cell>
          <cell r="J116">
            <v>0</v>
          </cell>
          <cell r="P116">
            <v>0</v>
          </cell>
          <cell r="Q116">
            <v>0</v>
          </cell>
        </row>
        <row r="117">
          <cell r="D117">
            <v>0</v>
          </cell>
          <cell r="E117">
            <v>0</v>
          </cell>
          <cell r="F117">
            <v>0</v>
          </cell>
          <cell r="H117">
            <v>0</v>
          </cell>
          <cell r="J117">
            <v>0</v>
          </cell>
          <cell r="P117">
            <v>0</v>
          </cell>
          <cell r="Q117">
            <v>0</v>
          </cell>
        </row>
        <row r="118">
          <cell r="D118">
            <v>0</v>
          </cell>
          <cell r="E118">
            <v>0</v>
          </cell>
          <cell r="F118">
            <v>0</v>
          </cell>
          <cell r="H118">
            <v>0</v>
          </cell>
          <cell r="J118">
            <v>0</v>
          </cell>
          <cell r="P118">
            <v>0</v>
          </cell>
          <cell r="Q118">
            <v>0</v>
          </cell>
        </row>
        <row r="119">
          <cell r="D119">
            <v>0</v>
          </cell>
          <cell r="E119">
            <v>0</v>
          </cell>
          <cell r="F119">
            <v>0</v>
          </cell>
          <cell r="H119">
            <v>0</v>
          </cell>
          <cell r="J119">
            <v>0</v>
          </cell>
          <cell r="P119">
            <v>0</v>
          </cell>
          <cell r="Q119">
            <v>0</v>
          </cell>
        </row>
        <row r="120">
          <cell r="D120">
            <v>0</v>
          </cell>
          <cell r="E120">
            <v>0</v>
          </cell>
          <cell r="F120">
            <v>0</v>
          </cell>
          <cell r="H120">
            <v>0</v>
          </cell>
          <cell r="J120">
            <v>0</v>
          </cell>
          <cell r="P120">
            <v>0</v>
          </cell>
          <cell r="Q120">
            <v>0</v>
          </cell>
        </row>
        <row r="121">
          <cell r="D121">
            <v>0</v>
          </cell>
          <cell r="E121">
            <v>0</v>
          </cell>
          <cell r="F121">
            <v>0</v>
          </cell>
          <cell r="H121">
            <v>0</v>
          </cell>
          <cell r="J121">
            <v>0</v>
          </cell>
          <cell r="P121">
            <v>0</v>
          </cell>
          <cell r="Q121">
            <v>0</v>
          </cell>
        </row>
        <row r="122">
          <cell r="D122">
            <v>0</v>
          </cell>
          <cell r="E122">
            <v>0</v>
          </cell>
          <cell r="F122">
            <v>0</v>
          </cell>
          <cell r="H122">
            <v>0</v>
          </cell>
          <cell r="J122">
            <v>0</v>
          </cell>
          <cell r="P122">
            <v>0</v>
          </cell>
          <cell r="Q122">
            <v>0</v>
          </cell>
        </row>
        <row r="123">
          <cell r="D123">
            <v>0</v>
          </cell>
          <cell r="E123">
            <v>0</v>
          </cell>
          <cell r="F123">
            <v>0</v>
          </cell>
          <cell r="H123">
            <v>0</v>
          </cell>
          <cell r="J123">
            <v>0</v>
          </cell>
          <cell r="P123">
            <v>0</v>
          </cell>
          <cell r="Q123">
            <v>0</v>
          </cell>
        </row>
        <row r="124">
          <cell r="D124">
            <v>0</v>
          </cell>
          <cell r="E124">
            <v>0</v>
          </cell>
          <cell r="F124">
            <v>0</v>
          </cell>
          <cell r="H124">
            <v>0</v>
          </cell>
          <cell r="J124">
            <v>0</v>
          </cell>
          <cell r="P124">
            <v>0</v>
          </cell>
          <cell r="Q124">
            <v>0</v>
          </cell>
        </row>
        <row r="125">
          <cell r="D125">
            <v>0</v>
          </cell>
          <cell r="E125">
            <v>0</v>
          </cell>
          <cell r="F125">
            <v>0</v>
          </cell>
          <cell r="H125">
            <v>0</v>
          </cell>
          <cell r="J125">
            <v>0</v>
          </cell>
          <cell r="P125">
            <v>0</v>
          </cell>
          <cell r="Q125">
            <v>0</v>
          </cell>
        </row>
        <row r="126">
          <cell r="D126">
            <v>0</v>
          </cell>
          <cell r="E126">
            <v>0</v>
          </cell>
          <cell r="F126">
            <v>0</v>
          </cell>
          <cell r="H126">
            <v>0</v>
          </cell>
          <cell r="J126">
            <v>0</v>
          </cell>
          <cell r="P126">
            <v>0</v>
          </cell>
          <cell r="Q126">
            <v>0</v>
          </cell>
        </row>
        <row r="127">
          <cell r="D127">
            <v>0</v>
          </cell>
          <cell r="E127">
            <v>0</v>
          </cell>
          <cell r="F127">
            <v>0</v>
          </cell>
          <cell r="H127">
            <v>0</v>
          </cell>
          <cell r="J127">
            <v>0</v>
          </cell>
          <cell r="P127">
            <v>0</v>
          </cell>
          <cell r="Q127">
            <v>0</v>
          </cell>
        </row>
        <row r="128">
          <cell r="D128">
            <v>0</v>
          </cell>
          <cell r="E128">
            <v>0</v>
          </cell>
          <cell r="F128">
            <v>0</v>
          </cell>
          <cell r="H128">
            <v>0</v>
          </cell>
          <cell r="J128">
            <v>0</v>
          </cell>
          <cell r="P128">
            <v>0</v>
          </cell>
          <cell r="Q128">
            <v>0</v>
          </cell>
        </row>
        <row r="129">
          <cell r="D129">
            <v>0</v>
          </cell>
          <cell r="E129">
            <v>0</v>
          </cell>
          <cell r="F129">
            <v>0</v>
          </cell>
          <cell r="H129">
            <v>0</v>
          </cell>
          <cell r="J129">
            <v>0</v>
          </cell>
          <cell r="P129">
            <v>0</v>
          </cell>
          <cell r="Q129">
            <v>0</v>
          </cell>
        </row>
        <row r="130">
          <cell r="D130">
            <v>0</v>
          </cell>
          <cell r="E130">
            <v>0</v>
          </cell>
          <cell r="F130">
            <v>0</v>
          </cell>
          <cell r="H130">
            <v>0</v>
          </cell>
          <cell r="J130">
            <v>0</v>
          </cell>
          <cell r="P130">
            <v>0</v>
          </cell>
          <cell r="Q130">
            <v>0</v>
          </cell>
        </row>
        <row r="131">
          <cell r="D131">
            <v>0</v>
          </cell>
          <cell r="E131">
            <v>0</v>
          </cell>
          <cell r="F131">
            <v>0</v>
          </cell>
          <cell r="H131">
            <v>0</v>
          </cell>
          <cell r="J131">
            <v>0</v>
          </cell>
          <cell r="P131">
            <v>0</v>
          </cell>
          <cell r="Q131">
            <v>0</v>
          </cell>
        </row>
        <row r="132">
          <cell r="D132">
            <v>0</v>
          </cell>
          <cell r="E132">
            <v>0</v>
          </cell>
          <cell r="F132">
            <v>0</v>
          </cell>
          <cell r="H132">
            <v>0</v>
          </cell>
          <cell r="J132">
            <v>0</v>
          </cell>
          <cell r="P132">
            <v>0</v>
          </cell>
          <cell r="Q132">
            <v>0</v>
          </cell>
        </row>
        <row r="133">
          <cell r="D133">
            <v>0</v>
          </cell>
          <cell r="E133">
            <v>0</v>
          </cell>
          <cell r="F133">
            <v>0</v>
          </cell>
          <cell r="H133">
            <v>0</v>
          </cell>
          <cell r="J133">
            <v>0</v>
          </cell>
          <cell r="P133">
            <v>0</v>
          </cell>
          <cell r="Q133">
            <v>0</v>
          </cell>
        </row>
        <row r="134">
          <cell r="D134">
            <v>0</v>
          </cell>
          <cell r="E134">
            <v>0</v>
          </cell>
          <cell r="F134">
            <v>0</v>
          </cell>
          <cell r="H134">
            <v>0</v>
          </cell>
          <cell r="J134">
            <v>0</v>
          </cell>
          <cell r="P134">
            <v>0</v>
          </cell>
          <cell r="Q134">
            <v>0</v>
          </cell>
        </row>
        <row r="135">
          <cell r="D135">
            <v>0</v>
          </cell>
          <cell r="E135">
            <v>0</v>
          </cell>
          <cell r="F135">
            <v>0</v>
          </cell>
          <cell r="H135">
            <v>0</v>
          </cell>
          <cell r="J135">
            <v>0</v>
          </cell>
          <cell r="P135">
            <v>0</v>
          </cell>
          <cell r="Q135">
            <v>0</v>
          </cell>
        </row>
        <row r="136">
          <cell r="D136">
            <v>0</v>
          </cell>
          <cell r="E136">
            <v>0</v>
          </cell>
          <cell r="F136">
            <v>0</v>
          </cell>
          <cell r="H136">
            <v>0</v>
          </cell>
          <cell r="J136">
            <v>0</v>
          </cell>
          <cell r="P136">
            <v>0</v>
          </cell>
          <cell r="Q136">
            <v>0</v>
          </cell>
        </row>
        <row r="137">
          <cell r="D137">
            <v>0</v>
          </cell>
          <cell r="E137">
            <v>0</v>
          </cell>
          <cell r="F137">
            <v>0</v>
          </cell>
          <cell r="H137">
            <v>0</v>
          </cell>
          <cell r="J137">
            <v>0</v>
          </cell>
          <cell r="P137">
            <v>0</v>
          </cell>
          <cell r="Q137">
            <v>0</v>
          </cell>
        </row>
        <row r="138">
          <cell r="D138">
            <v>0</v>
          </cell>
          <cell r="E138">
            <v>0</v>
          </cell>
          <cell r="F138">
            <v>0</v>
          </cell>
          <cell r="H138">
            <v>0</v>
          </cell>
          <cell r="J138">
            <v>0</v>
          </cell>
          <cell r="P138">
            <v>0</v>
          </cell>
          <cell r="Q138">
            <v>0</v>
          </cell>
        </row>
        <row r="139">
          <cell r="D139">
            <v>0</v>
          </cell>
          <cell r="E139">
            <v>0</v>
          </cell>
          <cell r="F139">
            <v>0</v>
          </cell>
          <cell r="H139">
            <v>0</v>
          </cell>
          <cell r="J139">
            <v>0</v>
          </cell>
          <cell r="P139">
            <v>0</v>
          </cell>
          <cell r="Q139">
            <v>0</v>
          </cell>
        </row>
        <row r="140">
          <cell r="D140">
            <v>0</v>
          </cell>
          <cell r="E140">
            <v>0</v>
          </cell>
          <cell r="F140">
            <v>0</v>
          </cell>
          <cell r="H140">
            <v>0</v>
          </cell>
          <cell r="J140">
            <v>0</v>
          </cell>
          <cell r="P140">
            <v>0</v>
          </cell>
          <cell r="Q140">
            <v>0</v>
          </cell>
        </row>
        <row r="141">
          <cell r="D141">
            <v>0</v>
          </cell>
          <cell r="E141">
            <v>0</v>
          </cell>
          <cell r="F141">
            <v>0</v>
          </cell>
          <cell r="H141">
            <v>0</v>
          </cell>
          <cell r="J141">
            <v>0</v>
          </cell>
          <cell r="P141">
            <v>0</v>
          </cell>
          <cell r="Q141">
            <v>0</v>
          </cell>
        </row>
        <row r="142">
          <cell r="D142">
            <v>0</v>
          </cell>
          <cell r="E142">
            <v>0</v>
          </cell>
          <cell r="F142">
            <v>0</v>
          </cell>
          <cell r="H142">
            <v>0</v>
          </cell>
          <cell r="J142">
            <v>0</v>
          </cell>
          <cell r="P142">
            <v>0</v>
          </cell>
          <cell r="Q142">
            <v>0</v>
          </cell>
        </row>
        <row r="143">
          <cell r="D143">
            <v>0</v>
          </cell>
          <cell r="E143">
            <v>0</v>
          </cell>
          <cell r="F143">
            <v>0</v>
          </cell>
          <cell r="H143">
            <v>0</v>
          </cell>
          <cell r="J143">
            <v>0</v>
          </cell>
          <cell r="P143">
            <v>0</v>
          </cell>
          <cell r="Q143">
            <v>0</v>
          </cell>
        </row>
        <row r="144">
          <cell r="D144">
            <v>0</v>
          </cell>
          <cell r="E144">
            <v>0</v>
          </cell>
          <cell r="F144">
            <v>0</v>
          </cell>
          <cell r="H144">
            <v>0</v>
          </cell>
          <cell r="J144">
            <v>0</v>
          </cell>
          <cell r="P144">
            <v>0</v>
          </cell>
          <cell r="Q144">
            <v>0</v>
          </cell>
        </row>
        <row r="145">
          <cell r="D145">
            <v>0</v>
          </cell>
          <cell r="E145">
            <v>0</v>
          </cell>
          <cell r="F145">
            <v>0</v>
          </cell>
          <cell r="H145">
            <v>0</v>
          </cell>
          <cell r="J145">
            <v>0</v>
          </cell>
          <cell r="P145">
            <v>0</v>
          </cell>
          <cell r="Q145">
            <v>0</v>
          </cell>
        </row>
        <row r="146">
          <cell r="D146">
            <v>0</v>
          </cell>
          <cell r="E146">
            <v>0</v>
          </cell>
          <cell r="F146">
            <v>0</v>
          </cell>
          <cell r="H146">
            <v>0</v>
          </cell>
          <cell r="J146">
            <v>0</v>
          </cell>
          <cell r="P146">
            <v>0</v>
          </cell>
          <cell r="Q146">
            <v>0</v>
          </cell>
        </row>
        <row r="147">
          <cell r="D147">
            <v>0</v>
          </cell>
          <cell r="E147">
            <v>0</v>
          </cell>
          <cell r="F147">
            <v>0</v>
          </cell>
          <cell r="H147">
            <v>0</v>
          </cell>
          <cell r="J147">
            <v>0</v>
          </cell>
          <cell r="P147">
            <v>0</v>
          </cell>
          <cell r="Q147">
            <v>0</v>
          </cell>
        </row>
        <row r="148">
          <cell r="D148">
            <v>0</v>
          </cell>
          <cell r="E148">
            <v>0</v>
          </cell>
          <cell r="F148">
            <v>0</v>
          </cell>
          <cell r="H148">
            <v>0</v>
          </cell>
          <cell r="J148">
            <v>0</v>
          </cell>
          <cell r="P148">
            <v>0</v>
          </cell>
          <cell r="Q148">
            <v>0</v>
          </cell>
        </row>
        <row r="149">
          <cell r="D149">
            <v>0</v>
          </cell>
          <cell r="E149">
            <v>0</v>
          </cell>
          <cell r="F149">
            <v>0</v>
          </cell>
          <cell r="H149">
            <v>0</v>
          </cell>
          <cell r="J149">
            <v>0</v>
          </cell>
          <cell r="P149">
            <v>0</v>
          </cell>
          <cell r="Q149">
            <v>0</v>
          </cell>
        </row>
        <row r="150">
          <cell r="D150">
            <v>0</v>
          </cell>
          <cell r="E150">
            <v>0</v>
          </cell>
          <cell r="F150">
            <v>0</v>
          </cell>
          <cell r="H150">
            <v>0</v>
          </cell>
          <cell r="J150">
            <v>0</v>
          </cell>
          <cell r="P150">
            <v>0</v>
          </cell>
          <cell r="Q150">
            <v>0</v>
          </cell>
        </row>
        <row r="151">
          <cell r="D151">
            <v>0</v>
          </cell>
          <cell r="E151">
            <v>0</v>
          </cell>
          <cell r="F151">
            <v>0</v>
          </cell>
          <cell r="H151">
            <v>0</v>
          </cell>
          <cell r="J151">
            <v>0</v>
          </cell>
          <cell r="P151">
            <v>0</v>
          </cell>
          <cell r="Q151">
            <v>0</v>
          </cell>
        </row>
        <row r="152">
          <cell r="D152">
            <v>0</v>
          </cell>
          <cell r="E152">
            <v>0</v>
          </cell>
          <cell r="F152">
            <v>0</v>
          </cell>
          <cell r="H152">
            <v>0</v>
          </cell>
          <cell r="J152">
            <v>0</v>
          </cell>
          <cell r="P152">
            <v>0</v>
          </cell>
          <cell r="Q152">
            <v>0</v>
          </cell>
        </row>
        <row r="153">
          <cell r="D153">
            <v>0</v>
          </cell>
          <cell r="E153">
            <v>0</v>
          </cell>
          <cell r="F153">
            <v>0</v>
          </cell>
          <cell r="H153">
            <v>0</v>
          </cell>
          <cell r="J153">
            <v>0</v>
          </cell>
          <cell r="P153">
            <v>0</v>
          </cell>
          <cell r="Q153">
            <v>0</v>
          </cell>
        </row>
        <row r="154">
          <cell r="D154">
            <v>0</v>
          </cell>
          <cell r="E154">
            <v>0</v>
          </cell>
          <cell r="F154">
            <v>0</v>
          </cell>
          <cell r="H154">
            <v>0</v>
          </cell>
          <cell r="J154">
            <v>0</v>
          </cell>
          <cell r="P154">
            <v>0</v>
          </cell>
          <cell r="Q154">
            <v>0</v>
          </cell>
        </row>
        <row r="155">
          <cell r="D155">
            <v>0</v>
          </cell>
          <cell r="E155">
            <v>0</v>
          </cell>
          <cell r="F155">
            <v>0</v>
          </cell>
          <cell r="H155">
            <v>0</v>
          </cell>
          <cell r="J155">
            <v>0</v>
          </cell>
          <cell r="P155">
            <v>0</v>
          </cell>
          <cell r="Q155">
            <v>0</v>
          </cell>
        </row>
        <row r="156">
          <cell r="D156">
            <v>0</v>
          </cell>
          <cell r="E156">
            <v>0</v>
          </cell>
          <cell r="F156">
            <v>0</v>
          </cell>
          <cell r="H156">
            <v>0</v>
          </cell>
          <cell r="J156">
            <v>0</v>
          </cell>
          <cell r="P156">
            <v>0</v>
          </cell>
          <cell r="Q156">
            <v>0</v>
          </cell>
        </row>
        <row r="157">
          <cell r="D157">
            <v>0</v>
          </cell>
          <cell r="E157">
            <v>0</v>
          </cell>
          <cell r="F157">
            <v>0</v>
          </cell>
          <cell r="H157">
            <v>0</v>
          </cell>
          <cell r="J157">
            <v>0</v>
          </cell>
          <cell r="P157">
            <v>0</v>
          </cell>
          <cell r="Q157">
            <v>0</v>
          </cell>
        </row>
        <row r="158">
          <cell r="D158">
            <v>0</v>
          </cell>
          <cell r="E158">
            <v>0</v>
          </cell>
          <cell r="F158">
            <v>0</v>
          </cell>
          <cell r="H158">
            <v>0</v>
          </cell>
          <cell r="J158">
            <v>0</v>
          </cell>
          <cell r="P158">
            <v>0</v>
          </cell>
          <cell r="Q158">
            <v>0</v>
          </cell>
        </row>
        <row r="159">
          <cell r="D159">
            <v>0</v>
          </cell>
          <cell r="E159">
            <v>0</v>
          </cell>
          <cell r="F159">
            <v>0</v>
          </cell>
          <cell r="H159">
            <v>0</v>
          </cell>
          <cell r="J159">
            <v>0</v>
          </cell>
          <cell r="P159">
            <v>0</v>
          </cell>
          <cell r="Q159">
            <v>0</v>
          </cell>
        </row>
        <row r="160">
          <cell r="D160">
            <v>0</v>
          </cell>
          <cell r="E160">
            <v>0</v>
          </cell>
          <cell r="F160">
            <v>0</v>
          </cell>
          <cell r="H160">
            <v>0</v>
          </cell>
          <cell r="J160">
            <v>0</v>
          </cell>
          <cell r="P160">
            <v>0</v>
          </cell>
          <cell r="Q160">
            <v>0</v>
          </cell>
        </row>
        <row r="161">
          <cell r="D161">
            <v>0</v>
          </cell>
          <cell r="E161">
            <v>0</v>
          </cell>
          <cell r="F161">
            <v>0</v>
          </cell>
          <cell r="H161">
            <v>0</v>
          </cell>
          <cell r="J161">
            <v>0</v>
          </cell>
          <cell r="P161">
            <v>0</v>
          </cell>
          <cell r="Q161">
            <v>0</v>
          </cell>
        </row>
        <row r="162">
          <cell r="D162">
            <v>0</v>
          </cell>
          <cell r="E162">
            <v>0</v>
          </cell>
          <cell r="F162">
            <v>0</v>
          </cell>
          <cell r="H162">
            <v>0</v>
          </cell>
          <cell r="J162">
            <v>0</v>
          </cell>
          <cell r="P162">
            <v>0</v>
          </cell>
          <cell r="Q162">
            <v>0</v>
          </cell>
        </row>
        <row r="163">
          <cell r="D163">
            <v>0</v>
          </cell>
          <cell r="E163">
            <v>0</v>
          </cell>
          <cell r="F163">
            <v>0</v>
          </cell>
          <cell r="H163">
            <v>0</v>
          </cell>
          <cell r="J163">
            <v>0</v>
          </cell>
          <cell r="P163">
            <v>0</v>
          </cell>
          <cell r="Q163">
            <v>0</v>
          </cell>
        </row>
        <row r="164">
          <cell r="D164">
            <v>0</v>
          </cell>
          <cell r="E164">
            <v>0</v>
          </cell>
          <cell r="F164">
            <v>0</v>
          </cell>
          <cell r="H164">
            <v>0</v>
          </cell>
          <cell r="J164">
            <v>0</v>
          </cell>
          <cell r="P164">
            <v>0</v>
          </cell>
          <cell r="Q164">
            <v>0</v>
          </cell>
        </row>
        <row r="165">
          <cell r="D165">
            <v>0</v>
          </cell>
          <cell r="E165">
            <v>0</v>
          </cell>
          <cell r="F165">
            <v>0</v>
          </cell>
          <cell r="H165">
            <v>0</v>
          </cell>
          <cell r="J165">
            <v>0</v>
          </cell>
          <cell r="P165">
            <v>0</v>
          </cell>
          <cell r="Q165">
            <v>0</v>
          </cell>
        </row>
        <row r="166">
          <cell r="D166">
            <v>0</v>
          </cell>
          <cell r="E166">
            <v>0</v>
          </cell>
          <cell r="F166">
            <v>0</v>
          </cell>
          <cell r="H166">
            <v>0</v>
          </cell>
          <cell r="J166">
            <v>0</v>
          </cell>
          <cell r="P166">
            <v>0</v>
          </cell>
          <cell r="Q166">
            <v>0</v>
          </cell>
        </row>
        <row r="167">
          <cell r="D167">
            <v>0</v>
          </cell>
          <cell r="E167">
            <v>0</v>
          </cell>
          <cell r="F167">
            <v>0</v>
          </cell>
          <cell r="H167">
            <v>0</v>
          </cell>
          <cell r="J167">
            <v>0</v>
          </cell>
          <cell r="P167">
            <v>0</v>
          </cell>
          <cell r="Q167">
            <v>0</v>
          </cell>
        </row>
        <row r="168">
          <cell r="D168">
            <v>0</v>
          </cell>
          <cell r="E168">
            <v>0</v>
          </cell>
          <cell r="F168">
            <v>0</v>
          </cell>
          <cell r="H168">
            <v>0</v>
          </cell>
          <cell r="J168">
            <v>0</v>
          </cell>
          <cell r="P168">
            <v>0</v>
          </cell>
          <cell r="Q168">
            <v>0</v>
          </cell>
        </row>
        <row r="169">
          <cell r="D169">
            <v>0</v>
          </cell>
          <cell r="E169">
            <v>0</v>
          </cell>
          <cell r="F169">
            <v>0</v>
          </cell>
          <cell r="H169">
            <v>0</v>
          </cell>
          <cell r="J169">
            <v>0</v>
          </cell>
          <cell r="P169">
            <v>0</v>
          </cell>
          <cell r="Q169">
            <v>0</v>
          </cell>
        </row>
        <row r="170">
          <cell r="D170">
            <v>0</v>
          </cell>
          <cell r="E170">
            <v>0</v>
          </cell>
          <cell r="F170">
            <v>0</v>
          </cell>
          <cell r="H170">
            <v>0</v>
          </cell>
          <cell r="J170">
            <v>0</v>
          </cell>
          <cell r="P170">
            <v>0</v>
          </cell>
          <cell r="Q170">
            <v>0</v>
          </cell>
        </row>
        <row r="171">
          <cell r="D171">
            <v>0</v>
          </cell>
          <cell r="E171">
            <v>0</v>
          </cell>
          <cell r="F171">
            <v>0</v>
          </cell>
          <cell r="H171">
            <v>0</v>
          </cell>
          <cell r="J171">
            <v>0</v>
          </cell>
          <cell r="P171">
            <v>0</v>
          </cell>
          <cell r="Q171">
            <v>0</v>
          </cell>
        </row>
        <row r="172">
          <cell r="D172">
            <v>0</v>
          </cell>
          <cell r="E172">
            <v>0</v>
          </cell>
          <cell r="F172">
            <v>0</v>
          </cell>
          <cell r="H172">
            <v>0</v>
          </cell>
          <cell r="J172">
            <v>0</v>
          </cell>
          <cell r="P172">
            <v>0</v>
          </cell>
          <cell r="Q172">
            <v>0</v>
          </cell>
        </row>
        <row r="173">
          <cell r="D173">
            <v>0</v>
          </cell>
          <cell r="E173">
            <v>0</v>
          </cell>
          <cell r="F173">
            <v>0</v>
          </cell>
          <cell r="H173">
            <v>0</v>
          </cell>
          <cell r="J173">
            <v>0</v>
          </cell>
          <cell r="P173">
            <v>0</v>
          </cell>
          <cell r="Q173">
            <v>0</v>
          </cell>
        </row>
        <row r="174">
          <cell r="D174">
            <v>0</v>
          </cell>
          <cell r="E174">
            <v>0</v>
          </cell>
          <cell r="F174">
            <v>0</v>
          </cell>
          <cell r="H174">
            <v>0</v>
          </cell>
          <cell r="J174">
            <v>0</v>
          </cell>
          <cell r="P174">
            <v>0</v>
          </cell>
          <cell r="Q174">
            <v>0</v>
          </cell>
        </row>
        <row r="175">
          <cell r="D175">
            <v>0</v>
          </cell>
          <cell r="E175">
            <v>0</v>
          </cell>
          <cell r="F175">
            <v>0</v>
          </cell>
          <cell r="H175">
            <v>0</v>
          </cell>
          <cell r="J175">
            <v>0</v>
          </cell>
          <cell r="P175">
            <v>0</v>
          </cell>
          <cell r="Q175">
            <v>0</v>
          </cell>
        </row>
        <row r="176">
          <cell r="D176">
            <v>0</v>
          </cell>
          <cell r="E176">
            <v>0</v>
          </cell>
          <cell r="F176">
            <v>0</v>
          </cell>
          <cell r="H176">
            <v>0</v>
          </cell>
          <cell r="J176">
            <v>0</v>
          </cell>
          <cell r="P176">
            <v>0</v>
          </cell>
          <cell r="Q176">
            <v>0</v>
          </cell>
        </row>
        <row r="177">
          <cell r="D177">
            <v>0</v>
          </cell>
          <cell r="E177">
            <v>0</v>
          </cell>
          <cell r="F177">
            <v>0</v>
          </cell>
          <cell r="H177">
            <v>0</v>
          </cell>
          <cell r="J177">
            <v>0</v>
          </cell>
          <cell r="P177">
            <v>0</v>
          </cell>
          <cell r="Q177">
            <v>0</v>
          </cell>
        </row>
        <row r="178">
          <cell r="D178">
            <v>0</v>
          </cell>
          <cell r="E178">
            <v>0</v>
          </cell>
          <cell r="F178">
            <v>0</v>
          </cell>
          <cell r="H178">
            <v>0</v>
          </cell>
          <cell r="J178">
            <v>0</v>
          </cell>
          <cell r="P178">
            <v>0</v>
          </cell>
          <cell r="Q178">
            <v>0</v>
          </cell>
        </row>
        <row r="179">
          <cell r="D179">
            <v>0</v>
          </cell>
          <cell r="E179">
            <v>0</v>
          </cell>
          <cell r="F179">
            <v>0</v>
          </cell>
          <cell r="H179">
            <v>0</v>
          </cell>
          <cell r="J179">
            <v>0</v>
          </cell>
          <cell r="P179">
            <v>0</v>
          </cell>
          <cell r="Q179">
            <v>0</v>
          </cell>
        </row>
        <row r="180">
          <cell r="D180">
            <v>0</v>
          </cell>
          <cell r="E180">
            <v>0</v>
          </cell>
          <cell r="F180">
            <v>0</v>
          </cell>
          <cell r="H180">
            <v>0</v>
          </cell>
          <cell r="J180">
            <v>0</v>
          </cell>
          <cell r="P180">
            <v>0</v>
          </cell>
          <cell r="Q180">
            <v>0</v>
          </cell>
        </row>
        <row r="181">
          <cell r="D181">
            <v>0</v>
          </cell>
          <cell r="E181">
            <v>0</v>
          </cell>
          <cell r="F181">
            <v>0</v>
          </cell>
          <cell r="H181">
            <v>0</v>
          </cell>
          <cell r="J181">
            <v>0</v>
          </cell>
          <cell r="P181">
            <v>0</v>
          </cell>
          <cell r="Q181">
            <v>0</v>
          </cell>
        </row>
        <row r="182">
          <cell r="D182">
            <v>0</v>
          </cell>
          <cell r="E182">
            <v>0</v>
          </cell>
          <cell r="F182">
            <v>0</v>
          </cell>
          <cell r="H182">
            <v>0</v>
          </cell>
          <cell r="J182">
            <v>0</v>
          </cell>
          <cell r="P182">
            <v>0</v>
          </cell>
          <cell r="Q182">
            <v>0</v>
          </cell>
        </row>
        <row r="183">
          <cell r="D183">
            <v>0</v>
          </cell>
          <cell r="E183">
            <v>0</v>
          </cell>
          <cell r="F183">
            <v>0</v>
          </cell>
          <cell r="H183">
            <v>0</v>
          </cell>
          <cell r="J183">
            <v>0</v>
          </cell>
          <cell r="P183">
            <v>0</v>
          </cell>
          <cell r="Q183">
            <v>0</v>
          </cell>
        </row>
        <row r="184">
          <cell r="D184">
            <v>0</v>
          </cell>
          <cell r="E184">
            <v>0</v>
          </cell>
          <cell r="F184">
            <v>0</v>
          </cell>
          <cell r="H184">
            <v>0</v>
          </cell>
          <cell r="J184">
            <v>0</v>
          </cell>
          <cell r="P184">
            <v>0</v>
          </cell>
          <cell r="Q184">
            <v>0</v>
          </cell>
        </row>
        <row r="185">
          <cell r="D185">
            <v>0</v>
          </cell>
          <cell r="E185">
            <v>0</v>
          </cell>
          <cell r="F185">
            <v>0</v>
          </cell>
          <cell r="H185">
            <v>0</v>
          </cell>
          <cell r="J185">
            <v>0</v>
          </cell>
          <cell r="P185">
            <v>0</v>
          </cell>
          <cell r="Q185">
            <v>0</v>
          </cell>
        </row>
        <row r="186">
          <cell r="D186">
            <v>0</v>
          </cell>
          <cell r="E186">
            <v>0</v>
          </cell>
          <cell r="F186">
            <v>0</v>
          </cell>
          <cell r="H186">
            <v>0</v>
          </cell>
          <cell r="J186">
            <v>0</v>
          </cell>
          <cell r="P186">
            <v>0</v>
          </cell>
          <cell r="Q186">
            <v>0</v>
          </cell>
        </row>
        <row r="187">
          <cell r="D187">
            <v>0</v>
          </cell>
          <cell r="E187">
            <v>0</v>
          </cell>
          <cell r="F187">
            <v>0</v>
          </cell>
          <cell r="H187">
            <v>0</v>
          </cell>
          <cell r="J187">
            <v>0</v>
          </cell>
          <cell r="P187">
            <v>0</v>
          </cell>
          <cell r="Q187">
            <v>0</v>
          </cell>
        </row>
        <row r="188">
          <cell r="D188">
            <v>0</v>
          </cell>
          <cell r="E188">
            <v>0</v>
          </cell>
          <cell r="F188">
            <v>0</v>
          </cell>
          <cell r="H188">
            <v>0</v>
          </cell>
          <cell r="J188">
            <v>0</v>
          </cell>
          <cell r="P188">
            <v>0</v>
          </cell>
          <cell r="Q188">
            <v>0</v>
          </cell>
        </row>
        <row r="189">
          <cell r="D189">
            <v>0</v>
          </cell>
          <cell r="E189">
            <v>0</v>
          </cell>
          <cell r="F189">
            <v>0</v>
          </cell>
          <cell r="H189">
            <v>0</v>
          </cell>
          <cell r="J189">
            <v>0</v>
          </cell>
          <cell r="P189">
            <v>0</v>
          </cell>
          <cell r="Q189">
            <v>0</v>
          </cell>
        </row>
        <row r="190">
          <cell r="D190">
            <v>0</v>
          </cell>
          <cell r="E190">
            <v>0</v>
          </cell>
          <cell r="F190">
            <v>0</v>
          </cell>
          <cell r="H190">
            <v>0</v>
          </cell>
          <cell r="J190">
            <v>0</v>
          </cell>
          <cell r="P190">
            <v>0</v>
          </cell>
          <cell r="Q190">
            <v>0</v>
          </cell>
        </row>
        <row r="191">
          <cell r="D191">
            <v>0</v>
          </cell>
          <cell r="E191">
            <v>0</v>
          </cell>
          <cell r="F191">
            <v>0</v>
          </cell>
          <cell r="H191">
            <v>0</v>
          </cell>
          <cell r="J191">
            <v>0</v>
          </cell>
          <cell r="P191">
            <v>0</v>
          </cell>
          <cell r="Q191">
            <v>0</v>
          </cell>
        </row>
        <row r="192">
          <cell r="D192">
            <v>0</v>
          </cell>
          <cell r="E192">
            <v>0</v>
          </cell>
          <cell r="F192">
            <v>0</v>
          </cell>
          <cell r="H192">
            <v>0</v>
          </cell>
          <cell r="J192">
            <v>0</v>
          </cell>
          <cell r="P192">
            <v>0</v>
          </cell>
          <cell r="Q192">
            <v>0</v>
          </cell>
        </row>
        <row r="193">
          <cell r="D193">
            <v>0</v>
          </cell>
          <cell r="E193">
            <v>0</v>
          </cell>
          <cell r="F193">
            <v>0</v>
          </cell>
          <cell r="H193">
            <v>0</v>
          </cell>
          <cell r="J193">
            <v>0</v>
          </cell>
          <cell r="P193">
            <v>0</v>
          </cell>
          <cell r="Q193">
            <v>0</v>
          </cell>
        </row>
        <row r="194">
          <cell r="D194">
            <v>0</v>
          </cell>
          <cell r="E194">
            <v>0</v>
          </cell>
          <cell r="F194">
            <v>0</v>
          </cell>
          <cell r="H194">
            <v>0</v>
          </cell>
          <cell r="J194">
            <v>0</v>
          </cell>
          <cell r="P194">
            <v>0</v>
          </cell>
          <cell r="Q194">
            <v>0</v>
          </cell>
        </row>
        <row r="195">
          <cell r="D195">
            <v>0</v>
          </cell>
          <cell r="E195">
            <v>0</v>
          </cell>
          <cell r="F195">
            <v>0</v>
          </cell>
          <cell r="H195">
            <v>0</v>
          </cell>
          <cell r="J195">
            <v>0</v>
          </cell>
          <cell r="P195">
            <v>0</v>
          </cell>
          <cell r="Q195">
            <v>0</v>
          </cell>
        </row>
        <row r="196">
          <cell r="D196">
            <v>0</v>
          </cell>
          <cell r="E196">
            <v>0</v>
          </cell>
          <cell r="F196">
            <v>0</v>
          </cell>
          <cell r="H196">
            <v>0</v>
          </cell>
          <cell r="J196">
            <v>0</v>
          </cell>
          <cell r="P196">
            <v>0</v>
          </cell>
          <cell r="Q196">
            <v>0</v>
          </cell>
        </row>
        <row r="197">
          <cell r="D197">
            <v>0</v>
          </cell>
          <cell r="E197">
            <v>0</v>
          </cell>
          <cell r="F197">
            <v>0</v>
          </cell>
          <cell r="H197">
            <v>0</v>
          </cell>
          <cell r="J197">
            <v>0</v>
          </cell>
          <cell r="P197">
            <v>0</v>
          </cell>
          <cell r="Q197">
            <v>0</v>
          </cell>
        </row>
        <row r="198">
          <cell r="D198">
            <v>0</v>
          </cell>
          <cell r="E198">
            <v>0</v>
          </cell>
          <cell r="F198">
            <v>0</v>
          </cell>
          <cell r="H198">
            <v>0</v>
          </cell>
          <cell r="J198">
            <v>0</v>
          </cell>
          <cell r="P198">
            <v>0</v>
          </cell>
          <cell r="Q198">
            <v>0</v>
          </cell>
        </row>
        <row r="199">
          <cell r="D199">
            <v>0</v>
          </cell>
          <cell r="E199">
            <v>0</v>
          </cell>
          <cell r="F199">
            <v>0</v>
          </cell>
          <cell r="H199">
            <v>0</v>
          </cell>
          <cell r="J199">
            <v>0</v>
          </cell>
          <cell r="P199">
            <v>0</v>
          </cell>
          <cell r="Q199">
            <v>0</v>
          </cell>
        </row>
        <row r="200">
          <cell r="D200">
            <v>0</v>
          </cell>
          <cell r="E200">
            <v>0</v>
          </cell>
          <cell r="F200">
            <v>0</v>
          </cell>
          <cell r="H200">
            <v>0</v>
          </cell>
          <cell r="J200">
            <v>0</v>
          </cell>
          <cell r="P200">
            <v>0</v>
          </cell>
          <cell r="Q200">
            <v>0</v>
          </cell>
        </row>
        <row r="201">
          <cell r="D201">
            <v>0</v>
          </cell>
          <cell r="E201">
            <v>0</v>
          </cell>
          <cell r="F201">
            <v>0</v>
          </cell>
          <cell r="H201">
            <v>0</v>
          </cell>
          <cell r="J201">
            <v>0</v>
          </cell>
          <cell r="P201">
            <v>0</v>
          </cell>
          <cell r="Q201">
            <v>0</v>
          </cell>
        </row>
        <row r="202">
          <cell r="D202">
            <v>0</v>
          </cell>
          <cell r="E202">
            <v>0</v>
          </cell>
          <cell r="F202">
            <v>0</v>
          </cell>
          <cell r="H202">
            <v>0</v>
          </cell>
          <cell r="J202">
            <v>0</v>
          </cell>
          <cell r="P202">
            <v>0</v>
          </cell>
          <cell r="Q202">
            <v>0</v>
          </cell>
        </row>
        <row r="203">
          <cell r="D203">
            <v>0</v>
          </cell>
          <cell r="E203">
            <v>0</v>
          </cell>
          <cell r="F203">
            <v>0</v>
          </cell>
          <cell r="H203">
            <v>0</v>
          </cell>
          <cell r="J203">
            <v>0</v>
          </cell>
          <cell r="P203">
            <v>0</v>
          </cell>
          <cell r="Q203">
            <v>0</v>
          </cell>
        </row>
        <row r="204">
          <cell r="D204">
            <v>0</v>
          </cell>
          <cell r="E204">
            <v>0</v>
          </cell>
          <cell r="F204">
            <v>0</v>
          </cell>
          <cell r="H204">
            <v>0</v>
          </cell>
          <cell r="J204">
            <v>0</v>
          </cell>
          <cell r="P204">
            <v>0</v>
          </cell>
          <cell r="Q204">
            <v>0</v>
          </cell>
        </row>
        <row r="205">
          <cell r="D205">
            <v>0</v>
          </cell>
          <cell r="E205">
            <v>0</v>
          </cell>
          <cell r="F205">
            <v>0</v>
          </cell>
          <cell r="H205">
            <v>0</v>
          </cell>
          <cell r="J205">
            <v>0</v>
          </cell>
          <cell r="P205">
            <v>0</v>
          </cell>
          <cell r="Q205">
            <v>0</v>
          </cell>
        </row>
        <row r="206">
          <cell r="D206">
            <v>0</v>
          </cell>
          <cell r="E206">
            <v>0</v>
          </cell>
          <cell r="F206">
            <v>0</v>
          </cell>
          <cell r="H206">
            <v>0</v>
          </cell>
          <cell r="J206">
            <v>0</v>
          </cell>
          <cell r="P206">
            <v>0</v>
          </cell>
          <cell r="Q206">
            <v>0</v>
          </cell>
        </row>
        <row r="207">
          <cell r="D207">
            <v>0</v>
          </cell>
          <cell r="E207">
            <v>0</v>
          </cell>
          <cell r="F207">
            <v>0</v>
          </cell>
          <cell r="H207">
            <v>0</v>
          </cell>
          <cell r="J207">
            <v>0</v>
          </cell>
          <cell r="P207">
            <v>0</v>
          </cell>
          <cell r="Q207">
            <v>0</v>
          </cell>
        </row>
        <row r="208">
          <cell r="D208">
            <v>0</v>
          </cell>
          <cell r="E208">
            <v>0</v>
          </cell>
          <cell r="F208">
            <v>0</v>
          </cell>
          <cell r="H208">
            <v>0</v>
          </cell>
          <cell r="J208">
            <v>0</v>
          </cell>
          <cell r="P208">
            <v>0</v>
          </cell>
          <cell r="Q208">
            <v>0</v>
          </cell>
        </row>
        <row r="209">
          <cell r="D209">
            <v>0</v>
          </cell>
          <cell r="E209">
            <v>0</v>
          </cell>
          <cell r="F209">
            <v>0</v>
          </cell>
          <cell r="H209">
            <v>0</v>
          </cell>
          <cell r="J209">
            <v>0</v>
          </cell>
          <cell r="P209">
            <v>0</v>
          </cell>
          <cell r="Q209">
            <v>0</v>
          </cell>
        </row>
        <row r="210">
          <cell r="D210">
            <v>0</v>
          </cell>
          <cell r="E210">
            <v>0</v>
          </cell>
          <cell r="F210">
            <v>0</v>
          </cell>
          <cell r="H210">
            <v>0</v>
          </cell>
          <cell r="J210">
            <v>0</v>
          </cell>
          <cell r="P210">
            <v>0</v>
          </cell>
          <cell r="Q210">
            <v>0</v>
          </cell>
        </row>
        <row r="211">
          <cell r="D211">
            <v>0</v>
          </cell>
          <cell r="E211">
            <v>0</v>
          </cell>
          <cell r="F211">
            <v>0</v>
          </cell>
          <cell r="H211">
            <v>0</v>
          </cell>
          <cell r="J211">
            <v>0</v>
          </cell>
          <cell r="P211">
            <v>0</v>
          </cell>
          <cell r="Q211">
            <v>0</v>
          </cell>
        </row>
        <row r="212">
          <cell r="D212">
            <v>0</v>
          </cell>
          <cell r="E212">
            <v>0</v>
          </cell>
          <cell r="F212">
            <v>0</v>
          </cell>
          <cell r="H212">
            <v>0</v>
          </cell>
          <cell r="J212">
            <v>0</v>
          </cell>
          <cell r="P212">
            <v>0</v>
          </cell>
          <cell r="Q212">
            <v>0</v>
          </cell>
        </row>
        <row r="213">
          <cell r="D213">
            <v>0</v>
          </cell>
          <cell r="E213">
            <v>0</v>
          </cell>
          <cell r="F213">
            <v>0</v>
          </cell>
          <cell r="H213">
            <v>0</v>
          </cell>
          <cell r="J213">
            <v>0</v>
          </cell>
          <cell r="P213">
            <v>0</v>
          </cell>
          <cell r="Q213">
            <v>0</v>
          </cell>
        </row>
        <row r="214">
          <cell r="D214">
            <v>0</v>
          </cell>
          <cell r="E214">
            <v>0</v>
          </cell>
          <cell r="F214">
            <v>0</v>
          </cell>
          <cell r="H214">
            <v>0</v>
          </cell>
          <cell r="J214">
            <v>0</v>
          </cell>
          <cell r="P214">
            <v>0</v>
          </cell>
          <cell r="Q214">
            <v>0</v>
          </cell>
        </row>
        <row r="215">
          <cell r="D215">
            <v>0</v>
          </cell>
          <cell r="E215">
            <v>0</v>
          </cell>
          <cell r="F215">
            <v>0</v>
          </cell>
          <cell r="H215">
            <v>0</v>
          </cell>
          <cell r="J215">
            <v>0</v>
          </cell>
          <cell r="P215">
            <v>0</v>
          </cell>
          <cell r="Q215">
            <v>0</v>
          </cell>
        </row>
        <row r="216">
          <cell r="D216">
            <v>0</v>
          </cell>
          <cell r="E216">
            <v>0</v>
          </cell>
          <cell r="F216">
            <v>0</v>
          </cell>
          <cell r="H216">
            <v>0</v>
          </cell>
          <cell r="J216">
            <v>0</v>
          </cell>
          <cell r="P216">
            <v>0</v>
          </cell>
          <cell r="Q216">
            <v>0</v>
          </cell>
        </row>
        <row r="217">
          <cell r="D217">
            <v>0</v>
          </cell>
          <cell r="E217">
            <v>0</v>
          </cell>
          <cell r="F217">
            <v>0</v>
          </cell>
          <cell r="H217">
            <v>0</v>
          </cell>
          <cell r="J217">
            <v>0</v>
          </cell>
          <cell r="P217">
            <v>0</v>
          </cell>
          <cell r="Q217">
            <v>0</v>
          </cell>
        </row>
        <row r="218">
          <cell r="D218">
            <v>0</v>
          </cell>
          <cell r="E218">
            <v>0</v>
          </cell>
          <cell r="F218">
            <v>0</v>
          </cell>
          <cell r="H218">
            <v>0</v>
          </cell>
          <cell r="J218">
            <v>0</v>
          </cell>
          <cell r="P218">
            <v>0</v>
          </cell>
          <cell r="Q218">
            <v>0</v>
          </cell>
        </row>
        <row r="219">
          <cell r="D219">
            <v>0</v>
          </cell>
          <cell r="E219">
            <v>0</v>
          </cell>
          <cell r="F219">
            <v>0</v>
          </cell>
          <cell r="H219">
            <v>0</v>
          </cell>
          <cell r="J219">
            <v>0</v>
          </cell>
          <cell r="P219">
            <v>0</v>
          </cell>
          <cell r="Q219">
            <v>0</v>
          </cell>
        </row>
        <row r="220">
          <cell r="D220">
            <v>0</v>
          </cell>
          <cell r="E220">
            <v>0</v>
          </cell>
          <cell r="F220">
            <v>0</v>
          </cell>
          <cell r="H220">
            <v>0</v>
          </cell>
          <cell r="J220">
            <v>0</v>
          </cell>
          <cell r="P220">
            <v>0</v>
          </cell>
          <cell r="Q220">
            <v>0</v>
          </cell>
        </row>
        <row r="221">
          <cell r="D221">
            <v>0</v>
          </cell>
          <cell r="E221">
            <v>0</v>
          </cell>
          <cell r="F221">
            <v>0</v>
          </cell>
          <cell r="H221">
            <v>0</v>
          </cell>
          <cell r="J221">
            <v>0</v>
          </cell>
          <cell r="P221">
            <v>0</v>
          </cell>
          <cell r="Q221">
            <v>0</v>
          </cell>
        </row>
        <row r="222">
          <cell r="D222">
            <v>0</v>
          </cell>
          <cell r="E222">
            <v>0</v>
          </cell>
          <cell r="F222">
            <v>0</v>
          </cell>
          <cell r="H222">
            <v>0</v>
          </cell>
          <cell r="J222">
            <v>0</v>
          </cell>
          <cell r="P222">
            <v>0</v>
          </cell>
          <cell r="Q222">
            <v>0</v>
          </cell>
        </row>
        <row r="223">
          <cell r="D223">
            <v>0</v>
          </cell>
          <cell r="E223">
            <v>0</v>
          </cell>
          <cell r="F223">
            <v>0</v>
          </cell>
          <cell r="H223">
            <v>0</v>
          </cell>
          <cell r="J223">
            <v>0</v>
          </cell>
          <cell r="P223">
            <v>0</v>
          </cell>
          <cell r="Q223">
            <v>0</v>
          </cell>
        </row>
        <row r="224">
          <cell r="D224">
            <v>0</v>
          </cell>
          <cell r="E224">
            <v>0</v>
          </cell>
          <cell r="F224">
            <v>0</v>
          </cell>
          <cell r="H224">
            <v>0</v>
          </cell>
          <cell r="J224">
            <v>0</v>
          </cell>
          <cell r="P224">
            <v>0</v>
          </cell>
          <cell r="Q224">
            <v>0</v>
          </cell>
        </row>
        <row r="225">
          <cell r="D225">
            <v>0</v>
          </cell>
          <cell r="E225">
            <v>0</v>
          </cell>
          <cell r="F225">
            <v>0</v>
          </cell>
          <cell r="H225">
            <v>0</v>
          </cell>
          <cell r="J225">
            <v>0</v>
          </cell>
          <cell r="P225">
            <v>0</v>
          </cell>
          <cell r="Q225">
            <v>0</v>
          </cell>
        </row>
        <row r="226">
          <cell r="D226">
            <v>0</v>
          </cell>
          <cell r="E226">
            <v>0</v>
          </cell>
          <cell r="F226">
            <v>0</v>
          </cell>
          <cell r="H226">
            <v>0</v>
          </cell>
          <cell r="J226">
            <v>0</v>
          </cell>
          <cell r="P226">
            <v>0</v>
          </cell>
          <cell r="Q226">
            <v>0</v>
          </cell>
        </row>
        <row r="227">
          <cell r="D227">
            <v>0</v>
          </cell>
          <cell r="E227">
            <v>0</v>
          </cell>
          <cell r="F227">
            <v>0</v>
          </cell>
          <cell r="H227">
            <v>0</v>
          </cell>
          <cell r="J227">
            <v>0</v>
          </cell>
          <cell r="P227">
            <v>0</v>
          </cell>
          <cell r="Q227">
            <v>0</v>
          </cell>
        </row>
        <row r="228">
          <cell r="D228">
            <v>0</v>
          </cell>
          <cell r="E228">
            <v>0</v>
          </cell>
          <cell r="F228">
            <v>0</v>
          </cell>
          <cell r="H228">
            <v>0</v>
          </cell>
          <cell r="J228">
            <v>0</v>
          </cell>
          <cell r="P228">
            <v>0</v>
          </cell>
          <cell r="Q228">
            <v>0</v>
          </cell>
        </row>
        <row r="229">
          <cell r="D229">
            <v>0</v>
          </cell>
          <cell r="E229">
            <v>0</v>
          </cell>
          <cell r="F229">
            <v>0</v>
          </cell>
          <cell r="H229">
            <v>0</v>
          </cell>
          <cell r="J229">
            <v>0</v>
          </cell>
          <cell r="P229">
            <v>0</v>
          </cell>
          <cell r="Q229">
            <v>0</v>
          </cell>
        </row>
        <row r="230">
          <cell r="D230">
            <v>0</v>
          </cell>
          <cell r="E230">
            <v>0</v>
          </cell>
          <cell r="F230">
            <v>0</v>
          </cell>
          <cell r="H230">
            <v>0</v>
          </cell>
          <cell r="J230">
            <v>0</v>
          </cell>
          <cell r="P230">
            <v>0</v>
          </cell>
          <cell r="Q230">
            <v>0</v>
          </cell>
        </row>
        <row r="231">
          <cell r="D231">
            <v>0</v>
          </cell>
          <cell r="E231">
            <v>0</v>
          </cell>
          <cell r="F231">
            <v>0</v>
          </cell>
          <cell r="H231">
            <v>0</v>
          </cell>
          <cell r="J231">
            <v>0</v>
          </cell>
          <cell r="P231">
            <v>0</v>
          </cell>
          <cell r="Q231">
            <v>0</v>
          </cell>
        </row>
        <row r="232">
          <cell r="D232">
            <v>0</v>
          </cell>
          <cell r="E232">
            <v>0</v>
          </cell>
          <cell r="F232">
            <v>0</v>
          </cell>
          <cell r="H232">
            <v>0</v>
          </cell>
          <cell r="J232">
            <v>0</v>
          </cell>
          <cell r="P232">
            <v>0</v>
          </cell>
          <cell r="Q232">
            <v>0</v>
          </cell>
        </row>
        <row r="233">
          <cell r="D233">
            <v>0</v>
          </cell>
          <cell r="E233">
            <v>0</v>
          </cell>
          <cell r="F233">
            <v>0</v>
          </cell>
          <cell r="H233">
            <v>0</v>
          </cell>
          <cell r="J233">
            <v>0</v>
          </cell>
          <cell r="P233">
            <v>0</v>
          </cell>
          <cell r="Q233">
            <v>0</v>
          </cell>
        </row>
        <row r="234">
          <cell r="D234">
            <v>0</v>
          </cell>
          <cell r="E234">
            <v>0</v>
          </cell>
          <cell r="F234">
            <v>0</v>
          </cell>
          <cell r="H234">
            <v>0</v>
          </cell>
          <cell r="J234">
            <v>0</v>
          </cell>
          <cell r="P234">
            <v>0</v>
          </cell>
          <cell r="Q234">
            <v>0</v>
          </cell>
        </row>
        <row r="235">
          <cell r="D235">
            <v>0</v>
          </cell>
          <cell r="E235">
            <v>0</v>
          </cell>
          <cell r="F235">
            <v>0</v>
          </cell>
          <cell r="H235">
            <v>0</v>
          </cell>
          <cell r="J235">
            <v>0</v>
          </cell>
          <cell r="P235">
            <v>0</v>
          </cell>
          <cell r="Q235">
            <v>0</v>
          </cell>
        </row>
        <row r="236">
          <cell r="D236">
            <v>0</v>
          </cell>
          <cell r="E236">
            <v>0</v>
          </cell>
          <cell r="F236">
            <v>0</v>
          </cell>
          <cell r="H236">
            <v>0</v>
          </cell>
          <cell r="J236">
            <v>0</v>
          </cell>
          <cell r="P236">
            <v>0</v>
          </cell>
          <cell r="Q236">
            <v>0</v>
          </cell>
        </row>
        <row r="237">
          <cell r="D237">
            <v>0</v>
          </cell>
          <cell r="E237">
            <v>0</v>
          </cell>
          <cell r="F237">
            <v>0</v>
          </cell>
          <cell r="H237">
            <v>0</v>
          </cell>
          <cell r="J237">
            <v>0</v>
          </cell>
          <cell r="P237">
            <v>0</v>
          </cell>
          <cell r="Q237">
            <v>0</v>
          </cell>
        </row>
        <row r="238">
          <cell r="D238">
            <v>0</v>
          </cell>
          <cell r="E238">
            <v>0</v>
          </cell>
          <cell r="F238">
            <v>0</v>
          </cell>
          <cell r="H238">
            <v>0</v>
          </cell>
          <cell r="J238">
            <v>0</v>
          </cell>
          <cell r="P238">
            <v>0</v>
          </cell>
          <cell r="Q238">
            <v>0</v>
          </cell>
        </row>
        <row r="239">
          <cell r="D239">
            <v>0</v>
          </cell>
          <cell r="E239">
            <v>0</v>
          </cell>
          <cell r="F239">
            <v>0</v>
          </cell>
          <cell r="H239">
            <v>0</v>
          </cell>
          <cell r="J239">
            <v>0</v>
          </cell>
          <cell r="P239">
            <v>0</v>
          </cell>
          <cell r="Q239">
            <v>0</v>
          </cell>
        </row>
        <row r="240">
          <cell r="D240">
            <v>0</v>
          </cell>
          <cell r="E240">
            <v>0</v>
          </cell>
          <cell r="F240">
            <v>0</v>
          </cell>
          <cell r="H240">
            <v>0</v>
          </cell>
          <cell r="J240">
            <v>0</v>
          </cell>
          <cell r="P240">
            <v>0</v>
          </cell>
          <cell r="Q240">
            <v>0</v>
          </cell>
        </row>
        <row r="241">
          <cell r="D241">
            <v>0</v>
          </cell>
          <cell r="E241">
            <v>0</v>
          </cell>
          <cell r="F241">
            <v>0</v>
          </cell>
          <cell r="H241">
            <v>0</v>
          </cell>
          <cell r="J241">
            <v>0</v>
          </cell>
          <cell r="P241">
            <v>0</v>
          </cell>
          <cell r="Q241">
            <v>0</v>
          </cell>
        </row>
        <row r="242">
          <cell r="D242">
            <v>0</v>
          </cell>
          <cell r="E242">
            <v>0</v>
          </cell>
          <cell r="F242">
            <v>0</v>
          </cell>
          <cell r="H242">
            <v>0</v>
          </cell>
          <cell r="J242">
            <v>0</v>
          </cell>
          <cell r="P242">
            <v>0</v>
          </cell>
          <cell r="Q242">
            <v>0</v>
          </cell>
        </row>
        <row r="243">
          <cell r="D243">
            <v>0</v>
          </cell>
          <cell r="E243">
            <v>0</v>
          </cell>
          <cell r="F243">
            <v>0</v>
          </cell>
          <cell r="H243">
            <v>0</v>
          </cell>
          <cell r="J243">
            <v>0</v>
          </cell>
          <cell r="P243">
            <v>0</v>
          </cell>
          <cell r="Q243">
            <v>0</v>
          </cell>
        </row>
        <row r="244">
          <cell r="D244">
            <v>0</v>
          </cell>
          <cell r="E244">
            <v>0</v>
          </cell>
          <cell r="F244">
            <v>0</v>
          </cell>
          <cell r="H244">
            <v>0</v>
          </cell>
          <cell r="J244">
            <v>0</v>
          </cell>
          <cell r="P244">
            <v>0</v>
          </cell>
          <cell r="Q244">
            <v>0</v>
          </cell>
        </row>
        <row r="245">
          <cell r="D245">
            <v>0</v>
          </cell>
          <cell r="E245">
            <v>0</v>
          </cell>
          <cell r="F245">
            <v>0</v>
          </cell>
          <cell r="H245">
            <v>0</v>
          </cell>
          <cell r="J245">
            <v>0</v>
          </cell>
          <cell r="P245">
            <v>0</v>
          </cell>
          <cell r="Q245">
            <v>0</v>
          </cell>
        </row>
        <row r="246">
          <cell r="D246">
            <v>0</v>
          </cell>
          <cell r="E246">
            <v>0</v>
          </cell>
          <cell r="F246">
            <v>0</v>
          </cell>
          <cell r="H246">
            <v>0</v>
          </cell>
          <cell r="J246">
            <v>0</v>
          </cell>
          <cell r="P246">
            <v>0</v>
          </cell>
          <cell r="Q246">
            <v>0</v>
          </cell>
        </row>
        <row r="247">
          <cell r="D247">
            <v>0</v>
          </cell>
          <cell r="E247">
            <v>0</v>
          </cell>
          <cell r="F247">
            <v>0</v>
          </cell>
          <cell r="H247">
            <v>0</v>
          </cell>
          <cell r="J247">
            <v>0</v>
          </cell>
          <cell r="P247">
            <v>0</v>
          </cell>
          <cell r="Q247">
            <v>0</v>
          </cell>
        </row>
        <row r="248">
          <cell r="D248">
            <v>0</v>
          </cell>
          <cell r="E248">
            <v>0</v>
          </cell>
          <cell r="F248">
            <v>0</v>
          </cell>
          <cell r="H248">
            <v>0</v>
          </cell>
          <cell r="J248">
            <v>0</v>
          </cell>
          <cell r="P248">
            <v>0</v>
          </cell>
          <cell r="Q248">
            <v>0</v>
          </cell>
        </row>
        <row r="249">
          <cell r="D249">
            <v>0</v>
          </cell>
          <cell r="E249">
            <v>0</v>
          </cell>
          <cell r="F249">
            <v>0</v>
          </cell>
          <cell r="H249">
            <v>0</v>
          </cell>
          <cell r="J249">
            <v>0</v>
          </cell>
          <cell r="P249">
            <v>0</v>
          </cell>
          <cell r="Q249">
            <v>0</v>
          </cell>
        </row>
        <row r="250">
          <cell r="D250">
            <v>0</v>
          </cell>
          <cell r="E250">
            <v>0</v>
          </cell>
          <cell r="F250">
            <v>0</v>
          </cell>
          <cell r="H250">
            <v>0</v>
          </cell>
          <cell r="J250">
            <v>0</v>
          </cell>
          <cell r="P250">
            <v>0</v>
          </cell>
          <cell r="Q250">
            <v>0</v>
          </cell>
        </row>
        <row r="251">
          <cell r="D251">
            <v>0</v>
          </cell>
          <cell r="E251">
            <v>0</v>
          </cell>
          <cell r="F251">
            <v>0</v>
          </cell>
          <cell r="H251">
            <v>0</v>
          </cell>
          <cell r="J251">
            <v>0</v>
          </cell>
          <cell r="P251">
            <v>0</v>
          </cell>
          <cell r="Q251">
            <v>0</v>
          </cell>
        </row>
        <row r="252">
          <cell r="D252">
            <v>0</v>
          </cell>
          <cell r="E252">
            <v>0</v>
          </cell>
          <cell r="F252">
            <v>0</v>
          </cell>
          <cell r="H252">
            <v>0</v>
          </cell>
          <cell r="J252">
            <v>0</v>
          </cell>
          <cell r="P252">
            <v>0</v>
          </cell>
          <cell r="Q252">
            <v>0</v>
          </cell>
        </row>
        <row r="253">
          <cell r="D253">
            <v>0</v>
          </cell>
          <cell r="E253">
            <v>0</v>
          </cell>
          <cell r="F253">
            <v>0</v>
          </cell>
          <cell r="H253">
            <v>0</v>
          </cell>
          <cell r="J253">
            <v>0</v>
          </cell>
          <cell r="P253">
            <v>0</v>
          </cell>
          <cell r="Q253">
            <v>0</v>
          </cell>
        </row>
        <row r="254">
          <cell r="D254">
            <v>0</v>
          </cell>
          <cell r="E254">
            <v>0</v>
          </cell>
          <cell r="F254">
            <v>0</v>
          </cell>
          <cell r="H254">
            <v>0</v>
          </cell>
          <cell r="J254">
            <v>0</v>
          </cell>
          <cell r="P254">
            <v>0</v>
          </cell>
          <cell r="Q254">
            <v>0</v>
          </cell>
        </row>
        <row r="255">
          <cell r="D255">
            <v>0</v>
          </cell>
          <cell r="E255">
            <v>0</v>
          </cell>
          <cell r="F255">
            <v>0</v>
          </cell>
          <cell r="H255">
            <v>0</v>
          </cell>
          <cell r="J255">
            <v>0</v>
          </cell>
          <cell r="P255">
            <v>0</v>
          </cell>
          <cell r="Q255">
            <v>0</v>
          </cell>
        </row>
        <row r="256">
          <cell r="D256">
            <v>0</v>
          </cell>
          <cell r="E256">
            <v>0</v>
          </cell>
          <cell r="F256">
            <v>0</v>
          </cell>
          <cell r="H256">
            <v>0</v>
          </cell>
          <cell r="J256">
            <v>0</v>
          </cell>
          <cell r="P256">
            <v>0</v>
          </cell>
          <cell r="Q256">
            <v>0</v>
          </cell>
        </row>
        <row r="257">
          <cell r="D257">
            <v>0</v>
          </cell>
          <cell r="E257">
            <v>0</v>
          </cell>
          <cell r="F257">
            <v>0</v>
          </cell>
          <cell r="H257">
            <v>0</v>
          </cell>
          <cell r="J257">
            <v>0</v>
          </cell>
          <cell r="P257">
            <v>0</v>
          </cell>
          <cell r="Q257">
            <v>0</v>
          </cell>
        </row>
        <row r="258">
          <cell r="D258">
            <v>0</v>
          </cell>
          <cell r="E258">
            <v>0</v>
          </cell>
          <cell r="F258">
            <v>0</v>
          </cell>
          <cell r="H258">
            <v>0</v>
          </cell>
          <cell r="J258">
            <v>0</v>
          </cell>
          <cell r="P258">
            <v>0</v>
          </cell>
          <cell r="Q258">
            <v>0</v>
          </cell>
        </row>
        <row r="259">
          <cell r="D259">
            <v>0</v>
          </cell>
          <cell r="E259">
            <v>0</v>
          </cell>
          <cell r="F259">
            <v>0</v>
          </cell>
          <cell r="H259">
            <v>0</v>
          </cell>
          <cell r="J259">
            <v>0</v>
          </cell>
          <cell r="P259">
            <v>0</v>
          </cell>
          <cell r="Q259">
            <v>0</v>
          </cell>
        </row>
        <row r="260">
          <cell r="D260">
            <v>0</v>
          </cell>
          <cell r="E260">
            <v>0</v>
          </cell>
          <cell r="F260">
            <v>0</v>
          </cell>
          <cell r="H260">
            <v>0</v>
          </cell>
          <cell r="J260">
            <v>0</v>
          </cell>
          <cell r="P260">
            <v>0</v>
          </cell>
          <cell r="Q260">
            <v>0</v>
          </cell>
        </row>
        <row r="261">
          <cell r="D261">
            <v>0</v>
          </cell>
          <cell r="E261">
            <v>0</v>
          </cell>
          <cell r="F261">
            <v>0</v>
          </cell>
          <cell r="H261">
            <v>0</v>
          </cell>
          <cell r="J261">
            <v>0</v>
          </cell>
          <cell r="P261">
            <v>0</v>
          </cell>
          <cell r="Q261">
            <v>0</v>
          </cell>
        </row>
        <row r="262">
          <cell r="D262">
            <v>0</v>
          </cell>
          <cell r="E262">
            <v>0</v>
          </cell>
          <cell r="F262">
            <v>0</v>
          </cell>
          <cell r="H262">
            <v>0</v>
          </cell>
          <cell r="J262">
            <v>0</v>
          </cell>
          <cell r="P262">
            <v>0</v>
          </cell>
          <cell r="Q262">
            <v>0</v>
          </cell>
        </row>
        <row r="263">
          <cell r="D263">
            <v>0</v>
          </cell>
          <cell r="E263">
            <v>0</v>
          </cell>
          <cell r="F263">
            <v>0</v>
          </cell>
          <cell r="H263">
            <v>0</v>
          </cell>
          <cell r="J263">
            <v>0</v>
          </cell>
          <cell r="P263">
            <v>0</v>
          </cell>
          <cell r="Q263">
            <v>0</v>
          </cell>
        </row>
        <row r="264">
          <cell r="D264">
            <v>0</v>
          </cell>
          <cell r="E264">
            <v>0</v>
          </cell>
          <cell r="F264">
            <v>0</v>
          </cell>
          <cell r="H264">
            <v>0</v>
          </cell>
          <cell r="J264">
            <v>0</v>
          </cell>
          <cell r="P264">
            <v>0</v>
          </cell>
          <cell r="Q264">
            <v>0</v>
          </cell>
        </row>
        <row r="265">
          <cell r="D265">
            <v>0</v>
          </cell>
          <cell r="E265">
            <v>0</v>
          </cell>
          <cell r="F265">
            <v>0</v>
          </cell>
          <cell r="H265">
            <v>0</v>
          </cell>
          <cell r="J265">
            <v>0</v>
          </cell>
          <cell r="P265">
            <v>0</v>
          </cell>
          <cell r="Q265">
            <v>0</v>
          </cell>
        </row>
        <row r="266">
          <cell r="D266">
            <v>0</v>
          </cell>
          <cell r="E266">
            <v>0</v>
          </cell>
          <cell r="F266">
            <v>0</v>
          </cell>
          <cell r="H266">
            <v>0</v>
          </cell>
          <cell r="J266">
            <v>0</v>
          </cell>
          <cell r="P266">
            <v>0</v>
          </cell>
          <cell r="Q266">
            <v>0</v>
          </cell>
        </row>
        <row r="267">
          <cell r="D267">
            <v>0</v>
          </cell>
          <cell r="E267">
            <v>0</v>
          </cell>
          <cell r="F267">
            <v>0</v>
          </cell>
          <cell r="H267">
            <v>0</v>
          </cell>
          <cell r="J267">
            <v>0</v>
          </cell>
          <cell r="P267">
            <v>0</v>
          </cell>
          <cell r="Q267">
            <v>0</v>
          </cell>
        </row>
        <row r="268">
          <cell r="D268">
            <v>0</v>
          </cell>
          <cell r="E268">
            <v>0</v>
          </cell>
          <cell r="F268">
            <v>0</v>
          </cell>
          <cell r="H268">
            <v>0</v>
          </cell>
          <cell r="J268">
            <v>0</v>
          </cell>
          <cell r="P268">
            <v>0</v>
          </cell>
          <cell r="Q268">
            <v>0</v>
          </cell>
        </row>
        <row r="269">
          <cell r="D269">
            <v>0</v>
          </cell>
          <cell r="E269">
            <v>0</v>
          </cell>
          <cell r="F269">
            <v>0</v>
          </cell>
          <cell r="H269">
            <v>0</v>
          </cell>
          <cell r="J269">
            <v>0</v>
          </cell>
          <cell r="P269">
            <v>0</v>
          </cell>
          <cell r="Q269">
            <v>0</v>
          </cell>
        </row>
        <row r="270">
          <cell r="D270">
            <v>0</v>
          </cell>
          <cell r="E270">
            <v>0</v>
          </cell>
          <cell r="F270">
            <v>0</v>
          </cell>
          <cell r="H270">
            <v>0</v>
          </cell>
          <cell r="J270">
            <v>0</v>
          </cell>
          <cell r="P270">
            <v>0</v>
          </cell>
          <cell r="Q270">
            <v>0</v>
          </cell>
        </row>
        <row r="271">
          <cell r="D271">
            <v>0</v>
          </cell>
          <cell r="E271">
            <v>0</v>
          </cell>
          <cell r="F271">
            <v>0</v>
          </cell>
          <cell r="H271">
            <v>0</v>
          </cell>
          <cell r="J271">
            <v>0</v>
          </cell>
          <cell r="P271">
            <v>0</v>
          </cell>
          <cell r="Q271">
            <v>0</v>
          </cell>
        </row>
        <row r="272">
          <cell r="D272">
            <v>0</v>
          </cell>
          <cell r="E272">
            <v>0</v>
          </cell>
          <cell r="F272">
            <v>0</v>
          </cell>
          <cell r="H272">
            <v>0</v>
          </cell>
          <cell r="J272">
            <v>0</v>
          </cell>
          <cell r="P272">
            <v>0</v>
          </cell>
          <cell r="Q272">
            <v>0</v>
          </cell>
        </row>
        <row r="273">
          <cell r="D273">
            <v>0</v>
          </cell>
          <cell r="E273">
            <v>0</v>
          </cell>
          <cell r="F273">
            <v>0</v>
          </cell>
          <cell r="H273">
            <v>0</v>
          </cell>
          <cell r="J273">
            <v>0</v>
          </cell>
          <cell r="P273">
            <v>0</v>
          </cell>
          <cell r="Q273">
            <v>0</v>
          </cell>
        </row>
        <row r="274">
          <cell r="D274">
            <v>0</v>
          </cell>
          <cell r="E274">
            <v>0</v>
          </cell>
          <cell r="F274">
            <v>0</v>
          </cell>
          <cell r="H274">
            <v>0</v>
          </cell>
          <cell r="J274">
            <v>0</v>
          </cell>
          <cell r="P274">
            <v>0</v>
          </cell>
          <cell r="Q274">
            <v>0</v>
          </cell>
        </row>
        <row r="275">
          <cell r="D275">
            <v>0</v>
          </cell>
          <cell r="E275">
            <v>0</v>
          </cell>
          <cell r="F275">
            <v>0</v>
          </cell>
          <cell r="H275">
            <v>0</v>
          </cell>
          <cell r="J275">
            <v>0</v>
          </cell>
          <cell r="P275">
            <v>0</v>
          </cell>
          <cell r="Q275">
            <v>0</v>
          </cell>
        </row>
        <row r="276">
          <cell r="D276">
            <v>0</v>
          </cell>
          <cell r="E276">
            <v>0</v>
          </cell>
          <cell r="F276">
            <v>0</v>
          </cell>
          <cell r="H276">
            <v>0</v>
          </cell>
          <cell r="J276">
            <v>0</v>
          </cell>
          <cell r="P276">
            <v>0</v>
          </cell>
          <cell r="Q276">
            <v>0</v>
          </cell>
        </row>
        <row r="277">
          <cell r="D277">
            <v>0</v>
          </cell>
          <cell r="E277">
            <v>0</v>
          </cell>
          <cell r="F277">
            <v>0</v>
          </cell>
          <cell r="H277">
            <v>0</v>
          </cell>
          <cell r="J277">
            <v>0</v>
          </cell>
          <cell r="P277">
            <v>0</v>
          </cell>
          <cell r="Q277">
            <v>0</v>
          </cell>
        </row>
        <row r="278">
          <cell r="D278">
            <v>0</v>
          </cell>
          <cell r="E278">
            <v>0</v>
          </cell>
          <cell r="F278">
            <v>0</v>
          </cell>
          <cell r="H278">
            <v>0</v>
          </cell>
          <cell r="J278">
            <v>0</v>
          </cell>
          <cell r="P278">
            <v>0</v>
          </cell>
          <cell r="Q278">
            <v>0</v>
          </cell>
        </row>
        <row r="279">
          <cell r="D279">
            <v>0</v>
          </cell>
          <cell r="E279">
            <v>0</v>
          </cell>
          <cell r="F279">
            <v>0</v>
          </cell>
          <cell r="H279">
            <v>0</v>
          </cell>
          <cell r="J279">
            <v>0</v>
          </cell>
          <cell r="P279">
            <v>0</v>
          </cell>
          <cell r="Q279">
            <v>0</v>
          </cell>
        </row>
        <row r="280">
          <cell r="D280">
            <v>0</v>
          </cell>
          <cell r="E280">
            <v>0</v>
          </cell>
          <cell r="F280">
            <v>0</v>
          </cell>
          <cell r="H280">
            <v>0</v>
          </cell>
          <cell r="J280">
            <v>0</v>
          </cell>
          <cell r="P280">
            <v>0</v>
          </cell>
          <cell r="Q280">
            <v>0</v>
          </cell>
        </row>
        <row r="281">
          <cell r="D281">
            <v>0</v>
          </cell>
          <cell r="E281">
            <v>0</v>
          </cell>
          <cell r="F281">
            <v>0</v>
          </cell>
          <cell r="H281">
            <v>0</v>
          </cell>
          <cell r="J281">
            <v>0</v>
          </cell>
          <cell r="P281">
            <v>0</v>
          </cell>
          <cell r="Q281">
            <v>0</v>
          </cell>
        </row>
        <row r="282">
          <cell r="D282">
            <v>0</v>
          </cell>
          <cell r="E282">
            <v>0</v>
          </cell>
          <cell r="F282">
            <v>0</v>
          </cell>
          <cell r="H282">
            <v>0</v>
          </cell>
          <cell r="J282">
            <v>0</v>
          </cell>
          <cell r="P282">
            <v>0</v>
          </cell>
          <cell r="Q282">
            <v>0</v>
          </cell>
        </row>
        <row r="283">
          <cell r="D283">
            <v>0</v>
          </cell>
          <cell r="E283">
            <v>0</v>
          </cell>
          <cell r="F283">
            <v>0</v>
          </cell>
          <cell r="H283">
            <v>0</v>
          </cell>
          <cell r="J283">
            <v>0</v>
          </cell>
          <cell r="P283">
            <v>0</v>
          </cell>
          <cell r="Q283">
            <v>0</v>
          </cell>
        </row>
        <row r="284">
          <cell r="D284">
            <v>0</v>
          </cell>
          <cell r="E284">
            <v>0</v>
          </cell>
          <cell r="F284">
            <v>0</v>
          </cell>
          <cell r="H284">
            <v>0</v>
          </cell>
          <cell r="J284">
            <v>0</v>
          </cell>
          <cell r="P284">
            <v>0</v>
          </cell>
          <cell r="Q284">
            <v>0</v>
          </cell>
        </row>
        <row r="285">
          <cell r="D285">
            <v>0</v>
          </cell>
          <cell r="E285">
            <v>0</v>
          </cell>
          <cell r="F285">
            <v>0</v>
          </cell>
          <cell r="H285">
            <v>0</v>
          </cell>
          <cell r="J285">
            <v>0</v>
          </cell>
          <cell r="P285">
            <v>0</v>
          </cell>
          <cell r="Q285">
            <v>0</v>
          </cell>
        </row>
        <row r="286">
          <cell r="D286">
            <v>0</v>
          </cell>
          <cell r="E286">
            <v>0</v>
          </cell>
          <cell r="F286">
            <v>0</v>
          </cell>
          <cell r="H286">
            <v>0</v>
          </cell>
          <cell r="J286">
            <v>0</v>
          </cell>
          <cell r="P286">
            <v>0</v>
          </cell>
          <cell r="Q286">
            <v>0</v>
          </cell>
        </row>
        <row r="287">
          <cell r="D287">
            <v>0</v>
          </cell>
          <cell r="E287">
            <v>0</v>
          </cell>
          <cell r="F287">
            <v>0</v>
          </cell>
          <cell r="H287">
            <v>0</v>
          </cell>
          <cell r="J287">
            <v>0</v>
          </cell>
          <cell r="P287">
            <v>0</v>
          </cell>
          <cell r="Q287">
            <v>0</v>
          </cell>
        </row>
        <row r="288">
          <cell r="D288">
            <v>0</v>
          </cell>
          <cell r="E288">
            <v>0</v>
          </cell>
          <cell r="F288">
            <v>0</v>
          </cell>
          <cell r="H288">
            <v>0</v>
          </cell>
          <cell r="J288">
            <v>0</v>
          </cell>
          <cell r="P288">
            <v>0</v>
          </cell>
          <cell r="Q288">
            <v>0</v>
          </cell>
        </row>
        <row r="289">
          <cell r="D289">
            <v>0</v>
          </cell>
          <cell r="E289">
            <v>0</v>
          </cell>
          <cell r="F289">
            <v>0</v>
          </cell>
          <cell r="H289">
            <v>0</v>
          </cell>
          <cell r="J289">
            <v>0</v>
          </cell>
          <cell r="P289">
            <v>0</v>
          </cell>
          <cell r="Q289">
            <v>0</v>
          </cell>
        </row>
        <row r="290">
          <cell r="D290">
            <v>0</v>
          </cell>
          <cell r="E290">
            <v>0</v>
          </cell>
          <cell r="F290">
            <v>0</v>
          </cell>
          <cell r="H290">
            <v>0</v>
          </cell>
          <cell r="J290">
            <v>0</v>
          </cell>
          <cell r="P290">
            <v>0</v>
          </cell>
          <cell r="Q290">
            <v>0</v>
          </cell>
        </row>
        <row r="291">
          <cell r="D291">
            <v>0</v>
          </cell>
          <cell r="E291">
            <v>0</v>
          </cell>
          <cell r="F291">
            <v>0</v>
          </cell>
          <cell r="H291">
            <v>0</v>
          </cell>
          <cell r="J291">
            <v>0</v>
          </cell>
          <cell r="P291">
            <v>0</v>
          </cell>
          <cell r="Q291">
            <v>0</v>
          </cell>
        </row>
        <row r="292">
          <cell r="D292">
            <v>0</v>
          </cell>
          <cell r="E292">
            <v>0</v>
          </cell>
          <cell r="F292">
            <v>0</v>
          </cell>
          <cell r="H292">
            <v>0</v>
          </cell>
          <cell r="J292">
            <v>0</v>
          </cell>
          <cell r="P292">
            <v>0</v>
          </cell>
          <cell r="Q292">
            <v>0</v>
          </cell>
        </row>
        <row r="293">
          <cell r="D293">
            <v>0</v>
          </cell>
          <cell r="E293">
            <v>0</v>
          </cell>
          <cell r="F293">
            <v>0</v>
          </cell>
          <cell r="H293">
            <v>0</v>
          </cell>
          <cell r="J293">
            <v>0</v>
          </cell>
          <cell r="P293">
            <v>0</v>
          </cell>
          <cell r="Q293">
            <v>0</v>
          </cell>
        </row>
        <row r="294">
          <cell r="D294">
            <v>0</v>
          </cell>
          <cell r="E294">
            <v>0</v>
          </cell>
          <cell r="F294">
            <v>0</v>
          </cell>
          <cell r="H294">
            <v>0</v>
          </cell>
          <cell r="J294">
            <v>0</v>
          </cell>
          <cell r="P294">
            <v>0</v>
          </cell>
          <cell r="Q294">
            <v>0</v>
          </cell>
        </row>
        <row r="295">
          <cell r="D295">
            <v>0</v>
          </cell>
          <cell r="E295">
            <v>0</v>
          </cell>
          <cell r="F295">
            <v>0</v>
          </cell>
          <cell r="H295">
            <v>0</v>
          </cell>
          <cell r="J295">
            <v>0</v>
          </cell>
          <cell r="P295">
            <v>0</v>
          </cell>
          <cell r="Q295">
            <v>0</v>
          </cell>
        </row>
        <row r="296">
          <cell r="D296">
            <v>0</v>
          </cell>
          <cell r="E296">
            <v>0</v>
          </cell>
          <cell r="F296">
            <v>0</v>
          </cell>
          <cell r="H296">
            <v>0</v>
          </cell>
          <cell r="J296">
            <v>0</v>
          </cell>
          <cell r="P296">
            <v>0</v>
          </cell>
          <cell r="Q296">
            <v>0</v>
          </cell>
        </row>
        <row r="297">
          <cell r="D297">
            <v>0</v>
          </cell>
          <cell r="E297">
            <v>0</v>
          </cell>
          <cell r="F297">
            <v>0</v>
          </cell>
          <cell r="H297">
            <v>0</v>
          </cell>
          <cell r="J297">
            <v>0</v>
          </cell>
          <cell r="P297">
            <v>0</v>
          </cell>
          <cell r="Q297">
            <v>0</v>
          </cell>
        </row>
        <row r="298">
          <cell r="D298">
            <v>0</v>
          </cell>
          <cell r="E298">
            <v>0</v>
          </cell>
          <cell r="F298">
            <v>0</v>
          </cell>
          <cell r="H298">
            <v>0</v>
          </cell>
          <cell r="J298">
            <v>0</v>
          </cell>
          <cell r="P298">
            <v>0</v>
          </cell>
          <cell r="Q298">
            <v>0</v>
          </cell>
        </row>
        <row r="299">
          <cell r="D299">
            <v>0</v>
          </cell>
          <cell r="E299">
            <v>0</v>
          </cell>
          <cell r="F299">
            <v>0</v>
          </cell>
          <cell r="H299">
            <v>0</v>
          </cell>
          <cell r="J299">
            <v>0</v>
          </cell>
          <cell r="P299">
            <v>0</v>
          </cell>
          <cell r="Q299">
            <v>0</v>
          </cell>
        </row>
        <row r="300">
          <cell r="D300">
            <v>0</v>
          </cell>
          <cell r="E300">
            <v>0</v>
          </cell>
          <cell r="F300">
            <v>0</v>
          </cell>
          <cell r="H300">
            <v>0</v>
          </cell>
          <cell r="J300">
            <v>0</v>
          </cell>
          <cell r="P300">
            <v>0</v>
          </cell>
          <cell r="Q300">
            <v>0</v>
          </cell>
        </row>
        <row r="301">
          <cell r="D301">
            <v>0</v>
          </cell>
          <cell r="E301">
            <v>0</v>
          </cell>
          <cell r="F301">
            <v>0</v>
          </cell>
          <cell r="H301">
            <v>0</v>
          </cell>
          <cell r="J301">
            <v>0</v>
          </cell>
          <cell r="P301">
            <v>0</v>
          </cell>
          <cell r="Q301">
            <v>0</v>
          </cell>
        </row>
        <row r="302">
          <cell r="D302">
            <v>0</v>
          </cell>
          <cell r="E302">
            <v>0</v>
          </cell>
          <cell r="F302">
            <v>0</v>
          </cell>
          <cell r="H302">
            <v>0</v>
          </cell>
          <cell r="J302">
            <v>0</v>
          </cell>
          <cell r="P302">
            <v>0</v>
          </cell>
          <cell r="Q302">
            <v>0</v>
          </cell>
        </row>
        <row r="303">
          <cell r="D303">
            <v>0</v>
          </cell>
          <cell r="E303">
            <v>0</v>
          </cell>
          <cell r="F303">
            <v>0</v>
          </cell>
          <cell r="H303">
            <v>0</v>
          </cell>
          <cell r="J303">
            <v>0</v>
          </cell>
          <cell r="P303">
            <v>0</v>
          </cell>
          <cell r="Q303">
            <v>0</v>
          </cell>
        </row>
        <row r="304">
          <cell r="D304">
            <v>0</v>
          </cell>
          <cell r="E304">
            <v>0</v>
          </cell>
          <cell r="F304">
            <v>0</v>
          </cell>
          <cell r="H304">
            <v>0</v>
          </cell>
          <cell r="J304">
            <v>0</v>
          </cell>
          <cell r="P304">
            <v>0</v>
          </cell>
          <cell r="Q304">
            <v>0</v>
          </cell>
        </row>
        <row r="305">
          <cell r="D305">
            <v>0</v>
          </cell>
          <cell r="E305">
            <v>0</v>
          </cell>
          <cell r="F305">
            <v>0</v>
          </cell>
          <cell r="H305">
            <v>0</v>
          </cell>
          <cell r="J305">
            <v>0</v>
          </cell>
          <cell r="P305">
            <v>0</v>
          </cell>
          <cell r="Q305">
            <v>0</v>
          </cell>
        </row>
        <row r="306">
          <cell r="D306">
            <v>0</v>
          </cell>
          <cell r="E306">
            <v>0</v>
          </cell>
          <cell r="F306">
            <v>0</v>
          </cell>
          <cell r="H306">
            <v>0</v>
          </cell>
          <cell r="J306">
            <v>0</v>
          </cell>
          <cell r="P306">
            <v>0</v>
          </cell>
          <cell r="Q306">
            <v>0</v>
          </cell>
        </row>
        <row r="307">
          <cell r="D307">
            <v>0</v>
          </cell>
          <cell r="E307">
            <v>0</v>
          </cell>
          <cell r="F307">
            <v>0</v>
          </cell>
          <cell r="H307">
            <v>0</v>
          </cell>
          <cell r="J307">
            <v>0</v>
          </cell>
          <cell r="P307">
            <v>0</v>
          </cell>
          <cell r="Q307">
            <v>0</v>
          </cell>
        </row>
        <row r="308">
          <cell r="D308">
            <v>0</v>
          </cell>
          <cell r="E308">
            <v>0</v>
          </cell>
          <cell r="F308">
            <v>0</v>
          </cell>
          <cell r="H308">
            <v>0</v>
          </cell>
          <cell r="J308">
            <v>0</v>
          </cell>
          <cell r="P308">
            <v>0</v>
          </cell>
          <cell r="Q308">
            <v>0</v>
          </cell>
        </row>
        <row r="309">
          <cell r="D309">
            <v>0</v>
          </cell>
          <cell r="E309">
            <v>0</v>
          </cell>
          <cell r="F309">
            <v>0</v>
          </cell>
          <cell r="H309">
            <v>0</v>
          </cell>
          <cell r="J309">
            <v>0</v>
          </cell>
          <cell r="P309">
            <v>0</v>
          </cell>
          <cell r="Q309">
            <v>0</v>
          </cell>
        </row>
        <row r="310">
          <cell r="D310">
            <v>0</v>
          </cell>
          <cell r="E310">
            <v>0</v>
          </cell>
          <cell r="F310">
            <v>0</v>
          </cell>
          <cell r="H310">
            <v>0</v>
          </cell>
          <cell r="J310">
            <v>0</v>
          </cell>
          <cell r="P310">
            <v>0</v>
          </cell>
          <cell r="Q310">
            <v>0</v>
          </cell>
        </row>
        <row r="311">
          <cell r="D311">
            <v>0</v>
          </cell>
          <cell r="E311">
            <v>0</v>
          </cell>
          <cell r="F311">
            <v>0</v>
          </cell>
          <cell r="H311">
            <v>0</v>
          </cell>
          <cell r="J311">
            <v>0</v>
          </cell>
          <cell r="P311">
            <v>0</v>
          </cell>
          <cell r="Q311">
            <v>0</v>
          </cell>
        </row>
        <row r="312">
          <cell r="D312">
            <v>0</v>
          </cell>
          <cell r="E312">
            <v>0</v>
          </cell>
          <cell r="F312">
            <v>0</v>
          </cell>
          <cell r="H312">
            <v>0</v>
          </cell>
          <cell r="J312">
            <v>0</v>
          </cell>
          <cell r="P312">
            <v>0</v>
          </cell>
          <cell r="Q312">
            <v>0</v>
          </cell>
        </row>
        <row r="313">
          <cell r="D313">
            <v>0</v>
          </cell>
          <cell r="E313">
            <v>0</v>
          </cell>
          <cell r="F313">
            <v>0</v>
          </cell>
          <cell r="H313">
            <v>0</v>
          </cell>
          <cell r="J313">
            <v>0</v>
          </cell>
          <cell r="P313">
            <v>0</v>
          </cell>
          <cell r="Q313">
            <v>0</v>
          </cell>
        </row>
        <row r="314">
          <cell r="D314">
            <v>0</v>
          </cell>
          <cell r="E314">
            <v>0</v>
          </cell>
          <cell r="F314">
            <v>0</v>
          </cell>
          <cell r="H314">
            <v>0</v>
          </cell>
          <cell r="J314">
            <v>0</v>
          </cell>
          <cell r="P314">
            <v>0</v>
          </cell>
          <cell r="Q314">
            <v>0</v>
          </cell>
        </row>
        <row r="315">
          <cell r="D315">
            <v>0</v>
          </cell>
          <cell r="E315">
            <v>0</v>
          </cell>
          <cell r="F315">
            <v>0</v>
          </cell>
          <cell r="H315">
            <v>0</v>
          </cell>
          <cell r="J315">
            <v>0</v>
          </cell>
          <cell r="P315">
            <v>0</v>
          </cell>
          <cell r="Q315">
            <v>0</v>
          </cell>
        </row>
        <row r="316">
          <cell r="D316">
            <v>0</v>
          </cell>
          <cell r="E316">
            <v>0</v>
          </cell>
          <cell r="F316">
            <v>0</v>
          </cell>
          <cell r="H316">
            <v>0</v>
          </cell>
          <cell r="J316">
            <v>0</v>
          </cell>
          <cell r="P316">
            <v>0</v>
          </cell>
          <cell r="Q316">
            <v>0</v>
          </cell>
        </row>
        <row r="317">
          <cell r="D317">
            <v>0</v>
          </cell>
          <cell r="E317">
            <v>0</v>
          </cell>
          <cell r="F317">
            <v>0</v>
          </cell>
          <cell r="H317">
            <v>0</v>
          </cell>
          <cell r="J317">
            <v>0</v>
          </cell>
          <cell r="P317">
            <v>0</v>
          </cell>
          <cell r="Q317">
            <v>0</v>
          </cell>
        </row>
        <row r="318">
          <cell r="D318">
            <v>0</v>
          </cell>
          <cell r="E318">
            <v>0</v>
          </cell>
          <cell r="F318">
            <v>0</v>
          </cell>
          <cell r="H318">
            <v>0</v>
          </cell>
          <cell r="J318">
            <v>0</v>
          </cell>
          <cell r="P318">
            <v>0</v>
          </cell>
          <cell r="Q318">
            <v>0</v>
          </cell>
        </row>
        <row r="319">
          <cell r="D319">
            <v>0</v>
          </cell>
          <cell r="E319">
            <v>0</v>
          </cell>
          <cell r="F319">
            <v>0</v>
          </cell>
          <cell r="H319">
            <v>0</v>
          </cell>
          <cell r="J319">
            <v>0</v>
          </cell>
          <cell r="P319">
            <v>0</v>
          </cell>
          <cell r="Q319">
            <v>0</v>
          </cell>
        </row>
        <row r="320">
          <cell r="D320">
            <v>0</v>
          </cell>
          <cell r="E320">
            <v>0</v>
          </cell>
          <cell r="F320">
            <v>0</v>
          </cell>
          <cell r="H320">
            <v>0</v>
          </cell>
          <cell r="J320">
            <v>0</v>
          </cell>
          <cell r="P320">
            <v>0</v>
          </cell>
          <cell r="Q320">
            <v>0</v>
          </cell>
        </row>
        <row r="321">
          <cell r="D321">
            <v>0</v>
          </cell>
          <cell r="E321">
            <v>0</v>
          </cell>
          <cell r="F321">
            <v>0</v>
          </cell>
          <cell r="H321">
            <v>0</v>
          </cell>
          <cell r="J321">
            <v>0</v>
          </cell>
          <cell r="P321">
            <v>0</v>
          </cell>
          <cell r="Q321">
            <v>0</v>
          </cell>
        </row>
        <row r="322">
          <cell r="D322">
            <v>0</v>
          </cell>
          <cell r="E322">
            <v>0</v>
          </cell>
          <cell r="F322">
            <v>0</v>
          </cell>
          <cell r="H322">
            <v>0</v>
          </cell>
          <cell r="J322">
            <v>0</v>
          </cell>
          <cell r="P322">
            <v>0</v>
          </cell>
          <cell r="Q322">
            <v>0</v>
          </cell>
        </row>
        <row r="323">
          <cell r="D323">
            <v>0</v>
          </cell>
          <cell r="E323">
            <v>0</v>
          </cell>
          <cell r="F323">
            <v>0</v>
          </cell>
          <cell r="H323">
            <v>0</v>
          </cell>
          <cell r="J323">
            <v>0</v>
          </cell>
          <cell r="P323">
            <v>0</v>
          </cell>
          <cell r="Q323">
            <v>0</v>
          </cell>
        </row>
        <row r="324">
          <cell r="D324">
            <v>0</v>
          </cell>
          <cell r="E324">
            <v>0</v>
          </cell>
          <cell r="F324">
            <v>0</v>
          </cell>
          <cell r="H324">
            <v>0</v>
          </cell>
          <cell r="J324">
            <v>0</v>
          </cell>
          <cell r="P324">
            <v>0</v>
          </cell>
          <cell r="Q324">
            <v>0</v>
          </cell>
        </row>
        <row r="325">
          <cell r="D325">
            <v>0</v>
          </cell>
          <cell r="E325">
            <v>0</v>
          </cell>
          <cell r="F325">
            <v>0</v>
          </cell>
          <cell r="H325">
            <v>0</v>
          </cell>
          <cell r="J325">
            <v>0</v>
          </cell>
          <cell r="P325">
            <v>0</v>
          </cell>
          <cell r="Q325">
            <v>0</v>
          </cell>
        </row>
        <row r="326">
          <cell r="D326">
            <v>0</v>
          </cell>
          <cell r="E326">
            <v>0</v>
          </cell>
          <cell r="F326">
            <v>0</v>
          </cell>
          <cell r="H326">
            <v>0</v>
          </cell>
          <cell r="J326">
            <v>0</v>
          </cell>
          <cell r="P326">
            <v>0</v>
          </cell>
          <cell r="Q326">
            <v>0</v>
          </cell>
        </row>
        <row r="327">
          <cell r="D327">
            <v>0</v>
          </cell>
          <cell r="E327">
            <v>0</v>
          </cell>
          <cell r="F327">
            <v>0</v>
          </cell>
          <cell r="H327">
            <v>0</v>
          </cell>
          <cell r="J327">
            <v>0</v>
          </cell>
          <cell r="P327">
            <v>0</v>
          </cell>
          <cell r="Q327">
            <v>0</v>
          </cell>
        </row>
        <row r="328">
          <cell r="D328">
            <v>0</v>
          </cell>
          <cell r="E328">
            <v>0</v>
          </cell>
          <cell r="F328">
            <v>0</v>
          </cell>
          <cell r="H328">
            <v>0</v>
          </cell>
          <cell r="J328">
            <v>0</v>
          </cell>
          <cell r="P328">
            <v>0</v>
          </cell>
          <cell r="Q328">
            <v>0</v>
          </cell>
        </row>
        <row r="329">
          <cell r="D329">
            <v>0</v>
          </cell>
          <cell r="E329">
            <v>0</v>
          </cell>
          <cell r="F329">
            <v>0</v>
          </cell>
          <cell r="H329">
            <v>0</v>
          </cell>
          <cell r="J329">
            <v>0</v>
          </cell>
          <cell r="P329">
            <v>0</v>
          </cell>
          <cell r="Q329">
            <v>0</v>
          </cell>
        </row>
        <row r="330">
          <cell r="D330">
            <v>0</v>
          </cell>
          <cell r="E330">
            <v>0</v>
          </cell>
          <cell r="F330">
            <v>0</v>
          </cell>
          <cell r="H330">
            <v>0</v>
          </cell>
          <cell r="J330">
            <v>0</v>
          </cell>
          <cell r="P330">
            <v>0</v>
          </cell>
          <cell r="Q330">
            <v>0</v>
          </cell>
        </row>
        <row r="331">
          <cell r="D331">
            <v>0</v>
          </cell>
          <cell r="E331">
            <v>0</v>
          </cell>
          <cell r="F331">
            <v>0</v>
          </cell>
          <cell r="H331">
            <v>0</v>
          </cell>
          <cell r="J331">
            <v>0</v>
          </cell>
          <cell r="P331">
            <v>0</v>
          </cell>
          <cell r="Q331">
            <v>0</v>
          </cell>
        </row>
        <row r="332">
          <cell r="D332">
            <v>0</v>
          </cell>
          <cell r="E332">
            <v>0</v>
          </cell>
          <cell r="F332">
            <v>0</v>
          </cell>
          <cell r="H332">
            <v>0</v>
          </cell>
          <cell r="J332">
            <v>0</v>
          </cell>
          <cell r="P332">
            <v>0</v>
          </cell>
          <cell r="Q332">
            <v>0</v>
          </cell>
        </row>
        <row r="333">
          <cell r="D333">
            <v>0</v>
          </cell>
          <cell r="E333">
            <v>0</v>
          </cell>
          <cell r="F333">
            <v>0</v>
          </cell>
          <cell r="H333">
            <v>0</v>
          </cell>
          <cell r="J333">
            <v>0</v>
          </cell>
          <cell r="P333">
            <v>0</v>
          </cell>
          <cell r="Q333">
            <v>0</v>
          </cell>
        </row>
        <row r="334">
          <cell r="D334">
            <v>0</v>
          </cell>
          <cell r="E334">
            <v>0</v>
          </cell>
          <cell r="F334">
            <v>0</v>
          </cell>
          <cell r="H334">
            <v>0</v>
          </cell>
          <cell r="J334">
            <v>0</v>
          </cell>
          <cell r="P334">
            <v>0</v>
          </cell>
          <cell r="Q334">
            <v>0</v>
          </cell>
        </row>
        <row r="335">
          <cell r="D335">
            <v>0</v>
          </cell>
          <cell r="E335">
            <v>0</v>
          </cell>
          <cell r="F335">
            <v>0</v>
          </cell>
          <cell r="H335">
            <v>0</v>
          </cell>
          <cell r="J335">
            <v>0</v>
          </cell>
          <cell r="P335">
            <v>0</v>
          </cell>
          <cell r="Q335">
            <v>0</v>
          </cell>
        </row>
        <row r="336">
          <cell r="D336">
            <v>0</v>
          </cell>
          <cell r="E336">
            <v>0</v>
          </cell>
          <cell r="F336">
            <v>0</v>
          </cell>
          <cell r="H336">
            <v>0</v>
          </cell>
          <cell r="J336">
            <v>0</v>
          </cell>
          <cell r="P336">
            <v>0</v>
          </cell>
          <cell r="Q336">
            <v>0</v>
          </cell>
        </row>
        <row r="337">
          <cell r="D337">
            <v>0</v>
          </cell>
          <cell r="E337">
            <v>0</v>
          </cell>
          <cell r="F337">
            <v>0</v>
          </cell>
          <cell r="H337">
            <v>0</v>
          </cell>
          <cell r="J337">
            <v>0</v>
          </cell>
          <cell r="P337">
            <v>0</v>
          </cell>
          <cell r="Q337">
            <v>0</v>
          </cell>
        </row>
        <row r="338">
          <cell r="D338">
            <v>0</v>
          </cell>
          <cell r="E338">
            <v>0</v>
          </cell>
          <cell r="F338">
            <v>0</v>
          </cell>
          <cell r="H338">
            <v>0</v>
          </cell>
          <cell r="J338">
            <v>0</v>
          </cell>
          <cell r="P338">
            <v>0</v>
          </cell>
          <cell r="Q338">
            <v>0</v>
          </cell>
        </row>
        <row r="339">
          <cell r="D339">
            <v>0</v>
          </cell>
          <cell r="E339">
            <v>0</v>
          </cell>
          <cell r="F339">
            <v>0</v>
          </cell>
          <cell r="H339">
            <v>0</v>
          </cell>
          <cell r="J339">
            <v>0</v>
          </cell>
          <cell r="P339">
            <v>0</v>
          </cell>
          <cell r="Q339">
            <v>0</v>
          </cell>
        </row>
        <row r="340">
          <cell r="D340">
            <v>0</v>
          </cell>
          <cell r="E340">
            <v>0</v>
          </cell>
          <cell r="F340">
            <v>0</v>
          </cell>
          <cell r="H340">
            <v>0</v>
          </cell>
          <cell r="J340">
            <v>0</v>
          </cell>
          <cell r="P340">
            <v>0</v>
          </cell>
          <cell r="Q340">
            <v>0</v>
          </cell>
        </row>
        <row r="341">
          <cell r="D341">
            <v>0</v>
          </cell>
          <cell r="E341">
            <v>0</v>
          </cell>
          <cell r="F341">
            <v>0</v>
          </cell>
          <cell r="H341">
            <v>0</v>
          </cell>
          <cell r="J341">
            <v>0</v>
          </cell>
          <cell r="P341">
            <v>0</v>
          </cell>
          <cell r="Q341">
            <v>0</v>
          </cell>
        </row>
        <row r="342">
          <cell r="D342">
            <v>0</v>
          </cell>
          <cell r="E342">
            <v>0</v>
          </cell>
          <cell r="F342">
            <v>0</v>
          </cell>
          <cell r="H342">
            <v>0</v>
          </cell>
          <cell r="J342">
            <v>0</v>
          </cell>
          <cell r="P342">
            <v>0</v>
          </cell>
          <cell r="Q342">
            <v>0</v>
          </cell>
        </row>
        <row r="343">
          <cell r="D343">
            <v>0</v>
          </cell>
          <cell r="E343">
            <v>0</v>
          </cell>
          <cell r="F343">
            <v>0</v>
          </cell>
          <cell r="H343">
            <v>0</v>
          </cell>
          <cell r="J343">
            <v>0</v>
          </cell>
          <cell r="P343">
            <v>0</v>
          </cell>
          <cell r="Q343">
            <v>0</v>
          </cell>
        </row>
        <row r="344">
          <cell r="D344">
            <v>0</v>
          </cell>
          <cell r="E344">
            <v>0</v>
          </cell>
          <cell r="F344">
            <v>0</v>
          </cell>
          <cell r="H344">
            <v>0</v>
          </cell>
          <cell r="J344">
            <v>0</v>
          </cell>
          <cell r="P344">
            <v>0</v>
          </cell>
          <cell r="Q344">
            <v>0</v>
          </cell>
        </row>
        <row r="345">
          <cell r="D345">
            <v>0</v>
          </cell>
          <cell r="E345">
            <v>0</v>
          </cell>
          <cell r="F345">
            <v>0</v>
          </cell>
          <cell r="H345">
            <v>0</v>
          </cell>
          <cell r="J345">
            <v>0</v>
          </cell>
          <cell r="P345">
            <v>0</v>
          </cell>
          <cell r="Q345">
            <v>0</v>
          </cell>
        </row>
        <row r="346">
          <cell r="D346">
            <v>0</v>
          </cell>
          <cell r="E346">
            <v>0</v>
          </cell>
          <cell r="F346">
            <v>0</v>
          </cell>
          <cell r="H346">
            <v>0</v>
          </cell>
          <cell r="J346">
            <v>0</v>
          </cell>
          <cell r="P346">
            <v>0</v>
          </cell>
          <cell r="Q346">
            <v>0</v>
          </cell>
        </row>
        <row r="347">
          <cell r="D347">
            <v>0</v>
          </cell>
          <cell r="E347">
            <v>0</v>
          </cell>
          <cell r="F347">
            <v>0</v>
          </cell>
          <cell r="H347">
            <v>0</v>
          </cell>
          <cell r="J347">
            <v>0</v>
          </cell>
          <cell r="P347">
            <v>0</v>
          </cell>
          <cell r="Q347">
            <v>0</v>
          </cell>
        </row>
        <row r="348">
          <cell r="D348">
            <v>0</v>
          </cell>
          <cell r="E348">
            <v>0</v>
          </cell>
          <cell r="F348">
            <v>0</v>
          </cell>
          <cell r="H348">
            <v>0</v>
          </cell>
          <cell r="J348">
            <v>0</v>
          </cell>
          <cell r="P348">
            <v>0</v>
          </cell>
          <cell r="Q348">
            <v>0</v>
          </cell>
        </row>
        <row r="349">
          <cell r="D349">
            <v>0</v>
          </cell>
          <cell r="E349">
            <v>0</v>
          </cell>
          <cell r="F349">
            <v>0</v>
          </cell>
          <cell r="H349">
            <v>0</v>
          </cell>
          <cell r="J349">
            <v>0</v>
          </cell>
          <cell r="P349">
            <v>0</v>
          </cell>
          <cell r="Q349">
            <v>0</v>
          </cell>
        </row>
        <row r="350">
          <cell r="D350">
            <v>0</v>
          </cell>
          <cell r="E350">
            <v>0</v>
          </cell>
          <cell r="F350">
            <v>0</v>
          </cell>
          <cell r="H350">
            <v>0</v>
          </cell>
          <cell r="J350">
            <v>0</v>
          </cell>
          <cell r="P350">
            <v>0</v>
          </cell>
          <cell r="Q350">
            <v>0</v>
          </cell>
        </row>
        <row r="351">
          <cell r="D351">
            <v>0</v>
          </cell>
          <cell r="E351">
            <v>0</v>
          </cell>
          <cell r="F351">
            <v>0</v>
          </cell>
          <cell r="H351">
            <v>0</v>
          </cell>
          <cell r="J351">
            <v>0</v>
          </cell>
          <cell r="P351">
            <v>0</v>
          </cell>
          <cell r="Q351">
            <v>0</v>
          </cell>
        </row>
        <row r="352">
          <cell r="D352">
            <v>0</v>
          </cell>
          <cell r="E352">
            <v>0</v>
          </cell>
          <cell r="F352">
            <v>0</v>
          </cell>
          <cell r="H352">
            <v>0</v>
          </cell>
          <cell r="J352">
            <v>0</v>
          </cell>
          <cell r="P352">
            <v>0</v>
          </cell>
          <cell r="Q352">
            <v>0</v>
          </cell>
        </row>
        <row r="353">
          <cell r="D353">
            <v>0</v>
          </cell>
          <cell r="E353">
            <v>0</v>
          </cell>
          <cell r="F353">
            <v>0</v>
          </cell>
          <cell r="H353">
            <v>0</v>
          </cell>
          <cell r="J353">
            <v>0</v>
          </cell>
          <cell r="P353">
            <v>0</v>
          </cell>
          <cell r="Q353">
            <v>0</v>
          </cell>
        </row>
        <row r="354">
          <cell r="D354">
            <v>0</v>
          </cell>
          <cell r="E354">
            <v>0</v>
          </cell>
          <cell r="F354">
            <v>0</v>
          </cell>
          <cell r="H354">
            <v>0</v>
          </cell>
          <cell r="J354">
            <v>0</v>
          </cell>
          <cell r="P354">
            <v>0</v>
          </cell>
          <cell r="Q354">
            <v>0</v>
          </cell>
        </row>
        <row r="355">
          <cell r="D355">
            <v>0</v>
          </cell>
          <cell r="E355">
            <v>0</v>
          </cell>
          <cell r="F355">
            <v>0</v>
          </cell>
          <cell r="H355">
            <v>0</v>
          </cell>
          <cell r="J355">
            <v>0</v>
          </cell>
          <cell r="P355">
            <v>0</v>
          </cell>
          <cell r="Q355">
            <v>0</v>
          </cell>
        </row>
        <row r="356">
          <cell r="D356">
            <v>0</v>
          </cell>
          <cell r="E356">
            <v>0</v>
          </cell>
          <cell r="F356">
            <v>0</v>
          </cell>
          <cell r="H356">
            <v>0</v>
          </cell>
          <cell r="J356">
            <v>0</v>
          </cell>
          <cell r="P356">
            <v>0</v>
          </cell>
          <cell r="Q356">
            <v>0</v>
          </cell>
        </row>
        <row r="357">
          <cell r="D357">
            <v>0</v>
          </cell>
          <cell r="E357">
            <v>0</v>
          </cell>
          <cell r="F357">
            <v>0</v>
          </cell>
          <cell r="H357">
            <v>0</v>
          </cell>
          <cell r="J357">
            <v>0</v>
          </cell>
          <cell r="P357">
            <v>0</v>
          </cell>
          <cell r="Q357">
            <v>0</v>
          </cell>
        </row>
        <row r="358">
          <cell r="D358">
            <v>0</v>
          </cell>
          <cell r="E358">
            <v>0</v>
          </cell>
          <cell r="F358">
            <v>0</v>
          </cell>
          <cell r="H358">
            <v>0</v>
          </cell>
          <cell r="J358">
            <v>0</v>
          </cell>
          <cell r="P358">
            <v>0</v>
          </cell>
          <cell r="Q358">
            <v>0</v>
          </cell>
        </row>
        <row r="359">
          <cell r="D359">
            <v>0</v>
          </cell>
          <cell r="E359">
            <v>0</v>
          </cell>
          <cell r="F359">
            <v>0</v>
          </cell>
          <cell r="H359">
            <v>0</v>
          </cell>
          <cell r="J359">
            <v>0</v>
          </cell>
          <cell r="P359">
            <v>0</v>
          </cell>
          <cell r="Q359">
            <v>0</v>
          </cell>
        </row>
        <row r="360">
          <cell r="D360">
            <v>0</v>
          </cell>
          <cell r="E360">
            <v>0</v>
          </cell>
          <cell r="F360">
            <v>0</v>
          </cell>
          <cell r="H360">
            <v>0</v>
          </cell>
          <cell r="J360">
            <v>0</v>
          </cell>
          <cell r="P360">
            <v>0</v>
          </cell>
          <cell r="Q360">
            <v>0</v>
          </cell>
        </row>
        <row r="361">
          <cell r="D361">
            <v>0</v>
          </cell>
          <cell r="E361">
            <v>0</v>
          </cell>
          <cell r="F361">
            <v>0</v>
          </cell>
          <cell r="H361">
            <v>0</v>
          </cell>
          <cell r="J361">
            <v>0</v>
          </cell>
          <cell r="P361">
            <v>0</v>
          </cell>
          <cell r="Q361">
            <v>0</v>
          </cell>
        </row>
        <row r="362">
          <cell r="D362">
            <v>0</v>
          </cell>
          <cell r="E362">
            <v>0</v>
          </cell>
          <cell r="F362">
            <v>0</v>
          </cell>
          <cell r="H362">
            <v>0</v>
          </cell>
          <cell r="J362">
            <v>0</v>
          </cell>
          <cell r="P362">
            <v>0</v>
          </cell>
          <cell r="Q362">
            <v>0</v>
          </cell>
        </row>
        <row r="363">
          <cell r="D363">
            <v>0</v>
          </cell>
          <cell r="E363">
            <v>0</v>
          </cell>
          <cell r="F363">
            <v>0</v>
          </cell>
          <cell r="H363">
            <v>0</v>
          </cell>
          <cell r="J363">
            <v>0</v>
          </cell>
          <cell r="P363">
            <v>0</v>
          </cell>
          <cell r="Q363">
            <v>0</v>
          </cell>
        </row>
        <row r="364">
          <cell r="D364">
            <v>0</v>
          </cell>
          <cell r="E364">
            <v>0</v>
          </cell>
          <cell r="F364">
            <v>0</v>
          </cell>
          <cell r="H364">
            <v>0</v>
          </cell>
          <cell r="J364">
            <v>0</v>
          </cell>
          <cell r="P364">
            <v>0</v>
          </cell>
          <cell r="Q364">
            <v>0</v>
          </cell>
        </row>
        <row r="365">
          <cell r="D365">
            <v>0</v>
          </cell>
          <cell r="E365">
            <v>0</v>
          </cell>
          <cell r="F365">
            <v>0</v>
          </cell>
          <cell r="H365">
            <v>0</v>
          </cell>
          <cell r="J365">
            <v>0</v>
          </cell>
          <cell r="P365">
            <v>0</v>
          </cell>
          <cell r="Q365">
            <v>0</v>
          </cell>
        </row>
        <row r="366">
          <cell r="D366">
            <v>0</v>
          </cell>
          <cell r="E366">
            <v>0</v>
          </cell>
          <cell r="F366">
            <v>0</v>
          </cell>
          <cell r="H366">
            <v>0</v>
          </cell>
          <cell r="J366">
            <v>0</v>
          </cell>
          <cell r="P366">
            <v>0</v>
          </cell>
          <cell r="Q366">
            <v>0</v>
          </cell>
        </row>
        <row r="367">
          <cell r="D367">
            <v>0</v>
          </cell>
          <cell r="E367">
            <v>0</v>
          </cell>
          <cell r="F367">
            <v>0</v>
          </cell>
          <cell r="H367">
            <v>0</v>
          </cell>
          <cell r="J367">
            <v>0</v>
          </cell>
          <cell r="P367">
            <v>0</v>
          </cell>
          <cell r="Q367">
            <v>0</v>
          </cell>
        </row>
        <row r="368">
          <cell r="D368">
            <v>0</v>
          </cell>
          <cell r="E368">
            <v>0</v>
          </cell>
          <cell r="F368">
            <v>0</v>
          </cell>
          <cell r="H368">
            <v>0</v>
          </cell>
          <cell r="J368">
            <v>0</v>
          </cell>
          <cell r="P368">
            <v>0</v>
          </cell>
          <cell r="Q368">
            <v>0</v>
          </cell>
        </row>
        <row r="369">
          <cell r="D369">
            <v>0</v>
          </cell>
          <cell r="E369">
            <v>0</v>
          </cell>
          <cell r="F369">
            <v>0</v>
          </cell>
          <cell r="H369">
            <v>0</v>
          </cell>
          <cell r="J369">
            <v>0</v>
          </cell>
          <cell r="P369">
            <v>0</v>
          </cell>
          <cell r="Q369">
            <v>0</v>
          </cell>
        </row>
        <row r="370">
          <cell r="D370">
            <v>0</v>
          </cell>
          <cell r="E370">
            <v>0</v>
          </cell>
          <cell r="F370">
            <v>0</v>
          </cell>
          <cell r="H370">
            <v>0</v>
          </cell>
          <cell r="J370">
            <v>0</v>
          </cell>
          <cell r="P370">
            <v>0</v>
          </cell>
          <cell r="Q370">
            <v>0</v>
          </cell>
        </row>
        <row r="371">
          <cell r="D371">
            <v>0</v>
          </cell>
          <cell r="E371">
            <v>0</v>
          </cell>
          <cell r="F371">
            <v>0</v>
          </cell>
          <cell r="H371">
            <v>0</v>
          </cell>
          <cell r="J371">
            <v>0</v>
          </cell>
          <cell r="P371">
            <v>0</v>
          </cell>
          <cell r="Q371">
            <v>0</v>
          </cell>
        </row>
        <row r="372">
          <cell r="D372">
            <v>0</v>
          </cell>
          <cell r="E372">
            <v>0</v>
          </cell>
          <cell r="F372">
            <v>0</v>
          </cell>
          <cell r="H372">
            <v>0</v>
          </cell>
          <cell r="J372">
            <v>0</v>
          </cell>
          <cell r="P372">
            <v>0</v>
          </cell>
          <cell r="Q372">
            <v>0</v>
          </cell>
        </row>
        <row r="373">
          <cell r="D373">
            <v>0</v>
          </cell>
          <cell r="E373">
            <v>0</v>
          </cell>
          <cell r="F373">
            <v>0</v>
          </cell>
          <cell r="H373">
            <v>0</v>
          </cell>
          <cell r="J373">
            <v>0</v>
          </cell>
          <cell r="P373">
            <v>0</v>
          </cell>
          <cell r="Q373">
            <v>0</v>
          </cell>
        </row>
        <row r="374">
          <cell r="D374">
            <v>0</v>
          </cell>
          <cell r="E374">
            <v>0</v>
          </cell>
          <cell r="F374">
            <v>0</v>
          </cell>
          <cell r="H374">
            <v>0</v>
          </cell>
          <cell r="J374">
            <v>0</v>
          </cell>
          <cell r="P374">
            <v>0</v>
          </cell>
          <cell r="Q374">
            <v>0</v>
          </cell>
        </row>
        <row r="375">
          <cell r="D375">
            <v>0</v>
          </cell>
          <cell r="E375">
            <v>0</v>
          </cell>
          <cell r="F375">
            <v>0</v>
          </cell>
          <cell r="H375">
            <v>0</v>
          </cell>
          <cell r="J375">
            <v>0</v>
          </cell>
          <cell r="P375">
            <v>0</v>
          </cell>
          <cell r="Q375">
            <v>0</v>
          </cell>
        </row>
        <row r="376">
          <cell r="D376">
            <v>0</v>
          </cell>
          <cell r="E376">
            <v>0</v>
          </cell>
          <cell r="F376">
            <v>0</v>
          </cell>
          <cell r="H376">
            <v>0</v>
          </cell>
          <cell r="J376">
            <v>0</v>
          </cell>
          <cell r="P376">
            <v>0</v>
          </cell>
          <cell r="Q376">
            <v>0</v>
          </cell>
        </row>
        <row r="377">
          <cell r="D377">
            <v>0</v>
          </cell>
          <cell r="E377">
            <v>0</v>
          </cell>
          <cell r="F377">
            <v>0</v>
          </cell>
          <cell r="H377">
            <v>0</v>
          </cell>
          <cell r="J377">
            <v>0</v>
          </cell>
          <cell r="P377">
            <v>0</v>
          </cell>
          <cell r="Q377">
            <v>0</v>
          </cell>
        </row>
        <row r="378">
          <cell r="D378">
            <v>0</v>
          </cell>
          <cell r="E378">
            <v>0</v>
          </cell>
          <cell r="F378">
            <v>0</v>
          </cell>
          <cell r="H378">
            <v>0</v>
          </cell>
          <cell r="J378">
            <v>0</v>
          </cell>
          <cell r="P378">
            <v>0</v>
          </cell>
          <cell r="Q378">
            <v>0</v>
          </cell>
        </row>
        <row r="379">
          <cell r="D379">
            <v>0</v>
          </cell>
          <cell r="E379">
            <v>0</v>
          </cell>
          <cell r="F379">
            <v>0</v>
          </cell>
          <cell r="H379">
            <v>0</v>
          </cell>
          <cell r="J379">
            <v>0</v>
          </cell>
          <cell r="P379">
            <v>0</v>
          </cell>
          <cell r="Q379">
            <v>0</v>
          </cell>
        </row>
        <row r="380">
          <cell r="D380">
            <v>0</v>
          </cell>
          <cell r="E380">
            <v>0</v>
          </cell>
          <cell r="F380">
            <v>0</v>
          </cell>
          <cell r="H380">
            <v>0</v>
          </cell>
          <cell r="J380">
            <v>0</v>
          </cell>
          <cell r="P380">
            <v>0</v>
          </cell>
          <cell r="Q380">
            <v>0</v>
          </cell>
        </row>
        <row r="381">
          <cell r="D381">
            <v>0</v>
          </cell>
          <cell r="E381">
            <v>0</v>
          </cell>
          <cell r="F381">
            <v>0</v>
          </cell>
          <cell r="H381">
            <v>0</v>
          </cell>
          <cell r="J381">
            <v>0</v>
          </cell>
          <cell r="P381">
            <v>0</v>
          </cell>
          <cell r="Q381">
            <v>0</v>
          </cell>
        </row>
        <row r="382">
          <cell r="D382">
            <v>0</v>
          </cell>
          <cell r="E382">
            <v>0</v>
          </cell>
          <cell r="F382">
            <v>0</v>
          </cell>
          <cell r="H382">
            <v>0</v>
          </cell>
          <cell r="J382">
            <v>0</v>
          </cell>
          <cell r="P382">
            <v>0</v>
          </cell>
          <cell r="Q382">
            <v>0</v>
          </cell>
        </row>
        <row r="383">
          <cell r="D383">
            <v>0</v>
          </cell>
          <cell r="E383">
            <v>0</v>
          </cell>
          <cell r="F383">
            <v>0</v>
          </cell>
          <cell r="H383">
            <v>0</v>
          </cell>
          <cell r="J383">
            <v>0</v>
          </cell>
          <cell r="P383">
            <v>0</v>
          </cell>
          <cell r="Q383">
            <v>0</v>
          </cell>
        </row>
        <row r="384">
          <cell r="D384">
            <v>0</v>
          </cell>
          <cell r="E384">
            <v>0</v>
          </cell>
          <cell r="F384">
            <v>0</v>
          </cell>
          <cell r="H384">
            <v>0</v>
          </cell>
          <cell r="J384">
            <v>0</v>
          </cell>
          <cell r="P384">
            <v>0</v>
          </cell>
          <cell r="Q384">
            <v>0</v>
          </cell>
        </row>
        <row r="385">
          <cell r="D385">
            <v>0</v>
          </cell>
          <cell r="E385">
            <v>0</v>
          </cell>
          <cell r="F385">
            <v>0</v>
          </cell>
          <cell r="H385">
            <v>0</v>
          </cell>
          <cell r="J385">
            <v>0</v>
          </cell>
          <cell r="P385">
            <v>0</v>
          </cell>
          <cell r="Q385">
            <v>0</v>
          </cell>
        </row>
        <row r="386">
          <cell r="D386">
            <v>0</v>
          </cell>
          <cell r="E386">
            <v>0</v>
          </cell>
          <cell r="F386">
            <v>0</v>
          </cell>
          <cell r="H386">
            <v>0</v>
          </cell>
          <cell r="J386">
            <v>0</v>
          </cell>
          <cell r="P386">
            <v>0</v>
          </cell>
          <cell r="Q386">
            <v>0</v>
          </cell>
        </row>
        <row r="387">
          <cell r="D387">
            <v>0</v>
          </cell>
          <cell r="E387">
            <v>0</v>
          </cell>
          <cell r="F387">
            <v>0</v>
          </cell>
          <cell r="H387">
            <v>0</v>
          </cell>
          <cell r="J387">
            <v>0</v>
          </cell>
          <cell r="P387">
            <v>0</v>
          </cell>
          <cell r="Q387">
            <v>0</v>
          </cell>
        </row>
        <row r="388">
          <cell r="D388">
            <v>0</v>
          </cell>
          <cell r="E388">
            <v>0</v>
          </cell>
          <cell r="F388">
            <v>0</v>
          </cell>
          <cell r="H388">
            <v>0</v>
          </cell>
          <cell r="J388">
            <v>0</v>
          </cell>
          <cell r="P388">
            <v>0</v>
          </cell>
          <cell r="Q388">
            <v>0</v>
          </cell>
        </row>
        <row r="389">
          <cell r="D389">
            <v>0</v>
          </cell>
          <cell r="E389">
            <v>0</v>
          </cell>
          <cell r="F389">
            <v>0</v>
          </cell>
          <cell r="H389">
            <v>0</v>
          </cell>
          <cell r="J389">
            <v>0</v>
          </cell>
          <cell r="P389">
            <v>0</v>
          </cell>
          <cell r="Q389">
            <v>0</v>
          </cell>
        </row>
        <row r="390">
          <cell r="D390">
            <v>0</v>
          </cell>
          <cell r="E390">
            <v>0</v>
          </cell>
          <cell r="F390">
            <v>0</v>
          </cell>
          <cell r="H390">
            <v>0</v>
          </cell>
          <cell r="J390">
            <v>0</v>
          </cell>
          <cell r="P390">
            <v>0</v>
          </cell>
          <cell r="Q390">
            <v>0</v>
          </cell>
        </row>
        <row r="391">
          <cell r="D391">
            <v>0</v>
          </cell>
          <cell r="E391">
            <v>0</v>
          </cell>
          <cell r="F391">
            <v>0</v>
          </cell>
          <cell r="H391">
            <v>0</v>
          </cell>
          <cell r="J391">
            <v>0</v>
          </cell>
          <cell r="P391">
            <v>0</v>
          </cell>
          <cell r="Q391">
            <v>0</v>
          </cell>
        </row>
        <row r="392">
          <cell r="D392">
            <v>0</v>
          </cell>
          <cell r="E392">
            <v>0</v>
          </cell>
          <cell r="F392">
            <v>0</v>
          </cell>
          <cell r="H392">
            <v>0</v>
          </cell>
          <cell r="J392">
            <v>0</v>
          </cell>
          <cell r="P392">
            <v>0</v>
          </cell>
          <cell r="Q392">
            <v>0</v>
          </cell>
        </row>
        <row r="393">
          <cell r="D393">
            <v>0</v>
          </cell>
          <cell r="E393">
            <v>0</v>
          </cell>
          <cell r="F393">
            <v>0</v>
          </cell>
          <cell r="H393">
            <v>0</v>
          </cell>
          <cell r="J393">
            <v>0</v>
          </cell>
          <cell r="P393">
            <v>0</v>
          </cell>
          <cell r="Q393">
            <v>0</v>
          </cell>
        </row>
        <row r="394">
          <cell r="D394">
            <v>0</v>
          </cell>
          <cell r="E394">
            <v>0</v>
          </cell>
          <cell r="F394">
            <v>0</v>
          </cell>
          <cell r="H394">
            <v>0</v>
          </cell>
          <cell r="J394">
            <v>0</v>
          </cell>
          <cell r="P394">
            <v>0</v>
          </cell>
          <cell r="Q394">
            <v>0</v>
          </cell>
        </row>
        <row r="395">
          <cell r="D395">
            <v>0</v>
          </cell>
          <cell r="E395">
            <v>0</v>
          </cell>
          <cell r="F395">
            <v>0</v>
          </cell>
          <cell r="H395">
            <v>0</v>
          </cell>
          <cell r="J395">
            <v>0</v>
          </cell>
          <cell r="P395">
            <v>0</v>
          </cell>
          <cell r="Q395">
            <v>0</v>
          </cell>
        </row>
        <row r="396">
          <cell r="D396">
            <v>0</v>
          </cell>
          <cell r="E396">
            <v>0</v>
          </cell>
          <cell r="F396">
            <v>0</v>
          </cell>
          <cell r="H396">
            <v>0</v>
          </cell>
          <cell r="J396">
            <v>0</v>
          </cell>
          <cell r="P396">
            <v>0</v>
          </cell>
          <cell r="Q396">
            <v>0</v>
          </cell>
        </row>
        <row r="397">
          <cell r="D397">
            <v>0</v>
          </cell>
          <cell r="E397">
            <v>0</v>
          </cell>
          <cell r="F397">
            <v>0</v>
          </cell>
          <cell r="H397">
            <v>0</v>
          </cell>
          <cell r="J397">
            <v>0</v>
          </cell>
          <cell r="P397">
            <v>0</v>
          </cell>
          <cell r="Q397">
            <v>0</v>
          </cell>
        </row>
        <row r="398">
          <cell r="D398">
            <v>0</v>
          </cell>
          <cell r="E398">
            <v>0</v>
          </cell>
          <cell r="F398">
            <v>0</v>
          </cell>
          <cell r="H398">
            <v>0</v>
          </cell>
          <cell r="J398">
            <v>0</v>
          </cell>
          <cell r="P398">
            <v>0</v>
          </cell>
          <cell r="Q398">
            <v>0</v>
          </cell>
        </row>
        <row r="399">
          <cell r="D399">
            <v>0</v>
          </cell>
          <cell r="E399">
            <v>0</v>
          </cell>
          <cell r="F399">
            <v>0</v>
          </cell>
          <cell r="H399">
            <v>0</v>
          </cell>
          <cell r="J399">
            <v>0</v>
          </cell>
          <cell r="P399">
            <v>0</v>
          </cell>
          <cell r="Q399">
            <v>0</v>
          </cell>
        </row>
        <row r="400">
          <cell r="D400">
            <v>0</v>
          </cell>
          <cell r="E400">
            <v>0</v>
          </cell>
          <cell r="F400">
            <v>0</v>
          </cell>
          <cell r="H400">
            <v>0</v>
          </cell>
          <cell r="J400">
            <v>0</v>
          </cell>
          <cell r="P400">
            <v>0</v>
          </cell>
          <cell r="Q400">
            <v>0</v>
          </cell>
        </row>
        <row r="401">
          <cell r="D401">
            <v>0</v>
          </cell>
          <cell r="E401">
            <v>0</v>
          </cell>
          <cell r="F401">
            <v>0</v>
          </cell>
          <cell r="H401">
            <v>0</v>
          </cell>
          <cell r="J401">
            <v>0</v>
          </cell>
          <cell r="P401">
            <v>0</v>
          </cell>
          <cell r="Q401">
            <v>0</v>
          </cell>
        </row>
        <row r="402">
          <cell r="D402">
            <v>0</v>
          </cell>
          <cell r="E402">
            <v>0</v>
          </cell>
          <cell r="F402">
            <v>0</v>
          </cell>
          <cell r="H402">
            <v>0</v>
          </cell>
          <cell r="J402">
            <v>0</v>
          </cell>
          <cell r="P402">
            <v>0</v>
          </cell>
          <cell r="Q402">
            <v>0</v>
          </cell>
        </row>
        <row r="403">
          <cell r="D403">
            <v>0</v>
          </cell>
          <cell r="E403">
            <v>0</v>
          </cell>
          <cell r="F403">
            <v>0</v>
          </cell>
          <cell r="H403">
            <v>0</v>
          </cell>
          <cell r="J403">
            <v>0</v>
          </cell>
          <cell r="P403">
            <v>0</v>
          </cell>
          <cell r="Q403">
            <v>0</v>
          </cell>
        </row>
        <row r="404">
          <cell r="D404">
            <v>0</v>
          </cell>
          <cell r="E404">
            <v>0</v>
          </cell>
          <cell r="F404">
            <v>0</v>
          </cell>
          <cell r="H404">
            <v>0</v>
          </cell>
          <cell r="J404">
            <v>0</v>
          </cell>
          <cell r="P404">
            <v>0</v>
          </cell>
          <cell r="Q404">
            <v>0</v>
          </cell>
        </row>
        <row r="405">
          <cell r="D405">
            <v>0</v>
          </cell>
          <cell r="E405">
            <v>0</v>
          </cell>
          <cell r="F405">
            <v>0</v>
          </cell>
          <cell r="H405">
            <v>0</v>
          </cell>
          <cell r="J405">
            <v>0</v>
          </cell>
          <cell r="P405">
            <v>0</v>
          </cell>
          <cell r="Q405">
            <v>0</v>
          </cell>
        </row>
        <row r="406">
          <cell r="D406">
            <v>0</v>
          </cell>
          <cell r="E406">
            <v>0</v>
          </cell>
          <cell r="F406">
            <v>0</v>
          </cell>
          <cell r="H406">
            <v>0</v>
          </cell>
          <cell r="J406">
            <v>0</v>
          </cell>
          <cell r="P406">
            <v>0</v>
          </cell>
          <cell r="Q406">
            <v>0</v>
          </cell>
        </row>
        <row r="407">
          <cell r="D407">
            <v>0</v>
          </cell>
          <cell r="E407">
            <v>0</v>
          </cell>
          <cell r="F407">
            <v>0</v>
          </cell>
          <cell r="H407">
            <v>0</v>
          </cell>
          <cell r="J407">
            <v>0</v>
          </cell>
          <cell r="P407">
            <v>0</v>
          </cell>
          <cell r="Q407">
            <v>0</v>
          </cell>
        </row>
        <row r="408">
          <cell r="D408">
            <v>0</v>
          </cell>
          <cell r="E408">
            <v>0</v>
          </cell>
          <cell r="F408">
            <v>0</v>
          </cell>
          <cell r="H408">
            <v>0</v>
          </cell>
          <cell r="J408">
            <v>0</v>
          </cell>
          <cell r="P408">
            <v>0</v>
          </cell>
          <cell r="Q408">
            <v>0</v>
          </cell>
        </row>
        <row r="409">
          <cell r="D409">
            <v>0</v>
          </cell>
          <cell r="E409">
            <v>0</v>
          </cell>
          <cell r="F409">
            <v>0</v>
          </cell>
          <cell r="H409">
            <v>0</v>
          </cell>
          <cell r="J409">
            <v>0</v>
          </cell>
          <cell r="P409">
            <v>0</v>
          </cell>
          <cell r="Q409">
            <v>0</v>
          </cell>
        </row>
        <row r="410">
          <cell r="D410">
            <v>0</v>
          </cell>
          <cell r="E410">
            <v>0</v>
          </cell>
          <cell r="F410">
            <v>0</v>
          </cell>
          <cell r="H410">
            <v>0</v>
          </cell>
          <cell r="J410">
            <v>0</v>
          </cell>
          <cell r="P410">
            <v>0</v>
          </cell>
          <cell r="Q410">
            <v>0</v>
          </cell>
        </row>
        <row r="411">
          <cell r="D411">
            <v>0</v>
          </cell>
          <cell r="E411">
            <v>0</v>
          </cell>
          <cell r="F411">
            <v>0</v>
          </cell>
          <cell r="H411">
            <v>0</v>
          </cell>
          <cell r="J411">
            <v>0</v>
          </cell>
          <cell r="P411">
            <v>0</v>
          </cell>
          <cell r="Q411">
            <v>0</v>
          </cell>
        </row>
        <row r="412">
          <cell r="D412">
            <v>0</v>
          </cell>
          <cell r="E412">
            <v>0</v>
          </cell>
          <cell r="F412">
            <v>0</v>
          </cell>
          <cell r="H412">
            <v>0</v>
          </cell>
          <cell r="J412">
            <v>0</v>
          </cell>
          <cell r="P412">
            <v>0</v>
          </cell>
          <cell r="Q412">
            <v>0</v>
          </cell>
        </row>
        <row r="413">
          <cell r="D413">
            <v>0</v>
          </cell>
          <cell r="E413">
            <v>0</v>
          </cell>
          <cell r="F413">
            <v>0</v>
          </cell>
          <cell r="H413">
            <v>0</v>
          </cell>
          <cell r="J413">
            <v>0</v>
          </cell>
          <cell r="P413">
            <v>0</v>
          </cell>
          <cell r="Q413">
            <v>0</v>
          </cell>
        </row>
        <row r="414">
          <cell r="D414">
            <v>0</v>
          </cell>
          <cell r="E414">
            <v>0</v>
          </cell>
          <cell r="F414">
            <v>0</v>
          </cell>
          <cell r="H414">
            <v>0</v>
          </cell>
          <cell r="J414">
            <v>0</v>
          </cell>
          <cell r="P414">
            <v>0</v>
          </cell>
          <cell r="Q414">
            <v>0</v>
          </cell>
        </row>
        <row r="415">
          <cell r="D415">
            <v>0</v>
          </cell>
          <cell r="E415">
            <v>0</v>
          </cell>
          <cell r="F415">
            <v>0</v>
          </cell>
          <cell r="H415">
            <v>0</v>
          </cell>
          <cell r="J415">
            <v>0</v>
          </cell>
          <cell r="P415">
            <v>0</v>
          </cell>
          <cell r="Q415">
            <v>0</v>
          </cell>
        </row>
        <row r="416">
          <cell r="D416">
            <v>0</v>
          </cell>
          <cell r="E416">
            <v>0</v>
          </cell>
          <cell r="F416">
            <v>0</v>
          </cell>
          <cell r="H416">
            <v>0</v>
          </cell>
          <cell r="J416">
            <v>0</v>
          </cell>
          <cell r="P416">
            <v>0</v>
          </cell>
          <cell r="Q416">
            <v>0</v>
          </cell>
        </row>
        <row r="417">
          <cell r="D417">
            <v>0</v>
          </cell>
          <cell r="E417">
            <v>0</v>
          </cell>
          <cell r="F417">
            <v>0</v>
          </cell>
          <cell r="H417">
            <v>0</v>
          </cell>
          <cell r="J417">
            <v>0</v>
          </cell>
          <cell r="P417">
            <v>0</v>
          </cell>
          <cell r="Q417">
            <v>0</v>
          </cell>
        </row>
        <row r="418">
          <cell r="D418">
            <v>0</v>
          </cell>
          <cell r="E418">
            <v>0</v>
          </cell>
          <cell r="F418">
            <v>0</v>
          </cell>
          <cell r="H418">
            <v>0</v>
          </cell>
          <cell r="J418">
            <v>0</v>
          </cell>
          <cell r="P418">
            <v>0</v>
          </cell>
          <cell r="Q418">
            <v>0</v>
          </cell>
        </row>
        <row r="419">
          <cell r="D419">
            <v>0</v>
          </cell>
          <cell r="E419">
            <v>0</v>
          </cell>
          <cell r="F419">
            <v>0</v>
          </cell>
          <cell r="H419">
            <v>0</v>
          </cell>
          <cell r="J419">
            <v>0</v>
          </cell>
          <cell r="P419">
            <v>0</v>
          </cell>
          <cell r="Q419">
            <v>0</v>
          </cell>
        </row>
        <row r="420">
          <cell r="D420">
            <v>0</v>
          </cell>
          <cell r="E420">
            <v>0</v>
          </cell>
          <cell r="F420">
            <v>0</v>
          </cell>
          <cell r="H420">
            <v>0</v>
          </cell>
          <cell r="J420">
            <v>0</v>
          </cell>
          <cell r="P420">
            <v>0</v>
          </cell>
          <cell r="Q420">
            <v>0</v>
          </cell>
        </row>
        <row r="421">
          <cell r="D421">
            <v>0</v>
          </cell>
          <cell r="E421">
            <v>0</v>
          </cell>
          <cell r="F421">
            <v>0</v>
          </cell>
          <cell r="H421">
            <v>0</v>
          </cell>
          <cell r="J421">
            <v>0</v>
          </cell>
          <cell r="P421">
            <v>0</v>
          </cell>
          <cell r="Q421">
            <v>0</v>
          </cell>
        </row>
        <row r="422">
          <cell r="D422">
            <v>0</v>
          </cell>
          <cell r="E422">
            <v>0</v>
          </cell>
          <cell r="F422">
            <v>0</v>
          </cell>
          <cell r="H422">
            <v>0</v>
          </cell>
          <cell r="J422">
            <v>0</v>
          </cell>
          <cell r="P422">
            <v>0</v>
          </cell>
          <cell r="Q422">
            <v>0</v>
          </cell>
        </row>
        <row r="423">
          <cell r="D423">
            <v>0</v>
          </cell>
          <cell r="E423">
            <v>0</v>
          </cell>
          <cell r="F423">
            <v>0</v>
          </cell>
          <cell r="H423">
            <v>0</v>
          </cell>
          <cell r="J423">
            <v>0</v>
          </cell>
          <cell r="P423">
            <v>0</v>
          </cell>
          <cell r="Q423">
            <v>0</v>
          </cell>
        </row>
        <row r="424">
          <cell r="D424">
            <v>0</v>
          </cell>
          <cell r="E424">
            <v>0</v>
          </cell>
          <cell r="F424">
            <v>0</v>
          </cell>
          <cell r="H424">
            <v>0</v>
          </cell>
          <cell r="J424">
            <v>0</v>
          </cell>
          <cell r="P424">
            <v>0</v>
          </cell>
          <cell r="Q424">
            <v>0</v>
          </cell>
        </row>
        <row r="425">
          <cell r="D425">
            <v>0</v>
          </cell>
          <cell r="E425">
            <v>0</v>
          </cell>
          <cell r="F425">
            <v>0</v>
          </cell>
          <cell r="H425">
            <v>0</v>
          </cell>
          <cell r="J425">
            <v>0</v>
          </cell>
          <cell r="P425">
            <v>0</v>
          </cell>
          <cell r="Q425">
            <v>0</v>
          </cell>
        </row>
        <row r="426">
          <cell r="D426">
            <v>0</v>
          </cell>
          <cell r="E426">
            <v>0</v>
          </cell>
          <cell r="F426">
            <v>0</v>
          </cell>
          <cell r="H426">
            <v>0</v>
          </cell>
          <cell r="J426">
            <v>0</v>
          </cell>
          <cell r="P426">
            <v>0</v>
          </cell>
          <cell r="Q426">
            <v>0</v>
          </cell>
        </row>
        <row r="427">
          <cell r="D427">
            <v>0</v>
          </cell>
          <cell r="E427">
            <v>0</v>
          </cell>
          <cell r="F427">
            <v>0</v>
          </cell>
          <cell r="H427">
            <v>0</v>
          </cell>
          <cell r="J427">
            <v>0</v>
          </cell>
          <cell r="P427">
            <v>0</v>
          </cell>
          <cell r="Q427">
            <v>0</v>
          </cell>
        </row>
        <row r="428">
          <cell r="D428">
            <v>0</v>
          </cell>
          <cell r="E428">
            <v>0</v>
          </cell>
          <cell r="F428">
            <v>0</v>
          </cell>
          <cell r="H428">
            <v>0</v>
          </cell>
          <cell r="J428">
            <v>0</v>
          </cell>
          <cell r="P428">
            <v>0</v>
          </cell>
          <cell r="Q428">
            <v>0</v>
          </cell>
        </row>
        <row r="429">
          <cell r="D429">
            <v>0</v>
          </cell>
          <cell r="E429">
            <v>0</v>
          </cell>
          <cell r="F429">
            <v>0</v>
          </cell>
          <cell r="H429">
            <v>0</v>
          </cell>
          <cell r="J429">
            <v>0</v>
          </cell>
          <cell r="P429">
            <v>0</v>
          </cell>
          <cell r="Q429">
            <v>0</v>
          </cell>
        </row>
        <row r="430">
          <cell r="D430">
            <v>0</v>
          </cell>
          <cell r="E430">
            <v>0</v>
          </cell>
          <cell r="F430">
            <v>0</v>
          </cell>
          <cell r="H430">
            <v>0</v>
          </cell>
          <cell r="J430">
            <v>0</v>
          </cell>
          <cell r="P430">
            <v>0</v>
          </cell>
          <cell r="Q430">
            <v>0</v>
          </cell>
        </row>
        <row r="431">
          <cell r="D431">
            <v>0</v>
          </cell>
          <cell r="E431">
            <v>0</v>
          </cell>
          <cell r="F431">
            <v>0</v>
          </cell>
          <cell r="H431">
            <v>0</v>
          </cell>
          <cell r="J431">
            <v>0</v>
          </cell>
          <cell r="P431">
            <v>0</v>
          </cell>
          <cell r="Q431">
            <v>0</v>
          </cell>
        </row>
        <row r="432">
          <cell r="D432">
            <v>0</v>
          </cell>
          <cell r="E432">
            <v>0</v>
          </cell>
          <cell r="F432">
            <v>0</v>
          </cell>
          <cell r="H432">
            <v>0</v>
          </cell>
          <cell r="J432">
            <v>0</v>
          </cell>
          <cell r="P432">
            <v>0</v>
          </cell>
          <cell r="Q432">
            <v>0</v>
          </cell>
        </row>
        <row r="433">
          <cell r="D433">
            <v>0</v>
          </cell>
          <cell r="E433">
            <v>0</v>
          </cell>
          <cell r="F433">
            <v>0</v>
          </cell>
          <cell r="H433">
            <v>0</v>
          </cell>
          <cell r="J433">
            <v>0</v>
          </cell>
          <cell r="P433">
            <v>0</v>
          </cell>
          <cell r="Q433">
            <v>0</v>
          </cell>
        </row>
        <row r="434">
          <cell r="D434">
            <v>0</v>
          </cell>
          <cell r="E434">
            <v>0</v>
          </cell>
          <cell r="F434">
            <v>0</v>
          </cell>
          <cell r="H434">
            <v>0</v>
          </cell>
          <cell r="J434">
            <v>0</v>
          </cell>
          <cell r="P434">
            <v>0</v>
          </cell>
          <cell r="Q434">
            <v>0</v>
          </cell>
        </row>
        <row r="435">
          <cell r="D435">
            <v>0</v>
          </cell>
          <cell r="E435">
            <v>0</v>
          </cell>
          <cell r="F435">
            <v>0</v>
          </cell>
          <cell r="H435">
            <v>0</v>
          </cell>
          <cell r="J435">
            <v>0</v>
          </cell>
          <cell r="P435">
            <v>0</v>
          </cell>
          <cell r="Q435">
            <v>0</v>
          </cell>
        </row>
        <row r="436">
          <cell r="D436">
            <v>0</v>
          </cell>
          <cell r="E436">
            <v>0</v>
          </cell>
          <cell r="F436">
            <v>0</v>
          </cell>
          <cell r="H436">
            <v>0</v>
          </cell>
          <cell r="J436">
            <v>0</v>
          </cell>
          <cell r="P436">
            <v>0</v>
          </cell>
          <cell r="Q436">
            <v>0</v>
          </cell>
        </row>
        <row r="437">
          <cell r="D437">
            <v>0</v>
          </cell>
          <cell r="E437">
            <v>0</v>
          </cell>
          <cell r="F437">
            <v>0</v>
          </cell>
          <cell r="H437">
            <v>0</v>
          </cell>
          <cell r="J437">
            <v>0</v>
          </cell>
          <cell r="P437">
            <v>0</v>
          </cell>
          <cell r="Q437">
            <v>0</v>
          </cell>
        </row>
        <row r="438">
          <cell r="D438">
            <v>0</v>
          </cell>
          <cell r="E438">
            <v>0</v>
          </cell>
          <cell r="F438">
            <v>0</v>
          </cell>
          <cell r="H438">
            <v>0</v>
          </cell>
          <cell r="J438">
            <v>0</v>
          </cell>
          <cell r="P438">
            <v>0</v>
          </cell>
          <cell r="Q438">
            <v>0</v>
          </cell>
        </row>
        <row r="439">
          <cell r="D439">
            <v>0</v>
          </cell>
          <cell r="E439">
            <v>0</v>
          </cell>
          <cell r="F439">
            <v>0</v>
          </cell>
          <cell r="H439">
            <v>0</v>
          </cell>
          <cell r="J439">
            <v>0</v>
          </cell>
          <cell r="P439">
            <v>0</v>
          </cell>
          <cell r="Q439">
            <v>0</v>
          </cell>
        </row>
        <row r="440">
          <cell r="D440">
            <v>0</v>
          </cell>
          <cell r="E440">
            <v>0</v>
          </cell>
          <cell r="F440">
            <v>0</v>
          </cell>
          <cell r="H440">
            <v>0</v>
          </cell>
          <cell r="J440">
            <v>0</v>
          </cell>
          <cell r="P440">
            <v>0</v>
          </cell>
          <cell r="Q440">
            <v>0</v>
          </cell>
        </row>
        <row r="441">
          <cell r="D441">
            <v>0</v>
          </cell>
          <cell r="E441">
            <v>0</v>
          </cell>
          <cell r="F441">
            <v>0</v>
          </cell>
          <cell r="H441">
            <v>0</v>
          </cell>
          <cell r="J441">
            <v>0</v>
          </cell>
          <cell r="P441">
            <v>0</v>
          </cell>
          <cell r="Q441">
            <v>0</v>
          </cell>
        </row>
        <row r="442">
          <cell r="D442">
            <v>0</v>
          </cell>
          <cell r="E442">
            <v>0</v>
          </cell>
          <cell r="F442">
            <v>0</v>
          </cell>
          <cell r="H442">
            <v>0</v>
          </cell>
          <cell r="J442">
            <v>0</v>
          </cell>
          <cell r="P442">
            <v>0</v>
          </cell>
          <cell r="Q442">
            <v>0</v>
          </cell>
        </row>
        <row r="443">
          <cell r="D443">
            <v>0</v>
          </cell>
          <cell r="E443">
            <v>0</v>
          </cell>
          <cell r="F443">
            <v>0</v>
          </cell>
          <cell r="H443">
            <v>0</v>
          </cell>
          <cell r="J443">
            <v>0</v>
          </cell>
          <cell r="P443">
            <v>0</v>
          </cell>
          <cell r="Q443">
            <v>0</v>
          </cell>
        </row>
        <row r="444">
          <cell r="D444">
            <v>0</v>
          </cell>
          <cell r="E444">
            <v>0</v>
          </cell>
          <cell r="F444">
            <v>0</v>
          </cell>
          <cell r="H444">
            <v>0</v>
          </cell>
          <cell r="J444">
            <v>0</v>
          </cell>
          <cell r="P444">
            <v>0</v>
          </cell>
          <cell r="Q444">
            <v>0</v>
          </cell>
        </row>
        <row r="445">
          <cell r="D445">
            <v>0</v>
          </cell>
          <cell r="E445">
            <v>0</v>
          </cell>
          <cell r="F445">
            <v>0</v>
          </cell>
          <cell r="H445">
            <v>0</v>
          </cell>
          <cell r="J445">
            <v>0</v>
          </cell>
          <cell r="P445">
            <v>0</v>
          </cell>
          <cell r="Q445">
            <v>0</v>
          </cell>
        </row>
        <row r="446">
          <cell r="D446">
            <v>0</v>
          </cell>
          <cell r="E446">
            <v>0</v>
          </cell>
          <cell r="F446">
            <v>0</v>
          </cell>
          <cell r="H446">
            <v>0</v>
          </cell>
          <cell r="J446">
            <v>0</v>
          </cell>
          <cell r="P446">
            <v>0</v>
          </cell>
          <cell r="Q446">
            <v>0</v>
          </cell>
        </row>
        <row r="447">
          <cell r="D447">
            <v>0</v>
          </cell>
          <cell r="E447">
            <v>0</v>
          </cell>
          <cell r="F447">
            <v>0</v>
          </cell>
          <cell r="H447">
            <v>0</v>
          </cell>
          <cell r="J447">
            <v>0</v>
          </cell>
          <cell r="P447">
            <v>0</v>
          </cell>
          <cell r="Q447">
            <v>0</v>
          </cell>
        </row>
        <row r="448">
          <cell r="D448">
            <v>0</v>
          </cell>
          <cell r="E448">
            <v>0</v>
          </cell>
          <cell r="F448">
            <v>0</v>
          </cell>
          <cell r="H448">
            <v>0</v>
          </cell>
          <cell r="J448">
            <v>0</v>
          </cell>
          <cell r="P448">
            <v>0</v>
          </cell>
          <cell r="Q448">
            <v>0</v>
          </cell>
        </row>
        <row r="449">
          <cell r="D449">
            <v>0</v>
          </cell>
          <cell r="E449">
            <v>0</v>
          </cell>
          <cell r="F449">
            <v>0</v>
          </cell>
          <cell r="H449">
            <v>0</v>
          </cell>
          <cell r="J449">
            <v>0</v>
          </cell>
          <cell r="P449">
            <v>0</v>
          </cell>
          <cell r="Q449">
            <v>0</v>
          </cell>
        </row>
        <row r="450">
          <cell r="D450">
            <v>0</v>
          </cell>
          <cell r="E450">
            <v>0</v>
          </cell>
          <cell r="F450">
            <v>0</v>
          </cell>
          <cell r="H450">
            <v>0</v>
          </cell>
          <cell r="J450">
            <v>0</v>
          </cell>
          <cell r="P450">
            <v>0</v>
          </cell>
          <cell r="Q450">
            <v>0</v>
          </cell>
        </row>
        <row r="451">
          <cell r="D451">
            <v>0</v>
          </cell>
          <cell r="E451">
            <v>0</v>
          </cell>
          <cell r="F451">
            <v>0</v>
          </cell>
          <cell r="H451">
            <v>0</v>
          </cell>
          <cell r="J451">
            <v>0</v>
          </cell>
          <cell r="P451">
            <v>0</v>
          </cell>
          <cell r="Q451">
            <v>0</v>
          </cell>
        </row>
        <row r="452">
          <cell r="D452">
            <v>0</v>
          </cell>
          <cell r="E452">
            <v>0</v>
          </cell>
          <cell r="F452">
            <v>0</v>
          </cell>
          <cell r="H452">
            <v>0</v>
          </cell>
          <cell r="J452">
            <v>0</v>
          </cell>
          <cell r="P452">
            <v>0</v>
          </cell>
          <cell r="Q452">
            <v>0</v>
          </cell>
        </row>
        <row r="453">
          <cell r="D453">
            <v>0</v>
          </cell>
          <cell r="E453">
            <v>0</v>
          </cell>
          <cell r="F453">
            <v>0</v>
          </cell>
          <cell r="H453">
            <v>0</v>
          </cell>
          <cell r="J453">
            <v>0</v>
          </cell>
          <cell r="P453">
            <v>0</v>
          </cell>
          <cell r="Q453">
            <v>0</v>
          </cell>
        </row>
        <row r="454">
          <cell r="D454">
            <v>0</v>
          </cell>
          <cell r="E454">
            <v>0</v>
          </cell>
          <cell r="F454">
            <v>0</v>
          </cell>
          <cell r="H454">
            <v>0</v>
          </cell>
          <cell r="J454">
            <v>0</v>
          </cell>
          <cell r="P454">
            <v>0</v>
          </cell>
          <cell r="Q454">
            <v>0</v>
          </cell>
        </row>
        <row r="455">
          <cell r="D455">
            <v>0</v>
          </cell>
          <cell r="E455">
            <v>0</v>
          </cell>
          <cell r="F455">
            <v>0</v>
          </cell>
          <cell r="H455">
            <v>0</v>
          </cell>
          <cell r="J455">
            <v>0</v>
          </cell>
          <cell r="P455">
            <v>0</v>
          </cell>
          <cell r="Q455">
            <v>0</v>
          </cell>
        </row>
        <row r="456">
          <cell r="D456">
            <v>0</v>
          </cell>
          <cell r="E456">
            <v>0</v>
          </cell>
          <cell r="F456">
            <v>0</v>
          </cell>
          <cell r="H456">
            <v>0</v>
          </cell>
          <cell r="J456">
            <v>0</v>
          </cell>
          <cell r="P456">
            <v>0</v>
          </cell>
          <cell r="Q456">
            <v>0</v>
          </cell>
        </row>
        <row r="457">
          <cell r="D457">
            <v>0</v>
          </cell>
          <cell r="E457">
            <v>0</v>
          </cell>
          <cell r="F457">
            <v>0</v>
          </cell>
          <cell r="H457">
            <v>0</v>
          </cell>
          <cell r="J457">
            <v>0</v>
          </cell>
          <cell r="P457">
            <v>0</v>
          </cell>
          <cell r="Q457">
            <v>0</v>
          </cell>
        </row>
        <row r="458">
          <cell r="D458">
            <v>0</v>
          </cell>
          <cell r="E458">
            <v>0</v>
          </cell>
          <cell r="F458">
            <v>0</v>
          </cell>
          <cell r="H458">
            <v>0</v>
          </cell>
          <cell r="J458">
            <v>0</v>
          </cell>
          <cell r="P458">
            <v>0</v>
          </cell>
          <cell r="Q458">
            <v>0</v>
          </cell>
        </row>
        <row r="459">
          <cell r="D459">
            <v>0</v>
          </cell>
          <cell r="E459">
            <v>0</v>
          </cell>
          <cell r="F459">
            <v>0</v>
          </cell>
          <cell r="H459">
            <v>0</v>
          </cell>
          <cell r="J459">
            <v>0</v>
          </cell>
          <cell r="P459">
            <v>0</v>
          </cell>
          <cell r="Q459">
            <v>0</v>
          </cell>
        </row>
        <row r="460">
          <cell r="D460">
            <v>0</v>
          </cell>
          <cell r="E460">
            <v>0</v>
          </cell>
          <cell r="F460">
            <v>0</v>
          </cell>
          <cell r="H460">
            <v>0</v>
          </cell>
          <cell r="J460">
            <v>0</v>
          </cell>
          <cell r="P460">
            <v>0</v>
          </cell>
          <cell r="Q460">
            <v>0</v>
          </cell>
        </row>
        <row r="461">
          <cell r="D461">
            <v>0</v>
          </cell>
          <cell r="E461">
            <v>0</v>
          </cell>
          <cell r="F461">
            <v>0</v>
          </cell>
          <cell r="H461">
            <v>0</v>
          </cell>
          <cell r="J461">
            <v>0</v>
          </cell>
          <cell r="P461">
            <v>0</v>
          </cell>
          <cell r="Q461">
            <v>0</v>
          </cell>
        </row>
        <row r="462">
          <cell r="D462">
            <v>0</v>
          </cell>
          <cell r="E462">
            <v>0</v>
          </cell>
          <cell r="F462">
            <v>0</v>
          </cell>
          <cell r="H462">
            <v>0</v>
          </cell>
          <cell r="J462">
            <v>0</v>
          </cell>
          <cell r="P462">
            <v>0</v>
          </cell>
          <cell r="Q462">
            <v>0</v>
          </cell>
        </row>
        <row r="463">
          <cell r="D463">
            <v>0</v>
          </cell>
          <cell r="E463">
            <v>0</v>
          </cell>
          <cell r="F463">
            <v>0</v>
          </cell>
          <cell r="H463">
            <v>0</v>
          </cell>
          <cell r="J463">
            <v>0</v>
          </cell>
          <cell r="P463">
            <v>0</v>
          </cell>
          <cell r="Q463">
            <v>0</v>
          </cell>
        </row>
        <row r="464">
          <cell r="D464">
            <v>0</v>
          </cell>
          <cell r="E464">
            <v>0</v>
          </cell>
          <cell r="F464">
            <v>0</v>
          </cell>
          <cell r="H464">
            <v>0</v>
          </cell>
          <cell r="J464">
            <v>0</v>
          </cell>
          <cell r="P464">
            <v>0</v>
          </cell>
          <cell r="Q464">
            <v>0</v>
          </cell>
        </row>
        <row r="465">
          <cell r="D465">
            <v>0</v>
          </cell>
          <cell r="E465">
            <v>0</v>
          </cell>
          <cell r="F465">
            <v>0</v>
          </cell>
          <cell r="H465">
            <v>0</v>
          </cell>
          <cell r="J465">
            <v>0</v>
          </cell>
          <cell r="P465">
            <v>0</v>
          </cell>
          <cell r="Q465">
            <v>0</v>
          </cell>
        </row>
        <row r="466">
          <cell r="D466">
            <v>0</v>
          </cell>
          <cell r="E466">
            <v>0</v>
          </cell>
          <cell r="F466">
            <v>0</v>
          </cell>
          <cell r="H466">
            <v>0</v>
          </cell>
          <cell r="J466">
            <v>0</v>
          </cell>
          <cell r="P466">
            <v>0</v>
          </cell>
          <cell r="Q466">
            <v>0</v>
          </cell>
        </row>
        <row r="467">
          <cell r="D467">
            <v>0</v>
          </cell>
          <cell r="E467">
            <v>0</v>
          </cell>
          <cell r="F467">
            <v>0</v>
          </cell>
          <cell r="H467">
            <v>0</v>
          </cell>
          <cell r="J467">
            <v>0</v>
          </cell>
          <cell r="P467">
            <v>0</v>
          </cell>
          <cell r="Q467">
            <v>0</v>
          </cell>
        </row>
        <row r="468">
          <cell r="D468">
            <v>0</v>
          </cell>
          <cell r="E468">
            <v>0</v>
          </cell>
          <cell r="F468">
            <v>0</v>
          </cell>
          <cell r="H468">
            <v>0</v>
          </cell>
          <cell r="J468">
            <v>0</v>
          </cell>
          <cell r="P468">
            <v>0</v>
          </cell>
          <cell r="Q468">
            <v>0</v>
          </cell>
        </row>
        <row r="469">
          <cell r="D469">
            <v>0</v>
          </cell>
          <cell r="E469">
            <v>0</v>
          </cell>
          <cell r="F469">
            <v>0</v>
          </cell>
          <cell r="H469">
            <v>0</v>
          </cell>
          <cell r="J469">
            <v>0</v>
          </cell>
          <cell r="P469">
            <v>0</v>
          </cell>
          <cell r="Q469">
            <v>0</v>
          </cell>
        </row>
        <row r="470">
          <cell r="D470">
            <v>0</v>
          </cell>
          <cell r="E470">
            <v>0</v>
          </cell>
          <cell r="F470">
            <v>0</v>
          </cell>
          <cell r="H470">
            <v>0</v>
          </cell>
          <cell r="J470">
            <v>0</v>
          </cell>
          <cell r="P470">
            <v>0</v>
          </cell>
          <cell r="Q470">
            <v>0</v>
          </cell>
        </row>
        <row r="471">
          <cell r="D471">
            <v>0</v>
          </cell>
          <cell r="E471">
            <v>0</v>
          </cell>
          <cell r="F471">
            <v>0</v>
          </cell>
          <cell r="H471">
            <v>0</v>
          </cell>
          <cell r="J471">
            <v>0</v>
          </cell>
          <cell r="P471">
            <v>0</v>
          </cell>
          <cell r="Q471">
            <v>0</v>
          </cell>
        </row>
        <row r="472">
          <cell r="D472">
            <v>0</v>
          </cell>
          <cell r="E472">
            <v>0</v>
          </cell>
          <cell r="F472">
            <v>0</v>
          </cell>
          <cell r="H472">
            <v>0</v>
          </cell>
          <cell r="J472">
            <v>0</v>
          </cell>
          <cell r="P472">
            <v>0</v>
          </cell>
          <cell r="Q472">
            <v>0</v>
          </cell>
        </row>
        <row r="473">
          <cell r="D473">
            <v>0</v>
          </cell>
          <cell r="E473">
            <v>0</v>
          </cell>
          <cell r="F473">
            <v>0</v>
          </cell>
          <cell r="H473">
            <v>0</v>
          </cell>
          <cell r="J473">
            <v>0</v>
          </cell>
          <cell r="P473">
            <v>0</v>
          </cell>
          <cell r="Q473">
            <v>0</v>
          </cell>
        </row>
        <row r="474">
          <cell r="D474">
            <v>0</v>
          </cell>
          <cell r="E474">
            <v>0</v>
          </cell>
          <cell r="F474">
            <v>0</v>
          </cell>
          <cell r="H474">
            <v>0</v>
          </cell>
          <cell r="J474">
            <v>0</v>
          </cell>
          <cell r="P474">
            <v>0</v>
          </cell>
          <cell r="Q474">
            <v>0</v>
          </cell>
        </row>
        <row r="475">
          <cell r="D475">
            <v>0</v>
          </cell>
          <cell r="E475">
            <v>0</v>
          </cell>
          <cell r="F475">
            <v>0</v>
          </cell>
          <cell r="H475">
            <v>0</v>
          </cell>
          <cell r="J475">
            <v>0</v>
          </cell>
          <cell r="P475">
            <v>0</v>
          </cell>
          <cell r="Q475">
            <v>0</v>
          </cell>
        </row>
        <row r="476">
          <cell r="D476">
            <v>0</v>
          </cell>
          <cell r="E476">
            <v>0</v>
          </cell>
          <cell r="F476">
            <v>0</v>
          </cell>
          <cell r="H476">
            <v>0</v>
          </cell>
          <cell r="J476">
            <v>0</v>
          </cell>
          <cell r="P476">
            <v>0</v>
          </cell>
          <cell r="Q476">
            <v>0</v>
          </cell>
        </row>
        <row r="477">
          <cell r="D477">
            <v>0</v>
          </cell>
          <cell r="E477">
            <v>0</v>
          </cell>
          <cell r="F477">
            <v>0</v>
          </cell>
          <cell r="H477">
            <v>0</v>
          </cell>
          <cell r="J477">
            <v>0</v>
          </cell>
          <cell r="P477">
            <v>0</v>
          </cell>
          <cell r="Q477">
            <v>0</v>
          </cell>
        </row>
        <row r="478">
          <cell r="D478">
            <v>0</v>
          </cell>
          <cell r="E478">
            <v>0</v>
          </cell>
          <cell r="F478">
            <v>0</v>
          </cell>
          <cell r="H478">
            <v>0</v>
          </cell>
          <cell r="J478">
            <v>0</v>
          </cell>
          <cell r="P478">
            <v>0</v>
          </cell>
          <cell r="Q478">
            <v>0</v>
          </cell>
        </row>
        <row r="479">
          <cell r="D479">
            <v>0</v>
          </cell>
          <cell r="E479">
            <v>0</v>
          </cell>
          <cell r="F479">
            <v>0</v>
          </cell>
          <cell r="H479">
            <v>0</v>
          </cell>
          <cell r="J479">
            <v>0</v>
          </cell>
          <cell r="P479">
            <v>0</v>
          </cell>
          <cell r="Q479">
            <v>0</v>
          </cell>
        </row>
        <row r="480">
          <cell r="D480">
            <v>0</v>
          </cell>
          <cell r="E480">
            <v>0</v>
          </cell>
          <cell r="F480">
            <v>0</v>
          </cell>
          <cell r="H480">
            <v>0</v>
          </cell>
          <cell r="J480">
            <v>0</v>
          </cell>
          <cell r="P480">
            <v>0</v>
          </cell>
          <cell r="Q480">
            <v>0</v>
          </cell>
        </row>
        <row r="481">
          <cell r="D481">
            <v>0</v>
          </cell>
          <cell r="E481">
            <v>0</v>
          </cell>
          <cell r="F481">
            <v>0</v>
          </cell>
          <cell r="H481">
            <v>0</v>
          </cell>
          <cell r="J481">
            <v>0</v>
          </cell>
          <cell r="P481">
            <v>0</v>
          </cell>
          <cell r="Q481">
            <v>0</v>
          </cell>
        </row>
        <row r="482">
          <cell r="D482">
            <v>0</v>
          </cell>
          <cell r="E482">
            <v>0</v>
          </cell>
          <cell r="F482">
            <v>0</v>
          </cell>
          <cell r="H482">
            <v>0</v>
          </cell>
          <cell r="J482">
            <v>0</v>
          </cell>
          <cell r="P482">
            <v>0</v>
          </cell>
          <cell r="Q482">
            <v>0</v>
          </cell>
        </row>
        <row r="483">
          <cell r="D483">
            <v>0</v>
          </cell>
          <cell r="E483">
            <v>0</v>
          </cell>
          <cell r="F483">
            <v>0</v>
          </cell>
          <cell r="H483">
            <v>0</v>
          </cell>
          <cell r="J483">
            <v>0</v>
          </cell>
          <cell r="P483">
            <v>0</v>
          </cell>
          <cell r="Q483">
            <v>0</v>
          </cell>
        </row>
        <row r="484">
          <cell r="D484">
            <v>0</v>
          </cell>
          <cell r="E484">
            <v>0</v>
          </cell>
          <cell r="F484">
            <v>0</v>
          </cell>
          <cell r="H484">
            <v>0</v>
          </cell>
          <cell r="J484">
            <v>0</v>
          </cell>
          <cell r="P484">
            <v>0</v>
          </cell>
          <cell r="Q484">
            <v>0</v>
          </cell>
        </row>
        <row r="485">
          <cell r="D485">
            <v>0</v>
          </cell>
          <cell r="E485">
            <v>0</v>
          </cell>
          <cell r="F485">
            <v>0</v>
          </cell>
          <cell r="H485">
            <v>0</v>
          </cell>
          <cell r="J485">
            <v>0</v>
          </cell>
          <cell r="P485">
            <v>0</v>
          </cell>
          <cell r="Q485">
            <v>0</v>
          </cell>
        </row>
        <row r="486">
          <cell r="D486">
            <v>0</v>
          </cell>
          <cell r="E486">
            <v>0</v>
          </cell>
          <cell r="F486">
            <v>0</v>
          </cell>
          <cell r="H486">
            <v>0</v>
          </cell>
          <cell r="J486">
            <v>0</v>
          </cell>
          <cell r="P486">
            <v>0</v>
          </cell>
          <cell r="Q486">
            <v>0</v>
          </cell>
        </row>
        <row r="487">
          <cell r="D487">
            <v>0</v>
          </cell>
          <cell r="E487">
            <v>0</v>
          </cell>
          <cell r="F487">
            <v>0</v>
          </cell>
          <cell r="H487">
            <v>0</v>
          </cell>
          <cell r="J487">
            <v>0</v>
          </cell>
          <cell r="P487">
            <v>0</v>
          </cell>
          <cell r="Q487">
            <v>0</v>
          </cell>
        </row>
        <row r="488">
          <cell r="D488">
            <v>0</v>
          </cell>
          <cell r="E488">
            <v>0</v>
          </cell>
          <cell r="F488">
            <v>0</v>
          </cell>
          <cell r="H488">
            <v>0</v>
          </cell>
          <cell r="J488">
            <v>0</v>
          </cell>
          <cell r="P488">
            <v>0</v>
          </cell>
          <cell r="Q488">
            <v>0</v>
          </cell>
        </row>
        <row r="489">
          <cell r="D489">
            <v>0</v>
          </cell>
          <cell r="E489">
            <v>0</v>
          </cell>
          <cell r="F489">
            <v>0</v>
          </cell>
          <cell r="H489">
            <v>0</v>
          </cell>
          <cell r="J489">
            <v>0</v>
          </cell>
          <cell r="P489">
            <v>0</v>
          </cell>
          <cell r="Q489">
            <v>0</v>
          </cell>
        </row>
        <row r="490">
          <cell r="D490">
            <v>0</v>
          </cell>
          <cell r="E490">
            <v>0</v>
          </cell>
          <cell r="F490">
            <v>0</v>
          </cell>
          <cell r="H490">
            <v>0</v>
          </cell>
          <cell r="J490">
            <v>0</v>
          </cell>
          <cell r="P490">
            <v>0</v>
          </cell>
          <cell r="Q490">
            <v>0</v>
          </cell>
        </row>
        <row r="491">
          <cell r="D491">
            <v>0</v>
          </cell>
          <cell r="E491">
            <v>0</v>
          </cell>
          <cell r="F491">
            <v>0</v>
          </cell>
          <cell r="H491">
            <v>0</v>
          </cell>
          <cell r="J491">
            <v>0</v>
          </cell>
          <cell r="P491">
            <v>0</v>
          </cell>
          <cell r="Q491">
            <v>0</v>
          </cell>
        </row>
        <row r="492">
          <cell r="D492">
            <v>0</v>
          </cell>
          <cell r="E492">
            <v>0</v>
          </cell>
          <cell r="F492">
            <v>0</v>
          </cell>
          <cell r="H492">
            <v>0</v>
          </cell>
          <cell r="J492">
            <v>0</v>
          </cell>
          <cell r="P492">
            <v>0</v>
          </cell>
          <cell r="Q492">
            <v>0</v>
          </cell>
        </row>
        <row r="493">
          <cell r="D493">
            <v>0</v>
          </cell>
          <cell r="E493">
            <v>0</v>
          </cell>
          <cell r="F493">
            <v>0</v>
          </cell>
          <cell r="H493">
            <v>0</v>
          </cell>
          <cell r="J493">
            <v>0</v>
          </cell>
          <cell r="P493">
            <v>0</v>
          </cell>
          <cell r="Q493">
            <v>0</v>
          </cell>
        </row>
        <row r="494">
          <cell r="D494">
            <v>0</v>
          </cell>
          <cell r="E494">
            <v>0</v>
          </cell>
          <cell r="F494">
            <v>0</v>
          </cell>
          <cell r="H494">
            <v>0</v>
          </cell>
          <cell r="J494">
            <v>0</v>
          </cell>
          <cell r="P494">
            <v>0</v>
          </cell>
          <cell r="Q494">
            <v>0</v>
          </cell>
        </row>
        <row r="495">
          <cell r="D495">
            <v>0</v>
          </cell>
          <cell r="E495">
            <v>0</v>
          </cell>
          <cell r="F495">
            <v>0</v>
          </cell>
          <cell r="H495">
            <v>0</v>
          </cell>
          <cell r="J495">
            <v>0</v>
          </cell>
          <cell r="P495">
            <v>0</v>
          </cell>
          <cell r="Q495">
            <v>0</v>
          </cell>
        </row>
        <row r="496">
          <cell r="D496">
            <v>0</v>
          </cell>
          <cell r="E496">
            <v>0</v>
          </cell>
          <cell r="F496">
            <v>0</v>
          </cell>
          <cell r="H496">
            <v>0</v>
          </cell>
          <cell r="J496">
            <v>0</v>
          </cell>
          <cell r="P496">
            <v>0</v>
          </cell>
          <cell r="Q496">
            <v>0</v>
          </cell>
        </row>
        <row r="497">
          <cell r="D497">
            <v>0</v>
          </cell>
          <cell r="E497">
            <v>0</v>
          </cell>
          <cell r="F497">
            <v>0</v>
          </cell>
          <cell r="H497">
            <v>0</v>
          </cell>
          <cell r="J497">
            <v>0</v>
          </cell>
          <cell r="P497">
            <v>0</v>
          </cell>
          <cell r="Q497">
            <v>0</v>
          </cell>
        </row>
        <row r="498">
          <cell r="D498">
            <v>0</v>
          </cell>
          <cell r="E498">
            <v>0</v>
          </cell>
          <cell r="F498">
            <v>0</v>
          </cell>
          <cell r="H498">
            <v>0</v>
          </cell>
          <cell r="J498">
            <v>0</v>
          </cell>
          <cell r="P498">
            <v>0</v>
          </cell>
          <cell r="Q498">
            <v>0</v>
          </cell>
        </row>
        <row r="499">
          <cell r="D499">
            <v>0</v>
          </cell>
          <cell r="E499">
            <v>0</v>
          </cell>
          <cell r="F499">
            <v>0</v>
          </cell>
          <cell r="H499">
            <v>0</v>
          </cell>
          <cell r="J499">
            <v>0</v>
          </cell>
          <cell r="P499">
            <v>0</v>
          </cell>
          <cell r="Q499">
            <v>0</v>
          </cell>
        </row>
        <row r="500">
          <cell r="D500">
            <v>0</v>
          </cell>
          <cell r="E500">
            <v>0</v>
          </cell>
          <cell r="F500">
            <v>0</v>
          </cell>
          <cell r="H500">
            <v>0</v>
          </cell>
          <cell r="J500">
            <v>0</v>
          </cell>
          <cell r="P500">
            <v>0</v>
          </cell>
          <cell r="Q500">
            <v>0</v>
          </cell>
        </row>
        <row r="501">
          <cell r="D501">
            <v>0</v>
          </cell>
          <cell r="E501">
            <v>0</v>
          </cell>
          <cell r="F501">
            <v>0</v>
          </cell>
          <cell r="H501">
            <v>0</v>
          </cell>
          <cell r="J501">
            <v>0</v>
          </cell>
          <cell r="P501">
            <v>0</v>
          </cell>
          <cell r="Q501">
            <v>0</v>
          </cell>
        </row>
        <row r="502">
          <cell r="D502">
            <v>0</v>
          </cell>
          <cell r="E502">
            <v>0</v>
          </cell>
          <cell r="F502">
            <v>0</v>
          </cell>
          <cell r="H502">
            <v>0</v>
          </cell>
          <cell r="J502">
            <v>0</v>
          </cell>
          <cell r="P502">
            <v>0</v>
          </cell>
          <cell r="Q502">
            <v>0</v>
          </cell>
        </row>
        <row r="503">
          <cell r="D503">
            <v>0</v>
          </cell>
          <cell r="E503">
            <v>0</v>
          </cell>
          <cell r="F503">
            <v>0</v>
          </cell>
          <cell r="H503">
            <v>0</v>
          </cell>
          <cell r="J503">
            <v>0</v>
          </cell>
          <cell r="P503">
            <v>0</v>
          </cell>
          <cell r="Q503">
            <v>0</v>
          </cell>
        </row>
        <row r="504">
          <cell r="D504">
            <v>0</v>
          </cell>
          <cell r="E504">
            <v>0</v>
          </cell>
          <cell r="F504">
            <v>0</v>
          </cell>
          <cell r="H504">
            <v>0</v>
          </cell>
          <cell r="J504">
            <v>0</v>
          </cell>
          <cell r="P504">
            <v>0</v>
          </cell>
          <cell r="Q504">
            <v>0</v>
          </cell>
        </row>
        <row r="505">
          <cell r="D505">
            <v>0</v>
          </cell>
          <cell r="E505">
            <v>0</v>
          </cell>
          <cell r="F505">
            <v>0</v>
          </cell>
          <cell r="H505">
            <v>0</v>
          </cell>
          <cell r="J505">
            <v>0</v>
          </cell>
          <cell r="P505">
            <v>0</v>
          </cell>
          <cell r="Q505">
            <v>0</v>
          </cell>
        </row>
        <row r="506">
          <cell r="D506">
            <v>0</v>
          </cell>
          <cell r="E506">
            <v>0</v>
          </cell>
          <cell r="F506">
            <v>0</v>
          </cell>
          <cell r="H506">
            <v>0</v>
          </cell>
          <cell r="J506">
            <v>0</v>
          </cell>
          <cell r="P506">
            <v>0</v>
          </cell>
          <cell r="Q506">
            <v>0</v>
          </cell>
        </row>
        <row r="507">
          <cell r="D507">
            <v>0</v>
          </cell>
          <cell r="E507">
            <v>0</v>
          </cell>
          <cell r="F507">
            <v>0</v>
          </cell>
          <cell r="H507">
            <v>0</v>
          </cell>
          <cell r="J507">
            <v>0</v>
          </cell>
          <cell r="P507">
            <v>0</v>
          </cell>
          <cell r="Q507">
            <v>0</v>
          </cell>
        </row>
        <row r="508">
          <cell r="D508">
            <v>0</v>
          </cell>
          <cell r="E508">
            <v>0</v>
          </cell>
          <cell r="F508">
            <v>0</v>
          </cell>
          <cell r="H508">
            <v>0</v>
          </cell>
          <cell r="J508">
            <v>0</v>
          </cell>
          <cell r="P508">
            <v>0</v>
          </cell>
          <cell r="Q508">
            <v>0</v>
          </cell>
        </row>
        <row r="509">
          <cell r="D509">
            <v>0</v>
          </cell>
          <cell r="E509">
            <v>0</v>
          </cell>
          <cell r="F509">
            <v>0</v>
          </cell>
          <cell r="H509">
            <v>0</v>
          </cell>
          <cell r="J509">
            <v>0</v>
          </cell>
          <cell r="P509">
            <v>0</v>
          </cell>
          <cell r="Q509">
            <v>0</v>
          </cell>
        </row>
        <row r="510">
          <cell r="D510">
            <v>0</v>
          </cell>
          <cell r="E510">
            <v>0</v>
          </cell>
          <cell r="F510">
            <v>0</v>
          </cell>
          <cell r="H510">
            <v>0</v>
          </cell>
          <cell r="J510">
            <v>0</v>
          </cell>
          <cell r="P510">
            <v>0</v>
          </cell>
          <cell r="Q510">
            <v>0</v>
          </cell>
        </row>
        <row r="511">
          <cell r="D511">
            <v>0</v>
          </cell>
          <cell r="E511">
            <v>0</v>
          </cell>
          <cell r="F511">
            <v>0</v>
          </cell>
          <cell r="H511">
            <v>0</v>
          </cell>
          <cell r="J511">
            <v>0</v>
          </cell>
          <cell r="P511">
            <v>0</v>
          </cell>
          <cell r="Q511">
            <v>0</v>
          </cell>
        </row>
        <row r="512">
          <cell r="D512">
            <v>0</v>
          </cell>
          <cell r="E512">
            <v>0</v>
          </cell>
          <cell r="F512">
            <v>0</v>
          </cell>
          <cell r="H512">
            <v>0</v>
          </cell>
          <cell r="J512">
            <v>0</v>
          </cell>
          <cell r="P512">
            <v>0</v>
          </cell>
          <cell r="Q512">
            <v>0</v>
          </cell>
        </row>
        <row r="513">
          <cell r="D513">
            <v>0</v>
          </cell>
          <cell r="E513">
            <v>0</v>
          </cell>
          <cell r="F513">
            <v>0</v>
          </cell>
          <cell r="H513">
            <v>0</v>
          </cell>
          <cell r="J513">
            <v>0</v>
          </cell>
          <cell r="P513">
            <v>0</v>
          </cell>
          <cell r="Q513">
            <v>0</v>
          </cell>
        </row>
        <row r="514">
          <cell r="D514">
            <v>0</v>
          </cell>
          <cell r="E514">
            <v>0</v>
          </cell>
          <cell r="F514">
            <v>0</v>
          </cell>
          <cell r="H514">
            <v>0</v>
          </cell>
          <cell r="J514">
            <v>0</v>
          </cell>
          <cell r="P514">
            <v>0</v>
          </cell>
          <cell r="Q514">
            <v>0</v>
          </cell>
        </row>
        <row r="515">
          <cell r="D515">
            <v>0</v>
          </cell>
          <cell r="E515">
            <v>0</v>
          </cell>
          <cell r="F515">
            <v>0</v>
          </cell>
          <cell r="H515">
            <v>0</v>
          </cell>
          <cell r="J515">
            <v>0</v>
          </cell>
          <cell r="P515">
            <v>0</v>
          </cell>
          <cell r="Q515">
            <v>0</v>
          </cell>
        </row>
        <row r="516">
          <cell r="D516">
            <v>0</v>
          </cell>
          <cell r="E516">
            <v>0</v>
          </cell>
          <cell r="F516">
            <v>0</v>
          </cell>
          <cell r="H516">
            <v>0</v>
          </cell>
          <cell r="J516">
            <v>0</v>
          </cell>
          <cell r="P516">
            <v>0</v>
          </cell>
          <cell r="Q516">
            <v>0</v>
          </cell>
        </row>
        <row r="517">
          <cell r="D517">
            <v>0</v>
          </cell>
          <cell r="E517">
            <v>0</v>
          </cell>
          <cell r="F517">
            <v>0</v>
          </cell>
          <cell r="H517">
            <v>0</v>
          </cell>
          <cell r="J517">
            <v>0</v>
          </cell>
          <cell r="P517">
            <v>0</v>
          </cell>
          <cell r="Q517">
            <v>0</v>
          </cell>
        </row>
        <row r="518">
          <cell r="D518">
            <v>0</v>
          </cell>
          <cell r="E518">
            <v>0</v>
          </cell>
          <cell r="F518">
            <v>0</v>
          </cell>
          <cell r="H518">
            <v>0</v>
          </cell>
          <cell r="J518">
            <v>0</v>
          </cell>
          <cell r="P518">
            <v>0</v>
          </cell>
          <cell r="Q518">
            <v>0</v>
          </cell>
        </row>
        <row r="519">
          <cell r="D519">
            <v>0</v>
          </cell>
          <cell r="E519">
            <v>0</v>
          </cell>
          <cell r="F519">
            <v>0</v>
          </cell>
          <cell r="H519">
            <v>0</v>
          </cell>
          <cell r="J519">
            <v>0</v>
          </cell>
          <cell r="P519">
            <v>0</v>
          </cell>
          <cell r="Q519">
            <v>0</v>
          </cell>
        </row>
        <row r="520">
          <cell r="D520">
            <v>0</v>
          </cell>
          <cell r="E520">
            <v>0</v>
          </cell>
          <cell r="F520">
            <v>0</v>
          </cell>
          <cell r="H520">
            <v>0</v>
          </cell>
          <cell r="J520">
            <v>0</v>
          </cell>
          <cell r="P520">
            <v>0</v>
          </cell>
          <cell r="Q520">
            <v>0</v>
          </cell>
        </row>
        <row r="521">
          <cell r="D521">
            <v>0</v>
          </cell>
          <cell r="E521">
            <v>0</v>
          </cell>
          <cell r="F521">
            <v>0</v>
          </cell>
          <cell r="H521">
            <v>0</v>
          </cell>
          <cell r="J521">
            <v>0</v>
          </cell>
          <cell r="P521">
            <v>0</v>
          </cell>
          <cell r="Q521">
            <v>0</v>
          </cell>
        </row>
        <row r="522">
          <cell r="D522">
            <v>0</v>
          </cell>
          <cell r="E522">
            <v>0</v>
          </cell>
          <cell r="F522">
            <v>0</v>
          </cell>
          <cell r="H522">
            <v>0</v>
          </cell>
          <cell r="J522">
            <v>0</v>
          </cell>
          <cell r="P522">
            <v>0</v>
          </cell>
          <cell r="Q522">
            <v>0</v>
          </cell>
        </row>
        <row r="523">
          <cell r="D523">
            <v>0</v>
          </cell>
          <cell r="E523">
            <v>0</v>
          </cell>
          <cell r="F523">
            <v>0</v>
          </cell>
          <cell r="H523">
            <v>0</v>
          </cell>
          <cell r="J523">
            <v>0</v>
          </cell>
          <cell r="P523">
            <v>0</v>
          </cell>
          <cell r="Q523">
            <v>0</v>
          </cell>
        </row>
        <row r="524">
          <cell r="D524">
            <v>0</v>
          </cell>
          <cell r="E524">
            <v>0</v>
          </cell>
          <cell r="F524">
            <v>0</v>
          </cell>
          <cell r="H524">
            <v>0</v>
          </cell>
          <cell r="J524">
            <v>0</v>
          </cell>
          <cell r="P524">
            <v>0</v>
          </cell>
          <cell r="Q524">
            <v>0</v>
          </cell>
        </row>
        <row r="525">
          <cell r="D525">
            <v>0</v>
          </cell>
          <cell r="E525">
            <v>0</v>
          </cell>
          <cell r="F525">
            <v>0</v>
          </cell>
          <cell r="H525">
            <v>0</v>
          </cell>
          <cell r="J525">
            <v>0</v>
          </cell>
          <cell r="P525">
            <v>0</v>
          </cell>
          <cell r="Q525">
            <v>0</v>
          </cell>
        </row>
        <row r="526">
          <cell r="D526">
            <v>0</v>
          </cell>
          <cell r="E526">
            <v>0</v>
          </cell>
          <cell r="F526">
            <v>0</v>
          </cell>
          <cell r="H526">
            <v>0</v>
          </cell>
          <cell r="J526">
            <v>0</v>
          </cell>
          <cell r="P526">
            <v>0</v>
          </cell>
          <cell r="Q526">
            <v>0</v>
          </cell>
        </row>
        <row r="527">
          <cell r="D527">
            <v>0</v>
          </cell>
          <cell r="E527">
            <v>0</v>
          </cell>
          <cell r="F527">
            <v>0</v>
          </cell>
          <cell r="H527">
            <v>0</v>
          </cell>
          <cell r="J527">
            <v>0</v>
          </cell>
          <cell r="P527">
            <v>0</v>
          </cell>
          <cell r="Q527">
            <v>0</v>
          </cell>
        </row>
        <row r="528">
          <cell r="D528">
            <v>0</v>
          </cell>
          <cell r="E528">
            <v>0</v>
          </cell>
          <cell r="F528">
            <v>0</v>
          </cell>
          <cell r="H528">
            <v>0</v>
          </cell>
          <cell r="J528">
            <v>0</v>
          </cell>
          <cell r="P528">
            <v>0</v>
          </cell>
          <cell r="Q528">
            <v>0</v>
          </cell>
        </row>
        <row r="529">
          <cell r="D529">
            <v>0</v>
          </cell>
          <cell r="E529">
            <v>0</v>
          </cell>
          <cell r="F529">
            <v>0</v>
          </cell>
          <cell r="H529">
            <v>0</v>
          </cell>
          <cell r="J529">
            <v>0</v>
          </cell>
          <cell r="P529">
            <v>0</v>
          </cell>
          <cell r="Q529">
            <v>0</v>
          </cell>
        </row>
        <row r="530">
          <cell r="D530">
            <v>0</v>
          </cell>
          <cell r="E530">
            <v>0</v>
          </cell>
          <cell r="F530">
            <v>0</v>
          </cell>
          <cell r="H530">
            <v>0</v>
          </cell>
          <cell r="J530">
            <v>0</v>
          </cell>
          <cell r="P530">
            <v>0</v>
          </cell>
          <cell r="Q530">
            <v>0</v>
          </cell>
        </row>
        <row r="531">
          <cell r="D531">
            <v>0</v>
          </cell>
          <cell r="E531">
            <v>0</v>
          </cell>
          <cell r="F531">
            <v>0</v>
          </cell>
          <cell r="H531">
            <v>0</v>
          </cell>
          <cell r="J531">
            <v>0</v>
          </cell>
          <cell r="P531">
            <v>0</v>
          </cell>
          <cell r="Q531">
            <v>0</v>
          </cell>
        </row>
        <row r="532">
          <cell r="D532">
            <v>0</v>
          </cell>
          <cell r="E532">
            <v>0</v>
          </cell>
          <cell r="F532">
            <v>0</v>
          </cell>
          <cell r="H532">
            <v>0</v>
          </cell>
          <cell r="J532">
            <v>0</v>
          </cell>
          <cell r="P532">
            <v>0</v>
          </cell>
          <cell r="Q532">
            <v>0</v>
          </cell>
        </row>
        <row r="533">
          <cell r="D533">
            <v>0</v>
          </cell>
          <cell r="E533">
            <v>0</v>
          </cell>
          <cell r="F533">
            <v>0</v>
          </cell>
          <cell r="H533">
            <v>0</v>
          </cell>
          <cell r="J533">
            <v>0</v>
          </cell>
          <cell r="P533">
            <v>0</v>
          </cell>
          <cell r="Q533">
            <v>0</v>
          </cell>
        </row>
        <row r="534">
          <cell r="D534">
            <v>0</v>
          </cell>
          <cell r="E534">
            <v>0</v>
          </cell>
          <cell r="F534">
            <v>0</v>
          </cell>
          <cell r="H534">
            <v>0</v>
          </cell>
          <cell r="J534">
            <v>0</v>
          </cell>
          <cell r="P534">
            <v>0</v>
          </cell>
          <cell r="Q534">
            <v>0</v>
          </cell>
        </row>
        <row r="535">
          <cell r="D535">
            <v>0</v>
          </cell>
          <cell r="E535">
            <v>0</v>
          </cell>
          <cell r="F535">
            <v>0</v>
          </cell>
          <cell r="H535">
            <v>0</v>
          </cell>
          <cell r="J535">
            <v>0</v>
          </cell>
          <cell r="P535">
            <v>0</v>
          </cell>
          <cell r="Q535">
            <v>0</v>
          </cell>
        </row>
        <row r="536">
          <cell r="D536">
            <v>0</v>
          </cell>
          <cell r="E536">
            <v>0</v>
          </cell>
          <cell r="F536">
            <v>0</v>
          </cell>
          <cell r="H536">
            <v>0</v>
          </cell>
          <cell r="J536">
            <v>0</v>
          </cell>
          <cell r="P536">
            <v>0</v>
          </cell>
          <cell r="Q536">
            <v>0</v>
          </cell>
        </row>
        <row r="537">
          <cell r="D537">
            <v>0</v>
          </cell>
          <cell r="E537">
            <v>0</v>
          </cell>
          <cell r="F537">
            <v>0</v>
          </cell>
          <cell r="H537">
            <v>0</v>
          </cell>
          <cell r="J537">
            <v>0</v>
          </cell>
          <cell r="P537">
            <v>0</v>
          </cell>
          <cell r="Q537">
            <v>0</v>
          </cell>
        </row>
        <row r="538">
          <cell r="D538">
            <v>0</v>
          </cell>
          <cell r="E538">
            <v>0</v>
          </cell>
          <cell r="F538">
            <v>0</v>
          </cell>
          <cell r="H538">
            <v>0</v>
          </cell>
          <cell r="J538">
            <v>0</v>
          </cell>
          <cell r="P538">
            <v>0</v>
          </cell>
          <cell r="Q538">
            <v>0</v>
          </cell>
        </row>
        <row r="539">
          <cell r="D539">
            <v>0</v>
          </cell>
          <cell r="E539">
            <v>0</v>
          </cell>
          <cell r="F539">
            <v>0</v>
          </cell>
          <cell r="H539">
            <v>0</v>
          </cell>
          <cell r="J539">
            <v>0</v>
          </cell>
          <cell r="P539">
            <v>0</v>
          </cell>
          <cell r="Q539">
            <v>0</v>
          </cell>
        </row>
        <row r="540">
          <cell r="D540">
            <v>0</v>
          </cell>
          <cell r="E540">
            <v>0</v>
          </cell>
          <cell r="F540">
            <v>0</v>
          </cell>
          <cell r="H540">
            <v>0</v>
          </cell>
          <cell r="J540">
            <v>0</v>
          </cell>
          <cell r="P540">
            <v>0</v>
          </cell>
          <cell r="Q540">
            <v>0</v>
          </cell>
        </row>
        <row r="541">
          <cell r="D541">
            <v>0</v>
          </cell>
          <cell r="E541">
            <v>0</v>
          </cell>
          <cell r="F541">
            <v>0</v>
          </cell>
          <cell r="H541">
            <v>0</v>
          </cell>
          <cell r="J541">
            <v>0</v>
          </cell>
          <cell r="P541">
            <v>0</v>
          </cell>
          <cell r="Q541">
            <v>0</v>
          </cell>
        </row>
        <row r="542">
          <cell r="D542">
            <v>0</v>
          </cell>
          <cell r="E542">
            <v>0</v>
          </cell>
          <cell r="F542">
            <v>0</v>
          </cell>
          <cell r="H542">
            <v>0</v>
          </cell>
          <cell r="J542">
            <v>0</v>
          </cell>
          <cell r="P542">
            <v>0</v>
          </cell>
          <cell r="Q542">
            <v>0</v>
          </cell>
        </row>
        <row r="543">
          <cell r="D543">
            <v>0</v>
          </cell>
          <cell r="E543">
            <v>0</v>
          </cell>
          <cell r="F543">
            <v>0</v>
          </cell>
          <cell r="H543">
            <v>0</v>
          </cell>
          <cell r="J543">
            <v>0</v>
          </cell>
          <cell r="P543">
            <v>0</v>
          </cell>
          <cell r="Q543">
            <v>0</v>
          </cell>
        </row>
        <row r="544">
          <cell r="D544">
            <v>0</v>
          </cell>
          <cell r="E544">
            <v>0</v>
          </cell>
          <cell r="F544">
            <v>0</v>
          </cell>
          <cell r="H544">
            <v>0</v>
          </cell>
          <cell r="J544">
            <v>0</v>
          </cell>
          <cell r="P544">
            <v>0</v>
          </cell>
          <cell r="Q544">
            <v>0</v>
          </cell>
        </row>
        <row r="545">
          <cell r="D545">
            <v>0</v>
          </cell>
          <cell r="E545">
            <v>0</v>
          </cell>
          <cell r="F545">
            <v>0</v>
          </cell>
          <cell r="H545">
            <v>0</v>
          </cell>
          <cell r="J545">
            <v>0</v>
          </cell>
          <cell r="P545">
            <v>0</v>
          </cell>
          <cell r="Q545">
            <v>0</v>
          </cell>
        </row>
        <row r="546">
          <cell r="D546">
            <v>0</v>
          </cell>
          <cell r="E546">
            <v>0</v>
          </cell>
          <cell r="F546">
            <v>0</v>
          </cell>
          <cell r="H546">
            <v>0</v>
          </cell>
          <cell r="J546">
            <v>0</v>
          </cell>
          <cell r="P546">
            <v>0</v>
          </cell>
          <cell r="Q546">
            <v>0</v>
          </cell>
        </row>
        <row r="547">
          <cell r="D547">
            <v>0</v>
          </cell>
          <cell r="E547">
            <v>0</v>
          </cell>
          <cell r="F547">
            <v>0</v>
          </cell>
          <cell r="H547">
            <v>0</v>
          </cell>
          <cell r="J547">
            <v>0</v>
          </cell>
          <cell r="P547">
            <v>0</v>
          </cell>
          <cell r="Q547">
            <v>0</v>
          </cell>
        </row>
        <row r="548">
          <cell r="D548">
            <v>0</v>
          </cell>
          <cell r="E548">
            <v>0</v>
          </cell>
          <cell r="F548">
            <v>0</v>
          </cell>
          <cell r="H548">
            <v>0</v>
          </cell>
          <cell r="J548">
            <v>0</v>
          </cell>
          <cell r="P548">
            <v>0</v>
          </cell>
          <cell r="Q548">
            <v>0</v>
          </cell>
        </row>
        <row r="549">
          <cell r="D549">
            <v>0</v>
          </cell>
          <cell r="E549">
            <v>0</v>
          </cell>
          <cell r="F549">
            <v>0</v>
          </cell>
          <cell r="H549">
            <v>0</v>
          </cell>
          <cell r="J549">
            <v>0</v>
          </cell>
          <cell r="P549">
            <v>0</v>
          </cell>
          <cell r="Q549">
            <v>0</v>
          </cell>
        </row>
        <row r="550">
          <cell r="D550">
            <v>0</v>
          </cell>
          <cell r="E550">
            <v>0</v>
          </cell>
          <cell r="F550">
            <v>0</v>
          </cell>
          <cell r="H550">
            <v>0</v>
          </cell>
          <cell r="J550">
            <v>0</v>
          </cell>
          <cell r="P550">
            <v>0</v>
          </cell>
          <cell r="Q550">
            <v>0</v>
          </cell>
        </row>
        <row r="551">
          <cell r="D551">
            <v>0</v>
          </cell>
          <cell r="E551">
            <v>0</v>
          </cell>
          <cell r="F551">
            <v>0</v>
          </cell>
          <cell r="H551">
            <v>0</v>
          </cell>
          <cell r="J551">
            <v>0</v>
          </cell>
          <cell r="P551">
            <v>0</v>
          </cell>
          <cell r="Q551">
            <v>0</v>
          </cell>
        </row>
        <row r="552">
          <cell r="D552">
            <v>0</v>
          </cell>
          <cell r="E552">
            <v>0</v>
          </cell>
          <cell r="F552">
            <v>0</v>
          </cell>
          <cell r="H552">
            <v>0</v>
          </cell>
          <cell r="J552">
            <v>0</v>
          </cell>
          <cell r="P552">
            <v>0</v>
          </cell>
          <cell r="Q552">
            <v>0</v>
          </cell>
        </row>
        <row r="553">
          <cell r="D553">
            <v>0</v>
          </cell>
          <cell r="E553">
            <v>0</v>
          </cell>
          <cell r="F553">
            <v>0</v>
          </cell>
          <cell r="H553">
            <v>0</v>
          </cell>
          <cell r="J553">
            <v>0</v>
          </cell>
          <cell r="P553">
            <v>0</v>
          </cell>
          <cell r="Q553">
            <v>0</v>
          </cell>
        </row>
        <row r="554">
          <cell r="D554">
            <v>0</v>
          </cell>
          <cell r="E554">
            <v>0</v>
          </cell>
          <cell r="F554">
            <v>0</v>
          </cell>
          <cell r="H554">
            <v>0</v>
          </cell>
          <cell r="J554">
            <v>0</v>
          </cell>
          <cell r="P554">
            <v>0</v>
          </cell>
          <cell r="Q554">
            <v>0</v>
          </cell>
        </row>
        <row r="555">
          <cell r="D555">
            <v>0</v>
          </cell>
          <cell r="E555">
            <v>0</v>
          </cell>
          <cell r="F555">
            <v>0</v>
          </cell>
          <cell r="H555">
            <v>0</v>
          </cell>
          <cell r="J555">
            <v>0</v>
          </cell>
          <cell r="P555">
            <v>0</v>
          </cell>
          <cell r="Q555">
            <v>0</v>
          </cell>
        </row>
        <row r="556">
          <cell r="D556">
            <v>0</v>
          </cell>
          <cell r="E556">
            <v>0</v>
          </cell>
          <cell r="F556">
            <v>0</v>
          </cell>
          <cell r="H556">
            <v>0</v>
          </cell>
          <cell r="J556">
            <v>0</v>
          </cell>
          <cell r="P556">
            <v>0</v>
          </cell>
          <cell r="Q556">
            <v>0</v>
          </cell>
        </row>
        <row r="557">
          <cell r="D557">
            <v>0</v>
          </cell>
          <cell r="E557">
            <v>0</v>
          </cell>
          <cell r="F557">
            <v>0</v>
          </cell>
          <cell r="H557">
            <v>0</v>
          </cell>
          <cell r="J557">
            <v>0</v>
          </cell>
          <cell r="P557">
            <v>0</v>
          </cell>
          <cell r="Q557">
            <v>0</v>
          </cell>
        </row>
        <row r="558">
          <cell r="D558">
            <v>0</v>
          </cell>
          <cell r="E558">
            <v>0</v>
          </cell>
          <cell r="F558">
            <v>0</v>
          </cell>
          <cell r="H558">
            <v>0</v>
          </cell>
          <cell r="J558">
            <v>0</v>
          </cell>
          <cell r="P558">
            <v>0</v>
          </cell>
          <cell r="Q558">
            <v>0</v>
          </cell>
        </row>
        <row r="559">
          <cell r="D559">
            <v>0</v>
          </cell>
          <cell r="E559">
            <v>0</v>
          </cell>
          <cell r="F559">
            <v>0</v>
          </cell>
          <cell r="H559">
            <v>0</v>
          </cell>
          <cell r="J559">
            <v>0</v>
          </cell>
          <cell r="P559">
            <v>0</v>
          </cell>
          <cell r="Q559">
            <v>0</v>
          </cell>
        </row>
        <row r="560">
          <cell r="D560">
            <v>0</v>
          </cell>
          <cell r="E560">
            <v>0</v>
          </cell>
          <cell r="F560">
            <v>0</v>
          </cell>
          <cell r="H560">
            <v>0</v>
          </cell>
          <cell r="J560">
            <v>0</v>
          </cell>
          <cell r="P560">
            <v>0</v>
          </cell>
          <cell r="Q560">
            <v>0</v>
          </cell>
        </row>
        <row r="561">
          <cell r="D561">
            <v>0</v>
          </cell>
          <cell r="E561">
            <v>0</v>
          </cell>
          <cell r="F561">
            <v>0</v>
          </cell>
          <cell r="H561">
            <v>0</v>
          </cell>
          <cell r="J561">
            <v>0</v>
          </cell>
          <cell r="P561">
            <v>0</v>
          </cell>
          <cell r="Q561">
            <v>0</v>
          </cell>
        </row>
        <row r="562">
          <cell r="D562">
            <v>0</v>
          </cell>
          <cell r="E562">
            <v>0</v>
          </cell>
          <cell r="F562">
            <v>0</v>
          </cell>
          <cell r="H562">
            <v>0</v>
          </cell>
          <cell r="J562">
            <v>0</v>
          </cell>
          <cell r="P562">
            <v>0</v>
          </cell>
          <cell r="Q562">
            <v>0</v>
          </cell>
        </row>
        <row r="563">
          <cell r="D563">
            <v>0</v>
          </cell>
          <cell r="E563">
            <v>0</v>
          </cell>
          <cell r="F563">
            <v>0</v>
          </cell>
          <cell r="H563">
            <v>0</v>
          </cell>
          <cell r="J563">
            <v>0</v>
          </cell>
          <cell r="P563">
            <v>0</v>
          </cell>
          <cell r="Q563">
            <v>0</v>
          </cell>
        </row>
        <row r="564">
          <cell r="D564">
            <v>0</v>
          </cell>
          <cell r="E564">
            <v>0</v>
          </cell>
          <cell r="F564">
            <v>0</v>
          </cell>
          <cell r="H564">
            <v>0</v>
          </cell>
          <cell r="J564">
            <v>0</v>
          </cell>
          <cell r="P564">
            <v>0</v>
          </cell>
          <cell r="Q564">
            <v>0</v>
          </cell>
        </row>
        <row r="565">
          <cell r="D565">
            <v>0</v>
          </cell>
          <cell r="E565">
            <v>0</v>
          </cell>
          <cell r="F565">
            <v>0</v>
          </cell>
          <cell r="H565">
            <v>0</v>
          </cell>
          <cell r="J565">
            <v>0</v>
          </cell>
          <cell r="P565">
            <v>0</v>
          </cell>
          <cell r="Q565">
            <v>0</v>
          </cell>
        </row>
        <row r="566">
          <cell r="D566">
            <v>0</v>
          </cell>
          <cell r="E566">
            <v>0</v>
          </cell>
          <cell r="F566">
            <v>0</v>
          </cell>
          <cell r="H566">
            <v>0</v>
          </cell>
          <cell r="J566">
            <v>0</v>
          </cell>
          <cell r="P566">
            <v>0</v>
          </cell>
          <cell r="Q566">
            <v>0</v>
          </cell>
        </row>
        <row r="567">
          <cell r="D567">
            <v>0</v>
          </cell>
          <cell r="E567">
            <v>0</v>
          </cell>
          <cell r="F567">
            <v>0</v>
          </cell>
          <cell r="H567">
            <v>0</v>
          </cell>
          <cell r="J567">
            <v>0</v>
          </cell>
          <cell r="P567">
            <v>0</v>
          </cell>
          <cell r="Q567">
            <v>0</v>
          </cell>
        </row>
        <row r="568">
          <cell r="D568">
            <v>0</v>
          </cell>
          <cell r="E568">
            <v>0</v>
          </cell>
          <cell r="F568">
            <v>0</v>
          </cell>
          <cell r="H568">
            <v>0</v>
          </cell>
          <cell r="J568">
            <v>0</v>
          </cell>
          <cell r="P568">
            <v>0</v>
          </cell>
          <cell r="Q568">
            <v>0</v>
          </cell>
        </row>
        <row r="569">
          <cell r="D569">
            <v>0</v>
          </cell>
          <cell r="E569">
            <v>0</v>
          </cell>
          <cell r="F569">
            <v>0</v>
          </cell>
          <cell r="H569">
            <v>0</v>
          </cell>
          <cell r="J569">
            <v>0</v>
          </cell>
          <cell r="P569">
            <v>0</v>
          </cell>
          <cell r="Q569">
            <v>0</v>
          </cell>
        </row>
        <row r="570">
          <cell r="D570">
            <v>0</v>
          </cell>
          <cell r="E570">
            <v>0</v>
          </cell>
          <cell r="F570">
            <v>0</v>
          </cell>
          <cell r="H570">
            <v>0</v>
          </cell>
          <cell r="J570">
            <v>0</v>
          </cell>
          <cell r="P570">
            <v>0</v>
          </cell>
          <cell r="Q570">
            <v>0</v>
          </cell>
        </row>
        <row r="571">
          <cell r="D571">
            <v>0</v>
          </cell>
          <cell r="E571">
            <v>0</v>
          </cell>
          <cell r="F571">
            <v>0</v>
          </cell>
          <cell r="H571">
            <v>0</v>
          </cell>
          <cell r="J571">
            <v>0</v>
          </cell>
          <cell r="P571">
            <v>0</v>
          </cell>
          <cell r="Q571">
            <v>0</v>
          </cell>
        </row>
        <row r="572">
          <cell r="D572">
            <v>0</v>
          </cell>
          <cell r="E572">
            <v>0</v>
          </cell>
          <cell r="F572">
            <v>0</v>
          </cell>
          <cell r="H572">
            <v>0</v>
          </cell>
          <cell r="J572">
            <v>0</v>
          </cell>
          <cell r="P572">
            <v>0</v>
          </cell>
          <cell r="Q572">
            <v>0</v>
          </cell>
        </row>
        <row r="573">
          <cell r="D573">
            <v>0</v>
          </cell>
          <cell r="E573">
            <v>0</v>
          </cell>
          <cell r="F573">
            <v>0</v>
          </cell>
          <cell r="H573">
            <v>0</v>
          </cell>
          <cell r="J573">
            <v>0</v>
          </cell>
          <cell r="P573">
            <v>0</v>
          </cell>
          <cell r="Q573">
            <v>0</v>
          </cell>
        </row>
        <row r="574">
          <cell r="D574">
            <v>0</v>
          </cell>
          <cell r="E574">
            <v>0</v>
          </cell>
          <cell r="F574">
            <v>0</v>
          </cell>
          <cell r="H574">
            <v>0</v>
          </cell>
          <cell r="J574">
            <v>0</v>
          </cell>
          <cell r="P574">
            <v>0</v>
          </cell>
          <cell r="Q574">
            <v>0</v>
          </cell>
        </row>
        <row r="575">
          <cell r="D575">
            <v>0</v>
          </cell>
          <cell r="E575">
            <v>0</v>
          </cell>
          <cell r="F575">
            <v>0</v>
          </cell>
          <cell r="H575">
            <v>0</v>
          </cell>
          <cell r="J575">
            <v>0</v>
          </cell>
          <cell r="P575">
            <v>0</v>
          </cell>
          <cell r="Q575">
            <v>0</v>
          </cell>
        </row>
        <row r="576">
          <cell r="D576">
            <v>0</v>
          </cell>
          <cell r="E576">
            <v>0</v>
          </cell>
          <cell r="F576">
            <v>0</v>
          </cell>
          <cell r="H576">
            <v>0</v>
          </cell>
          <cell r="J576">
            <v>0</v>
          </cell>
          <cell r="P576">
            <v>0</v>
          </cell>
          <cell r="Q576">
            <v>0</v>
          </cell>
        </row>
        <row r="577">
          <cell r="D577">
            <v>0</v>
          </cell>
          <cell r="E577">
            <v>0</v>
          </cell>
          <cell r="F577">
            <v>0</v>
          </cell>
          <cell r="H577">
            <v>0</v>
          </cell>
          <cell r="J577">
            <v>0</v>
          </cell>
          <cell r="P577">
            <v>0</v>
          </cell>
          <cell r="Q577">
            <v>0</v>
          </cell>
        </row>
        <row r="578">
          <cell r="D578">
            <v>0</v>
          </cell>
          <cell r="E578">
            <v>0</v>
          </cell>
          <cell r="F578">
            <v>0</v>
          </cell>
          <cell r="H578">
            <v>0</v>
          </cell>
          <cell r="J578">
            <v>0</v>
          </cell>
          <cell r="P578">
            <v>0</v>
          </cell>
          <cell r="Q578">
            <v>0</v>
          </cell>
        </row>
        <row r="579">
          <cell r="D579">
            <v>0</v>
          </cell>
          <cell r="E579">
            <v>0</v>
          </cell>
          <cell r="F579">
            <v>0</v>
          </cell>
          <cell r="H579">
            <v>0</v>
          </cell>
          <cell r="J579">
            <v>0</v>
          </cell>
          <cell r="P579">
            <v>0</v>
          </cell>
          <cell r="Q579">
            <v>0</v>
          </cell>
        </row>
        <row r="580">
          <cell r="D580">
            <v>0</v>
          </cell>
          <cell r="E580">
            <v>0</v>
          </cell>
          <cell r="F580">
            <v>0</v>
          </cell>
          <cell r="H580">
            <v>0</v>
          </cell>
          <cell r="J580">
            <v>0</v>
          </cell>
          <cell r="P580">
            <v>0</v>
          </cell>
          <cell r="Q580">
            <v>0</v>
          </cell>
        </row>
        <row r="581">
          <cell r="D581">
            <v>0</v>
          </cell>
          <cell r="E581">
            <v>0</v>
          </cell>
          <cell r="F581">
            <v>0</v>
          </cell>
          <cell r="H581">
            <v>0</v>
          </cell>
          <cell r="J581">
            <v>0</v>
          </cell>
          <cell r="P581">
            <v>0</v>
          </cell>
          <cell r="Q581">
            <v>0</v>
          </cell>
        </row>
        <row r="582">
          <cell r="D582">
            <v>0</v>
          </cell>
          <cell r="E582">
            <v>0</v>
          </cell>
          <cell r="F582">
            <v>0</v>
          </cell>
          <cell r="H582">
            <v>0</v>
          </cell>
          <cell r="J582">
            <v>0</v>
          </cell>
          <cell r="P582">
            <v>0</v>
          </cell>
          <cell r="Q582">
            <v>0</v>
          </cell>
        </row>
        <row r="583">
          <cell r="D583">
            <v>0</v>
          </cell>
          <cell r="E583">
            <v>0</v>
          </cell>
          <cell r="F583">
            <v>0</v>
          </cell>
          <cell r="H583">
            <v>0</v>
          </cell>
          <cell r="J583">
            <v>0</v>
          </cell>
          <cell r="P583">
            <v>0</v>
          </cell>
          <cell r="Q583">
            <v>0</v>
          </cell>
        </row>
        <row r="584">
          <cell r="D584">
            <v>0</v>
          </cell>
          <cell r="E584">
            <v>0</v>
          </cell>
          <cell r="F584">
            <v>0</v>
          </cell>
          <cell r="H584">
            <v>0</v>
          </cell>
          <cell r="J584">
            <v>0</v>
          </cell>
          <cell r="P584">
            <v>0</v>
          </cell>
          <cell r="Q584">
            <v>0</v>
          </cell>
        </row>
        <row r="585">
          <cell r="D585">
            <v>0</v>
          </cell>
          <cell r="E585">
            <v>0</v>
          </cell>
          <cell r="F585">
            <v>0</v>
          </cell>
          <cell r="H585">
            <v>0</v>
          </cell>
          <cell r="J585">
            <v>0</v>
          </cell>
          <cell r="P585">
            <v>0</v>
          </cell>
          <cell r="Q585">
            <v>0</v>
          </cell>
        </row>
        <row r="586">
          <cell r="D586">
            <v>0</v>
          </cell>
          <cell r="E586">
            <v>0</v>
          </cell>
          <cell r="F586">
            <v>0</v>
          </cell>
          <cell r="H586">
            <v>0</v>
          </cell>
          <cell r="J586">
            <v>0</v>
          </cell>
          <cell r="P586">
            <v>0</v>
          </cell>
          <cell r="Q586">
            <v>0</v>
          </cell>
        </row>
        <row r="587">
          <cell r="D587">
            <v>0</v>
          </cell>
          <cell r="E587">
            <v>0</v>
          </cell>
          <cell r="F587">
            <v>0</v>
          </cell>
          <cell r="H587">
            <v>0</v>
          </cell>
          <cell r="J587">
            <v>0</v>
          </cell>
          <cell r="P587">
            <v>0</v>
          </cell>
          <cell r="Q587">
            <v>0</v>
          </cell>
        </row>
        <row r="588">
          <cell r="D588">
            <v>0</v>
          </cell>
          <cell r="E588">
            <v>0</v>
          </cell>
          <cell r="F588">
            <v>0</v>
          </cell>
          <cell r="H588">
            <v>0</v>
          </cell>
          <cell r="J588">
            <v>0</v>
          </cell>
          <cell r="P588">
            <v>0</v>
          </cell>
          <cell r="Q588">
            <v>0</v>
          </cell>
        </row>
        <row r="589">
          <cell r="D589">
            <v>0</v>
          </cell>
          <cell r="E589">
            <v>0</v>
          </cell>
          <cell r="F589">
            <v>0</v>
          </cell>
          <cell r="H589">
            <v>0</v>
          </cell>
          <cell r="J589">
            <v>0</v>
          </cell>
          <cell r="P589">
            <v>0</v>
          </cell>
          <cell r="Q589">
            <v>0</v>
          </cell>
        </row>
        <row r="590">
          <cell r="D590">
            <v>0</v>
          </cell>
          <cell r="E590">
            <v>0</v>
          </cell>
          <cell r="F590">
            <v>0</v>
          </cell>
          <cell r="H590">
            <v>0</v>
          </cell>
          <cell r="J590">
            <v>0</v>
          </cell>
          <cell r="P590">
            <v>0</v>
          </cell>
          <cell r="Q590">
            <v>0</v>
          </cell>
        </row>
        <row r="591">
          <cell r="D591">
            <v>0</v>
          </cell>
          <cell r="E591">
            <v>0</v>
          </cell>
          <cell r="F591">
            <v>0</v>
          </cell>
          <cell r="H591">
            <v>0</v>
          </cell>
          <cell r="J591">
            <v>0</v>
          </cell>
          <cell r="P591">
            <v>0</v>
          </cell>
          <cell r="Q591">
            <v>0</v>
          </cell>
        </row>
        <row r="592">
          <cell r="D592">
            <v>0</v>
          </cell>
          <cell r="E592">
            <v>0</v>
          </cell>
          <cell r="F592">
            <v>0</v>
          </cell>
          <cell r="H592">
            <v>0</v>
          </cell>
          <cell r="J592">
            <v>0</v>
          </cell>
          <cell r="P592">
            <v>0</v>
          </cell>
          <cell r="Q592">
            <v>0</v>
          </cell>
        </row>
        <row r="593">
          <cell r="D593">
            <v>0</v>
          </cell>
          <cell r="E593">
            <v>0</v>
          </cell>
          <cell r="F593">
            <v>0</v>
          </cell>
          <cell r="H593">
            <v>0</v>
          </cell>
          <cell r="J593">
            <v>0</v>
          </cell>
          <cell r="P593">
            <v>0</v>
          </cell>
          <cell r="Q593">
            <v>0</v>
          </cell>
        </row>
        <row r="594">
          <cell r="D594">
            <v>0</v>
          </cell>
          <cell r="E594">
            <v>0</v>
          </cell>
          <cell r="F594">
            <v>0</v>
          </cell>
          <cell r="H594">
            <v>0</v>
          </cell>
          <cell r="J594">
            <v>0</v>
          </cell>
          <cell r="P594">
            <v>0</v>
          </cell>
          <cell r="Q594">
            <v>0</v>
          </cell>
        </row>
        <row r="595">
          <cell r="D595">
            <v>0</v>
          </cell>
          <cell r="E595">
            <v>0</v>
          </cell>
          <cell r="F595">
            <v>0</v>
          </cell>
          <cell r="H595">
            <v>0</v>
          </cell>
          <cell r="J595">
            <v>0</v>
          </cell>
          <cell r="P595">
            <v>0</v>
          </cell>
          <cell r="Q595">
            <v>0</v>
          </cell>
        </row>
        <row r="596">
          <cell r="D596">
            <v>0</v>
          </cell>
          <cell r="E596">
            <v>0</v>
          </cell>
          <cell r="F596">
            <v>0</v>
          </cell>
          <cell r="H596">
            <v>0</v>
          </cell>
          <cell r="J596">
            <v>0</v>
          </cell>
          <cell r="P596">
            <v>0</v>
          </cell>
          <cell r="Q596">
            <v>0</v>
          </cell>
        </row>
        <row r="597">
          <cell r="D597">
            <v>0</v>
          </cell>
          <cell r="E597">
            <v>0</v>
          </cell>
          <cell r="F597">
            <v>0</v>
          </cell>
          <cell r="H597">
            <v>0</v>
          </cell>
          <cell r="J597">
            <v>0</v>
          </cell>
          <cell r="P597">
            <v>0</v>
          </cell>
          <cell r="Q597">
            <v>0</v>
          </cell>
        </row>
        <row r="598">
          <cell r="D598">
            <v>0</v>
          </cell>
          <cell r="E598">
            <v>0</v>
          </cell>
          <cell r="F598">
            <v>0</v>
          </cell>
          <cell r="H598">
            <v>0</v>
          </cell>
          <cell r="J598">
            <v>0</v>
          </cell>
          <cell r="P598">
            <v>0</v>
          </cell>
          <cell r="Q598">
            <v>0</v>
          </cell>
        </row>
        <row r="599">
          <cell r="D599">
            <v>0</v>
          </cell>
          <cell r="E599">
            <v>0</v>
          </cell>
          <cell r="F599">
            <v>0</v>
          </cell>
          <cell r="H599">
            <v>0</v>
          </cell>
          <cell r="J599">
            <v>0</v>
          </cell>
          <cell r="P599">
            <v>0</v>
          </cell>
          <cell r="Q599">
            <v>0</v>
          </cell>
        </row>
        <row r="600">
          <cell r="D600">
            <v>0</v>
          </cell>
          <cell r="E600">
            <v>0</v>
          </cell>
          <cell r="F600">
            <v>0</v>
          </cell>
          <cell r="H600">
            <v>0</v>
          </cell>
          <cell r="J600">
            <v>0</v>
          </cell>
          <cell r="P600">
            <v>0</v>
          </cell>
          <cell r="Q600">
            <v>0</v>
          </cell>
        </row>
        <row r="601">
          <cell r="D601">
            <v>0</v>
          </cell>
          <cell r="E601">
            <v>0</v>
          </cell>
          <cell r="F601">
            <v>0</v>
          </cell>
          <cell r="H601">
            <v>0</v>
          </cell>
          <cell r="J601">
            <v>0</v>
          </cell>
          <cell r="P601">
            <v>0</v>
          </cell>
          <cell r="Q601">
            <v>0</v>
          </cell>
        </row>
        <row r="602">
          <cell r="D602">
            <v>0</v>
          </cell>
          <cell r="E602">
            <v>0</v>
          </cell>
          <cell r="F602">
            <v>0</v>
          </cell>
          <cell r="H602">
            <v>0</v>
          </cell>
          <cell r="J602">
            <v>0</v>
          </cell>
          <cell r="P602">
            <v>0</v>
          </cell>
          <cell r="Q602">
            <v>0</v>
          </cell>
        </row>
        <row r="603">
          <cell r="D603">
            <v>0</v>
          </cell>
          <cell r="E603">
            <v>0</v>
          </cell>
          <cell r="F603">
            <v>0</v>
          </cell>
          <cell r="H603">
            <v>0</v>
          </cell>
          <cell r="J603">
            <v>0</v>
          </cell>
          <cell r="P603">
            <v>0</v>
          </cell>
          <cell r="Q603">
            <v>0</v>
          </cell>
        </row>
        <row r="604">
          <cell r="D604">
            <v>0</v>
          </cell>
          <cell r="E604">
            <v>0</v>
          </cell>
          <cell r="F604">
            <v>0</v>
          </cell>
          <cell r="H604">
            <v>0</v>
          </cell>
          <cell r="J604">
            <v>0</v>
          </cell>
          <cell r="P604">
            <v>0</v>
          </cell>
          <cell r="Q604">
            <v>0</v>
          </cell>
        </row>
        <row r="605">
          <cell r="D605">
            <v>0</v>
          </cell>
          <cell r="E605">
            <v>0</v>
          </cell>
          <cell r="F605">
            <v>0</v>
          </cell>
          <cell r="H605">
            <v>0</v>
          </cell>
          <cell r="J605">
            <v>0</v>
          </cell>
          <cell r="P605">
            <v>0</v>
          </cell>
          <cell r="Q605">
            <v>0</v>
          </cell>
        </row>
        <row r="606">
          <cell r="D606">
            <v>0</v>
          </cell>
          <cell r="E606">
            <v>0</v>
          </cell>
          <cell r="F606">
            <v>0</v>
          </cell>
          <cell r="H606">
            <v>0</v>
          </cell>
          <cell r="J606">
            <v>0</v>
          </cell>
          <cell r="P606">
            <v>0</v>
          </cell>
          <cell r="Q606">
            <v>0</v>
          </cell>
        </row>
        <row r="607">
          <cell r="D607">
            <v>0</v>
          </cell>
          <cell r="E607">
            <v>0</v>
          </cell>
          <cell r="F607">
            <v>0</v>
          </cell>
          <cell r="H607">
            <v>0</v>
          </cell>
          <cell r="J607">
            <v>0</v>
          </cell>
          <cell r="P607">
            <v>0</v>
          </cell>
          <cell r="Q607">
            <v>0</v>
          </cell>
        </row>
        <row r="608">
          <cell r="D608">
            <v>0</v>
          </cell>
          <cell r="E608">
            <v>0</v>
          </cell>
          <cell r="F608">
            <v>0</v>
          </cell>
          <cell r="H608">
            <v>0</v>
          </cell>
          <cell r="J608">
            <v>0</v>
          </cell>
          <cell r="P608">
            <v>0</v>
          </cell>
          <cell r="Q608">
            <v>0</v>
          </cell>
        </row>
        <row r="609">
          <cell r="D609">
            <v>0</v>
          </cell>
          <cell r="E609">
            <v>0</v>
          </cell>
          <cell r="F609">
            <v>0</v>
          </cell>
          <cell r="H609">
            <v>0</v>
          </cell>
          <cell r="J609">
            <v>0</v>
          </cell>
          <cell r="P609">
            <v>0</v>
          </cell>
          <cell r="Q609">
            <v>0</v>
          </cell>
        </row>
        <row r="610">
          <cell r="D610">
            <v>0</v>
          </cell>
          <cell r="E610">
            <v>0</v>
          </cell>
          <cell r="F610">
            <v>0</v>
          </cell>
          <cell r="H610">
            <v>0</v>
          </cell>
          <cell r="J610">
            <v>0</v>
          </cell>
          <cell r="P610">
            <v>0</v>
          </cell>
          <cell r="Q610">
            <v>0</v>
          </cell>
        </row>
        <row r="611">
          <cell r="D611">
            <v>0</v>
          </cell>
          <cell r="E611">
            <v>0</v>
          </cell>
          <cell r="F611">
            <v>0</v>
          </cell>
          <cell r="H611">
            <v>0</v>
          </cell>
          <cell r="J611">
            <v>0</v>
          </cell>
          <cell r="P611">
            <v>0</v>
          </cell>
          <cell r="Q611">
            <v>0</v>
          </cell>
        </row>
        <row r="612">
          <cell r="D612">
            <v>0</v>
          </cell>
          <cell r="E612">
            <v>0</v>
          </cell>
          <cell r="F612">
            <v>0</v>
          </cell>
          <cell r="H612">
            <v>0</v>
          </cell>
          <cell r="J612">
            <v>0</v>
          </cell>
          <cell r="P612">
            <v>0</v>
          </cell>
          <cell r="Q612">
            <v>0</v>
          </cell>
        </row>
        <row r="613">
          <cell r="D613">
            <v>0</v>
          </cell>
          <cell r="E613">
            <v>0</v>
          </cell>
          <cell r="F613">
            <v>0</v>
          </cell>
          <cell r="H613">
            <v>0</v>
          </cell>
          <cell r="J613">
            <v>0</v>
          </cell>
          <cell r="P613">
            <v>0</v>
          </cell>
          <cell r="Q613">
            <v>0</v>
          </cell>
        </row>
        <row r="614">
          <cell r="D614">
            <v>0</v>
          </cell>
          <cell r="E614">
            <v>0</v>
          </cell>
          <cell r="F614">
            <v>0</v>
          </cell>
          <cell r="H614">
            <v>0</v>
          </cell>
          <cell r="J614">
            <v>0</v>
          </cell>
          <cell r="P614">
            <v>0</v>
          </cell>
          <cell r="Q614">
            <v>0</v>
          </cell>
        </row>
        <row r="615">
          <cell r="D615">
            <v>0</v>
          </cell>
          <cell r="E615">
            <v>0</v>
          </cell>
          <cell r="F615">
            <v>0</v>
          </cell>
          <cell r="H615">
            <v>0</v>
          </cell>
          <cell r="J615">
            <v>0</v>
          </cell>
          <cell r="P615">
            <v>0</v>
          </cell>
          <cell r="Q615">
            <v>0</v>
          </cell>
        </row>
        <row r="616">
          <cell r="D616">
            <v>0</v>
          </cell>
          <cell r="E616">
            <v>0</v>
          </cell>
          <cell r="F616">
            <v>0</v>
          </cell>
          <cell r="H616">
            <v>0</v>
          </cell>
          <cell r="J616">
            <v>0</v>
          </cell>
          <cell r="P616">
            <v>0</v>
          </cell>
          <cell r="Q616">
            <v>0</v>
          </cell>
        </row>
        <row r="617">
          <cell r="D617">
            <v>0</v>
          </cell>
          <cell r="E617">
            <v>0</v>
          </cell>
          <cell r="F617">
            <v>0</v>
          </cell>
          <cell r="H617">
            <v>0</v>
          </cell>
          <cell r="J617">
            <v>0</v>
          </cell>
          <cell r="P617">
            <v>0</v>
          </cell>
          <cell r="Q617">
            <v>0</v>
          </cell>
        </row>
        <row r="618">
          <cell r="D618">
            <v>0</v>
          </cell>
          <cell r="E618">
            <v>0</v>
          </cell>
          <cell r="F618">
            <v>0</v>
          </cell>
          <cell r="H618">
            <v>0</v>
          </cell>
          <cell r="J618">
            <v>0</v>
          </cell>
          <cell r="P618">
            <v>0</v>
          </cell>
          <cell r="Q618">
            <v>0</v>
          </cell>
        </row>
        <row r="619">
          <cell r="D619">
            <v>0</v>
          </cell>
          <cell r="E619">
            <v>0</v>
          </cell>
          <cell r="F619">
            <v>0</v>
          </cell>
          <cell r="H619">
            <v>0</v>
          </cell>
          <cell r="J619">
            <v>0</v>
          </cell>
          <cell r="P619">
            <v>0</v>
          </cell>
          <cell r="Q619">
            <v>0</v>
          </cell>
        </row>
        <row r="620">
          <cell r="D620">
            <v>0</v>
          </cell>
          <cell r="E620">
            <v>0</v>
          </cell>
          <cell r="F620">
            <v>0</v>
          </cell>
          <cell r="H620">
            <v>0</v>
          </cell>
          <cell r="J620">
            <v>0</v>
          </cell>
          <cell r="P620">
            <v>0</v>
          </cell>
          <cell r="Q620">
            <v>0</v>
          </cell>
        </row>
        <row r="621">
          <cell r="D621">
            <v>0</v>
          </cell>
          <cell r="E621">
            <v>0</v>
          </cell>
          <cell r="F621">
            <v>0</v>
          </cell>
          <cell r="H621">
            <v>0</v>
          </cell>
          <cell r="J621">
            <v>0</v>
          </cell>
          <cell r="P621">
            <v>0</v>
          </cell>
          <cell r="Q621">
            <v>0</v>
          </cell>
        </row>
        <row r="622">
          <cell r="D622">
            <v>0</v>
          </cell>
          <cell r="E622">
            <v>0</v>
          </cell>
          <cell r="F622">
            <v>0</v>
          </cell>
          <cell r="H622">
            <v>0</v>
          </cell>
          <cell r="J622">
            <v>0</v>
          </cell>
          <cell r="P622">
            <v>0</v>
          </cell>
          <cell r="Q622">
            <v>0</v>
          </cell>
        </row>
        <row r="623">
          <cell r="D623">
            <v>0</v>
          </cell>
          <cell r="E623">
            <v>0</v>
          </cell>
          <cell r="F623">
            <v>0</v>
          </cell>
          <cell r="H623">
            <v>0</v>
          </cell>
          <cell r="J623">
            <v>0</v>
          </cell>
          <cell r="P623">
            <v>0</v>
          </cell>
          <cell r="Q623">
            <v>0</v>
          </cell>
        </row>
        <row r="624">
          <cell r="D624">
            <v>0</v>
          </cell>
          <cell r="E624">
            <v>0</v>
          </cell>
          <cell r="F624">
            <v>0</v>
          </cell>
          <cell r="H624">
            <v>0</v>
          </cell>
          <cell r="J624">
            <v>0</v>
          </cell>
          <cell r="P624">
            <v>0</v>
          </cell>
          <cell r="Q624">
            <v>0</v>
          </cell>
        </row>
        <row r="625">
          <cell r="D625">
            <v>0</v>
          </cell>
          <cell r="E625">
            <v>0</v>
          </cell>
          <cell r="F625">
            <v>0</v>
          </cell>
          <cell r="H625">
            <v>0</v>
          </cell>
          <cell r="J625">
            <v>0</v>
          </cell>
          <cell r="P625">
            <v>0</v>
          </cell>
          <cell r="Q625">
            <v>0</v>
          </cell>
        </row>
        <row r="626">
          <cell r="D626">
            <v>0</v>
          </cell>
          <cell r="E626">
            <v>0</v>
          </cell>
          <cell r="F626">
            <v>0</v>
          </cell>
          <cell r="H626">
            <v>0</v>
          </cell>
          <cell r="J626">
            <v>0</v>
          </cell>
          <cell r="P626">
            <v>0</v>
          </cell>
          <cell r="Q626">
            <v>0</v>
          </cell>
        </row>
        <row r="627">
          <cell r="D627">
            <v>0</v>
          </cell>
          <cell r="E627">
            <v>0</v>
          </cell>
          <cell r="F627">
            <v>0</v>
          </cell>
          <cell r="H627">
            <v>0</v>
          </cell>
          <cell r="J627">
            <v>0</v>
          </cell>
          <cell r="P627">
            <v>0</v>
          </cell>
          <cell r="Q627">
            <v>0</v>
          </cell>
        </row>
        <row r="628">
          <cell r="D628">
            <v>0</v>
          </cell>
          <cell r="E628">
            <v>0</v>
          </cell>
          <cell r="F628">
            <v>0</v>
          </cell>
          <cell r="H628">
            <v>0</v>
          </cell>
          <cell r="J628">
            <v>0</v>
          </cell>
          <cell r="P628">
            <v>0</v>
          </cell>
          <cell r="Q628">
            <v>0</v>
          </cell>
        </row>
        <row r="629">
          <cell r="D629">
            <v>0</v>
          </cell>
          <cell r="E629">
            <v>0</v>
          </cell>
          <cell r="F629">
            <v>0</v>
          </cell>
          <cell r="H629">
            <v>0</v>
          </cell>
          <cell r="J629">
            <v>0</v>
          </cell>
          <cell r="P629">
            <v>0</v>
          </cell>
          <cell r="Q629">
            <v>0</v>
          </cell>
        </row>
        <row r="630">
          <cell r="D630">
            <v>0</v>
          </cell>
          <cell r="E630">
            <v>0</v>
          </cell>
          <cell r="F630">
            <v>0</v>
          </cell>
          <cell r="H630">
            <v>0</v>
          </cell>
          <cell r="J630">
            <v>0</v>
          </cell>
          <cell r="P630">
            <v>0</v>
          </cell>
          <cell r="Q630">
            <v>0</v>
          </cell>
        </row>
        <row r="631">
          <cell r="D631">
            <v>0</v>
          </cell>
          <cell r="E631">
            <v>0</v>
          </cell>
          <cell r="F631">
            <v>0</v>
          </cell>
          <cell r="H631">
            <v>0</v>
          </cell>
          <cell r="J631">
            <v>0</v>
          </cell>
          <cell r="P631">
            <v>0</v>
          </cell>
          <cell r="Q631">
            <v>0</v>
          </cell>
        </row>
        <row r="632">
          <cell r="D632">
            <v>0</v>
          </cell>
          <cell r="E632">
            <v>0</v>
          </cell>
          <cell r="F632">
            <v>0</v>
          </cell>
          <cell r="H632">
            <v>0</v>
          </cell>
          <cell r="J632">
            <v>0</v>
          </cell>
          <cell r="P632">
            <v>0</v>
          </cell>
          <cell r="Q632">
            <v>0</v>
          </cell>
        </row>
        <row r="633">
          <cell r="D633">
            <v>0</v>
          </cell>
          <cell r="E633">
            <v>0</v>
          </cell>
          <cell r="F633">
            <v>0</v>
          </cell>
          <cell r="H633">
            <v>0</v>
          </cell>
          <cell r="J633">
            <v>0</v>
          </cell>
          <cell r="P633">
            <v>0</v>
          </cell>
          <cell r="Q633">
            <v>0</v>
          </cell>
        </row>
        <row r="634">
          <cell r="D634">
            <v>0</v>
          </cell>
          <cell r="E634">
            <v>0</v>
          </cell>
          <cell r="F634">
            <v>0</v>
          </cell>
          <cell r="H634">
            <v>0</v>
          </cell>
          <cell r="J634">
            <v>0</v>
          </cell>
          <cell r="P634">
            <v>0</v>
          </cell>
          <cell r="Q634">
            <v>0</v>
          </cell>
        </row>
        <row r="635">
          <cell r="D635">
            <v>0</v>
          </cell>
          <cell r="E635">
            <v>0</v>
          </cell>
          <cell r="F635">
            <v>0</v>
          </cell>
          <cell r="H635">
            <v>0</v>
          </cell>
          <cell r="J635">
            <v>0</v>
          </cell>
          <cell r="P635">
            <v>0</v>
          </cell>
          <cell r="Q635">
            <v>0</v>
          </cell>
        </row>
        <row r="636">
          <cell r="D636">
            <v>0</v>
          </cell>
          <cell r="E636">
            <v>0</v>
          </cell>
          <cell r="F636">
            <v>0</v>
          </cell>
          <cell r="H636">
            <v>0</v>
          </cell>
          <cell r="J636">
            <v>0</v>
          </cell>
          <cell r="P636">
            <v>0</v>
          </cell>
          <cell r="Q636">
            <v>0</v>
          </cell>
        </row>
        <row r="637">
          <cell r="D637">
            <v>0</v>
          </cell>
          <cell r="E637">
            <v>0</v>
          </cell>
          <cell r="F637">
            <v>0</v>
          </cell>
          <cell r="H637">
            <v>0</v>
          </cell>
          <cell r="J637">
            <v>0</v>
          </cell>
          <cell r="P637">
            <v>0</v>
          </cell>
          <cell r="Q637">
            <v>0</v>
          </cell>
        </row>
        <row r="638">
          <cell r="D638">
            <v>0</v>
          </cell>
          <cell r="E638">
            <v>0</v>
          </cell>
          <cell r="F638">
            <v>0</v>
          </cell>
          <cell r="H638">
            <v>0</v>
          </cell>
          <cell r="J638">
            <v>0</v>
          </cell>
          <cell r="P638">
            <v>0</v>
          </cell>
          <cell r="Q638">
            <v>0</v>
          </cell>
        </row>
        <row r="639">
          <cell r="D639">
            <v>0</v>
          </cell>
          <cell r="E639">
            <v>0</v>
          </cell>
          <cell r="F639">
            <v>0</v>
          </cell>
          <cell r="H639">
            <v>0</v>
          </cell>
          <cell r="J639">
            <v>0</v>
          </cell>
          <cell r="P639">
            <v>0</v>
          </cell>
          <cell r="Q639">
            <v>0</v>
          </cell>
        </row>
        <row r="640">
          <cell r="D640">
            <v>0</v>
          </cell>
          <cell r="E640">
            <v>0</v>
          </cell>
          <cell r="F640">
            <v>0</v>
          </cell>
          <cell r="H640">
            <v>0</v>
          </cell>
          <cell r="J640">
            <v>0</v>
          </cell>
          <cell r="P640">
            <v>0</v>
          </cell>
          <cell r="Q640">
            <v>0</v>
          </cell>
        </row>
        <row r="641">
          <cell r="D641">
            <v>0</v>
          </cell>
          <cell r="E641">
            <v>0</v>
          </cell>
          <cell r="F641">
            <v>0</v>
          </cell>
          <cell r="H641">
            <v>0</v>
          </cell>
          <cell r="J641">
            <v>0</v>
          </cell>
          <cell r="P641">
            <v>0</v>
          </cell>
          <cell r="Q641">
            <v>0</v>
          </cell>
        </row>
        <row r="642">
          <cell r="D642">
            <v>0</v>
          </cell>
          <cell r="E642">
            <v>0</v>
          </cell>
          <cell r="F642">
            <v>0</v>
          </cell>
          <cell r="H642">
            <v>0</v>
          </cell>
          <cell r="J642">
            <v>0</v>
          </cell>
          <cell r="P642">
            <v>0</v>
          </cell>
          <cell r="Q642">
            <v>0</v>
          </cell>
        </row>
        <row r="643">
          <cell r="D643">
            <v>0</v>
          </cell>
          <cell r="E643">
            <v>0</v>
          </cell>
          <cell r="F643">
            <v>0</v>
          </cell>
          <cell r="H643">
            <v>0</v>
          </cell>
          <cell r="J643">
            <v>0</v>
          </cell>
          <cell r="P643">
            <v>0</v>
          </cell>
          <cell r="Q643">
            <v>0</v>
          </cell>
        </row>
        <row r="644">
          <cell r="D644">
            <v>0</v>
          </cell>
          <cell r="E644">
            <v>0</v>
          </cell>
          <cell r="F644">
            <v>0</v>
          </cell>
          <cell r="H644">
            <v>0</v>
          </cell>
          <cell r="J644">
            <v>0</v>
          </cell>
          <cell r="P644">
            <v>0</v>
          </cell>
          <cell r="Q644">
            <v>0</v>
          </cell>
        </row>
        <row r="645">
          <cell r="D645">
            <v>0</v>
          </cell>
          <cell r="E645">
            <v>0</v>
          </cell>
          <cell r="F645">
            <v>0</v>
          </cell>
          <cell r="H645">
            <v>0</v>
          </cell>
          <cell r="J645">
            <v>0</v>
          </cell>
          <cell r="P645">
            <v>0</v>
          </cell>
          <cell r="Q645">
            <v>0</v>
          </cell>
        </row>
        <row r="646">
          <cell r="D646">
            <v>0</v>
          </cell>
          <cell r="E646">
            <v>0</v>
          </cell>
          <cell r="F646">
            <v>0</v>
          </cell>
          <cell r="H646">
            <v>0</v>
          </cell>
          <cell r="J646">
            <v>0</v>
          </cell>
          <cell r="P646">
            <v>0</v>
          </cell>
          <cell r="Q646">
            <v>0</v>
          </cell>
        </row>
        <row r="647">
          <cell r="D647">
            <v>0</v>
          </cell>
          <cell r="E647">
            <v>0</v>
          </cell>
          <cell r="F647">
            <v>0</v>
          </cell>
          <cell r="H647">
            <v>0</v>
          </cell>
          <cell r="J647">
            <v>0</v>
          </cell>
          <cell r="P647">
            <v>0</v>
          </cell>
          <cell r="Q647">
            <v>0</v>
          </cell>
        </row>
        <row r="648">
          <cell r="D648">
            <v>0</v>
          </cell>
          <cell r="E648">
            <v>0</v>
          </cell>
          <cell r="F648">
            <v>0</v>
          </cell>
          <cell r="H648">
            <v>0</v>
          </cell>
          <cell r="J648">
            <v>0</v>
          </cell>
          <cell r="P648">
            <v>0</v>
          </cell>
          <cell r="Q648">
            <v>0</v>
          </cell>
        </row>
        <row r="649">
          <cell r="D649">
            <v>0</v>
          </cell>
          <cell r="E649">
            <v>0</v>
          </cell>
          <cell r="F649">
            <v>0</v>
          </cell>
          <cell r="H649">
            <v>0</v>
          </cell>
          <cell r="J649">
            <v>0</v>
          </cell>
          <cell r="P649">
            <v>0</v>
          </cell>
          <cell r="Q649">
            <v>0</v>
          </cell>
        </row>
        <row r="650">
          <cell r="D650">
            <v>0</v>
          </cell>
          <cell r="E650">
            <v>0</v>
          </cell>
          <cell r="F650">
            <v>0</v>
          </cell>
          <cell r="H650">
            <v>0</v>
          </cell>
          <cell r="J650">
            <v>0</v>
          </cell>
          <cell r="P650">
            <v>0</v>
          </cell>
          <cell r="Q650">
            <v>0</v>
          </cell>
        </row>
        <row r="651">
          <cell r="D651">
            <v>0</v>
          </cell>
          <cell r="E651">
            <v>0</v>
          </cell>
          <cell r="F651">
            <v>0</v>
          </cell>
          <cell r="H651">
            <v>0</v>
          </cell>
          <cell r="J651">
            <v>0</v>
          </cell>
          <cell r="P651">
            <v>0</v>
          </cell>
          <cell r="Q651">
            <v>0</v>
          </cell>
        </row>
        <row r="652">
          <cell r="D652">
            <v>0</v>
          </cell>
          <cell r="E652">
            <v>0</v>
          </cell>
          <cell r="F652">
            <v>0</v>
          </cell>
          <cell r="H652">
            <v>0</v>
          </cell>
          <cell r="J652">
            <v>0</v>
          </cell>
          <cell r="P652">
            <v>0</v>
          </cell>
          <cell r="Q652">
            <v>0</v>
          </cell>
        </row>
        <row r="653">
          <cell r="D653">
            <v>0</v>
          </cell>
          <cell r="E653">
            <v>0</v>
          </cell>
          <cell r="F653">
            <v>0</v>
          </cell>
          <cell r="H653">
            <v>0</v>
          </cell>
          <cell r="J653">
            <v>0</v>
          </cell>
          <cell r="P653">
            <v>0</v>
          </cell>
          <cell r="Q653">
            <v>0</v>
          </cell>
        </row>
        <row r="654">
          <cell r="D654">
            <v>0</v>
          </cell>
          <cell r="E654">
            <v>0</v>
          </cell>
          <cell r="F654">
            <v>0</v>
          </cell>
          <cell r="H654">
            <v>0</v>
          </cell>
          <cell r="J654">
            <v>0</v>
          </cell>
          <cell r="P654">
            <v>0</v>
          </cell>
          <cell r="Q654">
            <v>0</v>
          </cell>
        </row>
        <row r="655">
          <cell r="D655">
            <v>0</v>
          </cell>
          <cell r="E655">
            <v>0</v>
          </cell>
          <cell r="F655">
            <v>0</v>
          </cell>
          <cell r="H655">
            <v>0</v>
          </cell>
          <cell r="J655">
            <v>0</v>
          </cell>
          <cell r="P655">
            <v>0</v>
          </cell>
          <cell r="Q655">
            <v>0</v>
          </cell>
        </row>
        <row r="656">
          <cell r="D656">
            <v>0</v>
          </cell>
          <cell r="E656">
            <v>0</v>
          </cell>
          <cell r="F656">
            <v>0</v>
          </cell>
          <cell r="H656">
            <v>0</v>
          </cell>
          <cell r="J656">
            <v>0</v>
          </cell>
          <cell r="P656">
            <v>0</v>
          </cell>
          <cell r="Q656">
            <v>0</v>
          </cell>
        </row>
        <row r="657">
          <cell r="D657">
            <v>0</v>
          </cell>
          <cell r="E657">
            <v>0</v>
          </cell>
          <cell r="F657">
            <v>0</v>
          </cell>
          <cell r="H657">
            <v>0</v>
          </cell>
          <cell r="J657">
            <v>0</v>
          </cell>
          <cell r="P657">
            <v>0</v>
          </cell>
          <cell r="Q657">
            <v>0</v>
          </cell>
        </row>
        <row r="658">
          <cell r="D658">
            <v>0</v>
          </cell>
          <cell r="E658">
            <v>0</v>
          </cell>
          <cell r="F658">
            <v>0</v>
          </cell>
          <cell r="H658">
            <v>0</v>
          </cell>
          <cell r="J658">
            <v>0</v>
          </cell>
          <cell r="P658">
            <v>0</v>
          </cell>
          <cell r="Q658">
            <v>0</v>
          </cell>
        </row>
        <row r="659">
          <cell r="D659">
            <v>0</v>
          </cell>
          <cell r="E659">
            <v>0</v>
          </cell>
          <cell r="F659">
            <v>0</v>
          </cell>
          <cell r="H659">
            <v>0</v>
          </cell>
          <cell r="J659">
            <v>0</v>
          </cell>
          <cell r="P659">
            <v>0</v>
          </cell>
          <cell r="Q659">
            <v>0</v>
          </cell>
        </row>
        <row r="660">
          <cell r="D660">
            <v>0</v>
          </cell>
          <cell r="E660">
            <v>0</v>
          </cell>
          <cell r="F660">
            <v>0</v>
          </cell>
          <cell r="H660">
            <v>0</v>
          </cell>
          <cell r="J660">
            <v>0</v>
          </cell>
          <cell r="P660">
            <v>0</v>
          </cell>
          <cell r="Q660">
            <v>0</v>
          </cell>
        </row>
        <row r="661">
          <cell r="D661">
            <v>0</v>
          </cell>
          <cell r="E661">
            <v>0</v>
          </cell>
          <cell r="F661">
            <v>0</v>
          </cell>
          <cell r="H661">
            <v>0</v>
          </cell>
          <cell r="J661">
            <v>0</v>
          </cell>
          <cell r="P661">
            <v>0</v>
          </cell>
          <cell r="Q661">
            <v>0</v>
          </cell>
        </row>
        <row r="662">
          <cell r="D662">
            <v>0</v>
          </cell>
          <cell r="E662">
            <v>0</v>
          </cell>
          <cell r="F662">
            <v>0</v>
          </cell>
          <cell r="H662">
            <v>0</v>
          </cell>
          <cell r="J662">
            <v>0</v>
          </cell>
          <cell r="P662">
            <v>0</v>
          </cell>
          <cell r="Q662">
            <v>0</v>
          </cell>
        </row>
        <row r="663">
          <cell r="D663">
            <v>0</v>
          </cell>
          <cell r="E663">
            <v>0</v>
          </cell>
          <cell r="F663">
            <v>0</v>
          </cell>
          <cell r="H663">
            <v>0</v>
          </cell>
          <cell r="J663">
            <v>0</v>
          </cell>
          <cell r="P663">
            <v>0</v>
          </cell>
          <cell r="Q663">
            <v>0</v>
          </cell>
        </row>
        <row r="664">
          <cell r="D664">
            <v>0</v>
          </cell>
          <cell r="E664">
            <v>0</v>
          </cell>
          <cell r="F664">
            <v>0</v>
          </cell>
          <cell r="H664">
            <v>0</v>
          </cell>
          <cell r="J664">
            <v>0</v>
          </cell>
          <cell r="P664">
            <v>0</v>
          </cell>
          <cell r="Q664">
            <v>0</v>
          </cell>
        </row>
        <row r="665">
          <cell r="D665">
            <v>0</v>
          </cell>
          <cell r="E665">
            <v>0</v>
          </cell>
          <cell r="F665">
            <v>0</v>
          </cell>
          <cell r="H665">
            <v>0</v>
          </cell>
          <cell r="J665">
            <v>0</v>
          </cell>
          <cell r="P665">
            <v>0</v>
          </cell>
          <cell r="Q665">
            <v>0</v>
          </cell>
        </row>
        <row r="666">
          <cell r="D666">
            <v>0</v>
          </cell>
          <cell r="E666">
            <v>0</v>
          </cell>
          <cell r="F666">
            <v>0</v>
          </cell>
          <cell r="H666">
            <v>0</v>
          </cell>
          <cell r="J666">
            <v>0</v>
          </cell>
          <cell r="P666">
            <v>0</v>
          </cell>
          <cell r="Q666">
            <v>0</v>
          </cell>
        </row>
        <row r="667">
          <cell r="D667">
            <v>0</v>
          </cell>
          <cell r="E667">
            <v>0</v>
          </cell>
          <cell r="F667">
            <v>0</v>
          </cell>
          <cell r="H667">
            <v>0</v>
          </cell>
          <cell r="J667">
            <v>0</v>
          </cell>
          <cell r="P667">
            <v>0</v>
          </cell>
          <cell r="Q667">
            <v>0</v>
          </cell>
        </row>
        <row r="668">
          <cell r="D668">
            <v>0</v>
          </cell>
          <cell r="E668">
            <v>0</v>
          </cell>
          <cell r="F668">
            <v>0</v>
          </cell>
          <cell r="H668">
            <v>0</v>
          </cell>
          <cell r="J668">
            <v>0</v>
          </cell>
          <cell r="P668">
            <v>0</v>
          </cell>
          <cell r="Q668">
            <v>0</v>
          </cell>
        </row>
        <row r="669">
          <cell r="D669">
            <v>0</v>
          </cell>
          <cell r="E669">
            <v>0</v>
          </cell>
          <cell r="F669">
            <v>0</v>
          </cell>
          <cell r="H669">
            <v>0</v>
          </cell>
          <cell r="J669">
            <v>0</v>
          </cell>
          <cell r="P669">
            <v>0</v>
          </cell>
          <cell r="Q669">
            <v>0</v>
          </cell>
        </row>
        <row r="670">
          <cell r="D670">
            <v>0</v>
          </cell>
          <cell r="E670">
            <v>0</v>
          </cell>
          <cell r="F670">
            <v>0</v>
          </cell>
          <cell r="H670">
            <v>0</v>
          </cell>
          <cell r="J670">
            <v>0</v>
          </cell>
          <cell r="P670">
            <v>0</v>
          </cell>
          <cell r="Q670">
            <v>0</v>
          </cell>
        </row>
        <row r="671">
          <cell r="D671">
            <v>0</v>
          </cell>
          <cell r="E671">
            <v>0</v>
          </cell>
          <cell r="F671">
            <v>0</v>
          </cell>
          <cell r="H671">
            <v>0</v>
          </cell>
          <cell r="J671">
            <v>0</v>
          </cell>
          <cell r="P671">
            <v>0</v>
          </cell>
          <cell r="Q671">
            <v>0</v>
          </cell>
        </row>
        <row r="672">
          <cell r="D672">
            <v>0</v>
          </cell>
          <cell r="E672">
            <v>0</v>
          </cell>
          <cell r="F672">
            <v>0</v>
          </cell>
          <cell r="H672">
            <v>0</v>
          </cell>
          <cell r="J672">
            <v>0</v>
          </cell>
          <cell r="P672">
            <v>0</v>
          </cell>
          <cell r="Q672">
            <v>0</v>
          </cell>
        </row>
        <row r="673">
          <cell r="D673">
            <v>0</v>
          </cell>
          <cell r="E673">
            <v>0</v>
          </cell>
          <cell r="F673">
            <v>0</v>
          </cell>
          <cell r="H673">
            <v>0</v>
          </cell>
          <cell r="J673">
            <v>0</v>
          </cell>
          <cell r="P673">
            <v>0</v>
          </cell>
          <cell r="Q673">
            <v>0</v>
          </cell>
        </row>
        <row r="674">
          <cell r="D674">
            <v>0</v>
          </cell>
          <cell r="E674">
            <v>0</v>
          </cell>
          <cell r="F674">
            <v>0</v>
          </cell>
          <cell r="H674">
            <v>0</v>
          </cell>
          <cell r="J674">
            <v>0</v>
          </cell>
          <cell r="P674">
            <v>0</v>
          </cell>
          <cell r="Q674">
            <v>0</v>
          </cell>
        </row>
        <row r="675">
          <cell r="D675">
            <v>0</v>
          </cell>
          <cell r="E675">
            <v>0</v>
          </cell>
          <cell r="F675">
            <v>0</v>
          </cell>
          <cell r="H675">
            <v>0</v>
          </cell>
          <cell r="J675">
            <v>0</v>
          </cell>
          <cell r="P675">
            <v>0</v>
          </cell>
          <cell r="Q675">
            <v>0</v>
          </cell>
        </row>
        <row r="676">
          <cell r="D676">
            <v>0</v>
          </cell>
          <cell r="E676">
            <v>0</v>
          </cell>
          <cell r="F676">
            <v>0</v>
          </cell>
          <cell r="H676">
            <v>0</v>
          </cell>
          <cell r="J676">
            <v>0</v>
          </cell>
          <cell r="P676">
            <v>0</v>
          </cell>
          <cell r="Q676">
            <v>0</v>
          </cell>
        </row>
        <row r="677">
          <cell r="D677">
            <v>0</v>
          </cell>
          <cell r="E677">
            <v>0</v>
          </cell>
          <cell r="F677">
            <v>0</v>
          </cell>
          <cell r="H677">
            <v>0</v>
          </cell>
          <cell r="J677">
            <v>0</v>
          </cell>
          <cell r="P677">
            <v>0</v>
          </cell>
          <cell r="Q677">
            <v>0</v>
          </cell>
        </row>
        <row r="678">
          <cell r="D678">
            <v>0</v>
          </cell>
          <cell r="E678">
            <v>0</v>
          </cell>
          <cell r="F678">
            <v>0</v>
          </cell>
          <cell r="H678">
            <v>0</v>
          </cell>
          <cell r="J678">
            <v>0</v>
          </cell>
          <cell r="P678">
            <v>0</v>
          </cell>
          <cell r="Q678">
            <v>0</v>
          </cell>
        </row>
        <row r="679">
          <cell r="D679">
            <v>0</v>
          </cell>
          <cell r="E679">
            <v>0</v>
          </cell>
          <cell r="F679">
            <v>0</v>
          </cell>
          <cell r="H679">
            <v>0</v>
          </cell>
          <cell r="J679">
            <v>0</v>
          </cell>
          <cell r="P679">
            <v>0</v>
          </cell>
          <cell r="Q679">
            <v>0</v>
          </cell>
        </row>
        <row r="680">
          <cell r="D680">
            <v>0</v>
          </cell>
          <cell r="E680">
            <v>0</v>
          </cell>
          <cell r="F680">
            <v>0</v>
          </cell>
          <cell r="H680">
            <v>0</v>
          </cell>
          <cell r="J680">
            <v>0</v>
          </cell>
          <cell r="P680">
            <v>0</v>
          </cell>
          <cell r="Q680">
            <v>0</v>
          </cell>
        </row>
        <row r="681">
          <cell r="D681">
            <v>0</v>
          </cell>
          <cell r="E681">
            <v>0</v>
          </cell>
          <cell r="F681">
            <v>0</v>
          </cell>
          <cell r="H681">
            <v>0</v>
          </cell>
          <cell r="J681">
            <v>0</v>
          </cell>
          <cell r="P681">
            <v>0</v>
          </cell>
          <cell r="Q681">
            <v>0</v>
          </cell>
        </row>
        <row r="682">
          <cell r="D682">
            <v>0</v>
          </cell>
          <cell r="E682">
            <v>0</v>
          </cell>
          <cell r="F682">
            <v>0</v>
          </cell>
          <cell r="H682">
            <v>0</v>
          </cell>
          <cell r="J682">
            <v>0</v>
          </cell>
          <cell r="P682">
            <v>0</v>
          </cell>
          <cell r="Q682">
            <v>0</v>
          </cell>
        </row>
        <row r="683">
          <cell r="D683">
            <v>0</v>
          </cell>
          <cell r="E683">
            <v>0</v>
          </cell>
          <cell r="F683">
            <v>0</v>
          </cell>
          <cell r="H683">
            <v>0</v>
          </cell>
          <cell r="J683">
            <v>0</v>
          </cell>
          <cell r="P683">
            <v>0</v>
          </cell>
          <cell r="Q683">
            <v>0</v>
          </cell>
        </row>
        <row r="684">
          <cell r="D684">
            <v>0</v>
          </cell>
          <cell r="E684">
            <v>0</v>
          </cell>
          <cell r="F684">
            <v>0</v>
          </cell>
          <cell r="H684">
            <v>0</v>
          </cell>
          <cell r="J684">
            <v>0</v>
          </cell>
          <cell r="P684">
            <v>0</v>
          </cell>
          <cell r="Q684">
            <v>0</v>
          </cell>
        </row>
        <row r="685">
          <cell r="D685">
            <v>0</v>
          </cell>
          <cell r="E685">
            <v>0</v>
          </cell>
          <cell r="F685">
            <v>0</v>
          </cell>
          <cell r="H685">
            <v>0</v>
          </cell>
          <cell r="J685">
            <v>0</v>
          </cell>
          <cell r="P685">
            <v>0</v>
          </cell>
          <cell r="Q685">
            <v>0</v>
          </cell>
        </row>
        <row r="686">
          <cell r="D686">
            <v>0</v>
          </cell>
          <cell r="E686">
            <v>0</v>
          </cell>
          <cell r="F686">
            <v>0</v>
          </cell>
          <cell r="H686">
            <v>0</v>
          </cell>
          <cell r="J686">
            <v>0</v>
          </cell>
          <cell r="P686">
            <v>0</v>
          </cell>
          <cell r="Q686">
            <v>0</v>
          </cell>
        </row>
        <row r="687">
          <cell r="D687">
            <v>0</v>
          </cell>
          <cell r="E687">
            <v>0</v>
          </cell>
          <cell r="F687">
            <v>0</v>
          </cell>
          <cell r="H687">
            <v>0</v>
          </cell>
          <cell r="J687">
            <v>0</v>
          </cell>
          <cell r="P687">
            <v>0</v>
          </cell>
          <cell r="Q687">
            <v>0</v>
          </cell>
        </row>
        <row r="688">
          <cell r="D688">
            <v>0</v>
          </cell>
          <cell r="E688">
            <v>0</v>
          </cell>
          <cell r="F688">
            <v>0</v>
          </cell>
          <cell r="H688">
            <v>0</v>
          </cell>
          <cell r="J688">
            <v>0</v>
          </cell>
          <cell r="P688">
            <v>0</v>
          </cell>
          <cell r="Q688">
            <v>0</v>
          </cell>
        </row>
        <row r="689">
          <cell r="D689">
            <v>0</v>
          </cell>
          <cell r="E689">
            <v>0</v>
          </cell>
          <cell r="F689">
            <v>0</v>
          </cell>
          <cell r="H689">
            <v>0</v>
          </cell>
          <cell r="J689">
            <v>0</v>
          </cell>
          <cell r="P689">
            <v>0</v>
          </cell>
          <cell r="Q689">
            <v>0</v>
          </cell>
        </row>
        <row r="690">
          <cell r="D690">
            <v>0</v>
          </cell>
          <cell r="E690">
            <v>0</v>
          </cell>
          <cell r="F690">
            <v>0</v>
          </cell>
          <cell r="H690">
            <v>0</v>
          </cell>
          <cell r="J690">
            <v>0</v>
          </cell>
          <cell r="P690">
            <v>0</v>
          </cell>
          <cell r="Q690">
            <v>0</v>
          </cell>
        </row>
        <row r="691">
          <cell r="D691">
            <v>0</v>
          </cell>
          <cell r="E691">
            <v>0</v>
          </cell>
          <cell r="F691">
            <v>0</v>
          </cell>
          <cell r="H691">
            <v>0</v>
          </cell>
          <cell r="J691">
            <v>0</v>
          </cell>
          <cell r="P691">
            <v>0</v>
          </cell>
          <cell r="Q691">
            <v>0</v>
          </cell>
        </row>
        <row r="692">
          <cell r="D692">
            <v>0</v>
          </cell>
          <cell r="E692">
            <v>0</v>
          </cell>
          <cell r="F692">
            <v>0</v>
          </cell>
          <cell r="H692">
            <v>0</v>
          </cell>
          <cell r="J692">
            <v>0</v>
          </cell>
          <cell r="P692">
            <v>0</v>
          </cell>
          <cell r="Q692">
            <v>0</v>
          </cell>
        </row>
        <row r="693">
          <cell r="D693">
            <v>0</v>
          </cell>
          <cell r="E693">
            <v>0</v>
          </cell>
          <cell r="F693">
            <v>0</v>
          </cell>
          <cell r="H693">
            <v>0</v>
          </cell>
          <cell r="J693">
            <v>0</v>
          </cell>
          <cell r="P693">
            <v>0</v>
          </cell>
          <cell r="Q693">
            <v>0</v>
          </cell>
        </row>
        <row r="694">
          <cell r="D694">
            <v>0</v>
          </cell>
          <cell r="E694">
            <v>0</v>
          </cell>
          <cell r="F694">
            <v>0</v>
          </cell>
          <cell r="H694">
            <v>0</v>
          </cell>
          <cell r="J694">
            <v>0</v>
          </cell>
          <cell r="P694">
            <v>0</v>
          </cell>
          <cell r="Q694">
            <v>0</v>
          </cell>
        </row>
        <row r="695">
          <cell r="D695">
            <v>0</v>
          </cell>
          <cell r="E695">
            <v>0</v>
          </cell>
          <cell r="F695">
            <v>0</v>
          </cell>
          <cell r="H695">
            <v>0</v>
          </cell>
          <cell r="J695">
            <v>0</v>
          </cell>
          <cell r="P695">
            <v>0</v>
          </cell>
          <cell r="Q695">
            <v>0</v>
          </cell>
        </row>
        <row r="696">
          <cell r="D696">
            <v>0</v>
          </cell>
          <cell r="E696">
            <v>0</v>
          </cell>
          <cell r="F696">
            <v>0</v>
          </cell>
          <cell r="H696">
            <v>0</v>
          </cell>
          <cell r="J696">
            <v>0</v>
          </cell>
          <cell r="P696">
            <v>0</v>
          </cell>
          <cell r="Q696">
            <v>0</v>
          </cell>
        </row>
        <row r="697">
          <cell r="D697">
            <v>0</v>
          </cell>
          <cell r="E697">
            <v>0</v>
          </cell>
          <cell r="F697">
            <v>0</v>
          </cell>
          <cell r="H697">
            <v>0</v>
          </cell>
          <cell r="J697">
            <v>0</v>
          </cell>
          <cell r="P697">
            <v>0</v>
          </cell>
          <cell r="Q697">
            <v>0</v>
          </cell>
        </row>
        <row r="698">
          <cell r="D698">
            <v>0</v>
          </cell>
          <cell r="E698">
            <v>0</v>
          </cell>
          <cell r="F698">
            <v>0</v>
          </cell>
          <cell r="H698">
            <v>0</v>
          </cell>
          <cell r="J698">
            <v>0</v>
          </cell>
          <cell r="P698">
            <v>0</v>
          </cell>
          <cell r="Q698">
            <v>0</v>
          </cell>
        </row>
        <row r="699">
          <cell r="D699">
            <v>0</v>
          </cell>
          <cell r="E699">
            <v>0</v>
          </cell>
          <cell r="F699">
            <v>0</v>
          </cell>
          <cell r="H699">
            <v>0</v>
          </cell>
          <cell r="J699">
            <v>0</v>
          </cell>
          <cell r="P699">
            <v>0</v>
          </cell>
          <cell r="Q699">
            <v>0</v>
          </cell>
        </row>
        <row r="700">
          <cell r="D700">
            <v>0</v>
          </cell>
          <cell r="E700">
            <v>0</v>
          </cell>
          <cell r="F700">
            <v>0</v>
          </cell>
          <cell r="H700">
            <v>0</v>
          </cell>
          <cell r="J700">
            <v>0</v>
          </cell>
          <cell r="P700">
            <v>0</v>
          </cell>
          <cell r="Q700">
            <v>0</v>
          </cell>
        </row>
        <row r="701">
          <cell r="D701">
            <v>0</v>
          </cell>
          <cell r="E701">
            <v>0</v>
          </cell>
          <cell r="F701">
            <v>0</v>
          </cell>
          <cell r="H701">
            <v>0</v>
          </cell>
          <cell r="J701">
            <v>0</v>
          </cell>
          <cell r="P701">
            <v>0</v>
          </cell>
          <cell r="Q701">
            <v>0</v>
          </cell>
        </row>
        <row r="702">
          <cell r="D702">
            <v>0</v>
          </cell>
          <cell r="E702">
            <v>0</v>
          </cell>
          <cell r="F702">
            <v>0</v>
          </cell>
          <cell r="H702">
            <v>0</v>
          </cell>
          <cell r="J702">
            <v>0</v>
          </cell>
          <cell r="P702">
            <v>0</v>
          </cell>
          <cell r="Q702">
            <v>0</v>
          </cell>
        </row>
        <row r="703">
          <cell r="D703">
            <v>0</v>
          </cell>
          <cell r="E703">
            <v>0</v>
          </cell>
          <cell r="F703">
            <v>0</v>
          </cell>
          <cell r="H703">
            <v>0</v>
          </cell>
          <cell r="J703">
            <v>0</v>
          </cell>
          <cell r="P703">
            <v>0</v>
          </cell>
          <cell r="Q703">
            <v>0</v>
          </cell>
        </row>
        <row r="704">
          <cell r="D704">
            <v>0</v>
          </cell>
          <cell r="E704">
            <v>0</v>
          </cell>
          <cell r="F704">
            <v>0</v>
          </cell>
          <cell r="H704">
            <v>0</v>
          </cell>
          <cell r="J704">
            <v>0</v>
          </cell>
          <cell r="P704">
            <v>0</v>
          </cell>
          <cell r="Q704">
            <v>0</v>
          </cell>
        </row>
        <row r="705">
          <cell r="D705">
            <v>0</v>
          </cell>
          <cell r="E705">
            <v>0</v>
          </cell>
          <cell r="F705">
            <v>0</v>
          </cell>
          <cell r="H705">
            <v>0</v>
          </cell>
          <cell r="J705">
            <v>0</v>
          </cell>
          <cell r="P705">
            <v>0</v>
          </cell>
          <cell r="Q705">
            <v>0</v>
          </cell>
        </row>
        <row r="706">
          <cell r="D706">
            <v>0</v>
          </cell>
          <cell r="E706">
            <v>0</v>
          </cell>
          <cell r="F706">
            <v>0</v>
          </cell>
          <cell r="H706">
            <v>0</v>
          </cell>
          <cell r="J706">
            <v>0</v>
          </cell>
          <cell r="P706">
            <v>0</v>
          </cell>
          <cell r="Q706">
            <v>0</v>
          </cell>
        </row>
        <row r="707">
          <cell r="D707">
            <v>0</v>
          </cell>
          <cell r="E707">
            <v>0</v>
          </cell>
          <cell r="F707">
            <v>0</v>
          </cell>
          <cell r="H707">
            <v>0</v>
          </cell>
          <cell r="J707">
            <v>0</v>
          </cell>
          <cell r="P707">
            <v>0</v>
          </cell>
          <cell r="Q707">
            <v>0</v>
          </cell>
        </row>
        <row r="708">
          <cell r="D708">
            <v>0</v>
          </cell>
          <cell r="E708">
            <v>0</v>
          </cell>
          <cell r="F708">
            <v>0</v>
          </cell>
          <cell r="H708">
            <v>0</v>
          </cell>
          <cell r="J708">
            <v>0</v>
          </cell>
          <cell r="P708">
            <v>0</v>
          </cell>
          <cell r="Q708">
            <v>0</v>
          </cell>
        </row>
        <row r="709">
          <cell r="D709">
            <v>0</v>
          </cell>
          <cell r="E709">
            <v>0</v>
          </cell>
          <cell r="F709">
            <v>0</v>
          </cell>
          <cell r="H709">
            <v>0</v>
          </cell>
          <cell r="J709">
            <v>0</v>
          </cell>
          <cell r="P709">
            <v>0</v>
          </cell>
          <cell r="Q709">
            <v>0</v>
          </cell>
        </row>
        <row r="710">
          <cell r="D710">
            <v>0</v>
          </cell>
          <cell r="E710">
            <v>0</v>
          </cell>
          <cell r="F710">
            <v>0</v>
          </cell>
          <cell r="H710">
            <v>0</v>
          </cell>
          <cell r="J710">
            <v>0</v>
          </cell>
          <cell r="P710">
            <v>0</v>
          </cell>
          <cell r="Q710">
            <v>0</v>
          </cell>
        </row>
        <row r="711">
          <cell r="D711">
            <v>0</v>
          </cell>
          <cell r="E711">
            <v>0</v>
          </cell>
          <cell r="F711">
            <v>0</v>
          </cell>
          <cell r="H711">
            <v>0</v>
          </cell>
          <cell r="J711">
            <v>0</v>
          </cell>
          <cell r="P711">
            <v>0</v>
          </cell>
          <cell r="Q711">
            <v>0</v>
          </cell>
        </row>
        <row r="712">
          <cell r="D712">
            <v>0</v>
          </cell>
          <cell r="E712">
            <v>0</v>
          </cell>
          <cell r="F712">
            <v>0</v>
          </cell>
          <cell r="H712">
            <v>0</v>
          </cell>
          <cell r="J712">
            <v>0</v>
          </cell>
          <cell r="P712">
            <v>0</v>
          </cell>
          <cell r="Q712">
            <v>0</v>
          </cell>
        </row>
        <row r="713">
          <cell r="D713">
            <v>0</v>
          </cell>
          <cell r="E713">
            <v>0</v>
          </cell>
          <cell r="F713">
            <v>0</v>
          </cell>
          <cell r="H713">
            <v>0</v>
          </cell>
          <cell r="J713">
            <v>0</v>
          </cell>
          <cell r="P713">
            <v>0</v>
          </cell>
          <cell r="Q713">
            <v>0</v>
          </cell>
        </row>
        <row r="714">
          <cell r="D714">
            <v>0</v>
          </cell>
          <cell r="E714">
            <v>0</v>
          </cell>
          <cell r="F714">
            <v>0</v>
          </cell>
          <cell r="H714">
            <v>0</v>
          </cell>
          <cell r="J714">
            <v>0</v>
          </cell>
          <cell r="P714">
            <v>0</v>
          </cell>
          <cell r="Q714">
            <v>0</v>
          </cell>
        </row>
        <row r="715">
          <cell r="D715">
            <v>0</v>
          </cell>
          <cell r="E715">
            <v>0</v>
          </cell>
          <cell r="F715">
            <v>0</v>
          </cell>
          <cell r="H715">
            <v>0</v>
          </cell>
          <cell r="J715">
            <v>0</v>
          </cell>
          <cell r="P715">
            <v>0</v>
          </cell>
          <cell r="Q715">
            <v>0</v>
          </cell>
        </row>
        <row r="716">
          <cell r="D716">
            <v>0</v>
          </cell>
          <cell r="E716">
            <v>0</v>
          </cell>
          <cell r="F716">
            <v>0</v>
          </cell>
          <cell r="H716">
            <v>0</v>
          </cell>
          <cell r="J716">
            <v>0</v>
          </cell>
          <cell r="P716">
            <v>0</v>
          </cell>
          <cell r="Q716">
            <v>0</v>
          </cell>
        </row>
        <row r="717">
          <cell r="D717">
            <v>0</v>
          </cell>
          <cell r="E717">
            <v>0</v>
          </cell>
          <cell r="F717">
            <v>0</v>
          </cell>
          <cell r="H717">
            <v>0</v>
          </cell>
          <cell r="J717">
            <v>0</v>
          </cell>
          <cell r="P717">
            <v>0</v>
          </cell>
          <cell r="Q717">
            <v>0</v>
          </cell>
        </row>
        <row r="718">
          <cell r="D718">
            <v>0</v>
          </cell>
          <cell r="E718">
            <v>0</v>
          </cell>
          <cell r="F718">
            <v>0</v>
          </cell>
          <cell r="H718">
            <v>0</v>
          </cell>
          <cell r="J718">
            <v>0</v>
          </cell>
          <cell r="P718">
            <v>0</v>
          </cell>
          <cell r="Q718">
            <v>0</v>
          </cell>
        </row>
        <row r="719">
          <cell r="D719">
            <v>0</v>
          </cell>
          <cell r="E719">
            <v>0</v>
          </cell>
          <cell r="F719">
            <v>0</v>
          </cell>
          <cell r="H719">
            <v>0</v>
          </cell>
          <cell r="J719">
            <v>0</v>
          </cell>
          <cell r="P719">
            <v>0</v>
          </cell>
          <cell r="Q719">
            <v>0</v>
          </cell>
        </row>
        <row r="720">
          <cell r="D720">
            <v>0</v>
          </cell>
          <cell r="E720">
            <v>0</v>
          </cell>
          <cell r="F720">
            <v>0</v>
          </cell>
          <cell r="H720">
            <v>0</v>
          </cell>
          <cell r="J720">
            <v>0</v>
          </cell>
          <cell r="P720">
            <v>0</v>
          </cell>
          <cell r="Q720">
            <v>0</v>
          </cell>
        </row>
        <row r="721">
          <cell r="D721">
            <v>0</v>
          </cell>
          <cell r="E721">
            <v>0</v>
          </cell>
          <cell r="F721">
            <v>0</v>
          </cell>
          <cell r="H721">
            <v>0</v>
          </cell>
          <cell r="J721">
            <v>0</v>
          </cell>
          <cell r="P721">
            <v>0</v>
          </cell>
          <cell r="Q721">
            <v>0</v>
          </cell>
        </row>
        <row r="722">
          <cell r="D722">
            <v>0</v>
          </cell>
          <cell r="E722">
            <v>0</v>
          </cell>
          <cell r="F722">
            <v>0</v>
          </cell>
          <cell r="H722">
            <v>0</v>
          </cell>
          <cell r="J722">
            <v>0</v>
          </cell>
          <cell r="P722">
            <v>0</v>
          </cell>
          <cell r="Q722">
            <v>0</v>
          </cell>
        </row>
        <row r="723">
          <cell r="D723">
            <v>0</v>
          </cell>
          <cell r="E723">
            <v>0</v>
          </cell>
          <cell r="F723">
            <v>0</v>
          </cell>
          <cell r="H723">
            <v>0</v>
          </cell>
          <cell r="J723">
            <v>0</v>
          </cell>
          <cell r="P723">
            <v>0</v>
          </cell>
          <cell r="Q723">
            <v>0</v>
          </cell>
        </row>
        <row r="724">
          <cell r="D724">
            <v>0</v>
          </cell>
          <cell r="E724">
            <v>0</v>
          </cell>
          <cell r="F724">
            <v>0</v>
          </cell>
          <cell r="H724">
            <v>0</v>
          </cell>
          <cell r="J724">
            <v>0</v>
          </cell>
          <cell r="P724">
            <v>0</v>
          </cell>
          <cell r="Q724">
            <v>0</v>
          </cell>
        </row>
        <row r="725">
          <cell r="D725">
            <v>0</v>
          </cell>
          <cell r="E725">
            <v>0</v>
          </cell>
          <cell r="F725">
            <v>0</v>
          </cell>
          <cell r="H725">
            <v>0</v>
          </cell>
          <cell r="J725">
            <v>0</v>
          </cell>
          <cell r="P725">
            <v>0</v>
          </cell>
          <cell r="Q725">
            <v>0</v>
          </cell>
        </row>
        <row r="726">
          <cell r="D726">
            <v>0</v>
          </cell>
          <cell r="E726">
            <v>0</v>
          </cell>
          <cell r="F726">
            <v>0</v>
          </cell>
          <cell r="H726">
            <v>0</v>
          </cell>
          <cell r="J726">
            <v>0</v>
          </cell>
          <cell r="P726">
            <v>0</v>
          </cell>
          <cell r="Q726">
            <v>0</v>
          </cell>
        </row>
        <row r="727">
          <cell r="D727">
            <v>0</v>
          </cell>
          <cell r="E727">
            <v>0</v>
          </cell>
          <cell r="F727">
            <v>0</v>
          </cell>
          <cell r="H727">
            <v>0</v>
          </cell>
          <cell r="J727">
            <v>0</v>
          </cell>
          <cell r="P727">
            <v>0</v>
          </cell>
          <cell r="Q727">
            <v>0</v>
          </cell>
        </row>
        <row r="728">
          <cell r="D728">
            <v>0</v>
          </cell>
          <cell r="E728">
            <v>0</v>
          </cell>
          <cell r="F728">
            <v>0</v>
          </cell>
          <cell r="H728">
            <v>0</v>
          </cell>
          <cell r="J728">
            <v>0</v>
          </cell>
          <cell r="P728">
            <v>0</v>
          </cell>
          <cell r="Q728">
            <v>0</v>
          </cell>
        </row>
        <row r="729">
          <cell r="D729">
            <v>0</v>
          </cell>
          <cell r="E729">
            <v>0</v>
          </cell>
          <cell r="F729">
            <v>0</v>
          </cell>
          <cell r="H729">
            <v>0</v>
          </cell>
          <cell r="J729">
            <v>0</v>
          </cell>
          <cell r="P729">
            <v>0</v>
          </cell>
          <cell r="Q729">
            <v>0</v>
          </cell>
        </row>
        <row r="730">
          <cell r="D730">
            <v>0</v>
          </cell>
          <cell r="E730">
            <v>0</v>
          </cell>
          <cell r="F730">
            <v>0</v>
          </cell>
          <cell r="H730">
            <v>0</v>
          </cell>
          <cell r="J730">
            <v>0</v>
          </cell>
          <cell r="P730">
            <v>0</v>
          </cell>
          <cell r="Q730">
            <v>0</v>
          </cell>
        </row>
        <row r="731">
          <cell r="D731">
            <v>0</v>
          </cell>
          <cell r="E731">
            <v>0</v>
          </cell>
          <cell r="F731">
            <v>0</v>
          </cell>
          <cell r="H731">
            <v>0</v>
          </cell>
          <cell r="J731">
            <v>0</v>
          </cell>
          <cell r="P731">
            <v>0</v>
          </cell>
          <cell r="Q731">
            <v>0</v>
          </cell>
        </row>
        <row r="732">
          <cell r="D732">
            <v>0</v>
          </cell>
          <cell r="E732">
            <v>0</v>
          </cell>
          <cell r="F732">
            <v>0</v>
          </cell>
          <cell r="H732">
            <v>0</v>
          </cell>
          <cell r="J732">
            <v>0</v>
          </cell>
          <cell r="P732">
            <v>0</v>
          </cell>
          <cell r="Q732">
            <v>0</v>
          </cell>
        </row>
        <row r="733">
          <cell r="D733">
            <v>0</v>
          </cell>
          <cell r="E733">
            <v>0</v>
          </cell>
          <cell r="F733">
            <v>0</v>
          </cell>
          <cell r="H733">
            <v>0</v>
          </cell>
          <cell r="J733">
            <v>0</v>
          </cell>
          <cell r="P733">
            <v>0</v>
          </cell>
          <cell r="Q733">
            <v>0</v>
          </cell>
        </row>
        <row r="734">
          <cell r="D734">
            <v>0</v>
          </cell>
          <cell r="E734">
            <v>0</v>
          </cell>
          <cell r="F734">
            <v>0</v>
          </cell>
          <cell r="H734">
            <v>0</v>
          </cell>
          <cell r="J734">
            <v>0</v>
          </cell>
          <cell r="P734">
            <v>0</v>
          </cell>
          <cell r="Q734">
            <v>0</v>
          </cell>
        </row>
        <row r="735">
          <cell r="D735">
            <v>0</v>
          </cell>
          <cell r="E735">
            <v>0</v>
          </cell>
          <cell r="F735">
            <v>0</v>
          </cell>
          <cell r="H735">
            <v>0</v>
          </cell>
          <cell r="J735">
            <v>0</v>
          </cell>
          <cell r="P735">
            <v>0</v>
          </cell>
          <cell r="Q735">
            <v>0</v>
          </cell>
        </row>
        <row r="736">
          <cell r="D736">
            <v>0</v>
          </cell>
          <cell r="E736">
            <v>0</v>
          </cell>
          <cell r="F736">
            <v>0</v>
          </cell>
          <cell r="H736">
            <v>0</v>
          </cell>
          <cell r="J736">
            <v>0</v>
          </cell>
          <cell r="P736">
            <v>0</v>
          </cell>
          <cell r="Q736">
            <v>0</v>
          </cell>
        </row>
        <row r="737">
          <cell r="D737">
            <v>0</v>
          </cell>
          <cell r="E737">
            <v>0</v>
          </cell>
          <cell r="F737">
            <v>0</v>
          </cell>
          <cell r="H737">
            <v>0</v>
          </cell>
          <cell r="J737">
            <v>0</v>
          </cell>
          <cell r="P737">
            <v>0</v>
          </cell>
          <cell r="Q737">
            <v>0</v>
          </cell>
        </row>
        <row r="738">
          <cell r="D738">
            <v>0</v>
          </cell>
          <cell r="E738">
            <v>0</v>
          </cell>
          <cell r="F738">
            <v>0</v>
          </cell>
          <cell r="H738">
            <v>0</v>
          </cell>
          <cell r="J738">
            <v>0</v>
          </cell>
          <cell r="P738">
            <v>0</v>
          </cell>
          <cell r="Q738">
            <v>0</v>
          </cell>
        </row>
        <row r="739">
          <cell r="D739">
            <v>0</v>
          </cell>
          <cell r="E739">
            <v>0</v>
          </cell>
          <cell r="F739">
            <v>0</v>
          </cell>
          <cell r="H739">
            <v>0</v>
          </cell>
          <cell r="J739">
            <v>0</v>
          </cell>
          <cell r="P739">
            <v>0</v>
          </cell>
          <cell r="Q739">
            <v>0</v>
          </cell>
        </row>
        <row r="740">
          <cell r="D740">
            <v>0</v>
          </cell>
          <cell r="E740">
            <v>0</v>
          </cell>
          <cell r="F740">
            <v>0</v>
          </cell>
          <cell r="H740">
            <v>0</v>
          </cell>
          <cell r="J740">
            <v>0</v>
          </cell>
          <cell r="P740">
            <v>0</v>
          </cell>
          <cell r="Q740">
            <v>0</v>
          </cell>
        </row>
        <row r="741">
          <cell r="D741">
            <v>0</v>
          </cell>
          <cell r="E741">
            <v>0</v>
          </cell>
          <cell r="F741">
            <v>0</v>
          </cell>
          <cell r="H741">
            <v>0</v>
          </cell>
          <cell r="J741">
            <v>0</v>
          </cell>
          <cell r="P741">
            <v>0</v>
          </cell>
          <cell r="Q741">
            <v>0</v>
          </cell>
        </row>
        <row r="742">
          <cell r="D742">
            <v>0</v>
          </cell>
          <cell r="E742">
            <v>0</v>
          </cell>
          <cell r="F742">
            <v>0</v>
          </cell>
          <cell r="H742">
            <v>0</v>
          </cell>
          <cell r="J742">
            <v>0</v>
          </cell>
          <cell r="P742">
            <v>0</v>
          </cell>
          <cell r="Q742">
            <v>0</v>
          </cell>
        </row>
        <row r="743">
          <cell r="D743">
            <v>0</v>
          </cell>
          <cell r="E743">
            <v>0</v>
          </cell>
          <cell r="F743">
            <v>0</v>
          </cell>
          <cell r="H743">
            <v>0</v>
          </cell>
          <cell r="J743">
            <v>0</v>
          </cell>
          <cell r="P743">
            <v>0</v>
          </cell>
          <cell r="Q743">
            <v>0</v>
          </cell>
        </row>
        <row r="744">
          <cell r="D744">
            <v>0</v>
          </cell>
          <cell r="E744">
            <v>0</v>
          </cell>
          <cell r="F744">
            <v>0</v>
          </cell>
          <cell r="H744">
            <v>0</v>
          </cell>
          <cell r="J744">
            <v>0</v>
          </cell>
          <cell r="P744">
            <v>0</v>
          </cell>
          <cell r="Q744">
            <v>0</v>
          </cell>
        </row>
        <row r="745">
          <cell r="D745">
            <v>0</v>
          </cell>
          <cell r="E745">
            <v>0</v>
          </cell>
          <cell r="F745">
            <v>0</v>
          </cell>
          <cell r="H745">
            <v>0</v>
          </cell>
          <cell r="J745">
            <v>0</v>
          </cell>
          <cell r="P745">
            <v>0</v>
          </cell>
          <cell r="Q745">
            <v>0</v>
          </cell>
        </row>
        <row r="746">
          <cell r="D746">
            <v>0</v>
          </cell>
          <cell r="E746">
            <v>0</v>
          </cell>
          <cell r="F746">
            <v>0</v>
          </cell>
          <cell r="H746">
            <v>0</v>
          </cell>
          <cell r="J746">
            <v>0</v>
          </cell>
          <cell r="P746">
            <v>0</v>
          </cell>
          <cell r="Q746">
            <v>0</v>
          </cell>
        </row>
        <row r="747">
          <cell r="D747">
            <v>0</v>
          </cell>
          <cell r="E747">
            <v>0</v>
          </cell>
          <cell r="F747">
            <v>0</v>
          </cell>
          <cell r="H747">
            <v>0</v>
          </cell>
          <cell r="J747">
            <v>0</v>
          </cell>
          <cell r="P747">
            <v>0</v>
          </cell>
          <cell r="Q747">
            <v>0</v>
          </cell>
        </row>
        <row r="748">
          <cell r="D748">
            <v>0</v>
          </cell>
          <cell r="E748">
            <v>0</v>
          </cell>
          <cell r="F748">
            <v>0</v>
          </cell>
          <cell r="H748">
            <v>0</v>
          </cell>
          <cell r="J748">
            <v>0</v>
          </cell>
          <cell r="P748">
            <v>0</v>
          </cell>
          <cell r="Q748">
            <v>0</v>
          </cell>
        </row>
        <row r="749">
          <cell r="D749">
            <v>0</v>
          </cell>
          <cell r="E749">
            <v>0</v>
          </cell>
          <cell r="F749">
            <v>0</v>
          </cell>
          <cell r="H749">
            <v>0</v>
          </cell>
          <cell r="J749">
            <v>0</v>
          </cell>
          <cell r="P749">
            <v>0</v>
          </cell>
          <cell r="Q749">
            <v>0</v>
          </cell>
        </row>
        <row r="750">
          <cell r="D750">
            <v>0</v>
          </cell>
          <cell r="E750">
            <v>0</v>
          </cell>
          <cell r="F750">
            <v>0</v>
          </cell>
          <cell r="H750">
            <v>0</v>
          </cell>
          <cell r="J750">
            <v>0</v>
          </cell>
          <cell r="P750">
            <v>0</v>
          </cell>
          <cell r="Q750">
            <v>0</v>
          </cell>
        </row>
        <row r="751">
          <cell r="D751">
            <v>0</v>
          </cell>
          <cell r="E751">
            <v>0</v>
          </cell>
          <cell r="F751">
            <v>0</v>
          </cell>
          <cell r="H751">
            <v>0</v>
          </cell>
          <cell r="J751">
            <v>0</v>
          </cell>
          <cell r="P751">
            <v>0</v>
          </cell>
          <cell r="Q751">
            <v>0</v>
          </cell>
        </row>
        <row r="752">
          <cell r="D752">
            <v>0</v>
          </cell>
          <cell r="E752">
            <v>0</v>
          </cell>
          <cell r="F752">
            <v>0</v>
          </cell>
          <cell r="H752">
            <v>0</v>
          </cell>
          <cell r="J752">
            <v>0</v>
          </cell>
          <cell r="P752">
            <v>0</v>
          </cell>
          <cell r="Q752">
            <v>0</v>
          </cell>
        </row>
        <row r="753">
          <cell r="D753">
            <v>0</v>
          </cell>
          <cell r="E753">
            <v>0</v>
          </cell>
          <cell r="F753">
            <v>0</v>
          </cell>
          <cell r="H753">
            <v>0</v>
          </cell>
          <cell r="J753">
            <v>0</v>
          </cell>
          <cell r="P753">
            <v>0</v>
          </cell>
          <cell r="Q753">
            <v>0</v>
          </cell>
        </row>
        <row r="754">
          <cell r="D754">
            <v>0</v>
          </cell>
          <cell r="E754">
            <v>0</v>
          </cell>
          <cell r="F754">
            <v>0</v>
          </cell>
          <cell r="H754">
            <v>0</v>
          </cell>
          <cell r="J754">
            <v>0</v>
          </cell>
          <cell r="P754">
            <v>0</v>
          </cell>
          <cell r="Q754">
            <v>0</v>
          </cell>
        </row>
        <row r="755">
          <cell r="D755">
            <v>0</v>
          </cell>
          <cell r="E755">
            <v>0</v>
          </cell>
          <cell r="F755">
            <v>0</v>
          </cell>
          <cell r="H755">
            <v>0</v>
          </cell>
          <cell r="J755">
            <v>0</v>
          </cell>
          <cell r="P755">
            <v>0</v>
          </cell>
          <cell r="Q755">
            <v>0</v>
          </cell>
        </row>
        <row r="756">
          <cell r="D756">
            <v>0</v>
          </cell>
          <cell r="E756">
            <v>0</v>
          </cell>
          <cell r="F756">
            <v>0</v>
          </cell>
          <cell r="H756">
            <v>0</v>
          </cell>
          <cell r="J756">
            <v>0</v>
          </cell>
          <cell r="P756">
            <v>0</v>
          </cell>
          <cell r="Q756">
            <v>0</v>
          </cell>
        </row>
        <row r="757">
          <cell r="D757">
            <v>0</v>
          </cell>
          <cell r="E757">
            <v>0</v>
          </cell>
          <cell r="F757">
            <v>0</v>
          </cell>
          <cell r="H757">
            <v>0</v>
          </cell>
          <cell r="J757">
            <v>0</v>
          </cell>
          <cell r="P757">
            <v>0</v>
          </cell>
          <cell r="Q757">
            <v>0</v>
          </cell>
        </row>
        <row r="758">
          <cell r="D758">
            <v>0</v>
          </cell>
          <cell r="E758">
            <v>0</v>
          </cell>
          <cell r="F758">
            <v>0</v>
          </cell>
          <cell r="H758">
            <v>0</v>
          </cell>
          <cell r="J758">
            <v>0</v>
          </cell>
          <cell r="P758">
            <v>0</v>
          </cell>
          <cell r="Q758">
            <v>0</v>
          </cell>
        </row>
        <row r="759">
          <cell r="D759">
            <v>0</v>
          </cell>
          <cell r="E759">
            <v>0</v>
          </cell>
          <cell r="F759">
            <v>0</v>
          </cell>
          <cell r="H759">
            <v>0</v>
          </cell>
          <cell r="J759">
            <v>0</v>
          </cell>
          <cell r="P759">
            <v>0</v>
          </cell>
          <cell r="Q759">
            <v>0</v>
          </cell>
        </row>
        <row r="760">
          <cell r="D760">
            <v>0</v>
          </cell>
          <cell r="E760">
            <v>0</v>
          </cell>
          <cell r="F760">
            <v>0</v>
          </cell>
          <cell r="H760">
            <v>0</v>
          </cell>
          <cell r="J760">
            <v>0</v>
          </cell>
          <cell r="P760">
            <v>0</v>
          </cell>
          <cell r="Q760">
            <v>0</v>
          </cell>
        </row>
        <row r="761">
          <cell r="D761">
            <v>0</v>
          </cell>
          <cell r="E761">
            <v>0</v>
          </cell>
          <cell r="F761">
            <v>0</v>
          </cell>
          <cell r="H761">
            <v>0</v>
          </cell>
          <cell r="J761">
            <v>0</v>
          </cell>
          <cell r="P761">
            <v>0</v>
          </cell>
          <cell r="Q761">
            <v>0</v>
          </cell>
        </row>
        <row r="762">
          <cell r="D762">
            <v>0</v>
          </cell>
          <cell r="E762">
            <v>0</v>
          </cell>
          <cell r="F762">
            <v>0</v>
          </cell>
          <cell r="H762">
            <v>0</v>
          </cell>
          <cell r="J762">
            <v>0</v>
          </cell>
          <cell r="P762">
            <v>0</v>
          </cell>
          <cell r="Q762">
            <v>0</v>
          </cell>
        </row>
        <row r="763">
          <cell r="D763">
            <v>0</v>
          </cell>
          <cell r="E763">
            <v>0</v>
          </cell>
          <cell r="F763">
            <v>0</v>
          </cell>
          <cell r="H763">
            <v>0</v>
          </cell>
          <cell r="J763">
            <v>0</v>
          </cell>
          <cell r="P763">
            <v>0</v>
          </cell>
          <cell r="Q763">
            <v>0</v>
          </cell>
        </row>
        <row r="764">
          <cell r="D764">
            <v>0</v>
          </cell>
          <cell r="E764">
            <v>0</v>
          </cell>
          <cell r="F764">
            <v>0</v>
          </cell>
          <cell r="H764">
            <v>0</v>
          </cell>
          <cell r="J764">
            <v>0</v>
          </cell>
          <cell r="P764">
            <v>0</v>
          </cell>
          <cell r="Q764">
            <v>0</v>
          </cell>
        </row>
        <row r="765">
          <cell r="D765">
            <v>0</v>
          </cell>
          <cell r="E765">
            <v>0</v>
          </cell>
          <cell r="F765">
            <v>0</v>
          </cell>
          <cell r="H765">
            <v>0</v>
          </cell>
          <cell r="J765">
            <v>0</v>
          </cell>
          <cell r="P765">
            <v>0</v>
          </cell>
          <cell r="Q765">
            <v>0</v>
          </cell>
        </row>
        <row r="766">
          <cell r="D766">
            <v>0</v>
          </cell>
          <cell r="E766">
            <v>0</v>
          </cell>
          <cell r="F766">
            <v>0</v>
          </cell>
          <cell r="H766">
            <v>0</v>
          </cell>
          <cell r="J766">
            <v>0</v>
          </cell>
          <cell r="P766">
            <v>0</v>
          </cell>
          <cell r="Q766">
            <v>0</v>
          </cell>
        </row>
        <row r="767">
          <cell r="D767">
            <v>0</v>
          </cell>
          <cell r="E767">
            <v>0</v>
          </cell>
          <cell r="F767">
            <v>0</v>
          </cell>
          <cell r="H767">
            <v>0</v>
          </cell>
          <cell r="J767">
            <v>0</v>
          </cell>
          <cell r="P767">
            <v>0</v>
          </cell>
          <cell r="Q767">
            <v>0</v>
          </cell>
        </row>
        <row r="768">
          <cell r="D768">
            <v>0</v>
          </cell>
          <cell r="E768">
            <v>0</v>
          </cell>
          <cell r="F768">
            <v>0</v>
          </cell>
          <cell r="H768">
            <v>0</v>
          </cell>
          <cell r="J768">
            <v>0</v>
          </cell>
          <cell r="P768">
            <v>0</v>
          </cell>
          <cell r="Q768">
            <v>0</v>
          </cell>
        </row>
        <row r="769">
          <cell r="D769">
            <v>0</v>
          </cell>
          <cell r="E769">
            <v>0</v>
          </cell>
          <cell r="F769">
            <v>0</v>
          </cell>
          <cell r="H769">
            <v>0</v>
          </cell>
          <cell r="J769">
            <v>0</v>
          </cell>
          <cell r="P769">
            <v>0</v>
          </cell>
          <cell r="Q769">
            <v>0</v>
          </cell>
        </row>
        <row r="770">
          <cell r="D770">
            <v>0</v>
          </cell>
          <cell r="E770">
            <v>0</v>
          </cell>
          <cell r="F770">
            <v>0</v>
          </cell>
          <cell r="H770">
            <v>0</v>
          </cell>
          <cell r="J770">
            <v>0</v>
          </cell>
          <cell r="P770">
            <v>0</v>
          </cell>
          <cell r="Q770">
            <v>0</v>
          </cell>
        </row>
        <row r="771">
          <cell r="D771">
            <v>0</v>
          </cell>
          <cell r="E771">
            <v>0</v>
          </cell>
          <cell r="F771">
            <v>0</v>
          </cell>
          <cell r="H771">
            <v>0</v>
          </cell>
          <cell r="J771">
            <v>0</v>
          </cell>
          <cell r="P771">
            <v>0</v>
          </cell>
          <cell r="Q771">
            <v>0</v>
          </cell>
        </row>
        <row r="772">
          <cell r="D772">
            <v>0</v>
          </cell>
          <cell r="E772">
            <v>0</v>
          </cell>
          <cell r="F772">
            <v>0</v>
          </cell>
          <cell r="H772">
            <v>0</v>
          </cell>
          <cell r="J772">
            <v>0</v>
          </cell>
          <cell r="P772">
            <v>0</v>
          </cell>
          <cell r="Q772">
            <v>0</v>
          </cell>
        </row>
        <row r="773">
          <cell r="D773">
            <v>0</v>
          </cell>
          <cell r="E773">
            <v>0</v>
          </cell>
          <cell r="F773">
            <v>0</v>
          </cell>
          <cell r="H773">
            <v>0</v>
          </cell>
          <cell r="J773">
            <v>0</v>
          </cell>
          <cell r="P773">
            <v>0</v>
          </cell>
          <cell r="Q773">
            <v>0</v>
          </cell>
        </row>
        <row r="774">
          <cell r="D774">
            <v>0</v>
          </cell>
          <cell r="E774">
            <v>0</v>
          </cell>
          <cell r="F774">
            <v>0</v>
          </cell>
          <cell r="H774">
            <v>0</v>
          </cell>
          <cell r="J774">
            <v>0</v>
          </cell>
          <cell r="P774">
            <v>0</v>
          </cell>
          <cell r="Q774">
            <v>0</v>
          </cell>
        </row>
        <row r="775">
          <cell r="D775">
            <v>0</v>
          </cell>
          <cell r="E775">
            <v>0</v>
          </cell>
          <cell r="F775">
            <v>0</v>
          </cell>
          <cell r="H775">
            <v>0</v>
          </cell>
          <cell r="J775">
            <v>0</v>
          </cell>
          <cell r="P775">
            <v>0</v>
          </cell>
          <cell r="Q775">
            <v>0</v>
          </cell>
        </row>
        <row r="776">
          <cell r="D776">
            <v>0</v>
          </cell>
          <cell r="E776">
            <v>0</v>
          </cell>
          <cell r="F776">
            <v>0</v>
          </cell>
          <cell r="H776">
            <v>0</v>
          </cell>
          <cell r="J776">
            <v>0</v>
          </cell>
          <cell r="P776">
            <v>0</v>
          </cell>
          <cell r="Q776">
            <v>0</v>
          </cell>
        </row>
        <row r="777">
          <cell r="D777">
            <v>0</v>
          </cell>
          <cell r="E777">
            <v>0</v>
          </cell>
          <cell r="F777">
            <v>0</v>
          </cell>
          <cell r="H777">
            <v>0</v>
          </cell>
          <cell r="J777">
            <v>0</v>
          </cell>
          <cell r="P777">
            <v>0</v>
          </cell>
          <cell r="Q777">
            <v>0</v>
          </cell>
        </row>
        <row r="778">
          <cell r="D778">
            <v>0</v>
          </cell>
          <cell r="E778">
            <v>0</v>
          </cell>
          <cell r="F778">
            <v>0</v>
          </cell>
          <cell r="H778">
            <v>0</v>
          </cell>
          <cell r="J778">
            <v>0</v>
          </cell>
          <cell r="P778">
            <v>0</v>
          </cell>
          <cell r="Q778">
            <v>0</v>
          </cell>
        </row>
        <row r="779">
          <cell r="D779">
            <v>0</v>
          </cell>
          <cell r="E779">
            <v>0</v>
          </cell>
          <cell r="F779">
            <v>0</v>
          </cell>
          <cell r="H779">
            <v>0</v>
          </cell>
          <cell r="J779">
            <v>0</v>
          </cell>
          <cell r="P779">
            <v>0</v>
          </cell>
          <cell r="Q779">
            <v>0</v>
          </cell>
        </row>
        <row r="780">
          <cell r="D780">
            <v>0</v>
          </cell>
          <cell r="E780">
            <v>0</v>
          </cell>
          <cell r="F780">
            <v>0</v>
          </cell>
          <cell r="H780">
            <v>0</v>
          </cell>
          <cell r="J780">
            <v>0</v>
          </cell>
          <cell r="P780">
            <v>0</v>
          </cell>
          <cell r="Q780">
            <v>0</v>
          </cell>
        </row>
        <row r="781">
          <cell r="D781">
            <v>0</v>
          </cell>
          <cell r="E781">
            <v>0</v>
          </cell>
          <cell r="F781">
            <v>0</v>
          </cell>
          <cell r="H781">
            <v>0</v>
          </cell>
          <cell r="J781">
            <v>0</v>
          </cell>
          <cell r="P781">
            <v>0</v>
          </cell>
          <cell r="Q781">
            <v>0</v>
          </cell>
        </row>
        <row r="782">
          <cell r="D782">
            <v>0</v>
          </cell>
          <cell r="E782">
            <v>0</v>
          </cell>
          <cell r="F782">
            <v>0</v>
          </cell>
          <cell r="H782">
            <v>0</v>
          </cell>
          <cell r="J782">
            <v>0</v>
          </cell>
          <cell r="P782">
            <v>0</v>
          </cell>
          <cell r="Q782">
            <v>0</v>
          </cell>
        </row>
        <row r="783">
          <cell r="D783">
            <v>0</v>
          </cell>
          <cell r="E783">
            <v>0</v>
          </cell>
          <cell r="F783">
            <v>0</v>
          </cell>
          <cell r="H783">
            <v>0</v>
          </cell>
          <cell r="J783">
            <v>0</v>
          </cell>
          <cell r="P783">
            <v>0</v>
          </cell>
          <cell r="Q783">
            <v>0</v>
          </cell>
        </row>
        <row r="784">
          <cell r="D784">
            <v>0</v>
          </cell>
          <cell r="E784">
            <v>0</v>
          </cell>
          <cell r="F784">
            <v>0</v>
          </cell>
          <cell r="H784">
            <v>0</v>
          </cell>
          <cell r="J784">
            <v>0</v>
          </cell>
          <cell r="P784">
            <v>0</v>
          </cell>
          <cell r="Q784">
            <v>0</v>
          </cell>
        </row>
        <row r="785">
          <cell r="D785">
            <v>0</v>
          </cell>
          <cell r="E785">
            <v>0</v>
          </cell>
          <cell r="F785">
            <v>0</v>
          </cell>
          <cell r="H785">
            <v>0</v>
          </cell>
          <cell r="J785">
            <v>0</v>
          </cell>
          <cell r="P785">
            <v>0</v>
          </cell>
          <cell r="Q785">
            <v>0</v>
          </cell>
        </row>
        <row r="786">
          <cell r="D786">
            <v>0</v>
          </cell>
          <cell r="E786">
            <v>0</v>
          </cell>
          <cell r="F786">
            <v>0</v>
          </cell>
          <cell r="H786">
            <v>0</v>
          </cell>
          <cell r="J786">
            <v>0</v>
          </cell>
          <cell r="P786">
            <v>0</v>
          </cell>
          <cell r="Q786">
            <v>0</v>
          </cell>
        </row>
        <row r="787">
          <cell r="D787">
            <v>0</v>
          </cell>
          <cell r="E787">
            <v>0</v>
          </cell>
          <cell r="F787">
            <v>0</v>
          </cell>
          <cell r="H787">
            <v>0</v>
          </cell>
          <cell r="J787">
            <v>0</v>
          </cell>
          <cell r="P787">
            <v>0</v>
          </cell>
          <cell r="Q787">
            <v>0</v>
          </cell>
        </row>
        <row r="788">
          <cell r="D788">
            <v>0</v>
          </cell>
          <cell r="E788">
            <v>0</v>
          </cell>
          <cell r="F788">
            <v>0</v>
          </cell>
          <cell r="H788">
            <v>0</v>
          </cell>
          <cell r="J788">
            <v>0</v>
          </cell>
          <cell r="P788">
            <v>0</v>
          </cell>
          <cell r="Q788">
            <v>0</v>
          </cell>
        </row>
        <row r="789">
          <cell r="D789">
            <v>0</v>
          </cell>
          <cell r="E789">
            <v>0</v>
          </cell>
          <cell r="F789">
            <v>0</v>
          </cell>
          <cell r="H789">
            <v>0</v>
          </cell>
          <cell r="J789">
            <v>0</v>
          </cell>
          <cell r="P789">
            <v>0</v>
          </cell>
          <cell r="Q789">
            <v>0</v>
          </cell>
        </row>
        <row r="790">
          <cell r="D790">
            <v>0</v>
          </cell>
          <cell r="E790">
            <v>0</v>
          </cell>
          <cell r="F790">
            <v>0</v>
          </cell>
          <cell r="H790">
            <v>0</v>
          </cell>
          <cell r="J790">
            <v>0</v>
          </cell>
          <cell r="P790">
            <v>0</v>
          </cell>
          <cell r="Q790">
            <v>0</v>
          </cell>
        </row>
        <row r="791">
          <cell r="D791">
            <v>0</v>
          </cell>
          <cell r="E791">
            <v>0</v>
          </cell>
          <cell r="F791">
            <v>0</v>
          </cell>
          <cell r="H791">
            <v>0</v>
          </cell>
          <cell r="J791">
            <v>0</v>
          </cell>
          <cell r="P791">
            <v>0</v>
          </cell>
          <cell r="Q791">
            <v>0</v>
          </cell>
        </row>
        <row r="792">
          <cell r="D792">
            <v>0</v>
          </cell>
          <cell r="E792">
            <v>0</v>
          </cell>
          <cell r="F792">
            <v>0</v>
          </cell>
          <cell r="H792">
            <v>0</v>
          </cell>
          <cell r="J792">
            <v>0</v>
          </cell>
          <cell r="P792">
            <v>0</v>
          </cell>
          <cell r="Q792">
            <v>0</v>
          </cell>
        </row>
        <row r="793">
          <cell r="D793">
            <v>0</v>
          </cell>
          <cell r="E793">
            <v>0</v>
          </cell>
          <cell r="F793">
            <v>0</v>
          </cell>
          <cell r="H793">
            <v>0</v>
          </cell>
          <cell r="J793">
            <v>0</v>
          </cell>
          <cell r="P793">
            <v>0</v>
          </cell>
          <cell r="Q793">
            <v>0</v>
          </cell>
        </row>
        <row r="794">
          <cell r="D794">
            <v>0</v>
          </cell>
          <cell r="E794">
            <v>0</v>
          </cell>
          <cell r="F794">
            <v>0</v>
          </cell>
          <cell r="H794">
            <v>0</v>
          </cell>
          <cell r="J794">
            <v>0</v>
          </cell>
          <cell r="P794">
            <v>0</v>
          </cell>
          <cell r="Q794">
            <v>0</v>
          </cell>
        </row>
        <row r="795">
          <cell r="D795">
            <v>0</v>
          </cell>
          <cell r="E795">
            <v>0</v>
          </cell>
          <cell r="F795">
            <v>0</v>
          </cell>
          <cell r="H795">
            <v>0</v>
          </cell>
          <cell r="J795">
            <v>0</v>
          </cell>
          <cell r="P795">
            <v>0</v>
          </cell>
          <cell r="Q795">
            <v>0</v>
          </cell>
        </row>
        <row r="796">
          <cell r="D796">
            <v>0</v>
          </cell>
          <cell r="E796">
            <v>0</v>
          </cell>
          <cell r="F796">
            <v>0</v>
          </cell>
          <cell r="H796">
            <v>0</v>
          </cell>
          <cell r="J796">
            <v>0</v>
          </cell>
          <cell r="P796">
            <v>0</v>
          </cell>
          <cell r="Q796">
            <v>0</v>
          </cell>
        </row>
        <row r="797">
          <cell r="D797">
            <v>0</v>
          </cell>
          <cell r="E797">
            <v>0</v>
          </cell>
          <cell r="F797">
            <v>0</v>
          </cell>
          <cell r="H797">
            <v>0</v>
          </cell>
          <cell r="J797">
            <v>0</v>
          </cell>
          <cell r="P797">
            <v>0</v>
          </cell>
          <cell r="Q797">
            <v>0</v>
          </cell>
        </row>
        <row r="798">
          <cell r="D798">
            <v>0</v>
          </cell>
          <cell r="E798">
            <v>0</v>
          </cell>
          <cell r="F798">
            <v>0</v>
          </cell>
          <cell r="H798">
            <v>0</v>
          </cell>
          <cell r="J798">
            <v>0</v>
          </cell>
          <cell r="P798">
            <v>0</v>
          </cell>
          <cell r="Q798">
            <v>0</v>
          </cell>
        </row>
        <row r="799">
          <cell r="D799">
            <v>0</v>
          </cell>
          <cell r="E799">
            <v>0</v>
          </cell>
          <cell r="F799">
            <v>0</v>
          </cell>
          <cell r="H799">
            <v>0</v>
          </cell>
          <cell r="J799">
            <v>0</v>
          </cell>
          <cell r="P799">
            <v>0</v>
          </cell>
          <cell r="Q799">
            <v>0</v>
          </cell>
        </row>
        <row r="800">
          <cell r="D800">
            <v>0</v>
          </cell>
          <cell r="E800">
            <v>0</v>
          </cell>
          <cell r="F800">
            <v>0</v>
          </cell>
          <cell r="H800">
            <v>0</v>
          </cell>
          <cell r="J800">
            <v>0</v>
          </cell>
          <cell r="P800">
            <v>0</v>
          </cell>
          <cell r="Q800">
            <v>0</v>
          </cell>
        </row>
        <row r="801">
          <cell r="D801">
            <v>0</v>
          </cell>
          <cell r="E801">
            <v>0</v>
          </cell>
          <cell r="F801">
            <v>0</v>
          </cell>
          <cell r="H801">
            <v>0</v>
          </cell>
          <cell r="J801">
            <v>0</v>
          </cell>
          <cell r="P801">
            <v>0</v>
          </cell>
          <cell r="Q801">
            <v>0</v>
          </cell>
        </row>
        <row r="802">
          <cell r="D802">
            <v>0</v>
          </cell>
          <cell r="E802">
            <v>0</v>
          </cell>
          <cell r="F802">
            <v>0</v>
          </cell>
          <cell r="H802">
            <v>0</v>
          </cell>
          <cell r="J802">
            <v>0</v>
          </cell>
          <cell r="P802">
            <v>0</v>
          </cell>
          <cell r="Q802">
            <v>0</v>
          </cell>
        </row>
        <row r="803">
          <cell r="D803">
            <v>0</v>
          </cell>
          <cell r="E803">
            <v>0</v>
          </cell>
          <cell r="F803">
            <v>0</v>
          </cell>
          <cell r="H803">
            <v>0</v>
          </cell>
          <cell r="J803">
            <v>0</v>
          </cell>
          <cell r="P803">
            <v>0</v>
          </cell>
          <cell r="Q803">
            <v>0</v>
          </cell>
        </row>
        <row r="804">
          <cell r="D804">
            <v>0</v>
          </cell>
          <cell r="E804">
            <v>0</v>
          </cell>
          <cell r="F804">
            <v>0</v>
          </cell>
          <cell r="H804">
            <v>0</v>
          </cell>
          <cell r="J804">
            <v>0</v>
          </cell>
          <cell r="P804">
            <v>0</v>
          </cell>
          <cell r="Q804">
            <v>0</v>
          </cell>
        </row>
        <row r="805">
          <cell r="D805">
            <v>0</v>
          </cell>
          <cell r="E805">
            <v>0</v>
          </cell>
          <cell r="F805">
            <v>0</v>
          </cell>
          <cell r="H805">
            <v>0</v>
          </cell>
          <cell r="J805">
            <v>0</v>
          </cell>
          <cell r="P805">
            <v>0</v>
          </cell>
          <cell r="Q805">
            <v>0</v>
          </cell>
        </row>
        <row r="806">
          <cell r="D806">
            <v>0</v>
          </cell>
          <cell r="E806">
            <v>0</v>
          </cell>
          <cell r="F806">
            <v>0</v>
          </cell>
          <cell r="H806">
            <v>0</v>
          </cell>
          <cell r="J806">
            <v>0</v>
          </cell>
          <cell r="P806">
            <v>0</v>
          </cell>
          <cell r="Q806">
            <v>0</v>
          </cell>
        </row>
        <row r="807">
          <cell r="D807">
            <v>0</v>
          </cell>
          <cell r="E807">
            <v>0</v>
          </cell>
          <cell r="F807">
            <v>0</v>
          </cell>
          <cell r="H807">
            <v>0</v>
          </cell>
          <cell r="J807">
            <v>0</v>
          </cell>
          <cell r="P807">
            <v>0</v>
          </cell>
          <cell r="Q807">
            <v>0</v>
          </cell>
        </row>
        <row r="808">
          <cell r="D808">
            <v>0</v>
          </cell>
          <cell r="E808">
            <v>0</v>
          </cell>
          <cell r="F808">
            <v>0</v>
          </cell>
          <cell r="H808">
            <v>0</v>
          </cell>
          <cell r="J808">
            <v>0</v>
          </cell>
          <cell r="P808">
            <v>0</v>
          </cell>
          <cell r="Q808">
            <v>0</v>
          </cell>
        </row>
        <row r="809">
          <cell r="D809">
            <v>0</v>
          </cell>
          <cell r="E809">
            <v>0</v>
          </cell>
          <cell r="F809">
            <v>0</v>
          </cell>
          <cell r="H809">
            <v>0</v>
          </cell>
          <cell r="J809">
            <v>0</v>
          </cell>
          <cell r="P809">
            <v>0</v>
          </cell>
          <cell r="Q809">
            <v>0</v>
          </cell>
        </row>
        <row r="810">
          <cell r="D810">
            <v>0</v>
          </cell>
          <cell r="E810">
            <v>0</v>
          </cell>
          <cell r="F810">
            <v>0</v>
          </cell>
          <cell r="H810">
            <v>0</v>
          </cell>
          <cell r="J810">
            <v>0</v>
          </cell>
          <cell r="P810">
            <v>0</v>
          </cell>
          <cell r="Q810">
            <v>0</v>
          </cell>
        </row>
        <row r="811">
          <cell r="D811">
            <v>0</v>
          </cell>
          <cell r="E811">
            <v>0</v>
          </cell>
          <cell r="F811">
            <v>0</v>
          </cell>
          <cell r="H811">
            <v>0</v>
          </cell>
          <cell r="J811">
            <v>0</v>
          </cell>
          <cell r="P811">
            <v>0</v>
          </cell>
          <cell r="Q811">
            <v>0</v>
          </cell>
        </row>
        <row r="812">
          <cell r="D812">
            <v>0</v>
          </cell>
          <cell r="E812">
            <v>0</v>
          </cell>
          <cell r="F812">
            <v>0</v>
          </cell>
          <cell r="H812">
            <v>0</v>
          </cell>
          <cell r="J812">
            <v>0</v>
          </cell>
          <cell r="P812">
            <v>0</v>
          </cell>
          <cell r="Q812">
            <v>0</v>
          </cell>
        </row>
        <row r="813">
          <cell r="D813">
            <v>0</v>
          </cell>
          <cell r="E813">
            <v>0</v>
          </cell>
          <cell r="F813">
            <v>0</v>
          </cell>
          <cell r="H813">
            <v>0</v>
          </cell>
          <cell r="J813">
            <v>0</v>
          </cell>
          <cell r="P813">
            <v>0</v>
          </cell>
          <cell r="Q813">
            <v>0</v>
          </cell>
        </row>
        <row r="814">
          <cell r="D814">
            <v>0</v>
          </cell>
          <cell r="E814">
            <v>0</v>
          </cell>
          <cell r="F814">
            <v>0</v>
          </cell>
          <cell r="H814">
            <v>0</v>
          </cell>
          <cell r="J814">
            <v>0</v>
          </cell>
          <cell r="P814">
            <v>0</v>
          </cell>
          <cell r="Q814">
            <v>0</v>
          </cell>
        </row>
        <row r="815">
          <cell r="D815">
            <v>0</v>
          </cell>
          <cell r="E815">
            <v>0</v>
          </cell>
          <cell r="F815">
            <v>0</v>
          </cell>
          <cell r="H815">
            <v>0</v>
          </cell>
          <cell r="J815">
            <v>0</v>
          </cell>
          <cell r="P815">
            <v>0</v>
          </cell>
          <cell r="Q815">
            <v>0</v>
          </cell>
        </row>
        <row r="816">
          <cell r="D816">
            <v>0</v>
          </cell>
          <cell r="E816">
            <v>0</v>
          </cell>
          <cell r="F816">
            <v>0</v>
          </cell>
          <cell r="H816">
            <v>0</v>
          </cell>
          <cell r="J816">
            <v>0</v>
          </cell>
          <cell r="P816">
            <v>0</v>
          </cell>
          <cell r="Q816">
            <v>0</v>
          </cell>
        </row>
        <row r="817">
          <cell r="D817">
            <v>0</v>
          </cell>
          <cell r="E817">
            <v>0</v>
          </cell>
          <cell r="F817">
            <v>0</v>
          </cell>
          <cell r="H817">
            <v>0</v>
          </cell>
          <cell r="J817">
            <v>0</v>
          </cell>
          <cell r="P817">
            <v>0</v>
          </cell>
          <cell r="Q817">
            <v>0</v>
          </cell>
        </row>
        <row r="818">
          <cell r="D818">
            <v>0</v>
          </cell>
          <cell r="E818">
            <v>0</v>
          </cell>
          <cell r="F818">
            <v>0</v>
          </cell>
          <cell r="H818">
            <v>0</v>
          </cell>
          <cell r="J818">
            <v>0</v>
          </cell>
          <cell r="P818">
            <v>0</v>
          </cell>
          <cell r="Q818">
            <v>0</v>
          </cell>
        </row>
        <row r="819">
          <cell r="D819">
            <v>0</v>
          </cell>
          <cell r="E819">
            <v>0</v>
          </cell>
          <cell r="F819">
            <v>0</v>
          </cell>
          <cell r="H819">
            <v>0</v>
          </cell>
          <cell r="J819">
            <v>0</v>
          </cell>
          <cell r="P819">
            <v>0</v>
          </cell>
          <cell r="Q819">
            <v>0</v>
          </cell>
        </row>
        <row r="820">
          <cell r="D820">
            <v>0</v>
          </cell>
          <cell r="E820">
            <v>0</v>
          </cell>
          <cell r="F820">
            <v>0</v>
          </cell>
          <cell r="H820">
            <v>0</v>
          </cell>
          <cell r="J820">
            <v>0</v>
          </cell>
          <cell r="P820">
            <v>0</v>
          </cell>
          <cell r="Q820">
            <v>0</v>
          </cell>
        </row>
        <row r="821">
          <cell r="D821">
            <v>0</v>
          </cell>
          <cell r="E821">
            <v>0</v>
          </cell>
          <cell r="F821">
            <v>0</v>
          </cell>
          <cell r="H821">
            <v>0</v>
          </cell>
          <cell r="J821">
            <v>0</v>
          </cell>
          <cell r="P821">
            <v>0</v>
          </cell>
          <cell r="Q821">
            <v>0</v>
          </cell>
        </row>
        <row r="822">
          <cell r="D822">
            <v>0</v>
          </cell>
          <cell r="E822">
            <v>0</v>
          </cell>
          <cell r="F822">
            <v>0</v>
          </cell>
          <cell r="H822">
            <v>0</v>
          </cell>
          <cell r="J822">
            <v>0</v>
          </cell>
          <cell r="P822">
            <v>0</v>
          </cell>
          <cell r="Q822">
            <v>0</v>
          </cell>
        </row>
        <row r="823">
          <cell r="D823">
            <v>0</v>
          </cell>
          <cell r="E823">
            <v>0</v>
          </cell>
          <cell r="F823">
            <v>0</v>
          </cell>
          <cell r="H823">
            <v>0</v>
          </cell>
          <cell r="J823">
            <v>0</v>
          </cell>
          <cell r="P823">
            <v>0</v>
          </cell>
          <cell r="Q823">
            <v>0</v>
          </cell>
        </row>
        <row r="824">
          <cell r="D824">
            <v>0</v>
          </cell>
          <cell r="E824">
            <v>0</v>
          </cell>
          <cell r="F824">
            <v>0</v>
          </cell>
          <cell r="H824">
            <v>0</v>
          </cell>
          <cell r="J824">
            <v>0</v>
          </cell>
          <cell r="P824">
            <v>0</v>
          </cell>
          <cell r="Q824">
            <v>0</v>
          </cell>
        </row>
        <row r="825">
          <cell r="D825">
            <v>0</v>
          </cell>
          <cell r="E825">
            <v>0</v>
          </cell>
          <cell r="F825">
            <v>0</v>
          </cell>
          <cell r="H825">
            <v>0</v>
          </cell>
          <cell r="J825">
            <v>0</v>
          </cell>
          <cell r="P825">
            <v>0</v>
          </cell>
          <cell r="Q825">
            <v>0</v>
          </cell>
        </row>
        <row r="826">
          <cell r="D826">
            <v>0</v>
          </cell>
          <cell r="E826">
            <v>0</v>
          </cell>
          <cell r="F826">
            <v>0</v>
          </cell>
          <cell r="H826">
            <v>0</v>
          </cell>
          <cell r="J826">
            <v>0</v>
          </cell>
          <cell r="P826">
            <v>0</v>
          </cell>
          <cell r="Q826">
            <v>0</v>
          </cell>
        </row>
        <row r="827">
          <cell r="D827">
            <v>0</v>
          </cell>
          <cell r="E827">
            <v>0</v>
          </cell>
          <cell r="F827">
            <v>0</v>
          </cell>
          <cell r="H827">
            <v>0</v>
          </cell>
          <cell r="J827">
            <v>0</v>
          </cell>
          <cell r="P827">
            <v>0</v>
          </cell>
          <cell r="Q827">
            <v>0</v>
          </cell>
        </row>
        <row r="828">
          <cell r="D828">
            <v>0</v>
          </cell>
          <cell r="E828">
            <v>0</v>
          </cell>
          <cell r="F828">
            <v>0</v>
          </cell>
          <cell r="H828">
            <v>0</v>
          </cell>
          <cell r="J828">
            <v>0</v>
          </cell>
          <cell r="P828">
            <v>0</v>
          </cell>
          <cell r="Q828">
            <v>0</v>
          </cell>
        </row>
        <row r="829">
          <cell r="D829">
            <v>0</v>
          </cell>
          <cell r="E829">
            <v>0</v>
          </cell>
          <cell r="F829">
            <v>0</v>
          </cell>
          <cell r="H829">
            <v>0</v>
          </cell>
          <cell r="J829">
            <v>0</v>
          </cell>
          <cell r="P829">
            <v>0</v>
          </cell>
          <cell r="Q829">
            <v>0</v>
          </cell>
        </row>
        <row r="830">
          <cell r="D830">
            <v>0</v>
          </cell>
          <cell r="E830">
            <v>0</v>
          </cell>
          <cell r="F830">
            <v>0</v>
          </cell>
          <cell r="H830">
            <v>0</v>
          </cell>
          <cell r="J830">
            <v>0</v>
          </cell>
          <cell r="P830">
            <v>0</v>
          </cell>
          <cell r="Q830">
            <v>0</v>
          </cell>
        </row>
        <row r="831">
          <cell r="D831">
            <v>0</v>
          </cell>
          <cell r="E831">
            <v>0</v>
          </cell>
          <cell r="F831">
            <v>0</v>
          </cell>
          <cell r="H831">
            <v>0</v>
          </cell>
          <cell r="J831">
            <v>0</v>
          </cell>
          <cell r="P831">
            <v>0</v>
          </cell>
          <cell r="Q831">
            <v>0</v>
          </cell>
        </row>
        <row r="832">
          <cell r="D832">
            <v>0</v>
          </cell>
          <cell r="E832">
            <v>0</v>
          </cell>
          <cell r="F832">
            <v>0</v>
          </cell>
          <cell r="H832">
            <v>0</v>
          </cell>
          <cell r="J832">
            <v>0</v>
          </cell>
          <cell r="P832">
            <v>0</v>
          </cell>
          <cell r="Q832">
            <v>0</v>
          </cell>
        </row>
        <row r="833">
          <cell r="D833">
            <v>0</v>
          </cell>
          <cell r="E833">
            <v>0</v>
          </cell>
          <cell r="F833">
            <v>0</v>
          </cell>
          <cell r="H833">
            <v>0</v>
          </cell>
          <cell r="J833">
            <v>0</v>
          </cell>
          <cell r="P833">
            <v>0</v>
          </cell>
          <cell r="Q833">
            <v>0</v>
          </cell>
        </row>
        <row r="834">
          <cell r="D834">
            <v>0</v>
          </cell>
          <cell r="E834">
            <v>0</v>
          </cell>
          <cell r="F834">
            <v>0</v>
          </cell>
          <cell r="H834">
            <v>0</v>
          </cell>
          <cell r="J834">
            <v>0</v>
          </cell>
          <cell r="P834">
            <v>0</v>
          </cell>
          <cell r="Q834">
            <v>0</v>
          </cell>
        </row>
        <row r="835">
          <cell r="D835">
            <v>0</v>
          </cell>
          <cell r="E835">
            <v>0</v>
          </cell>
          <cell r="F835">
            <v>0</v>
          </cell>
          <cell r="H835">
            <v>0</v>
          </cell>
          <cell r="J835">
            <v>0</v>
          </cell>
          <cell r="P835">
            <v>0</v>
          </cell>
          <cell r="Q835">
            <v>0</v>
          </cell>
        </row>
        <row r="836">
          <cell r="D836">
            <v>0</v>
          </cell>
          <cell r="E836">
            <v>0</v>
          </cell>
          <cell r="F836">
            <v>0</v>
          </cell>
          <cell r="H836">
            <v>0</v>
          </cell>
          <cell r="J836">
            <v>0</v>
          </cell>
          <cell r="P836">
            <v>0</v>
          </cell>
          <cell r="Q836">
            <v>0</v>
          </cell>
        </row>
        <row r="837">
          <cell r="D837">
            <v>0</v>
          </cell>
          <cell r="E837">
            <v>0</v>
          </cell>
          <cell r="F837">
            <v>0</v>
          </cell>
          <cell r="H837">
            <v>0</v>
          </cell>
          <cell r="J837">
            <v>0</v>
          </cell>
          <cell r="P837">
            <v>0</v>
          </cell>
          <cell r="Q837">
            <v>0</v>
          </cell>
        </row>
        <row r="838">
          <cell r="D838">
            <v>0</v>
          </cell>
          <cell r="E838">
            <v>0</v>
          </cell>
          <cell r="F838">
            <v>0</v>
          </cell>
          <cell r="H838">
            <v>0</v>
          </cell>
          <cell r="J838">
            <v>0</v>
          </cell>
          <cell r="P838">
            <v>0</v>
          </cell>
          <cell r="Q838">
            <v>0</v>
          </cell>
        </row>
        <row r="839">
          <cell r="D839">
            <v>0</v>
          </cell>
          <cell r="E839">
            <v>0</v>
          </cell>
          <cell r="F839">
            <v>0</v>
          </cell>
          <cell r="H839">
            <v>0</v>
          </cell>
          <cell r="J839">
            <v>0</v>
          </cell>
          <cell r="P839">
            <v>0</v>
          </cell>
          <cell r="Q839">
            <v>0</v>
          </cell>
        </row>
        <row r="840">
          <cell r="D840">
            <v>0</v>
          </cell>
          <cell r="E840">
            <v>0</v>
          </cell>
          <cell r="F840">
            <v>0</v>
          </cell>
          <cell r="H840">
            <v>0</v>
          </cell>
          <cell r="J840">
            <v>0</v>
          </cell>
          <cell r="P840">
            <v>0</v>
          </cell>
          <cell r="Q840">
            <v>0</v>
          </cell>
        </row>
        <row r="841">
          <cell r="D841">
            <v>0</v>
          </cell>
          <cell r="E841">
            <v>0</v>
          </cell>
          <cell r="F841">
            <v>0</v>
          </cell>
          <cell r="H841">
            <v>0</v>
          </cell>
          <cell r="J841">
            <v>0</v>
          </cell>
          <cell r="P841">
            <v>0</v>
          </cell>
          <cell r="Q841">
            <v>0</v>
          </cell>
        </row>
        <row r="842">
          <cell r="D842">
            <v>0</v>
          </cell>
          <cell r="E842">
            <v>0</v>
          </cell>
          <cell r="F842">
            <v>0</v>
          </cell>
          <cell r="H842">
            <v>0</v>
          </cell>
          <cell r="J842">
            <v>0</v>
          </cell>
          <cell r="P842">
            <v>0</v>
          </cell>
          <cell r="Q842">
            <v>0</v>
          </cell>
        </row>
        <row r="843">
          <cell r="D843">
            <v>0</v>
          </cell>
          <cell r="E843">
            <v>0</v>
          </cell>
          <cell r="F843">
            <v>0</v>
          </cell>
          <cell r="H843">
            <v>0</v>
          </cell>
          <cell r="J843">
            <v>0</v>
          </cell>
          <cell r="P843">
            <v>0</v>
          </cell>
          <cell r="Q843">
            <v>0</v>
          </cell>
        </row>
        <row r="844">
          <cell r="D844">
            <v>0</v>
          </cell>
          <cell r="E844">
            <v>0</v>
          </cell>
          <cell r="F844">
            <v>0</v>
          </cell>
          <cell r="H844">
            <v>0</v>
          </cell>
          <cell r="J844">
            <v>0</v>
          </cell>
          <cell r="P844">
            <v>0</v>
          </cell>
          <cell r="Q844">
            <v>0</v>
          </cell>
        </row>
        <row r="845">
          <cell r="D845">
            <v>0</v>
          </cell>
          <cell r="E845">
            <v>0</v>
          </cell>
          <cell r="F845">
            <v>0</v>
          </cell>
          <cell r="H845">
            <v>0</v>
          </cell>
          <cell r="J845">
            <v>0</v>
          </cell>
          <cell r="P845">
            <v>0</v>
          </cell>
          <cell r="Q845">
            <v>0</v>
          </cell>
        </row>
        <row r="846">
          <cell r="D846">
            <v>0</v>
          </cell>
          <cell r="E846">
            <v>0</v>
          </cell>
          <cell r="F846">
            <v>0</v>
          </cell>
          <cell r="H846">
            <v>0</v>
          </cell>
          <cell r="J846">
            <v>0</v>
          </cell>
          <cell r="P846">
            <v>0</v>
          </cell>
          <cell r="Q846">
            <v>0</v>
          </cell>
        </row>
        <row r="847">
          <cell r="D847">
            <v>0</v>
          </cell>
          <cell r="E847">
            <v>0</v>
          </cell>
          <cell r="F847">
            <v>0</v>
          </cell>
          <cell r="H847">
            <v>0</v>
          </cell>
          <cell r="J847">
            <v>0</v>
          </cell>
          <cell r="P847">
            <v>0</v>
          </cell>
          <cell r="Q847">
            <v>0</v>
          </cell>
        </row>
        <row r="848">
          <cell r="D848">
            <v>0</v>
          </cell>
          <cell r="E848">
            <v>0</v>
          </cell>
          <cell r="F848">
            <v>0</v>
          </cell>
          <cell r="H848">
            <v>0</v>
          </cell>
          <cell r="J848">
            <v>0</v>
          </cell>
          <cell r="P848">
            <v>0</v>
          </cell>
          <cell r="Q848">
            <v>0</v>
          </cell>
        </row>
        <row r="849">
          <cell r="D849">
            <v>0</v>
          </cell>
          <cell r="E849">
            <v>0</v>
          </cell>
          <cell r="F849">
            <v>0</v>
          </cell>
          <cell r="H849">
            <v>0</v>
          </cell>
          <cell r="J849">
            <v>0</v>
          </cell>
          <cell r="P849">
            <v>0</v>
          </cell>
          <cell r="Q849">
            <v>0</v>
          </cell>
        </row>
        <row r="850">
          <cell r="D850">
            <v>0</v>
          </cell>
          <cell r="E850">
            <v>0</v>
          </cell>
          <cell r="F850">
            <v>0</v>
          </cell>
          <cell r="H850">
            <v>0</v>
          </cell>
          <cell r="J850">
            <v>0</v>
          </cell>
          <cell r="P850">
            <v>0</v>
          </cell>
          <cell r="Q850">
            <v>0</v>
          </cell>
        </row>
        <row r="851">
          <cell r="D851">
            <v>0</v>
          </cell>
          <cell r="E851">
            <v>0</v>
          </cell>
          <cell r="F851">
            <v>0</v>
          </cell>
          <cell r="H851">
            <v>0</v>
          </cell>
          <cell r="J851">
            <v>0</v>
          </cell>
          <cell r="P851">
            <v>0</v>
          </cell>
          <cell r="Q851">
            <v>0</v>
          </cell>
        </row>
        <row r="852">
          <cell r="D852">
            <v>0</v>
          </cell>
          <cell r="E852">
            <v>0</v>
          </cell>
          <cell r="F852">
            <v>0</v>
          </cell>
          <cell r="H852">
            <v>0</v>
          </cell>
          <cell r="J852">
            <v>0</v>
          </cell>
          <cell r="P852">
            <v>0</v>
          </cell>
          <cell r="Q852">
            <v>0</v>
          </cell>
        </row>
        <row r="853">
          <cell r="D853">
            <v>0</v>
          </cell>
          <cell r="E853">
            <v>0</v>
          </cell>
          <cell r="F853">
            <v>0</v>
          </cell>
          <cell r="H853">
            <v>0</v>
          </cell>
          <cell r="J853">
            <v>0</v>
          </cell>
          <cell r="P853">
            <v>0</v>
          </cell>
          <cell r="Q853">
            <v>0</v>
          </cell>
        </row>
        <row r="854">
          <cell r="D854">
            <v>0</v>
          </cell>
          <cell r="E854">
            <v>0</v>
          </cell>
          <cell r="F854">
            <v>0</v>
          </cell>
          <cell r="H854">
            <v>0</v>
          </cell>
          <cell r="J854">
            <v>0</v>
          </cell>
          <cell r="P854">
            <v>0</v>
          </cell>
          <cell r="Q854">
            <v>0</v>
          </cell>
        </row>
        <row r="855">
          <cell r="D855">
            <v>0</v>
          </cell>
          <cell r="E855">
            <v>0</v>
          </cell>
          <cell r="F855">
            <v>0</v>
          </cell>
          <cell r="H855">
            <v>0</v>
          </cell>
          <cell r="J855">
            <v>0</v>
          </cell>
          <cell r="P855">
            <v>0</v>
          </cell>
          <cell r="Q855">
            <v>0</v>
          </cell>
        </row>
        <row r="856">
          <cell r="D856">
            <v>0</v>
          </cell>
          <cell r="E856">
            <v>0</v>
          </cell>
          <cell r="F856">
            <v>0</v>
          </cell>
          <cell r="H856">
            <v>0</v>
          </cell>
          <cell r="J856">
            <v>0</v>
          </cell>
          <cell r="P856">
            <v>0</v>
          </cell>
          <cell r="Q856">
            <v>0</v>
          </cell>
        </row>
        <row r="857">
          <cell r="D857">
            <v>0</v>
          </cell>
          <cell r="E857">
            <v>0</v>
          </cell>
          <cell r="F857">
            <v>0</v>
          </cell>
          <cell r="H857">
            <v>0</v>
          </cell>
          <cell r="J857">
            <v>0</v>
          </cell>
          <cell r="P857">
            <v>0</v>
          </cell>
          <cell r="Q857">
            <v>0</v>
          </cell>
        </row>
        <row r="858">
          <cell r="D858">
            <v>0</v>
          </cell>
          <cell r="E858">
            <v>0</v>
          </cell>
          <cell r="F858">
            <v>0</v>
          </cell>
          <cell r="H858">
            <v>0</v>
          </cell>
          <cell r="J858">
            <v>0</v>
          </cell>
          <cell r="P858">
            <v>0</v>
          </cell>
          <cell r="Q858">
            <v>0</v>
          </cell>
        </row>
        <row r="859">
          <cell r="D859">
            <v>0</v>
          </cell>
          <cell r="E859">
            <v>0</v>
          </cell>
          <cell r="F859">
            <v>0</v>
          </cell>
          <cell r="H859">
            <v>0</v>
          </cell>
          <cell r="J859">
            <v>0</v>
          </cell>
          <cell r="P859">
            <v>0</v>
          </cell>
          <cell r="Q859">
            <v>0</v>
          </cell>
        </row>
        <row r="860">
          <cell r="D860">
            <v>0</v>
          </cell>
          <cell r="E860">
            <v>0</v>
          </cell>
          <cell r="F860">
            <v>0</v>
          </cell>
          <cell r="H860">
            <v>0</v>
          </cell>
          <cell r="J860">
            <v>0</v>
          </cell>
          <cell r="P860">
            <v>0</v>
          </cell>
          <cell r="Q860">
            <v>0</v>
          </cell>
        </row>
        <row r="861">
          <cell r="D861">
            <v>0</v>
          </cell>
          <cell r="E861">
            <v>0</v>
          </cell>
          <cell r="F861">
            <v>0</v>
          </cell>
          <cell r="H861">
            <v>0</v>
          </cell>
          <cell r="J861">
            <v>0</v>
          </cell>
          <cell r="P861">
            <v>0</v>
          </cell>
          <cell r="Q861">
            <v>0</v>
          </cell>
        </row>
        <row r="862">
          <cell r="D862">
            <v>0</v>
          </cell>
          <cell r="E862">
            <v>0</v>
          </cell>
          <cell r="F862">
            <v>0</v>
          </cell>
          <cell r="H862">
            <v>0</v>
          </cell>
          <cell r="J862">
            <v>0</v>
          </cell>
          <cell r="P862">
            <v>0</v>
          </cell>
          <cell r="Q862">
            <v>0</v>
          </cell>
        </row>
        <row r="863">
          <cell r="D863">
            <v>0</v>
          </cell>
          <cell r="E863">
            <v>0</v>
          </cell>
          <cell r="F863">
            <v>0</v>
          </cell>
          <cell r="H863">
            <v>0</v>
          </cell>
          <cell r="J863">
            <v>0</v>
          </cell>
          <cell r="P863">
            <v>0</v>
          </cell>
          <cell r="Q863">
            <v>0</v>
          </cell>
        </row>
        <row r="864">
          <cell r="D864">
            <v>0</v>
          </cell>
          <cell r="E864">
            <v>0</v>
          </cell>
          <cell r="F864">
            <v>0</v>
          </cell>
          <cell r="H864">
            <v>0</v>
          </cell>
          <cell r="J864">
            <v>0</v>
          </cell>
          <cell r="P864">
            <v>0</v>
          </cell>
          <cell r="Q864">
            <v>0</v>
          </cell>
        </row>
        <row r="865">
          <cell r="D865">
            <v>0</v>
          </cell>
          <cell r="E865">
            <v>0</v>
          </cell>
          <cell r="F865">
            <v>0</v>
          </cell>
          <cell r="H865">
            <v>0</v>
          </cell>
          <cell r="J865">
            <v>0</v>
          </cell>
          <cell r="P865">
            <v>0</v>
          </cell>
          <cell r="Q865">
            <v>0</v>
          </cell>
        </row>
        <row r="866">
          <cell r="D866">
            <v>0</v>
          </cell>
          <cell r="E866">
            <v>0</v>
          </cell>
          <cell r="F866">
            <v>0</v>
          </cell>
          <cell r="H866">
            <v>0</v>
          </cell>
          <cell r="J866">
            <v>0</v>
          </cell>
          <cell r="P866">
            <v>0</v>
          </cell>
          <cell r="Q866">
            <v>0</v>
          </cell>
        </row>
        <row r="867">
          <cell r="D867">
            <v>0</v>
          </cell>
          <cell r="E867">
            <v>0</v>
          </cell>
          <cell r="F867">
            <v>0</v>
          </cell>
          <cell r="H867">
            <v>0</v>
          </cell>
          <cell r="J867">
            <v>0</v>
          </cell>
          <cell r="P867">
            <v>0</v>
          </cell>
          <cell r="Q867">
            <v>0</v>
          </cell>
        </row>
        <row r="868">
          <cell r="D868">
            <v>0</v>
          </cell>
          <cell r="E868">
            <v>0</v>
          </cell>
          <cell r="F868">
            <v>0</v>
          </cell>
          <cell r="H868">
            <v>0</v>
          </cell>
          <cell r="J868">
            <v>0</v>
          </cell>
          <cell r="P868">
            <v>0</v>
          </cell>
          <cell r="Q868">
            <v>0</v>
          </cell>
        </row>
        <row r="869">
          <cell r="D869">
            <v>0</v>
          </cell>
          <cell r="E869">
            <v>0</v>
          </cell>
          <cell r="F869">
            <v>0</v>
          </cell>
          <cell r="H869">
            <v>0</v>
          </cell>
          <cell r="J869">
            <v>0</v>
          </cell>
          <cell r="P869">
            <v>0</v>
          </cell>
          <cell r="Q869">
            <v>0</v>
          </cell>
        </row>
        <row r="870">
          <cell r="D870">
            <v>0</v>
          </cell>
          <cell r="E870">
            <v>0</v>
          </cell>
          <cell r="F870">
            <v>0</v>
          </cell>
          <cell r="H870">
            <v>0</v>
          </cell>
          <cell r="J870">
            <v>0</v>
          </cell>
          <cell r="P870">
            <v>0</v>
          </cell>
          <cell r="Q870">
            <v>0</v>
          </cell>
        </row>
        <row r="871">
          <cell r="D871">
            <v>0</v>
          </cell>
          <cell r="E871">
            <v>0</v>
          </cell>
          <cell r="F871">
            <v>0</v>
          </cell>
          <cell r="H871">
            <v>0</v>
          </cell>
          <cell r="J871">
            <v>0</v>
          </cell>
          <cell r="P871">
            <v>0</v>
          </cell>
          <cell r="Q871">
            <v>0</v>
          </cell>
        </row>
        <row r="872">
          <cell r="D872">
            <v>0</v>
          </cell>
          <cell r="E872">
            <v>0</v>
          </cell>
          <cell r="F872">
            <v>0</v>
          </cell>
          <cell r="H872">
            <v>0</v>
          </cell>
          <cell r="J872">
            <v>0</v>
          </cell>
          <cell r="P872">
            <v>0</v>
          </cell>
          <cell r="Q872">
            <v>0</v>
          </cell>
        </row>
        <row r="873">
          <cell r="D873">
            <v>0</v>
          </cell>
          <cell r="E873">
            <v>0</v>
          </cell>
          <cell r="F873">
            <v>0</v>
          </cell>
          <cell r="H873">
            <v>0</v>
          </cell>
          <cell r="J873">
            <v>0</v>
          </cell>
          <cell r="P873">
            <v>0</v>
          </cell>
          <cell r="Q873">
            <v>0</v>
          </cell>
        </row>
        <row r="874">
          <cell r="D874">
            <v>0</v>
          </cell>
          <cell r="E874">
            <v>0</v>
          </cell>
          <cell r="F874">
            <v>0</v>
          </cell>
          <cell r="H874">
            <v>0</v>
          </cell>
          <cell r="J874">
            <v>0</v>
          </cell>
          <cell r="P874">
            <v>0</v>
          </cell>
          <cell r="Q874">
            <v>0</v>
          </cell>
        </row>
        <row r="875">
          <cell r="D875">
            <v>0</v>
          </cell>
          <cell r="E875">
            <v>0</v>
          </cell>
          <cell r="F875">
            <v>0</v>
          </cell>
          <cell r="H875">
            <v>0</v>
          </cell>
          <cell r="J875">
            <v>0</v>
          </cell>
          <cell r="P875">
            <v>0</v>
          </cell>
          <cell r="Q875">
            <v>0</v>
          </cell>
        </row>
        <row r="876">
          <cell r="D876">
            <v>0</v>
          </cell>
          <cell r="E876">
            <v>0</v>
          </cell>
          <cell r="F876">
            <v>0</v>
          </cell>
          <cell r="H876">
            <v>0</v>
          </cell>
          <cell r="J876">
            <v>0</v>
          </cell>
          <cell r="P876">
            <v>0</v>
          </cell>
          <cell r="Q876">
            <v>0</v>
          </cell>
        </row>
        <row r="877">
          <cell r="D877">
            <v>0</v>
          </cell>
          <cell r="E877">
            <v>0</v>
          </cell>
          <cell r="F877">
            <v>0</v>
          </cell>
          <cell r="H877">
            <v>0</v>
          </cell>
          <cell r="J877">
            <v>0</v>
          </cell>
          <cell r="P877">
            <v>0</v>
          </cell>
          <cell r="Q877">
            <v>0</v>
          </cell>
        </row>
        <row r="878">
          <cell r="D878">
            <v>0</v>
          </cell>
          <cell r="E878">
            <v>0</v>
          </cell>
          <cell r="F878">
            <v>0</v>
          </cell>
          <cell r="H878">
            <v>0</v>
          </cell>
          <cell r="J878">
            <v>0</v>
          </cell>
          <cell r="P878">
            <v>0</v>
          </cell>
          <cell r="Q878">
            <v>0</v>
          </cell>
        </row>
        <row r="879">
          <cell r="D879">
            <v>0</v>
          </cell>
          <cell r="E879">
            <v>0</v>
          </cell>
          <cell r="F879">
            <v>0</v>
          </cell>
          <cell r="H879">
            <v>0</v>
          </cell>
          <cell r="J879">
            <v>0</v>
          </cell>
          <cell r="P879">
            <v>0</v>
          </cell>
          <cell r="Q879">
            <v>0</v>
          </cell>
        </row>
        <row r="880">
          <cell r="D880">
            <v>0</v>
          </cell>
          <cell r="E880">
            <v>0</v>
          </cell>
          <cell r="F880">
            <v>0</v>
          </cell>
          <cell r="H880">
            <v>0</v>
          </cell>
          <cell r="J880">
            <v>0</v>
          </cell>
          <cell r="P880">
            <v>0</v>
          </cell>
          <cell r="Q880">
            <v>0</v>
          </cell>
        </row>
        <row r="881">
          <cell r="D881">
            <v>0</v>
          </cell>
          <cell r="E881">
            <v>0</v>
          </cell>
          <cell r="F881">
            <v>0</v>
          </cell>
          <cell r="H881">
            <v>0</v>
          </cell>
          <cell r="J881">
            <v>0</v>
          </cell>
          <cell r="P881">
            <v>0</v>
          </cell>
          <cell r="Q881">
            <v>0</v>
          </cell>
        </row>
        <row r="882">
          <cell r="D882">
            <v>0</v>
          </cell>
          <cell r="E882">
            <v>0</v>
          </cell>
          <cell r="F882">
            <v>0</v>
          </cell>
          <cell r="H882">
            <v>0</v>
          </cell>
          <cell r="J882">
            <v>0</v>
          </cell>
          <cell r="P882">
            <v>0</v>
          </cell>
          <cell r="Q882">
            <v>0</v>
          </cell>
        </row>
        <row r="883">
          <cell r="D883">
            <v>0</v>
          </cell>
          <cell r="E883">
            <v>0</v>
          </cell>
          <cell r="F883">
            <v>0</v>
          </cell>
          <cell r="H883">
            <v>0</v>
          </cell>
          <cell r="J883">
            <v>0</v>
          </cell>
          <cell r="P883">
            <v>0</v>
          </cell>
          <cell r="Q883">
            <v>0</v>
          </cell>
        </row>
        <row r="884">
          <cell r="D884">
            <v>0</v>
          </cell>
          <cell r="E884">
            <v>0</v>
          </cell>
          <cell r="F884">
            <v>0</v>
          </cell>
          <cell r="H884">
            <v>0</v>
          </cell>
          <cell r="J884">
            <v>0</v>
          </cell>
          <cell r="P884">
            <v>0</v>
          </cell>
          <cell r="Q884">
            <v>0</v>
          </cell>
        </row>
        <row r="885">
          <cell r="D885">
            <v>0</v>
          </cell>
          <cell r="E885">
            <v>0</v>
          </cell>
          <cell r="F885">
            <v>0</v>
          </cell>
          <cell r="H885">
            <v>0</v>
          </cell>
          <cell r="J885">
            <v>0</v>
          </cell>
          <cell r="P885">
            <v>0</v>
          </cell>
          <cell r="Q885">
            <v>0</v>
          </cell>
        </row>
        <row r="886">
          <cell r="D886">
            <v>0</v>
          </cell>
          <cell r="E886">
            <v>0</v>
          </cell>
          <cell r="F886">
            <v>0</v>
          </cell>
          <cell r="H886">
            <v>0</v>
          </cell>
          <cell r="J886">
            <v>0</v>
          </cell>
          <cell r="P886">
            <v>0</v>
          </cell>
          <cell r="Q886">
            <v>0</v>
          </cell>
        </row>
        <row r="887">
          <cell r="D887">
            <v>0</v>
          </cell>
          <cell r="E887">
            <v>0</v>
          </cell>
          <cell r="F887">
            <v>0</v>
          </cell>
          <cell r="H887">
            <v>0</v>
          </cell>
          <cell r="J887">
            <v>0</v>
          </cell>
          <cell r="P887">
            <v>0</v>
          </cell>
          <cell r="Q887">
            <v>0</v>
          </cell>
        </row>
        <row r="888">
          <cell r="D888">
            <v>0</v>
          </cell>
          <cell r="E888">
            <v>0</v>
          </cell>
          <cell r="F888">
            <v>0</v>
          </cell>
          <cell r="H888">
            <v>0</v>
          </cell>
          <cell r="J888">
            <v>0</v>
          </cell>
          <cell r="P888">
            <v>0</v>
          </cell>
          <cell r="Q888">
            <v>0</v>
          </cell>
        </row>
        <row r="889">
          <cell r="D889">
            <v>0</v>
          </cell>
          <cell r="E889">
            <v>0</v>
          </cell>
          <cell r="F889">
            <v>0</v>
          </cell>
          <cell r="H889">
            <v>0</v>
          </cell>
          <cell r="J889">
            <v>0</v>
          </cell>
          <cell r="P889">
            <v>0</v>
          </cell>
          <cell r="Q889">
            <v>0</v>
          </cell>
        </row>
        <row r="890">
          <cell r="D890">
            <v>0</v>
          </cell>
          <cell r="E890">
            <v>0</v>
          </cell>
          <cell r="F890">
            <v>0</v>
          </cell>
          <cell r="H890">
            <v>0</v>
          </cell>
          <cell r="J890">
            <v>0</v>
          </cell>
          <cell r="P890">
            <v>0</v>
          </cell>
          <cell r="Q890">
            <v>0</v>
          </cell>
        </row>
        <row r="891">
          <cell r="D891">
            <v>0</v>
          </cell>
          <cell r="E891">
            <v>0</v>
          </cell>
          <cell r="F891">
            <v>0</v>
          </cell>
          <cell r="H891">
            <v>0</v>
          </cell>
          <cell r="J891">
            <v>0</v>
          </cell>
          <cell r="P891">
            <v>0</v>
          </cell>
          <cell r="Q891">
            <v>0</v>
          </cell>
        </row>
        <row r="892">
          <cell r="D892">
            <v>0</v>
          </cell>
          <cell r="E892">
            <v>0</v>
          </cell>
          <cell r="F892">
            <v>0</v>
          </cell>
          <cell r="H892">
            <v>0</v>
          </cell>
          <cell r="J892">
            <v>0</v>
          </cell>
          <cell r="P892">
            <v>0</v>
          </cell>
          <cell r="Q892">
            <v>0</v>
          </cell>
        </row>
        <row r="893">
          <cell r="D893">
            <v>0</v>
          </cell>
          <cell r="E893">
            <v>0</v>
          </cell>
          <cell r="F893">
            <v>0</v>
          </cell>
          <cell r="H893">
            <v>0</v>
          </cell>
          <cell r="J893">
            <v>0</v>
          </cell>
          <cell r="P893">
            <v>0</v>
          </cell>
          <cell r="Q893">
            <v>0</v>
          </cell>
        </row>
        <row r="894">
          <cell r="D894">
            <v>0</v>
          </cell>
          <cell r="E894">
            <v>0</v>
          </cell>
          <cell r="F894">
            <v>0</v>
          </cell>
          <cell r="H894">
            <v>0</v>
          </cell>
          <cell r="J894">
            <v>0</v>
          </cell>
          <cell r="P894">
            <v>0</v>
          </cell>
          <cell r="Q894">
            <v>0</v>
          </cell>
        </row>
        <row r="895">
          <cell r="D895">
            <v>0</v>
          </cell>
          <cell r="E895">
            <v>0</v>
          </cell>
          <cell r="F895">
            <v>0</v>
          </cell>
          <cell r="H895">
            <v>0</v>
          </cell>
          <cell r="J895">
            <v>0</v>
          </cell>
          <cell r="P895">
            <v>0</v>
          </cell>
          <cell r="Q895">
            <v>0</v>
          </cell>
        </row>
        <row r="896">
          <cell r="D896">
            <v>0</v>
          </cell>
          <cell r="E896">
            <v>0</v>
          </cell>
          <cell r="F896">
            <v>0</v>
          </cell>
          <cell r="H896">
            <v>0</v>
          </cell>
          <cell r="J896">
            <v>0</v>
          </cell>
          <cell r="P896">
            <v>0</v>
          </cell>
          <cell r="Q896">
            <v>0</v>
          </cell>
        </row>
        <row r="897">
          <cell r="D897">
            <v>0</v>
          </cell>
          <cell r="E897">
            <v>0</v>
          </cell>
          <cell r="F897">
            <v>0</v>
          </cell>
          <cell r="H897">
            <v>0</v>
          </cell>
          <cell r="J897">
            <v>0</v>
          </cell>
          <cell r="P897">
            <v>0</v>
          </cell>
          <cell r="Q897">
            <v>0</v>
          </cell>
        </row>
        <row r="898">
          <cell r="D898">
            <v>0</v>
          </cell>
          <cell r="E898">
            <v>0</v>
          </cell>
          <cell r="F898">
            <v>0</v>
          </cell>
          <cell r="H898">
            <v>0</v>
          </cell>
          <cell r="J898">
            <v>0</v>
          </cell>
          <cell r="P898">
            <v>0</v>
          </cell>
          <cell r="Q898">
            <v>0</v>
          </cell>
        </row>
        <row r="899">
          <cell r="D899">
            <v>0</v>
          </cell>
          <cell r="E899">
            <v>0</v>
          </cell>
          <cell r="F899">
            <v>0</v>
          </cell>
          <cell r="H899">
            <v>0</v>
          </cell>
          <cell r="J899">
            <v>0</v>
          </cell>
          <cell r="P899">
            <v>0</v>
          </cell>
          <cell r="Q899">
            <v>0</v>
          </cell>
        </row>
        <row r="900">
          <cell r="D900">
            <v>0</v>
          </cell>
          <cell r="E900">
            <v>0</v>
          </cell>
          <cell r="F900">
            <v>0</v>
          </cell>
          <cell r="H900">
            <v>0</v>
          </cell>
          <cell r="J900">
            <v>0</v>
          </cell>
          <cell r="P900">
            <v>0</v>
          </cell>
          <cell r="Q900">
            <v>0</v>
          </cell>
        </row>
        <row r="901">
          <cell r="D901">
            <v>0</v>
          </cell>
          <cell r="E901">
            <v>0</v>
          </cell>
          <cell r="F901">
            <v>0</v>
          </cell>
          <cell r="H901">
            <v>0</v>
          </cell>
          <cell r="J901">
            <v>0</v>
          </cell>
          <cell r="P901">
            <v>0</v>
          </cell>
          <cell r="Q901">
            <v>0</v>
          </cell>
        </row>
        <row r="902">
          <cell r="D902">
            <v>0</v>
          </cell>
          <cell r="E902">
            <v>0</v>
          </cell>
          <cell r="F902">
            <v>0</v>
          </cell>
          <cell r="H902">
            <v>0</v>
          </cell>
          <cell r="J902">
            <v>0</v>
          </cell>
          <cell r="P902">
            <v>0</v>
          </cell>
          <cell r="Q902">
            <v>0</v>
          </cell>
        </row>
        <row r="903">
          <cell r="D903">
            <v>0</v>
          </cell>
          <cell r="E903">
            <v>0</v>
          </cell>
          <cell r="F903">
            <v>0</v>
          </cell>
          <cell r="H903">
            <v>0</v>
          </cell>
          <cell r="J903">
            <v>0</v>
          </cell>
          <cell r="P903">
            <v>0</v>
          </cell>
          <cell r="Q903">
            <v>0</v>
          </cell>
        </row>
        <row r="904">
          <cell r="D904">
            <v>0</v>
          </cell>
          <cell r="E904">
            <v>0</v>
          </cell>
          <cell r="F904">
            <v>0</v>
          </cell>
          <cell r="H904">
            <v>0</v>
          </cell>
          <cell r="J904">
            <v>0</v>
          </cell>
          <cell r="P904">
            <v>0</v>
          </cell>
          <cell r="Q904">
            <v>0</v>
          </cell>
        </row>
        <row r="905">
          <cell r="D905">
            <v>0</v>
          </cell>
          <cell r="E905">
            <v>0</v>
          </cell>
          <cell r="F905">
            <v>0</v>
          </cell>
          <cell r="H905">
            <v>0</v>
          </cell>
          <cell r="J905">
            <v>0</v>
          </cell>
          <cell r="P905">
            <v>0</v>
          </cell>
          <cell r="Q905">
            <v>0</v>
          </cell>
        </row>
        <row r="906">
          <cell r="D906">
            <v>0</v>
          </cell>
          <cell r="E906">
            <v>0</v>
          </cell>
          <cell r="F906">
            <v>0</v>
          </cell>
          <cell r="H906">
            <v>0</v>
          </cell>
          <cell r="J906">
            <v>0</v>
          </cell>
          <cell r="P906">
            <v>0</v>
          </cell>
          <cell r="Q906">
            <v>0</v>
          </cell>
        </row>
        <row r="907">
          <cell r="D907">
            <v>0</v>
          </cell>
          <cell r="E907">
            <v>0</v>
          </cell>
          <cell r="F907">
            <v>0</v>
          </cell>
          <cell r="H907">
            <v>0</v>
          </cell>
          <cell r="J907">
            <v>0</v>
          </cell>
          <cell r="P907">
            <v>0</v>
          </cell>
          <cell r="Q907">
            <v>0</v>
          </cell>
        </row>
        <row r="908">
          <cell r="D908">
            <v>0</v>
          </cell>
          <cell r="E908">
            <v>0</v>
          </cell>
          <cell r="F908">
            <v>0</v>
          </cell>
          <cell r="H908">
            <v>0</v>
          </cell>
          <cell r="J908">
            <v>0</v>
          </cell>
          <cell r="P908">
            <v>0</v>
          </cell>
          <cell r="Q908">
            <v>0</v>
          </cell>
        </row>
        <row r="909">
          <cell r="D909">
            <v>0</v>
          </cell>
          <cell r="E909">
            <v>0</v>
          </cell>
          <cell r="F909">
            <v>0</v>
          </cell>
          <cell r="H909">
            <v>0</v>
          </cell>
          <cell r="J909">
            <v>0</v>
          </cell>
          <cell r="P909">
            <v>0</v>
          </cell>
          <cell r="Q909">
            <v>0</v>
          </cell>
        </row>
        <row r="910">
          <cell r="D910">
            <v>0</v>
          </cell>
          <cell r="E910">
            <v>0</v>
          </cell>
          <cell r="F910">
            <v>0</v>
          </cell>
          <cell r="H910">
            <v>0</v>
          </cell>
          <cell r="J910">
            <v>0</v>
          </cell>
          <cell r="P910">
            <v>0</v>
          </cell>
          <cell r="Q910">
            <v>0</v>
          </cell>
        </row>
        <row r="911">
          <cell r="D911">
            <v>0</v>
          </cell>
          <cell r="E911">
            <v>0</v>
          </cell>
          <cell r="F911">
            <v>0</v>
          </cell>
          <cell r="H911">
            <v>0</v>
          </cell>
          <cell r="J911">
            <v>0</v>
          </cell>
          <cell r="P911">
            <v>0</v>
          </cell>
          <cell r="Q911">
            <v>0</v>
          </cell>
        </row>
        <row r="912">
          <cell r="D912">
            <v>0</v>
          </cell>
          <cell r="E912">
            <v>0</v>
          </cell>
          <cell r="F912">
            <v>0</v>
          </cell>
          <cell r="H912">
            <v>0</v>
          </cell>
          <cell r="J912">
            <v>0</v>
          </cell>
          <cell r="P912">
            <v>0</v>
          </cell>
          <cell r="Q912">
            <v>0</v>
          </cell>
        </row>
        <row r="913">
          <cell r="D913">
            <v>0</v>
          </cell>
          <cell r="E913">
            <v>0</v>
          </cell>
          <cell r="F913">
            <v>0</v>
          </cell>
          <cell r="H913">
            <v>0</v>
          </cell>
          <cell r="J913">
            <v>0</v>
          </cell>
          <cell r="P913">
            <v>0</v>
          </cell>
          <cell r="Q913">
            <v>0</v>
          </cell>
        </row>
        <row r="914">
          <cell r="D914">
            <v>0</v>
          </cell>
          <cell r="E914">
            <v>0</v>
          </cell>
          <cell r="F914">
            <v>0</v>
          </cell>
          <cell r="H914">
            <v>0</v>
          </cell>
          <cell r="J914">
            <v>0</v>
          </cell>
          <cell r="P914">
            <v>0</v>
          </cell>
          <cell r="Q914">
            <v>0</v>
          </cell>
        </row>
        <row r="915">
          <cell r="D915">
            <v>0</v>
          </cell>
          <cell r="E915">
            <v>0</v>
          </cell>
          <cell r="F915">
            <v>0</v>
          </cell>
          <cell r="H915">
            <v>0</v>
          </cell>
          <cell r="J915">
            <v>0</v>
          </cell>
          <cell r="P915">
            <v>0</v>
          </cell>
          <cell r="Q915">
            <v>0</v>
          </cell>
        </row>
        <row r="916">
          <cell r="D916">
            <v>0</v>
          </cell>
          <cell r="E916">
            <v>0</v>
          </cell>
          <cell r="F916">
            <v>0</v>
          </cell>
          <cell r="H916">
            <v>0</v>
          </cell>
          <cell r="J916">
            <v>0</v>
          </cell>
          <cell r="P916">
            <v>0</v>
          </cell>
          <cell r="Q916">
            <v>0</v>
          </cell>
        </row>
        <row r="917">
          <cell r="D917">
            <v>0</v>
          </cell>
          <cell r="E917">
            <v>0</v>
          </cell>
          <cell r="F917">
            <v>0</v>
          </cell>
          <cell r="H917">
            <v>0</v>
          </cell>
          <cell r="J917">
            <v>0</v>
          </cell>
          <cell r="P917">
            <v>0</v>
          </cell>
          <cell r="Q917">
            <v>0</v>
          </cell>
        </row>
        <row r="918">
          <cell r="D918">
            <v>0</v>
          </cell>
          <cell r="E918">
            <v>0</v>
          </cell>
          <cell r="F918">
            <v>0</v>
          </cell>
          <cell r="H918">
            <v>0</v>
          </cell>
          <cell r="J918">
            <v>0</v>
          </cell>
          <cell r="P918">
            <v>0</v>
          </cell>
          <cell r="Q918">
            <v>0</v>
          </cell>
        </row>
        <row r="919">
          <cell r="D919">
            <v>0</v>
          </cell>
          <cell r="E919">
            <v>0</v>
          </cell>
          <cell r="F919">
            <v>0</v>
          </cell>
          <cell r="H919">
            <v>0</v>
          </cell>
          <cell r="J919">
            <v>0</v>
          </cell>
          <cell r="P919">
            <v>0</v>
          </cell>
          <cell r="Q919">
            <v>0</v>
          </cell>
        </row>
        <row r="920">
          <cell r="D920">
            <v>0</v>
          </cell>
          <cell r="E920">
            <v>0</v>
          </cell>
          <cell r="F920">
            <v>0</v>
          </cell>
          <cell r="H920">
            <v>0</v>
          </cell>
          <cell r="J920">
            <v>0</v>
          </cell>
          <cell r="P920">
            <v>0</v>
          </cell>
          <cell r="Q920">
            <v>0</v>
          </cell>
        </row>
        <row r="921">
          <cell r="D921">
            <v>0</v>
          </cell>
          <cell r="E921">
            <v>0</v>
          </cell>
          <cell r="F921">
            <v>0</v>
          </cell>
          <cell r="H921">
            <v>0</v>
          </cell>
          <cell r="J921">
            <v>0</v>
          </cell>
          <cell r="P921">
            <v>0</v>
          </cell>
          <cell r="Q921">
            <v>0</v>
          </cell>
        </row>
        <row r="922">
          <cell r="D922">
            <v>0</v>
          </cell>
          <cell r="E922">
            <v>0</v>
          </cell>
          <cell r="F922">
            <v>0</v>
          </cell>
          <cell r="H922">
            <v>0</v>
          </cell>
          <cell r="J922">
            <v>0</v>
          </cell>
          <cell r="P922">
            <v>0</v>
          </cell>
          <cell r="Q922">
            <v>0</v>
          </cell>
        </row>
        <row r="923">
          <cell r="D923">
            <v>0</v>
          </cell>
          <cell r="E923">
            <v>0</v>
          </cell>
          <cell r="F923">
            <v>0</v>
          </cell>
          <cell r="H923">
            <v>0</v>
          </cell>
          <cell r="J923">
            <v>0</v>
          </cell>
          <cell r="P923">
            <v>0</v>
          </cell>
          <cell r="Q923">
            <v>0</v>
          </cell>
        </row>
        <row r="924">
          <cell r="D924">
            <v>0</v>
          </cell>
          <cell r="E924">
            <v>0</v>
          </cell>
          <cell r="F924">
            <v>0</v>
          </cell>
          <cell r="H924">
            <v>0</v>
          </cell>
          <cell r="J924">
            <v>0</v>
          </cell>
          <cell r="P924">
            <v>0</v>
          </cell>
          <cell r="Q924">
            <v>0</v>
          </cell>
        </row>
        <row r="925">
          <cell r="D925">
            <v>0</v>
          </cell>
          <cell r="E925">
            <v>0</v>
          </cell>
          <cell r="F925">
            <v>0</v>
          </cell>
          <cell r="H925">
            <v>0</v>
          </cell>
          <cell r="J925">
            <v>0</v>
          </cell>
          <cell r="P925">
            <v>0</v>
          </cell>
          <cell r="Q925">
            <v>0</v>
          </cell>
        </row>
        <row r="926">
          <cell r="D926">
            <v>0</v>
          </cell>
          <cell r="E926">
            <v>0</v>
          </cell>
          <cell r="F926">
            <v>0</v>
          </cell>
          <cell r="H926">
            <v>0</v>
          </cell>
          <cell r="J926">
            <v>0</v>
          </cell>
          <cell r="P926">
            <v>0</v>
          </cell>
          <cell r="Q926">
            <v>0</v>
          </cell>
        </row>
        <row r="927">
          <cell r="D927">
            <v>0</v>
          </cell>
          <cell r="E927">
            <v>0</v>
          </cell>
          <cell r="F927">
            <v>0</v>
          </cell>
          <cell r="H927">
            <v>0</v>
          </cell>
          <cell r="J927">
            <v>0</v>
          </cell>
          <cell r="P927">
            <v>0</v>
          </cell>
          <cell r="Q927">
            <v>0</v>
          </cell>
        </row>
        <row r="928">
          <cell r="D928">
            <v>0</v>
          </cell>
          <cell r="E928">
            <v>0</v>
          </cell>
          <cell r="F928">
            <v>0</v>
          </cell>
          <cell r="H928">
            <v>0</v>
          </cell>
          <cell r="J928">
            <v>0</v>
          </cell>
          <cell r="P928">
            <v>0</v>
          </cell>
          <cell r="Q928">
            <v>0</v>
          </cell>
        </row>
        <row r="929">
          <cell r="D929">
            <v>0</v>
          </cell>
          <cell r="E929">
            <v>0</v>
          </cell>
          <cell r="F929">
            <v>0</v>
          </cell>
          <cell r="H929">
            <v>0</v>
          </cell>
          <cell r="J929">
            <v>0</v>
          </cell>
          <cell r="P929">
            <v>0</v>
          </cell>
          <cell r="Q929">
            <v>0</v>
          </cell>
        </row>
        <row r="930">
          <cell r="D930">
            <v>0</v>
          </cell>
          <cell r="E930">
            <v>0</v>
          </cell>
          <cell r="F930">
            <v>0</v>
          </cell>
          <cell r="H930">
            <v>0</v>
          </cell>
          <cell r="J930">
            <v>0</v>
          </cell>
          <cell r="P930">
            <v>0</v>
          </cell>
          <cell r="Q930">
            <v>0</v>
          </cell>
        </row>
        <row r="931">
          <cell r="D931">
            <v>0</v>
          </cell>
          <cell r="E931">
            <v>0</v>
          </cell>
          <cell r="F931">
            <v>0</v>
          </cell>
          <cell r="H931">
            <v>0</v>
          </cell>
          <cell r="J931">
            <v>0</v>
          </cell>
          <cell r="P931">
            <v>0</v>
          </cell>
          <cell r="Q931">
            <v>0</v>
          </cell>
        </row>
        <row r="932">
          <cell r="D932">
            <v>0</v>
          </cell>
          <cell r="E932">
            <v>0</v>
          </cell>
          <cell r="F932">
            <v>0</v>
          </cell>
          <cell r="H932">
            <v>0</v>
          </cell>
          <cell r="J932">
            <v>0</v>
          </cell>
          <cell r="P932">
            <v>0</v>
          </cell>
          <cell r="Q932">
            <v>0</v>
          </cell>
        </row>
        <row r="933">
          <cell r="D933">
            <v>0</v>
          </cell>
          <cell r="E933">
            <v>0</v>
          </cell>
          <cell r="F933">
            <v>0</v>
          </cell>
          <cell r="H933">
            <v>0</v>
          </cell>
          <cell r="J933">
            <v>0</v>
          </cell>
          <cell r="P933">
            <v>0</v>
          </cell>
          <cell r="Q933">
            <v>0</v>
          </cell>
        </row>
        <row r="934">
          <cell r="D934">
            <v>0</v>
          </cell>
          <cell r="E934">
            <v>0</v>
          </cell>
          <cell r="F934">
            <v>0</v>
          </cell>
          <cell r="H934">
            <v>0</v>
          </cell>
          <cell r="J934">
            <v>0</v>
          </cell>
          <cell r="P934">
            <v>0</v>
          </cell>
          <cell r="Q934">
            <v>0</v>
          </cell>
        </row>
        <row r="935">
          <cell r="D935">
            <v>0</v>
          </cell>
          <cell r="E935">
            <v>0</v>
          </cell>
          <cell r="F935">
            <v>0</v>
          </cell>
          <cell r="H935">
            <v>0</v>
          </cell>
          <cell r="J935">
            <v>0</v>
          </cell>
          <cell r="P935">
            <v>0</v>
          </cell>
          <cell r="Q935">
            <v>0</v>
          </cell>
        </row>
        <row r="936">
          <cell r="D936">
            <v>0</v>
          </cell>
          <cell r="E936">
            <v>0</v>
          </cell>
          <cell r="F936">
            <v>0</v>
          </cell>
          <cell r="H936">
            <v>0</v>
          </cell>
          <cell r="J936">
            <v>0</v>
          </cell>
          <cell r="P936">
            <v>0</v>
          </cell>
          <cell r="Q936">
            <v>0</v>
          </cell>
        </row>
        <row r="937">
          <cell r="D937">
            <v>0</v>
          </cell>
          <cell r="E937">
            <v>0</v>
          </cell>
          <cell r="F937">
            <v>0</v>
          </cell>
          <cell r="H937">
            <v>0</v>
          </cell>
          <cell r="J937">
            <v>0</v>
          </cell>
          <cell r="P937">
            <v>0</v>
          </cell>
          <cell r="Q937">
            <v>0</v>
          </cell>
        </row>
        <row r="938">
          <cell r="D938">
            <v>0</v>
          </cell>
          <cell r="E938">
            <v>0</v>
          </cell>
          <cell r="F938">
            <v>0</v>
          </cell>
          <cell r="H938">
            <v>0</v>
          </cell>
          <cell r="J938">
            <v>0</v>
          </cell>
          <cell r="P938">
            <v>0</v>
          </cell>
          <cell r="Q938">
            <v>0</v>
          </cell>
        </row>
        <row r="939">
          <cell r="D939">
            <v>0</v>
          </cell>
          <cell r="E939">
            <v>0</v>
          </cell>
          <cell r="F939">
            <v>0</v>
          </cell>
          <cell r="H939">
            <v>0</v>
          </cell>
          <cell r="J939">
            <v>0</v>
          </cell>
          <cell r="P939">
            <v>0</v>
          </cell>
          <cell r="Q939">
            <v>0</v>
          </cell>
        </row>
        <row r="940">
          <cell r="D940">
            <v>0</v>
          </cell>
          <cell r="E940">
            <v>0</v>
          </cell>
          <cell r="F940">
            <v>0</v>
          </cell>
          <cell r="H940">
            <v>0</v>
          </cell>
          <cell r="J940">
            <v>0</v>
          </cell>
          <cell r="P940">
            <v>0</v>
          </cell>
          <cell r="Q940">
            <v>0</v>
          </cell>
        </row>
        <row r="941">
          <cell r="D941">
            <v>0</v>
          </cell>
          <cell r="E941">
            <v>0</v>
          </cell>
          <cell r="F941">
            <v>0</v>
          </cell>
          <cell r="H941">
            <v>0</v>
          </cell>
          <cell r="J941">
            <v>0</v>
          </cell>
          <cell r="P941">
            <v>0</v>
          </cell>
          <cell r="Q941">
            <v>0</v>
          </cell>
        </row>
        <row r="942">
          <cell r="D942">
            <v>0</v>
          </cell>
          <cell r="E942">
            <v>0</v>
          </cell>
          <cell r="F942">
            <v>0</v>
          </cell>
          <cell r="H942">
            <v>0</v>
          </cell>
          <cell r="J942">
            <v>0</v>
          </cell>
          <cell r="P942">
            <v>0</v>
          </cell>
          <cell r="Q942">
            <v>0</v>
          </cell>
        </row>
        <row r="943">
          <cell r="D943">
            <v>0</v>
          </cell>
          <cell r="E943">
            <v>0</v>
          </cell>
          <cell r="F943">
            <v>0</v>
          </cell>
          <cell r="H943">
            <v>0</v>
          </cell>
          <cell r="J943">
            <v>0</v>
          </cell>
          <cell r="P943">
            <v>0</v>
          </cell>
          <cell r="Q943">
            <v>0</v>
          </cell>
        </row>
        <row r="944">
          <cell r="D944">
            <v>0</v>
          </cell>
          <cell r="E944">
            <v>0</v>
          </cell>
          <cell r="F944">
            <v>0</v>
          </cell>
          <cell r="H944">
            <v>0</v>
          </cell>
          <cell r="J944">
            <v>0</v>
          </cell>
          <cell r="P944">
            <v>0</v>
          </cell>
          <cell r="Q944">
            <v>0</v>
          </cell>
        </row>
        <row r="945">
          <cell r="D945">
            <v>0</v>
          </cell>
          <cell r="E945">
            <v>0</v>
          </cell>
          <cell r="F945">
            <v>0</v>
          </cell>
          <cell r="H945">
            <v>0</v>
          </cell>
          <cell r="J945">
            <v>0</v>
          </cell>
          <cell r="P945">
            <v>0</v>
          </cell>
          <cell r="Q945">
            <v>0</v>
          </cell>
        </row>
        <row r="946">
          <cell r="D946">
            <v>0</v>
          </cell>
          <cell r="E946">
            <v>0</v>
          </cell>
          <cell r="F946">
            <v>0</v>
          </cell>
          <cell r="H946">
            <v>0</v>
          </cell>
          <cell r="J946">
            <v>0</v>
          </cell>
          <cell r="P946">
            <v>0</v>
          </cell>
          <cell r="Q946">
            <v>0</v>
          </cell>
        </row>
        <row r="947">
          <cell r="D947">
            <v>0</v>
          </cell>
          <cell r="E947">
            <v>0</v>
          </cell>
          <cell r="F947">
            <v>0</v>
          </cell>
          <cell r="H947">
            <v>0</v>
          </cell>
          <cell r="J947">
            <v>0</v>
          </cell>
          <cell r="P947">
            <v>0</v>
          </cell>
          <cell r="Q947">
            <v>0</v>
          </cell>
        </row>
        <row r="948">
          <cell r="D948">
            <v>0</v>
          </cell>
          <cell r="E948">
            <v>0</v>
          </cell>
          <cell r="F948">
            <v>0</v>
          </cell>
          <cell r="H948">
            <v>0</v>
          </cell>
          <cell r="J948">
            <v>0</v>
          </cell>
          <cell r="P948">
            <v>0</v>
          </cell>
          <cell r="Q948">
            <v>0</v>
          </cell>
        </row>
        <row r="949">
          <cell r="D949">
            <v>0</v>
          </cell>
          <cell r="E949">
            <v>0</v>
          </cell>
          <cell r="F949">
            <v>0</v>
          </cell>
          <cell r="H949">
            <v>0</v>
          </cell>
          <cell r="J949">
            <v>0</v>
          </cell>
          <cell r="P949">
            <v>0</v>
          </cell>
          <cell r="Q949">
            <v>0</v>
          </cell>
        </row>
        <row r="950">
          <cell r="D950">
            <v>0</v>
          </cell>
          <cell r="E950">
            <v>0</v>
          </cell>
          <cell r="F950">
            <v>0</v>
          </cell>
          <cell r="H950">
            <v>0</v>
          </cell>
          <cell r="J950">
            <v>0</v>
          </cell>
          <cell r="P950">
            <v>0</v>
          </cell>
          <cell r="Q950">
            <v>0</v>
          </cell>
        </row>
        <row r="951">
          <cell r="D951">
            <v>0</v>
          </cell>
          <cell r="E951">
            <v>0</v>
          </cell>
          <cell r="F951">
            <v>0</v>
          </cell>
          <cell r="H951">
            <v>0</v>
          </cell>
          <cell r="J951">
            <v>0</v>
          </cell>
          <cell r="P951">
            <v>0</v>
          </cell>
          <cell r="Q951">
            <v>0</v>
          </cell>
        </row>
        <row r="952">
          <cell r="D952">
            <v>0</v>
          </cell>
          <cell r="E952">
            <v>0</v>
          </cell>
          <cell r="F952">
            <v>0</v>
          </cell>
          <cell r="H952">
            <v>0</v>
          </cell>
          <cell r="J952">
            <v>0</v>
          </cell>
          <cell r="P952">
            <v>0</v>
          </cell>
          <cell r="Q952">
            <v>0</v>
          </cell>
        </row>
        <row r="953">
          <cell r="D953">
            <v>0</v>
          </cell>
          <cell r="E953">
            <v>0</v>
          </cell>
          <cell r="F953">
            <v>0</v>
          </cell>
          <cell r="H953">
            <v>0</v>
          </cell>
          <cell r="J953">
            <v>0</v>
          </cell>
          <cell r="P953">
            <v>0</v>
          </cell>
          <cell r="Q953">
            <v>0</v>
          </cell>
        </row>
        <row r="954">
          <cell r="D954">
            <v>0</v>
          </cell>
          <cell r="E954">
            <v>0</v>
          </cell>
          <cell r="F954">
            <v>0</v>
          </cell>
          <cell r="H954">
            <v>0</v>
          </cell>
          <cell r="J954">
            <v>0</v>
          </cell>
          <cell r="P954">
            <v>0</v>
          </cell>
          <cell r="Q954">
            <v>0</v>
          </cell>
        </row>
        <row r="955">
          <cell r="D955">
            <v>0</v>
          </cell>
          <cell r="E955">
            <v>0</v>
          </cell>
          <cell r="F955">
            <v>0</v>
          </cell>
          <cell r="H955">
            <v>0</v>
          </cell>
          <cell r="J955">
            <v>0</v>
          </cell>
          <cell r="P955">
            <v>0</v>
          </cell>
          <cell r="Q955">
            <v>0</v>
          </cell>
        </row>
        <row r="956">
          <cell r="D956">
            <v>0</v>
          </cell>
          <cell r="E956">
            <v>0</v>
          </cell>
          <cell r="F956">
            <v>0</v>
          </cell>
          <cell r="H956">
            <v>0</v>
          </cell>
          <cell r="J956">
            <v>0</v>
          </cell>
          <cell r="P956">
            <v>0</v>
          </cell>
          <cell r="Q956">
            <v>0</v>
          </cell>
        </row>
        <row r="957">
          <cell r="D957">
            <v>0</v>
          </cell>
          <cell r="E957">
            <v>0</v>
          </cell>
          <cell r="F957">
            <v>0</v>
          </cell>
          <cell r="H957">
            <v>0</v>
          </cell>
          <cell r="J957">
            <v>0</v>
          </cell>
          <cell r="P957">
            <v>0</v>
          </cell>
          <cell r="Q957">
            <v>0</v>
          </cell>
        </row>
        <row r="958">
          <cell r="D958">
            <v>0</v>
          </cell>
          <cell r="E958">
            <v>0</v>
          </cell>
          <cell r="F958">
            <v>0</v>
          </cell>
          <cell r="H958">
            <v>0</v>
          </cell>
          <cell r="J958">
            <v>0</v>
          </cell>
          <cell r="P958">
            <v>0</v>
          </cell>
          <cell r="Q958">
            <v>0</v>
          </cell>
        </row>
        <row r="959">
          <cell r="D959">
            <v>0</v>
          </cell>
          <cell r="E959">
            <v>0</v>
          </cell>
          <cell r="F959">
            <v>0</v>
          </cell>
          <cell r="H959">
            <v>0</v>
          </cell>
          <cell r="J959">
            <v>0</v>
          </cell>
          <cell r="P959">
            <v>0</v>
          </cell>
          <cell r="Q959">
            <v>0</v>
          </cell>
        </row>
        <row r="960">
          <cell r="D960">
            <v>0</v>
          </cell>
          <cell r="E960">
            <v>0</v>
          </cell>
          <cell r="F960">
            <v>0</v>
          </cell>
          <cell r="H960">
            <v>0</v>
          </cell>
          <cell r="J960">
            <v>0</v>
          </cell>
          <cell r="P960">
            <v>0</v>
          </cell>
          <cell r="Q960">
            <v>0</v>
          </cell>
        </row>
        <row r="961">
          <cell r="D961">
            <v>0</v>
          </cell>
          <cell r="E961">
            <v>0</v>
          </cell>
          <cell r="F961">
            <v>0</v>
          </cell>
          <cell r="H961">
            <v>0</v>
          </cell>
          <cell r="J961">
            <v>0</v>
          </cell>
          <cell r="P961">
            <v>0</v>
          </cell>
          <cell r="Q961">
            <v>0</v>
          </cell>
        </row>
        <row r="962">
          <cell r="D962">
            <v>0</v>
          </cell>
          <cell r="E962">
            <v>0</v>
          </cell>
          <cell r="F962">
            <v>0</v>
          </cell>
          <cell r="H962">
            <v>0</v>
          </cell>
          <cell r="J962">
            <v>0</v>
          </cell>
          <cell r="P962">
            <v>0</v>
          </cell>
          <cell r="Q962">
            <v>0</v>
          </cell>
        </row>
        <row r="963">
          <cell r="D963">
            <v>0</v>
          </cell>
          <cell r="E963">
            <v>0</v>
          </cell>
          <cell r="F963">
            <v>0</v>
          </cell>
          <cell r="H963">
            <v>0</v>
          </cell>
          <cell r="J963">
            <v>0</v>
          </cell>
          <cell r="P963">
            <v>0</v>
          </cell>
          <cell r="Q963">
            <v>0</v>
          </cell>
        </row>
        <row r="964">
          <cell r="D964">
            <v>0</v>
          </cell>
          <cell r="E964">
            <v>0</v>
          </cell>
          <cell r="F964">
            <v>0</v>
          </cell>
          <cell r="H964">
            <v>0</v>
          </cell>
          <cell r="J964">
            <v>0</v>
          </cell>
          <cell r="P964">
            <v>0</v>
          </cell>
          <cell r="Q964">
            <v>0</v>
          </cell>
        </row>
        <row r="965">
          <cell r="D965">
            <v>0</v>
          </cell>
          <cell r="E965">
            <v>0</v>
          </cell>
          <cell r="F965">
            <v>0</v>
          </cell>
          <cell r="H965">
            <v>0</v>
          </cell>
          <cell r="J965">
            <v>0</v>
          </cell>
          <cell r="P965">
            <v>0</v>
          </cell>
          <cell r="Q965">
            <v>0</v>
          </cell>
        </row>
        <row r="966">
          <cell r="D966">
            <v>0</v>
          </cell>
          <cell r="E966">
            <v>0</v>
          </cell>
          <cell r="F966">
            <v>0</v>
          </cell>
          <cell r="H966">
            <v>0</v>
          </cell>
          <cell r="J966">
            <v>0</v>
          </cell>
          <cell r="P966">
            <v>0</v>
          </cell>
          <cell r="Q966">
            <v>0</v>
          </cell>
        </row>
        <row r="967">
          <cell r="D967">
            <v>0</v>
          </cell>
          <cell r="E967">
            <v>0</v>
          </cell>
          <cell r="F967">
            <v>0</v>
          </cell>
          <cell r="H967">
            <v>0</v>
          </cell>
          <cell r="J967">
            <v>0</v>
          </cell>
          <cell r="P967">
            <v>0</v>
          </cell>
          <cell r="Q967">
            <v>0</v>
          </cell>
        </row>
        <row r="968">
          <cell r="D968">
            <v>0</v>
          </cell>
          <cell r="E968">
            <v>0</v>
          </cell>
          <cell r="F968">
            <v>0</v>
          </cell>
          <cell r="H968">
            <v>0</v>
          </cell>
          <cell r="J968">
            <v>0</v>
          </cell>
          <cell r="P968">
            <v>0</v>
          </cell>
          <cell r="Q968">
            <v>0</v>
          </cell>
        </row>
        <row r="969">
          <cell r="D969">
            <v>0</v>
          </cell>
          <cell r="E969">
            <v>0</v>
          </cell>
          <cell r="F969">
            <v>0</v>
          </cell>
          <cell r="H969">
            <v>0</v>
          </cell>
          <cell r="J969">
            <v>0</v>
          </cell>
          <cell r="P969">
            <v>0</v>
          </cell>
          <cell r="Q969">
            <v>0</v>
          </cell>
        </row>
        <row r="970">
          <cell r="D970">
            <v>0</v>
          </cell>
          <cell r="E970">
            <v>0</v>
          </cell>
          <cell r="F970">
            <v>0</v>
          </cell>
          <cell r="H970">
            <v>0</v>
          </cell>
          <cell r="J970">
            <v>0</v>
          </cell>
          <cell r="P970">
            <v>0</v>
          </cell>
          <cell r="Q970">
            <v>0</v>
          </cell>
        </row>
        <row r="971">
          <cell r="D971">
            <v>0</v>
          </cell>
          <cell r="E971">
            <v>0</v>
          </cell>
          <cell r="F971">
            <v>0</v>
          </cell>
          <cell r="H971">
            <v>0</v>
          </cell>
          <cell r="J971">
            <v>0</v>
          </cell>
          <cell r="P971">
            <v>0</v>
          </cell>
          <cell r="Q971">
            <v>0</v>
          </cell>
        </row>
        <row r="972">
          <cell r="D972">
            <v>0</v>
          </cell>
          <cell r="E972">
            <v>0</v>
          </cell>
          <cell r="F972">
            <v>0</v>
          </cell>
          <cell r="H972">
            <v>0</v>
          </cell>
          <cell r="J972">
            <v>0</v>
          </cell>
          <cell r="P972">
            <v>0</v>
          </cell>
          <cell r="Q972">
            <v>0</v>
          </cell>
        </row>
        <row r="973">
          <cell r="D973">
            <v>0</v>
          </cell>
          <cell r="E973">
            <v>0</v>
          </cell>
          <cell r="F973">
            <v>0</v>
          </cell>
          <cell r="H973">
            <v>0</v>
          </cell>
          <cell r="J973">
            <v>0</v>
          </cell>
          <cell r="P973">
            <v>0</v>
          </cell>
          <cell r="Q973">
            <v>0</v>
          </cell>
        </row>
        <row r="974">
          <cell r="D974">
            <v>0</v>
          </cell>
          <cell r="E974">
            <v>0</v>
          </cell>
          <cell r="F974">
            <v>0</v>
          </cell>
          <cell r="H974">
            <v>0</v>
          </cell>
          <cell r="J974">
            <v>0</v>
          </cell>
          <cell r="P974">
            <v>0</v>
          </cell>
          <cell r="Q974">
            <v>0</v>
          </cell>
        </row>
        <row r="975">
          <cell r="D975">
            <v>0</v>
          </cell>
          <cell r="E975">
            <v>0</v>
          </cell>
          <cell r="F975">
            <v>0</v>
          </cell>
          <cell r="H975">
            <v>0</v>
          </cell>
          <cell r="J975">
            <v>0</v>
          </cell>
          <cell r="P975">
            <v>0</v>
          </cell>
          <cell r="Q975">
            <v>0</v>
          </cell>
        </row>
        <row r="976">
          <cell r="D976">
            <v>0</v>
          </cell>
          <cell r="E976">
            <v>0</v>
          </cell>
          <cell r="F976">
            <v>0</v>
          </cell>
          <cell r="H976">
            <v>0</v>
          </cell>
          <cell r="J976">
            <v>0</v>
          </cell>
          <cell r="P976">
            <v>0</v>
          </cell>
          <cell r="Q976">
            <v>0</v>
          </cell>
        </row>
        <row r="977">
          <cell r="D977">
            <v>0</v>
          </cell>
          <cell r="E977">
            <v>0</v>
          </cell>
          <cell r="F977">
            <v>0</v>
          </cell>
          <cell r="H977">
            <v>0</v>
          </cell>
          <cell r="J977">
            <v>0</v>
          </cell>
          <cell r="P977">
            <v>0</v>
          </cell>
          <cell r="Q977">
            <v>0</v>
          </cell>
        </row>
        <row r="978">
          <cell r="D978">
            <v>0</v>
          </cell>
          <cell r="E978">
            <v>0</v>
          </cell>
          <cell r="F978">
            <v>0</v>
          </cell>
          <cell r="H978">
            <v>0</v>
          </cell>
          <cell r="J978">
            <v>0</v>
          </cell>
          <cell r="P978">
            <v>0</v>
          </cell>
          <cell r="Q978">
            <v>0</v>
          </cell>
        </row>
        <row r="979">
          <cell r="D979">
            <v>0</v>
          </cell>
          <cell r="E979">
            <v>0</v>
          </cell>
          <cell r="F979">
            <v>0</v>
          </cell>
          <cell r="H979">
            <v>0</v>
          </cell>
          <cell r="J979">
            <v>0</v>
          </cell>
          <cell r="P979">
            <v>0</v>
          </cell>
          <cell r="Q979">
            <v>0</v>
          </cell>
        </row>
        <row r="980">
          <cell r="D980">
            <v>0</v>
          </cell>
          <cell r="E980">
            <v>0</v>
          </cell>
          <cell r="F980">
            <v>0</v>
          </cell>
          <cell r="H980">
            <v>0</v>
          </cell>
          <cell r="J980">
            <v>0</v>
          </cell>
          <cell r="P980">
            <v>0</v>
          </cell>
          <cell r="Q980">
            <v>0</v>
          </cell>
        </row>
        <row r="981">
          <cell r="D981">
            <v>0</v>
          </cell>
          <cell r="E981">
            <v>0</v>
          </cell>
          <cell r="F981">
            <v>0</v>
          </cell>
          <cell r="H981">
            <v>0</v>
          </cell>
          <cell r="J981">
            <v>0</v>
          </cell>
          <cell r="P981">
            <v>0</v>
          </cell>
          <cell r="Q981">
            <v>0</v>
          </cell>
        </row>
        <row r="982">
          <cell r="D982">
            <v>0</v>
          </cell>
          <cell r="E982">
            <v>0</v>
          </cell>
          <cell r="F982">
            <v>0</v>
          </cell>
          <cell r="H982">
            <v>0</v>
          </cell>
          <cell r="J982">
            <v>0</v>
          </cell>
          <cell r="P982">
            <v>0</v>
          </cell>
          <cell r="Q982">
            <v>0</v>
          </cell>
        </row>
        <row r="983">
          <cell r="D983">
            <v>0</v>
          </cell>
          <cell r="E983">
            <v>0</v>
          </cell>
          <cell r="F983">
            <v>0</v>
          </cell>
          <cell r="H983">
            <v>0</v>
          </cell>
          <cell r="J983">
            <v>0</v>
          </cell>
          <cell r="P983">
            <v>0</v>
          </cell>
          <cell r="Q983">
            <v>0</v>
          </cell>
        </row>
        <row r="984">
          <cell r="D984">
            <v>0</v>
          </cell>
          <cell r="E984">
            <v>0</v>
          </cell>
          <cell r="F984">
            <v>0</v>
          </cell>
          <cell r="H984">
            <v>0</v>
          </cell>
          <cell r="J984">
            <v>0</v>
          </cell>
          <cell r="P984">
            <v>0</v>
          </cell>
          <cell r="Q984">
            <v>0</v>
          </cell>
        </row>
        <row r="985">
          <cell r="D985">
            <v>0</v>
          </cell>
          <cell r="E985">
            <v>0</v>
          </cell>
          <cell r="F985">
            <v>0</v>
          </cell>
          <cell r="H985">
            <v>0</v>
          </cell>
          <cell r="J985">
            <v>0</v>
          </cell>
          <cell r="P985">
            <v>0</v>
          </cell>
          <cell r="Q985">
            <v>0</v>
          </cell>
        </row>
        <row r="986">
          <cell r="D986">
            <v>0</v>
          </cell>
          <cell r="E986">
            <v>0</v>
          </cell>
          <cell r="F986">
            <v>0</v>
          </cell>
          <cell r="H986">
            <v>0</v>
          </cell>
          <cell r="J986">
            <v>0</v>
          </cell>
          <cell r="P986">
            <v>0</v>
          </cell>
          <cell r="Q986">
            <v>0</v>
          </cell>
        </row>
        <row r="987">
          <cell r="D987">
            <v>0</v>
          </cell>
          <cell r="E987">
            <v>0</v>
          </cell>
          <cell r="F987">
            <v>0</v>
          </cell>
          <cell r="H987">
            <v>0</v>
          </cell>
          <cell r="J987">
            <v>0</v>
          </cell>
          <cell r="P987">
            <v>0</v>
          </cell>
          <cell r="Q987">
            <v>0</v>
          </cell>
        </row>
        <row r="988">
          <cell r="D988">
            <v>0</v>
          </cell>
          <cell r="E988">
            <v>0</v>
          </cell>
          <cell r="F988">
            <v>0</v>
          </cell>
          <cell r="H988">
            <v>0</v>
          </cell>
          <cell r="J988">
            <v>0</v>
          </cell>
          <cell r="P988">
            <v>0</v>
          </cell>
          <cell r="Q988">
            <v>0</v>
          </cell>
        </row>
        <row r="989">
          <cell r="D989">
            <v>0</v>
          </cell>
          <cell r="E989">
            <v>0</v>
          </cell>
          <cell r="F989">
            <v>0</v>
          </cell>
          <cell r="H989">
            <v>0</v>
          </cell>
          <cell r="J989">
            <v>0</v>
          </cell>
          <cell r="P989">
            <v>0</v>
          </cell>
          <cell r="Q989">
            <v>0</v>
          </cell>
        </row>
        <row r="990">
          <cell r="D990">
            <v>0</v>
          </cell>
          <cell r="E990">
            <v>0</v>
          </cell>
          <cell r="F990">
            <v>0</v>
          </cell>
          <cell r="H990">
            <v>0</v>
          </cell>
          <cell r="J990">
            <v>0</v>
          </cell>
          <cell r="P990">
            <v>0</v>
          </cell>
          <cell r="Q990">
            <v>0</v>
          </cell>
        </row>
        <row r="991">
          <cell r="D991">
            <v>0</v>
          </cell>
          <cell r="E991">
            <v>0</v>
          </cell>
          <cell r="F991">
            <v>0</v>
          </cell>
          <cell r="H991">
            <v>0</v>
          </cell>
          <cell r="J991">
            <v>0</v>
          </cell>
          <cell r="P991">
            <v>0</v>
          </cell>
          <cell r="Q991">
            <v>0</v>
          </cell>
        </row>
        <row r="992">
          <cell r="D992">
            <v>0</v>
          </cell>
          <cell r="E992">
            <v>0</v>
          </cell>
          <cell r="F992">
            <v>0</v>
          </cell>
          <cell r="H992">
            <v>0</v>
          </cell>
          <cell r="J992">
            <v>0</v>
          </cell>
          <cell r="P992">
            <v>0</v>
          </cell>
          <cell r="Q992">
            <v>0</v>
          </cell>
        </row>
        <row r="993">
          <cell r="D993">
            <v>0</v>
          </cell>
          <cell r="E993">
            <v>0</v>
          </cell>
          <cell r="F993">
            <v>0</v>
          </cell>
          <cell r="H993">
            <v>0</v>
          </cell>
          <cell r="J993">
            <v>0</v>
          </cell>
          <cell r="P993">
            <v>0</v>
          </cell>
          <cell r="Q993">
            <v>0</v>
          </cell>
        </row>
        <row r="994">
          <cell r="D994">
            <v>0</v>
          </cell>
          <cell r="E994">
            <v>0</v>
          </cell>
          <cell r="F994">
            <v>0</v>
          </cell>
          <cell r="H994">
            <v>0</v>
          </cell>
          <cell r="J994">
            <v>0</v>
          </cell>
          <cell r="P994">
            <v>0</v>
          </cell>
          <cell r="Q994">
            <v>0</v>
          </cell>
        </row>
        <row r="995">
          <cell r="D995">
            <v>0</v>
          </cell>
          <cell r="E995">
            <v>0</v>
          </cell>
          <cell r="F995">
            <v>0</v>
          </cell>
          <cell r="H995">
            <v>0</v>
          </cell>
          <cell r="J995">
            <v>0</v>
          </cell>
          <cell r="P995">
            <v>0</v>
          </cell>
          <cell r="Q995">
            <v>0</v>
          </cell>
        </row>
        <row r="996">
          <cell r="D996">
            <v>0</v>
          </cell>
          <cell r="E996">
            <v>0</v>
          </cell>
          <cell r="F996">
            <v>0</v>
          </cell>
          <cell r="H996">
            <v>0</v>
          </cell>
          <cell r="J996">
            <v>0</v>
          </cell>
          <cell r="P996">
            <v>0</v>
          </cell>
          <cell r="Q996">
            <v>0</v>
          </cell>
        </row>
        <row r="997">
          <cell r="D997">
            <v>0</v>
          </cell>
          <cell r="E997">
            <v>0</v>
          </cell>
          <cell r="F997">
            <v>0</v>
          </cell>
          <cell r="H997">
            <v>0</v>
          </cell>
          <cell r="J997">
            <v>0</v>
          </cell>
          <cell r="P997">
            <v>0</v>
          </cell>
          <cell r="Q997">
            <v>0</v>
          </cell>
        </row>
        <row r="998">
          <cell r="D998">
            <v>0</v>
          </cell>
          <cell r="E998">
            <v>0</v>
          </cell>
          <cell r="F998">
            <v>0</v>
          </cell>
          <cell r="H998">
            <v>0</v>
          </cell>
          <cell r="J998">
            <v>0</v>
          </cell>
          <cell r="P998">
            <v>0</v>
          </cell>
          <cell r="Q998">
            <v>0</v>
          </cell>
        </row>
        <row r="999">
          <cell r="D999">
            <v>0</v>
          </cell>
          <cell r="E999">
            <v>0</v>
          </cell>
          <cell r="F999">
            <v>0</v>
          </cell>
          <cell r="H999">
            <v>0</v>
          </cell>
          <cell r="J999">
            <v>0</v>
          </cell>
          <cell r="P999">
            <v>0</v>
          </cell>
          <cell r="Q999">
            <v>0</v>
          </cell>
        </row>
        <row r="1000">
          <cell r="D1000">
            <v>0</v>
          </cell>
          <cell r="E1000">
            <v>0</v>
          </cell>
          <cell r="F1000">
            <v>0</v>
          </cell>
          <cell r="H1000">
            <v>0</v>
          </cell>
          <cell r="J1000">
            <v>0</v>
          </cell>
          <cell r="P1000">
            <v>0</v>
          </cell>
          <cell r="Q1000">
            <v>0</v>
          </cell>
        </row>
        <row r="1001">
          <cell r="D1001">
            <v>0</v>
          </cell>
          <cell r="E1001">
            <v>0</v>
          </cell>
          <cell r="F1001">
            <v>0</v>
          </cell>
          <cell r="H1001">
            <v>0</v>
          </cell>
          <cell r="J1001">
            <v>0</v>
          </cell>
          <cell r="P1001">
            <v>0</v>
          </cell>
          <cell r="Q1001">
            <v>0</v>
          </cell>
        </row>
        <row r="1002">
          <cell r="D1002">
            <v>0</v>
          </cell>
          <cell r="E1002">
            <v>0</v>
          </cell>
          <cell r="F1002">
            <v>0</v>
          </cell>
          <cell r="H1002">
            <v>0</v>
          </cell>
          <cell r="J1002">
            <v>0</v>
          </cell>
          <cell r="P1002">
            <v>0</v>
          </cell>
          <cell r="Q1002">
            <v>0</v>
          </cell>
        </row>
        <row r="1003">
          <cell r="D1003">
            <v>0</v>
          </cell>
          <cell r="E1003">
            <v>0</v>
          </cell>
          <cell r="F1003">
            <v>0</v>
          </cell>
          <cell r="H1003">
            <v>0</v>
          </cell>
          <cell r="J1003">
            <v>0</v>
          </cell>
          <cell r="P1003">
            <v>0</v>
          </cell>
          <cell r="Q1003">
            <v>0</v>
          </cell>
        </row>
        <row r="1004">
          <cell r="D1004">
            <v>0</v>
          </cell>
          <cell r="E1004">
            <v>0</v>
          </cell>
          <cell r="F1004">
            <v>0</v>
          </cell>
          <cell r="H1004">
            <v>0</v>
          </cell>
          <cell r="J1004">
            <v>0</v>
          </cell>
          <cell r="P1004">
            <v>0</v>
          </cell>
          <cell r="Q1004">
            <v>0</v>
          </cell>
        </row>
        <row r="1005">
          <cell r="D1005">
            <v>0</v>
          </cell>
          <cell r="E1005">
            <v>0</v>
          </cell>
          <cell r="F1005">
            <v>0</v>
          </cell>
          <cell r="H1005">
            <v>0</v>
          </cell>
          <cell r="J1005">
            <v>0</v>
          </cell>
          <cell r="P1005">
            <v>0</v>
          </cell>
          <cell r="Q1005">
            <v>0</v>
          </cell>
        </row>
        <row r="1006">
          <cell r="D1006">
            <v>0</v>
          </cell>
          <cell r="E1006">
            <v>0</v>
          </cell>
          <cell r="F1006">
            <v>0</v>
          </cell>
          <cell r="H1006">
            <v>0</v>
          </cell>
          <cell r="J1006">
            <v>0</v>
          </cell>
          <cell r="P1006">
            <v>0</v>
          </cell>
          <cell r="Q1006">
            <v>0</v>
          </cell>
        </row>
        <row r="1007">
          <cell r="D1007">
            <v>0</v>
          </cell>
          <cell r="E1007">
            <v>0</v>
          </cell>
          <cell r="F1007">
            <v>0</v>
          </cell>
          <cell r="H1007">
            <v>0</v>
          </cell>
          <cell r="J1007">
            <v>0</v>
          </cell>
          <cell r="P1007">
            <v>0</v>
          </cell>
          <cell r="Q1007">
            <v>0</v>
          </cell>
        </row>
        <row r="1008">
          <cell r="D1008">
            <v>0</v>
          </cell>
          <cell r="E1008">
            <v>0</v>
          </cell>
          <cell r="F1008">
            <v>0</v>
          </cell>
          <cell r="H1008">
            <v>0</v>
          </cell>
          <cell r="J1008">
            <v>0</v>
          </cell>
          <cell r="P1008">
            <v>0</v>
          </cell>
          <cell r="Q1008">
            <v>0</v>
          </cell>
        </row>
        <row r="1009">
          <cell r="D1009">
            <v>0</v>
          </cell>
          <cell r="E1009">
            <v>0</v>
          </cell>
          <cell r="F1009">
            <v>0</v>
          </cell>
          <cell r="H1009">
            <v>0</v>
          </cell>
          <cell r="J1009">
            <v>0</v>
          </cell>
          <cell r="P1009">
            <v>0</v>
          </cell>
          <cell r="Q1009">
            <v>0</v>
          </cell>
        </row>
        <row r="1010">
          <cell r="D1010">
            <v>0</v>
          </cell>
          <cell r="E1010">
            <v>0</v>
          </cell>
          <cell r="F1010">
            <v>0</v>
          </cell>
          <cell r="H1010">
            <v>0</v>
          </cell>
          <cell r="J1010">
            <v>0</v>
          </cell>
          <cell r="P1010">
            <v>0</v>
          </cell>
          <cell r="Q1010">
            <v>0</v>
          </cell>
        </row>
        <row r="1011">
          <cell r="D1011">
            <v>0</v>
          </cell>
          <cell r="E1011">
            <v>0</v>
          </cell>
          <cell r="F1011">
            <v>0</v>
          </cell>
          <cell r="H1011">
            <v>0</v>
          </cell>
          <cell r="J1011">
            <v>0</v>
          </cell>
          <cell r="P1011">
            <v>0</v>
          </cell>
          <cell r="Q1011">
            <v>0</v>
          </cell>
        </row>
        <row r="1012">
          <cell r="D1012">
            <v>0</v>
          </cell>
          <cell r="E1012">
            <v>0</v>
          </cell>
          <cell r="F1012">
            <v>0</v>
          </cell>
          <cell r="H1012">
            <v>0</v>
          </cell>
          <cell r="J1012">
            <v>0</v>
          </cell>
          <cell r="P1012">
            <v>0</v>
          </cell>
          <cell r="Q1012">
            <v>0</v>
          </cell>
        </row>
        <row r="1013">
          <cell r="D1013">
            <v>0</v>
          </cell>
          <cell r="E1013">
            <v>0</v>
          </cell>
          <cell r="F1013">
            <v>0</v>
          </cell>
          <cell r="H1013">
            <v>0</v>
          </cell>
          <cell r="J1013">
            <v>0</v>
          </cell>
          <cell r="P1013">
            <v>0</v>
          </cell>
          <cell r="Q1013">
            <v>0</v>
          </cell>
        </row>
        <row r="1014">
          <cell r="D1014">
            <v>0</v>
          </cell>
          <cell r="E1014">
            <v>0</v>
          </cell>
          <cell r="F1014">
            <v>0</v>
          </cell>
          <cell r="H1014">
            <v>0</v>
          </cell>
          <cell r="J1014">
            <v>0</v>
          </cell>
          <cell r="P1014">
            <v>0</v>
          </cell>
          <cell r="Q1014">
            <v>0</v>
          </cell>
        </row>
        <row r="1015">
          <cell r="D1015">
            <v>0</v>
          </cell>
          <cell r="E1015">
            <v>0</v>
          </cell>
          <cell r="F1015">
            <v>0</v>
          </cell>
          <cell r="H1015">
            <v>0</v>
          </cell>
          <cell r="J1015">
            <v>0</v>
          </cell>
          <cell r="P1015">
            <v>0</v>
          </cell>
          <cell r="Q1015">
            <v>0</v>
          </cell>
        </row>
        <row r="1016">
          <cell r="D1016">
            <v>0</v>
          </cell>
          <cell r="E1016">
            <v>0</v>
          </cell>
          <cell r="F1016">
            <v>0</v>
          </cell>
          <cell r="H1016">
            <v>0</v>
          </cell>
          <cell r="J1016">
            <v>0</v>
          </cell>
          <cell r="P1016">
            <v>0</v>
          </cell>
          <cell r="Q1016">
            <v>0</v>
          </cell>
        </row>
        <row r="1017">
          <cell r="D1017">
            <v>0</v>
          </cell>
          <cell r="E1017">
            <v>0</v>
          </cell>
          <cell r="F1017">
            <v>0</v>
          </cell>
          <cell r="H1017">
            <v>0</v>
          </cell>
          <cell r="J1017">
            <v>0</v>
          </cell>
          <cell r="P1017">
            <v>0</v>
          </cell>
          <cell r="Q1017">
            <v>0</v>
          </cell>
        </row>
        <row r="1018">
          <cell r="D1018">
            <v>0</v>
          </cell>
          <cell r="E1018">
            <v>0</v>
          </cell>
          <cell r="F1018">
            <v>0</v>
          </cell>
          <cell r="H1018">
            <v>0</v>
          </cell>
          <cell r="J1018">
            <v>0</v>
          </cell>
          <cell r="P1018">
            <v>0</v>
          </cell>
          <cell r="Q1018">
            <v>0</v>
          </cell>
        </row>
        <row r="1019">
          <cell r="D1019">
            <v>0</v>
          </cell>
          <cell r="E1019">
            <v>0</v>
          </cell>
          <cell r="F1019">
            <v>0</v>
          </cell>
          <cell r="H1019">
            <v>0</v>
          </cell>
          <cell r="J1019">
            <v>0</v>
          </cell>
          <cell r="P1019">
            <v>0</v>
          </cell>
          <cell r="Q1019">
            <v>0</v>
          </cell>
        </row>
        <row r="1020">
          <cell r="D1020">
            <v>0</v>
          </cell>
          <cell r="E1020">
            <v>0</v>
          </cell>
          <cell r="F1020">
            <v>0</v>
          </cell>
          <cell r="H1020">
            <v>0</v>
          </cell>
          <cell r="J1020">
            <v>0</v>
          </cell>
          <cell r="P1020">
            <v>0</v>
          </cell>
          <cell r="Q1020">
            <v>0</v>
          </cell>
        </row>
        <row r="1021">
          <cell r="D1021">
            <v>0</v>
          </cell>
          <cell r="E1021">
            <v>0</v>
          </cell>
          <cell r="F1021">
            <v>0</v>
          </cell>
          <cell r="H1021">
            <v>0</v>
          </cell>
          <cell r="J1021">
            <v>0</v>
          </cell>
          <cell r="P1021">
            <v>0</v>
          </cell>
          <cell r="Q1021">
            <v>0</v>
          </cell>
        </row>
        <row r="1022">
          <cell r="D1022">
            <v>0</v>
          </cell>
          <cell r="E1022">
            <v>0</v>
          </cell>
          <cell r="F1022">
            <v>0</v>
          </cell>
          <cell r="H1022">
            <v>0</v>
          </cell>
          <cell r="J1022">
            <v>0</v>
          </cell>
          <cell r="P1022">
            <v>0</v>
          </cell>
          <cell r="Q1022">
            <v>0</v>
          </cell>
        </row>
        <row r="1023">
          <cell r="D1023">
            <v>0</v>
          </cell>
          <cell r="E1023">
            <v>0</v>
          </cell>
          <cell r="F1023">
            <v>0</v>
          </cell>
          <cell r="H1023">
            <v>0</v>
          </cell>
          <cell r="J1023">
            <v>0</v>
          </cell>
          <cell r="P1023">
            <v>0</v>
          </cell>
          <cell r="Q1023">
            <v>0</v>
          </cell>
        </row>
        <row r="1024">
          <cell r="D1024">
            <v>0</v>
          </cell>
          <cell r="E1024">
            <v>0</v>
          </cell>
          <cell r="F1024">
            <v>0</v>
          </cell>
          <cell r="H1024">
            <v>0</v>
          </cell>
          <cell r="J1024">
            <v>0</v>
          </cell>
          <cell r="P1024">
            <v>0</v>
          </cell>
          <cell r="Q1024">
            <v>0</v>
          </cell>
        </row>
        <row r="1025">
          <cell r="D1025">
            <v>0</v>
          </cell>
          <cell r="E1025">
            <v>0</v>
          </cell>
          <cell r="F1025">
            <v>0</v>
          </cell>
          <cell r="H1025">
            <v>0</v>
          </cell>
          <cell r="J1025">
            <v>0</v>
          </cell>
          <cell r="P1025">
            <v>0</v>
          </cell>
          <cell r="Q1025">
            <v>0</v>
          </cell>
        </row>
        <row r="1026">
          <cell r="D1026">
            <v>0</v>
          </cell>
          <cell r="E1026">
            <v>0</v>
          </cell>
          <cell r="F1026">
            <v>0</v>
          </cell>
          <cell r="H1026">
            <v>0</v>
          </cell>
          <cell r="J1026">
            <v>0</v>
          </cell>
          <cell r="P1026">
            <v>0</v>
          </cell>
          <cell r="Q1026">
            <v>0</v>
          </cell>
        </row>
        <row r="1027">
          <cell r="D1027">
            <v>0</v>
          </cell>
          <cell r="E1027">
            <v>0</v>
          </cell>
          <cell r="F1027">
            <v>0</v>
          </cell>
          <cell r="H1027">
            <v>0</v>
          </cell>
          <cell r="J1027">
            <v>0</v>
          </cell>
          <cell r="P1027">
            <v>0</v>
          </cell>
          <cell r="Q1027">
            <v>0</v>
          </cell>
        </row>
        <row r="1028">
          <cell r="D1028">
            <v>0</v>
          </cell>
          <cell r="E1028">
            <v>0</v>
          </cell>
          <cell r="F1028">
            <v>0</v>
          </cell>
          <cell r="H1028">
            <v>0</v>
          </cell>
          <cell r="J1028">
            <v>0</v>
          </cell>
          <cell r="P1028">
            <v>0</v>
          </cell>
          <cell r="Q1028">
            <v>0</v>
          </cell>
        </row>
        <row r="1029">
          <cell r="D1029">
            <v>0</v>
          </cell>
          <cell r="E1029">
            <v>0</v>
          </cell>
          <cell r="F1029">
            <v>0</v>
          </cell>
          <cell r="H1029">
            <v>0</v>
          </cell>
          <cell r="J1029">
            <v>0</v>
          </cell>
          <cell r="P1029">
            <v>0</v>
          </cell>
          <cell r="Q1029">
            <v>0</v>
          </cell>
        </row>
        <row r="1030">
          <cell r="D1030">
            <v>0</v>
          </cell>
          <cell r="E1030">
            <v>0</v>
          </cell>
          <cell r="F1030">
            <v>0</v>
          </cell>
          <cell r="H1030">
            <v>0</v>
          </cell>
          <cell r="J1030">
            <v>0</v>
          </cell>
          <cell r="P1030">
            <v>0</v>
          </cell>
          <cell r="Q1030">
            <v>0</v>
          </cell>
        </row>
        <row r="1031">
          <cell r="D1031">
            <v>0</v>
          </cell>
          <cell r="E1031">
            <v>0</v>
          </cell>
          <cell r="F1031">
            <v>0</v>
          </cell>
          <cell r="H1031">
            <v>0</v>
          </cell>
          <cell r="J1031">
            <v>0</v>
          </cell>
          <cell r="P1031">
            <v>0</v>
          </cell>
          <cell r="Q1031">
            <v>0</v>
          </cell>
        </row>
        <row r="1032">
          <cell r="D1032">
            <v>0</v>
          </cell>
          <cell r="E1032">
            <v>0</v>
          </cell>
          <cell r="F1032">
            <v>0</v>
          </cell>
          <cell r="H1032">
            <v>0</v>
          </cell>
          <cell r="J1032">
            <v>0</v>
          </cell>
          <cell r="P1032">
            <v>0</v>
          </cell>
          <cell r="Q1032">
            <v>0</v>
          </cell>
        </row>
        <row r="1033">
          <cell r="D1033">
            <v>0</v>
          </cell>
          <cell r="E1033">
            <v>0</v>
          </cell>
          <cell r="F1033">
            <v>0</v>
          </cell>
          <cell r="H1033">
            <v>0</v>
          </cell>
          <cell r="J1033">
            <v>0</v>
          </cell>
          <cell r="P1033">
            <v>0</v>
          </cell>
          <cell r="Q1033">
            <v>0</v>
          </cell>
        </row>
        <row r="1034">
          <cell r="D1034">
            <v>0</v>
          </cell>
          <cell r="E1034">
            <v>0</v>
          </cell>
          <cell r="F1034">
            <v>0</v>
          </cell>
          <cell r="H1034">
            <v>0</v>
          </cell>
          <cell r="J1034">
            <v>0</v>
          </cell>
          <cell r="P1034">
            <v>0</v>
          </cell>
          <cell r="Q1034">
            <v>0</v>
          </cell>
        </row>
        <row r="1035">
          <cell r="D1035">
            <v>0</v>
          </cell>
          <cell r="E1035">
            <v>0</v>
          </cell>
          <cell r="F1035">
            <v>0</v>
          </cell>
          <cell r="H1035">
            <v>0</v>
          </cell>
          <cell r="J1035">
            <v>0</v>
          </cell>
          <cell r="P1035">
            <v>0</v>
          </cell>
          <cell r="Q1035">
            <v>0</v>
          </cell>
        </row>
        <row r="1036">
          <cell r="D1036">
            <v>0</v>
          </cell>
          <cell r="E1036">
            <v>0</v>
          </cell>
          <cell r="F1036">
            <v>0</v>
          </cell>
          <cell r="H1036">
            <v>0</v>
          </cell>
          <cell r="J1036">
            <v>0</v>
          </cell>
          <cell r="P1036">
            <v>0</v>
          </cell>
          <cell r="Q1036">
            <v>0</v>
          </cell>
        </row>
        <row r="1037">
          <cell r="D1037">
            <v>0</v>
          </cell>
          <cell r="E1037">
            <v>0</v>
          </cell>
          <cell r="F1037">
            <v>0</v>
          </cell>
          <cell r="H1037">
            <v>0</v>
          </cell>
          <cell r="J1037">
            <v>0</v>
          </cell>
          <cell r="P1037">
            <v>0</v>
          </cell>
          <cell r="Q1037">
            <v>0</v>
          </cell>
        </row>
        <row r="1038">
          <cell r="D1038">
            <v>0</v>
          </cell>
          <cell r="E1038">
            <v>0</v>
          </cell>
          <cell r="F1038">
            <v>0</v>
          </cell>
          <cell r="H1038">
            <v>0</v>
          </cell>
          <cell r="J1038">
            <v>0</v>
          </cell>
          <cell r="P1038">
            <v>0</v>
          </cell>
          <cell r="Q1038">
            <v>0</v>
          </cell>
        </row>
        <row r="1039">
          <cell r="D1039">
            <v>0</v>
          </cell>
          <cell r="E1039">
            <v>0</v>
          </cell>
          <cell r="F1039">
            <v>0</v>
          </cell>
          <cell r="H1039">
            <v>0</v>
          </cell>
          <cell r="J1039">
            <v>0</v>
          </cell>
          <cell r="P1039">
            <v>0</v>
          </cell>
          <cell r="Q1039">
            <v>0</v>
          </cell>
        </row>
        <row r="1040">
          <cell r="D1040">
            <v>0</v>
          </cell>
          <cell r="E1040">
            <v>0</v>
          </cell>
          <cell r="F1040">
            <v>0</v>
          </cell>
          <cell r="H1040">
            <v>0</v>
          </cell>
          <cell r="J1040">
            <v>0</v>
          </cell>
          <cell r="P1040">
            <v>0</v>
          </cell>
          <cell r="Q1040">
            <v>0</v>
          </cell>
        </row>
        <row r="1041">
          <cell r="D1041">
            <v>0</v>
          </cell>
          <cell r="E1041">
            <v>0</v>
          </cell>
          <cell r="F1041">
            <v>0</v>
          </cell>
          <cell r="H1041">
            <v>0</v>
          </cell>
          <cell r="J1041">
            <v>0</v>
          </cell>
          <cell r="P1041">
            <v>0</v>
          </cell>
          <cell r="Q1041">
            <v>0</v>
          </cell>
        </row>
        <row r="1042">
          <cell r="D1042">
            <v>0</v>
          </cell>
          <cell r="E1042">
            <v>0</v>
          </cell>
          <cell r="F1042">
            <v>0</v>
          </cell>
          <cell r="H1042">
            <v>0</v>
          </cell>
          <cell r="J1042">
            <v>0</v>
          </cell>
          <cell r="P1042">
            <v>0</v>
          </cell>
          <cell r="Q1042">
            <v>0</v>
          </cell>
        </row>
        <row r="1043">
          <cell r="D1043">
            <v>0</v>
          </cell>
          <cell r="E1043">
            <v>0</v>
          </cell>
          <cell r="F1043">
            <v>0</v>
          </cell>
          <cell r="H1043">
            <v>0</v>
          </cell>
          <cell r="J1043">
            <v>0</v>
          </cell>
          <cell r="P1043">
            <v>0</v>
          </cell>
          <cell r="Q1043">
            <v>0</v>
          </cell>
        </row>
        <row r="1044">
          <cell r="D1044">
            <v>0</v>
          </cell>
          <cell r="E1044">
            <v>0</v>
          </cell>
          <cell r="F1044">
            <v>0</v>
          </cell>
          <cell r="H1044">
            <v>0</v>
          </cell>
          <cell r="J1044">
            <v>0</v>
          </cell>
          <cell r="P1044">
            <v>0</v>
          </cell>
          <cell r="Q1044">
            <v>0</v>
          </cell>
        </row>
        <row r="1045">
          <cell r="D1045">
            <v>0</v>
          </cell>
          <cell r="E1045">
            <v>0</v>
          </cell>
          <cell r="F1045">
            <v>0</v>
          </cell>
          <cell r="H1045">
            <v>0</v>
          </cell>
          <cell r="J1045">
            <v>0</v>
          </cell>
          <cell r="P1045">
            <v>0</v>
          </cell>
          <cell r="Q1045">
            <v>0</v>
          </cell>
        </row>
        <row r="1046">
          <cell r="D1046">
            <v>0</v>
          </cell>
          <cell r="E1046">
            <v>0</v>
          </cell>
          <cell r="F1046">
            <v>0</v>
          </cell>
          <cell r="H1046">
            <v>0</v>
          </cell>
          <cell r="J1046">
            <v>0</v>
          </cell>
          <cell r="P1046">
            <v>0</v>
          </cell>
          <cell r="Q1046">
            <v>0</v>
          </cell>
        </row>
        <row r="1047">
          <cell r="D1047">
            <v>0</v>
          </cell>
          <cell r="E1047">
            <v>0</v>
          </cell>
          <cell r="F1047">
            <v>0</v>
          </cell>
          <cell r="H1047">
            <v>0</v>
          </cell>
          <cell r="J1047">
            <v>0</v>
          </cell>
          <cell r="P1047">
            <v>0</v>
          </cell>
          <cell r="Q1047">
            <v>0</v>
          </cell>
        </row>
        <row r="1048">
          <cell r="D1048">
            <v>0</v>
          </cell>
          <cell r="E1048">
            <v>0</v>
          </cell>
          <cell r="F1048">
            <v>0</v>
          </cell>
          <cell r="H1048">
            <v>0</v>
          </cell>
          <cell r="J1048">
            <v>0</v>
          </cell>
          <cell r="P1048">
            <v>0</v>
          </cell>
          <cell r="Q1048">
            <v>0</v>
          </cell>
        </row>
        <row r="1049">
          <cell r="D1049">
            <v>0</v>
          </cell>
          <cell r="E1049">
            <v>0</v>
          </cell>
          <cell r="F1049">
            <v>0</v>
          </cell>
          <cell r="H1049">
            <v>0</v>
          </cell>
          <cell r="J1049">
            <v>0</v>
          </cell>
          <cell r="P1049">
            <v>0</v>
          </cell>
          <cell r="Q1049">
            <v>0</v>
          </cell>
        </row>
        <row r="1050">
          <cell r="D1050">
            <v>0</v>
          </cell>
          <cell r="E1050">
            <v>0</v>
          </cell>
          <cell r="F1050">
            <v>0</v>
          </cell>
          <cell r="H1050">
            <v>0</v>
          </cell>
          <cell r="J1050">
            <v>0</v>
          </cell>
          <cell r="P1050">
            <v>0</v>
          </cell>
          <cell r="Q1050">
            <v>0</v>
          </cell>
        </row>
        <row r="1051">
          <cell r="D1051">
            <v>0</v>
          </cell>
          <cell r="E1051">
            <v>0</v>
          </cell>
          <cell r="F1051">
            <v>0</v>
          </cell>
          <cell r="H1051">
            <v>0</v>
          </cell>
          <cell r="J1051">
            <v>0</v>
          </cell>
          <cell r="P1051">
            <v>0</v>
          </cell>
          <cell r="Q1051">
            <v>0</v>
          </cell>
        </row>
        <row r="1052">
          <cell r="D1052">
            <v>0</v>
          </cell>
          <cell r="E1052">
            <v>0</v>
          </cell>
          <cell r="F1052">
            <v>0</v>
          </cell>
          <cell r="H1052">
            <v>0</v>
          </cell>
          <cell r="J1052">
            <v>0</v>
          </cell>
          <cell r="P1052">
            <v>0</v>
          </cell>
          <cell r="Q1052">
            <v>0</v>
          </cell>
        </row>
        <row r="1053">
          <cell r="D1053">
            <v>0</v>
          </cell>
          <cell r="E1053">
            <v>0</v>
          </cell>
          <cell r="F1053">
            <v>0</v>
          </cell>
          <cell r="H1053">
            <v>0</v>
          </cell>
          <cell r="J1053">
            <v>0</v>
          </cell>
          <cell r="P1053">
            <v>0</v>
          </cell>
          <cell r="Q1053">
            <v>0</v>
          </cell>
        </row>
        <row r="1054">
          <cell r="D1054">
            <v>0</v>
          </cell>
          <cell r="E1054">
            <v>0</v>
          </cell>
          <cell r="F1054">
            <v>0</v>
          </cell>
          <cell r="H1054">
            <v>0</v>
          </cell>
          <cell r="J1054">
            <v>0</v>
          </cell>
          <cell r="P1054">
            <v>0</v>
          </cell>
          <cell r="Q1054">
            <v>0</v>
          </cell>
        </row>
        <row r="1055">
          <cell r="D1055">
            <v>0</v>
          </cell>
          <cell r="E1055">
            <v>0</v>
          </cell>
          <cell r="F1055">
            <v>0</v>
          </cell>
          <cell r="H1055">
            <v>0</v>
          </cell>
          <cell r="J1055">
            <v>0</v>
          </cell>
          <cell r="P1055">
            <v>0</v>
          </cell>
          <cell r="Q1055">
            <v>0</v>
          </cell>
        </row>
        <row r="1056">
          <cell r="D1056">
            <v>0</v>
          </cell>
          <cell r="E1056">
            <v>0</v>
          </cell>
          <cell r="F1056">
            <v>0</v>
          </cell>
          <cell r="H1056">
            <v>0</v>
          </cell>
          <cell r="J1056">
            <v>0</v>
          </cell>
          <cell r="P1056">
            <v>0</v>
          </cell>
          <cell r="Q1056">
            <v>0</v>
          </cell>
        </row>
        <row r="1057">
          <cell r="D1057">
            <v>0</v>
          </cell>
          <cell r="E1057">
            <v>0</v>
          </cell>
          <cell r="F1057">
            <v>0</v>
          </cell>
          <cell r="H1057">
            <v>0</v>
          </cell>
          <cell r="J1057">
            <v>0</v>
          </cell>
          <cell r="P1057">
            <v>0</v>
          </cell>
          <cell r="Q1057">
            <v>0</v>
          </cell>
        </row>
        <row r="1058">
          <cell r="D1058">
            <v>0</v>
          </cell>
          <cell r="E1058">
            <v>0</v>
          </cell>
          <cell r="F1058">
            <v>0</v>
          </cell>
          <cell r="H1058">
            <v>0</v>
          </cell>
          <cell r="J1058">
            <v>0</v>
          </cell>
          <cell r="P1058">
            <v>0</v>
          </cell>
          <cell r="Q1058">
            <v>0</v>
          </cell>
        </row>
        <row r="1059">
          <cell r="D1059">
            <v>0</v>
          </cell>
          <cell r="E1059">
            <v>0</v>
          </cell>
          <cell r="F1059">
            <v>0</v>
          </cell>
          <cell r="H1059">
            <v>0</v>
          </cell>
          <cell r="J1059">
            <v>0</v>
          </cell>
          <cell r="P1059">
            <v>0</v>
          </cell>
          <cell r="Q1059">
            <v>0</v>
          </cell>
        </row>
        <row r="1060">
          <cell r="D1060">
            <v>0</v>
          </cell>
          <cell r="E1060">
            <v>0</v>
          </cell>
          <cell r="F1060">
            <v>0</v>
          </cell>
          <cell r="H1060">
            <v>0</v>
          </cell>
          <cell r="J1060">
            <v>0</v>
          </cell>
          <cell r="P1060">
            <v>0</v>
          </cell>
          <cell r="Q1060">
            <v>0</v>
          </cell>
        </row>
        <row r="1061">
          <cell r="D1061">
            <v>0</v>
          </cell>
          <cell r="E1061">
            <v>0</v>
          </cell>
          <cell r="F1061">
            <v>0</v>
          </cell>
          <cell r="H1061">
            <v>0</v>
          </cell>
          <cell r="J1061">
            <v>0</v>
          </cell>
          <cell r="P1061">
            <v>0</v>
          </cell>
          <cell r="Q1061">
            <v>0</v>
          </cell>
        </row>
        <row r="1062">
          <cell r="D1062">
            <v>0</v>
          </cell>
          <cell r="E1062">
            <v>0</v>
          </cell>
          <cell r="F1062">
            <v>0</v>
          </cell>
          <cell r="H1062">
            <v>0</v>
          </cell>
          <cell r="J1062">
            <v>0</v>
          </cell>
          <cell r="P1062">
            <v>0</v>
          </cell>
          <cell r="Q1062">
            <v>0</v>
          </cell>
        </row>
        <row r="1063">
          <cell r="D1063">
            <v>0</v>
          </cell>
          <cell r="E1063">
            <v>0</v>
          </cell>
          <cell r="F1063">
            <v>0</v>
          </cell>
          <cell r="H1063">
            <v>0</v>
          </cell>
          <cell r="J1063">
            <v>0</v>
          </cell>
          <cell r="P1063">
            <v>0</v>
          </cell>
          <cell r="Q1063">
            <v>0</v>
          </cell>
        </row>
        <row r="1064">
          <cell r="D1064">
            <v>0</v>
          </cell>
          <cell r="E1064">
            <v>0</v>
          </cell>
          <cell r="F1064">
            <v>0</v>
          </cell>
          <cell r="H1064">
            <v>0</v>
          </cell>
          <cell r="J1064">
            <v>0</v>
          </cell>
          <cell r="P1064">
            <v>0</v>
          </cell>
          <cell r="Q1064">
            <v>0</v>
          </cell>
        </row>
        <row r="1065">
          <cell r="D1065">
            <v>0</v>
          </cell>
          <cell r="E1065">
            <v>0</v>
          </cell>
          <cell r="F1065">
            <v>0</v>
          </cell>
          <cell r="H1065">
            <v>0</v>
          </cell>
          <cell r="J1065">
            <v>0</v>
          </cell>
          <cell r="P1065">
            <v>0</v>
          </cell>
          <cell r="Q1065">
            <v>0</v>
          </cell>
        </row>
        <row r="1066">
          <cell r="D1066">
            <v>0</v>
          </cell>
          <cell r="E1066">
            <v>0</v>
          </cell>
          <cell r="F1066">
            <v>0</v>
          </cell>
          <cell r="H1066">
            <v>0</v>
          </cell>
          <cell r="J1066">
            <v>0</v>
          </cell>
          <cell r="P1066">
            <v>0</v>
          </cell>
          <cell r="Q1066">
            <v>0</v>
          </cell>
        </row>
        <row r="1067">
          <cell r="D1067">
            <v>0</v>
          </cell>
          <cell r="E1067">
            <v>0</v>
          </cell>
          <cell r="F1067">
            <v>0</v>
          </cell>
          <cell r="H1067">
            <v>0</v>
          </cell>
          <cell r="J1067">
            <v>0</v>
          </cell>
          <cell r="P1067">
            <v>0</v>
          </cell>
          <cell r="Q1067">
            <v>0</v>
          </cell>
        </row>
        <row r="1068">
          <cell r="D1068">
            <v>0</v>
          </cell>
          <cell r="E1068">
            <v>0</v>
          </cell>
          <cell r="F1068">
            <v>0</v>
          </cell>
          <cell r="H1068">
            <v>0</v>
          </cell>
          <cell r="J1068">
            <v>0</v>
          </cell>
          <cell r="P1068">
            <v>0</v>
          </cell>
          <cell r="Q1068">
            <v>0</v>
          </cell>
        </row>
        <row r="1069">
          <cell r="D1069">
            <v>0</v>
          </cell>
          <cell r="E1069">
            <v>0</v>
          </cell>
          <cell r="F1069">
            <v>0</v>
          </cell>
          <cell r="H1069">
            <v>0</v>
          </cell>
          <cell r="J1069">
            <v>0</v>
          </cell>
          <cell r="P1069">
            <v>0</v>
          </cell>
          <cell r="Q1069">
            <v>0</v>
          </cell>
        </row>
        <row r="1070">
          <cell r="D1070">
            <v>0</v>
          </cell>
          <cell r="E1070">
            <v>0</v>
          </cell>
          <cell r="F1070">
            <v>0</v>
          </cell>
          <cell r="H1070">
            <v>0</v>
          </cell>
          <cell r="J1070">
            <v>0</v>
          </cell>
          <cell r="P1070">
            <v>0</v>
          </cell>
          <cell r="Q1070">
            <v>0</v>
          </cell>
        </row>
        <row r="1071">
          <cell r="D1071">
            <v>0</v>
          </cell>
          <cell r="E1071">
            <v>0</v>
          </cell>
          <cell r="F1071">
            <v>0</v>
          </cell>
          <cell r="H1071">
            <v>0</v>
          </cell>
          <cell r="J1071">
            <v>0</v>
          </cell>
          <cell r="P1071">
            <v>0</v>
          </cell>
          <cell r="Q1071">
            <v>0</v>
          </cell>
        </row>
        <row r="1072">
          <cell r="D1072">
            <v>0</v>
          </cell>
          <cell r="E1072">
            <v>0</v>
          </cell>
          <cell r="F1072">
            <v>0</v>
          </cell>
          <cell r="H1072">
            <v>0</v>
          </cell>
          <cell r="J1072">
            <v>0</v>
          </cell>
          <cell r="P1072">
            <v>0</v>
          </cell>
          <cell r="Q1072">
            <v>0</v>
          </cell>
        </row>
        <row r="1073">
          <cell r="D1073">
            <v>0</v>
          </cell>
          <cell r="E1073">
            <v>0</v>
          </cell>
          <cell r="F1073">
            <v>0</v>
          </cell>
          <cell r="H1073">
            <v>0</v>
          </cell>
          <cell r="J1073">
            <v>0</v>
          </cell>
          <cell r="P1073">
            <v>0</v>
          </cell>
          <cell r="Q1073">
            <v>0</v>
          </cell>
        </row>
        <row r="1074">
          <cell r="D1074">
            <v>0</v>
          </cell>
          <cell r="E1074">
            <v>0</v>
          </cell>
          <cell r="F1074">
            <v>0</v>
          </cell>
          <cell r="H1074">
            <v>0</v>
          </cell>
          <cell r="J1074">
            <v>0</v>
          </cell>
          <cell r="P1074">
            <v>0</v>
          </cell>
          <cell r="Q1074">
            <v>0</v>
          </cell>
        </row>
        <row r="1075">
          <cell r="D1075">
            <v>0</v>
          </cell>
          <cell r="E1075">
            <v>0</v>
          </cell>
          <cell r="F1075">
            <v>0</v>
          </cell>
          <cell r="H1075">
            <v>0</v>
          </cell>
          <cell r="J1075">
            <v>0</v>
          </cell>
          <cell r="P1075">
            <v>0</v>
          </cell>
          <cell r="Q1075">
            <v>0</v>
          </cell>
        </row>
        <row r="1076">
          <cell r="D1076">
            <v>0</v>
          </cell>
          <cell r="E1076">
            <v>0</v>
          </cell>
          <cell r="F1076">
            <v>0</v>
          </cell>
          <cell r="H1076">
            <v>0</v>
          </cell>
          <cell r="J1076">
            <v>0</v>
          </cell>
          <cell r="P1076">
            <v>0</v>
          </cell>
          <cell r="Q1076">
            <v>0</v>
          </cell>
        </row>
        <row r="1077">
          <cell r="D1077">
            <v>0</v>
          </cell>
          <cell r="E1077">
            <v>0</v>
          </cell>
          <cell r="F1077">
            <v>0</v>
          </cell>
          <cell r="H1077">
            <v>0</v>
          </cell>
          <cell r="J1077">
            <v>0</v>
          </cell>
          <cell r="P1077">
            <v>0</v>
          </cell>
          <cell r="Q1077">
            <v>0</v>
          </cell>
        </row>
        <row r="1078">
          <cell r="D1078">
            <v>0</v>
          </cell>
          <cell r="E1078">
            <v>0</v>
          </cell>
          <cell r="F1078">
            <v>0</v>
          </cell>
          <cell r="H1078">
            <v>0</v>
          </cell>
          <cell r="J1078">
            <v>0</v>
          </cell>
          <cell r="P1078">
            <v>0</v>
          </cell>
          <cell r="Q1078">
            <v>0</v>
          </cell>
        </row>
        <row r="1079">
          <cell r="D1079">
            <v>0</v>
          </cell>
          <cell r="E1079">
            <v>0</v>
          </cell>
          <cell r="F1079">
            <v>0</v>
          </cell>
          <cell r="H1079">
            <v>0</v>
          </cell>
          <cell r="J1079">
            <v>0</v>
          </cell>
          <cell r="P1079">
            <v>0</v>
          </cell>
          <cell r="Q1079">
            <v>0</v>
          </cell>
        </row>
        <row r="1080">
          <cell r="D1080">
            <v>0</v>
          </cell>
          <cell r="E1080">
            <v>0</v>
          </cell>
          <cell r="F1080">
            <v>0</v>
          </cell>
          <cell r="H1080">
            <v>0</v>
          </cell>
          <cell r="J1080">
            <v>0</v>
          </cell>
          <cell r="P1080">
            <v>0</v>
          </cell>
          <cell r="Q1080">
            <v>0</v>
          </cell>
        </row>
        <row r="1081">
          <cell r="D1081">
            <v>0</v>
          </cell>
          <cell r="E1081">
            <v>0</v>
          </cell>
          <cell r="F1081">
            <v>0</v>
          </cell>
          <cell r="H1081">
            <v>0</v>
          </cell>
          <cell r="J1081">
            <v>0</v>
          </cell>
          <cell r="P1081">
            <v>0</v>
          </cell>
          <cell r="Q1081">
            <v>0</v>
          </cell>
        </row>
        <row r="1082">
          <cell r="D1082">
            <v>0</v>
          </cell>
          <cell r="E1082">
            <v>0</v>
          </cell>
          <cell r="F1082">
            <v>0</v>
          </cell>
          <cell r="H1082">
            <v>0</v>
          </cell>
          <cell r="J1082">
            <v>0</v>
          </cell>
          <cell r="P1082">
            <v>0</v>
          </cell>
          <cell r="Q1082">
            <v>0</v>
          </cell>
        </row>
        <row r="1083">
          <cell r="D1083">
            <v>0</v>
          </cell>
          <cell r="E1083">
            <v>0</v>
          </cell>
          <cell r="F1083">
            <v>0</v>
          </cell>
          <cell r="H1083">
            <v>0</v>
          </cell>
          <cell r="J1083">
            <v>0</v>
          </cell>
          <cell r="P1083">
            <v>0</v>
          </cell>
          <cell r="Q1083">
            <v>0</v>
          </cell>
        </row>
        <row r="1084">
          <cell r="D1084">
            <v>0</v>
          </cell>
          <cell r="E1084">
            <v>0</v>
          </cell>
          <cell r="F1084">
            <v>0</v>
          </cell>
          <cell r="H1084">
            <v>0</v>
          </cell>
          <cell r="J1084">
            <v>0</v>
          </cell>
          <cell r="P1084">
            <v>0</v>
          </cell>
          <cell r="Q1084">
            <v>0</v>
          </cell>
        </row>
        <row r="1085">
          <cell r="D1085">
            <v>0</v>
          </cell>
          <cell r="E1085">
            <v>0</v>
          </cell>
          <cell r="F1085">
            <v>0</v>
          </cell>
          <cell r="H1085">
            <v>0</v>
          </cell>
          <cell r="J1085">
            <v>0</v>
          </cell>
          <cell r="P1085">
            <v>0</v>
          </cell>
          <cell r="Q1085">
            <v>0</v>
          </cell>
        </row>
        <row r="1086">
          <cell r="D1086">
            <v>0</v>
          </cell>
          <cell r="E1086">
            <v>0</v>
          </cell>
          <cell r="F1086">
            <v>0</v>
          </cell>
          <cell r="H1086">
            <v>0</v>
          </cell>
          <cell r="J1086">
            <v>0</v>
          </cell>
          <cell r="P1086">
            <v>0</v>
          </cell>
          <cell r="Q1086">
            <v>0</v>
          </cell>
        </row>
        <row r="1087">
          <cell r="D1087">
            <v>0</v>
          </cell>
          <cell r="E1087">
            <v>0</v>
          </cell>
          <cell r="F1087">
            <v>0</v>
          </cell>
          <cell r="H1087">
            <v>0</v>
          </cell>
          <cell r="J1087">
            <v>0</v>
          </cell>
          <cell r="P1087">
            <v>0</v>
          </cell>
          <cell r="Q1087">
            <v>0</v>
          </cell>
        </row>
        <row r="1088">
          <cell r="D1088">
            <v>0</v>
          </cell>
          <cell r="E1088">
            <v>0</v>
          </cell>
          <cell r="F1088">
            <v>0</v>
          </cell>
          <cell r="H1088">
            <v>0</v>
          </cell>
          <cell r="J1088">
            <v>0</v>
          </cell>
          <cell r="P1088">
            <v>0</v>
          </cell>
          <cell r="Q1088">
            <v>0</v>
          </cell>
        </row>
        <row r="1089">
          <cell r="D1089">
            <v>0</v>
          </cell>
          <cell r="E1089">
            <v>0</v>
          </cell>
          <cell r="F1089">
            <v>0</v>
          </cell>
          <cell r="H1089">
            <v>0</v>
          </cell>
          <cell r="J1089">
            <v>0</v>
          </cell>
          <cell r="P1089">
            <v>0</v>
          </cell>
          <cell r="Q1089">
            <v>0</v>
          </cell>
        </row>
        <row r="1090">
          <cell r="D1090">
            <v>0</v>
          </cell>
          <cell r="E1090">
            <v>0</v>
          </cell>
          <cell r="F1090">
            <v>0</v>
          </cell>
          <cell r="H1090">
            <v>0</v>
          </cell>
          <cell r="J1090">
            <v>0</v>
          </cell>
          <cell r="P1090">
            <v>0</v>
          </cell>
          <cell r="Q1090">
            <v>0</v>
          </cell>
        </row>
        <row r="1091">
          <cell r="D1091">
            <v>0</v>
          </cell>
          <cell r="E1091">
            <v>0</v>
          </cell>
          <cell r="F1091">
            <v>0</v>
          </cell>
          <cell r="H1091">
            <v>0</v>
          </cell>
          <cell r="J1091">
            <v>0</v>
          </cell>
          <cell r="P1091">
            <v>0</v>
          </cell>
          <cell r="Q1091">
            <v>0</v>
          </cell>
        </row>
        <row r="1092">
          <cell r="D1092">
            <v>0</v>
          </cell>
          <cell r="E1092">
            <v>0</v>
          </cell>
          <cell r="F1092">
            <v>0</v>
          </cell>
          <cell r="H1092">
            <v>0</v>
          </cell>
          <cell r="J1092">
            <v>0</v>
          </cell>
          <cell r="P1092">
            <v>0</v>
          </cell>
          <cell r="Q1092">
            <v>0</v>
          </cell>
        </row>
        <row r="1093">
          <cell r="D1093">
            <v>0</v>
          </cell>
          <cell r="E1093">
            <v>0</v>
          </cell>
          <cell r="F1093">
            <v>0</v>
          </cell>
          <cell r="H1093">
            <v>0</v>
          </cell>
          <cell r="J1093">
            <v>0</v>
          </cell>
          <cell r="P1093">
            <v>0</v>
          </cell>
          <cell r="Q1093">
            <v>0</v>
          </cell>
        </row>
        <row r="1094">
          <cell r="D1094">
            <v>0</v>
          </cell>
          <cell r="E1094">
            <v>0</v>
          </cell>
          <cell r="F1094">
            <v>0</v>
          </cell>
          <cell r="H1094">
            <v>0</v>
          </cell>
          <cell r="J1094">
            <v>0</v>
          </cell>
          <cell r="P1094">
            <v>0</v>
          </cell>
          <cell r="Q1094">
            <v>0</v>
          </cell>
        </row>
        <row r="1095">
          <cell r="D1095">
            <v>0</v>
          </cell>
          <cell r="E1095">
            <v>0</v>
          </cell>
          <cell r="F1095">
            <v>0</v>
          </cell>
          <cell r="H1095">
            <v>0</v>
          </cell>
          <cell r="J1095">
            <v>0</v>
          </cell>
          <cell r="P1095">
            <v>0</v>
          </cell>
          <cell r="Q1095">
            <v>0</v>
          </cell>
        </row>
        <row r="1096">
          <cell r="D1096">
            <v>0</v>
          </cell>
          <cell r="E1096">
            <v>0</v>
          </cell>
          <cell r="F1096">
            <v>0</v>
          </cell>
          <cell r="H1096">
            <v>0</v>
          </cell>
          <cell r="J1096">
            <v>0</v>
          </cell>
          <cell r="P1096">
            <v>0</v>
          </cell>
          <cell r="Q1096">
            <v>0</v>
          </cell>
        </row>
        <row r="1097">
          <cell r="D1097">
            <v>0</v>
          </cell>
          <cell r="E1097">
            <v>0</v>
          </cell>
          <cell r="F1097">
            <v>0</v>
          </cell>
          <cell r="H1097">
            <v>0</v>
          </cell>
          <cell r="J1097">
            <v>0</v>
          </cell>
          <cell r="P1097">
            <v>0</v>
          </cell>
          <cell r="Q1097">
            <v>0</v>
          </cell>
        </row>
        <row r="1098">
          <cell r="D1098">
            <v>0</v>
          </cell>
          <cell r="E1098">
            <v>0</v>
          </cell>
          <cell r="F1098">
            <v>0</v>
          </cell>
          <cell r="H1098">
            <v>0</v>
          </cell>
          <cell r="J1098">
            <v>0</v>
          </cell>
          <cell r="P1098">
            <v>0</v>
          </cell>
          <cell r="Q1098">
            <v>0</v>
          </cell>
        </row>
        <row r="1099">
          <cell r="D1099">
            <v>0</v>
          </cell>
          <cell r="E1099">
            <v>0</v>
          </cell>
          <cell r="F1099">
            <v>0</v>
          </cell>
          <cell r="H1099">
            <v>0</v>
          </cell>
          <cell r="J1099">
            <v>0</v>
          </cell>
          <cell r="P1099">
            <v>0</v>
          </cell>
          <cell r="Q1099">
            <v>0</v>
          </cell>
        </row>
        <row r="1100">
          <cell r="D1100">
            <v>0</v>
          </cell>
          <cell r="E1100">
            <v>0</v>
          </cell>
          <cell r="F1100">
            <v>0</v>
          </cell>
          <cell r="H1100">
            <v>0</v>
          </cell>
          <cell r="J1100">
            <v>0</v>
          </cell>
          <cell r="P1100">
            <v>0</v>
          </cell>
          <cell r="Q1100">
            <v>0</v>
          </cell>
        </row>
        <row r="1101">
          <cell r="D1101">
            <v>0</v>
          </cell>
          <cell r="E1101">
            <v>0</v>
          </cell>
          <cell r="F1101">
            <v>0</v>
          </cell>
          <cell r="H1101">
            <v>0</v>
          </cell>
          <cell r="J1101">
            <v>0</v>
          </cell>
          <cell r="P1101">
            <v>0</v>
          </cell>
          <cell r="Q1101">
            <v>0</v>
          </cell>
        </row>
        <row r="1102">
          <cell r="D1102">
            <v>0</v>
          </cell>
          <cell r="E1102">
            <v>0</v>
          </cell>
          <cell r="F1102">
            <v>0</v>
          </cell>
          <cell r="H1102">
            <v>0</v>
          </cell>
          <cell r="J1102">
            <v>0</v>
          </cell>
          <cell r="P1102">
            <v>0</v>
          </cell>
          <cell r="Q1102">
            <v>0</v>
          </cell>
        </row>
        <row r="1103">
          <cell r="D1103">
            <v>0</v>
          </cell>
          <cell r="E1103">
            <v>0</v>
          </cell>
          <cell r="F1103">
            <v>0</v>
          </cell>
          <cell r="H1103">
            <v>0</v>
          </cell>
          <cell r="J1103">
            <v>0</v>
          </cell>
          <cell r="P1103">
            <v>0</v>
          </cell>
          <cell r="Q1103">
            <v>0</v>
          </cell>
        </row>
        <row r="1104">
          <cell r="D1104">
            <v>0</v>
          </cell>
          <cell r="E1104">
            <v>0</v>
          </cell>
          <cell r="F1104">
            <v>0</v>
          </cell>
          <cell r="H1104">
            <v>0</v>
          </cell>
          <cell r="J1104">
            <v>0</v>
          </cell>
          <cell r="P1104">
            <v>0</v>
          </cell>
          <cell r="Q1104">
            <v>0</v>
          </cell>
        </row>
        <row r="1105">
          <cell r="D1105">
            <v>0</v>
          </cell>
          <cell r="E1105">
            <v>0</v>
          </cell>
          <cell r="F1105">
            <v>0</v>
          </cell>
          <cell r="H1105">
            <v>0</v>
          </cell>
          <cell r="J1105">
            <v>0</v>
          </cell>
          <cell r="P1105">
            <v>0</v>
          </cell>
          <cell r="Q1105">
            <v>0</v>
          </cell>
        </row>
        <row r="1106">
          <cell r="D1106">
            <v>0</v>
          </cell>
          <cell r="E1106">
            <v>0</v>
          </cell>
          <cell r="F1106">
            <v>0</v>
          </cell>
          <cell r="H1106">
            <v>0</v>
          </cell>
          <cell r="J1106">
            <v>0</v>
          </cell>
          <cell r="P1106">
            <v>0</v>
          </cell>
          <cell r="Q1106">
            <v>0</v>
          </cell>
        </row>
        <row r="1107">
          <cell r="D1107">
            <v>0</v>
          </cell>
          <cell r="E1107">
            <v>0</v>
          </cell>
          <cell r="F1107">
            <v>0</v>
          </cell>
          <cell r="H1107">
            <v>0</v>
          </cell>
          <cell r="J1107">
            <v>0</v>
          </cell>
          <cell r="P1107">
            <v>0</v>
          </cell>
          <cell r="Q1107">
            <v>0</v>
          </cell>
        </row>
        <row r="1108">
          <cell r="D1108">
            <v>0</v>
          </cell>
          <cell r="E1108">
            <v>0</v>
          </cell>
          <cell r="F1108">
            <v>0</v>
          </cell>
          <cell r="H1108">
            <v>0</v>
          </cell>
          <cell r="J1108">
            <v>0</v>
          </cell>
          <cell r="P1108">
            <v>0</v>
          </cell>
          <cell r="Q1108">
            <v>0</v>
          </cell>
        </row>
        <row r="1109">
          <cell r="D1109">
            <v>0</v>
          </cell>
          <cell r="E1109">
            <v>0</v>
          </cell>
          <cell r="F1109">
            <v>0</v>
          </cell>
          <cell r="H1109">
            <v>0</v>
          </cell>
          <cell r="J1109">
            <v>0</v>
          </cell>
          <cell r="P1109">
            <v>0</v>
          </cell>
          <cell r="Q1109">
            <v>0</v>
          </cell>
        </row>
        <row r="1110">
          <cell r="D1110">
            <v>0</v>
          </cell>
          <cell r="E1110">
            <v>0</v>
          </cell>
          <cell r="F1110">
            <v>0</v>
          </cell>
          <cell r="H1110">
            <v>0</v>
          </cell>
          <cell r="J1110">
            <v>0</v>
          </cell>
          <cell r="P1110">
            <v>0</v>
          </cell>
          <cell r="Q1110">
            <v>0</v>
          </cell>
        </row>
        <row r="1111">
          <cell r="D1111">
            <v>0</v>
          </cell>
          <cell r="E1111">
            <v>0</v>
          </cell>
          <cell r="F1111">
            <v>0</v>
          </cell>
          <cell r="H1111">
            <v>0</v>
          </cell>
          <cell r="J1111">
            <v>0</v>
          </cell>
          <cell r="P1111">
            <v>0</v>
          </cell>
          <cell r="Q1111">
            <v>0</v>
          </cell>
        </row>
        <row r="1112">
          <cell r="D1112">
            <v>0</v>
          </cell>
          <cell r="E1112">
            <v>0</v>
          </cell>
          <cell r="F1112">
            <v>0</v>
          </cell>
          <cell r="H1112">
            <v>0</v>
          </cell>
          <cell r="J1112">
            <v>0</v>
          </cell>
          <cell r="P1112">
            <v>0</v>
          </cell>
          <cell r="Q1112">
            <v>0</v>
          </cell>
        </row>
        <row r="1113">
          <cell r="D1113">
            <v>0</v>
          </cell>
          <cell r="E1113">
            <v>0</v>
          </cell>
          <cell r="F1113">
            <v>0</v>
          </cell>
          <cell r="H1113">
            <v>0</v>
          </cell>
          <cell r="J1113">
            <v>0</v>
          </cell>
          <cell r="P1113">
            <v>0</v>
          </cell>
          <cell r="Q1113">
            <v>0</v>
          </cell>
        </row>
        <row r="1114">
          <cell r="D1114">
            <v>0</v>
          </cell>
          <cell r="E1114">
            <v>0</v>
          </cell>
          <cell r="F1114">
            <v>0</v>
          </cell>
          <cell r="H1114">
            <v>0</v>
          </cell>
          <cell r="J1114">
            <v>0</v>
          </cell>
          <cell r="P1114">
            <v>0</v>
          </cell>
          <cell r="Q1114">
            <v>0</v>
          </cell>
        </row>
        <row r="1115">
          <cell r="D1115">
            <v>0</v>
          </cell>
          <cell r="E1115">
            <v>0</v>
          </cell>
          <cell r="F1115">
            <v>0</v>
          </cell>
          <cell r="H1115">
            <v>0</v>
          </cell>
          <cell r="J1115">
            <v>0</v>
          </cell>
          <cell r="P1115">
            <v>0</v>
          </cell>
          <cell r="Q1115">
            <v>0</v>
          </cell>
        </row>
        <row r="1116">
          <cell r="D1116">
            <v>0</v>
          </cell>
          <cell r="E1116">
            <v>0</v>
          </cell>
          <cell r="F1116">
            <v>0</v>
          </cell>
          <cell r="H1116">
            <v>0</v>
          </cell>
          <cell r="J1116">
            <v>0</v>
          </cell>
          <cell r="P1116">
            <v>0</v>
          </cell>
          <cell r="Q1116">
            <v>0</v>
          </cell>
        </row>
        <row r="1117">
          <cell r="D1117">
            <v>0</v>
          </cell>
          <cell r="E1117">
            <v>0</v>
          </cell>
          <cell r="F1117">
            <v>0</v>
          </cell>
          <cell r="H1117">
            <v>0</v>
          </cell>
          <cell r="J1117">
            <v>0</v>
          </cell>
          <cell r="P1117">
            <v>0</v>
          </cell>
          <cell r="Q1117">
            <v>0</v>
          </cell>
        </row>
        <row r="1118">
          <cell r="D1118">
            <v>0</v>
          </cell>
          <cell r="E1118">
            <v>0</v>
          </cell>
          <cell r="F1118">
            <v>0</v>
          </cell>
          <cell r="H1118">
            <v>0</v>
          </cell>
          <cell r="J1118">
            <v>0</v>
          </cell>
          <cell r="P1118">
            <v>0</v>
          </cell>
          <cell r="Q1118">
            <v>0</v>
          </cell>
        </row>
        <row r="1119">
          <cell r="D1119">
            <v>0</v>
          </cell>
          <cell r="E1119">
            <v>0</v>
          </cell>
          <cell r="F1119">
            <v>0</v>
          </cell>
          <cell r="H1119">
            <v>0</v>
          </cell>
          <cell r="J1119">
            <v>0</v>
          </cell>
          <cell r="P1119">
            <v>0</v>
          </cell>
          <cell r="Q1119">
            <v>0</v>
          </cell>
        </row>
        <row r="1120">
          <cell r="D1120">
            <v>0</v>
          </cell>
          <cell r="E1120">
            <v>0</v>
          </cell>
          <cell r="F1120">
            <v>0</v>
          </cell>
          <cell r="H1120">
            <v>0</v>
          </cell>
          <cell r="J1120">
            <v>0</v>
          </cell>
          <cell r="P1120">
            <v>0</v>
          </cell>
          <cell r="Q1120">
            <v>0</v>
          </cell>
        </row>
        <row r="1121">
          <cell r="D1121">
            <v>0</v>
          </cell>
          <cell r="E1121">
            <v>0</v>
          </cell>
          <cell r="F1121">
            <v>0</v>
          </cell>
          <cell r="H1121">
            <v>0</v>
          </cell>
          <cell r="J1121">
            <v>0</v>
          </cell>
          <cell r="P1121">
            <v>0</v>
          </cell>
          <cell r="Q1121">
            <v>0</v>
          </cell>
        </row>
        <row r="1122">
          <cell r="D1122">
            <v>0</v>
          </cell>
          <cell r="E1122">
            <v>0</v>
          </cell>
          <cell r="F1122">
            <v>0</v>
          </cell>
          <cell r="H1122">
            <v>0</v>
          </cell>
          <cell r="J1122">
            <v>0</v>
          </cell>
          <cell r="P1122">
            <v>0</v>
          </cell>
          <cell r="Q1122">
            <v>0</v>
          </cell>
        </row>
        <row r="1123">
          <cell r="D1123">
            <v>0</v>
          </cell>
          <cell r="E1123">
            <v>0</v>
          </cell>
          <cell r="F1123">
            <v>0</v>
          </cell>
          <cell r="H1123">
            <v>0</v>
          </cell>
          <cell r="J1123">
            <v>0</v>
          </cell>
          <cell r="P1123">
            <v>0</v>
          </cell>
          <cell r="Q1123">
            <v>0</v>
          </cell>
        </row>
        <row r="1124">
          <cell r="D1124">
            <v>0</v>
          </cell>
          <cell r="E1124">
            <v>0</v>
          </cell>
          <cell r="F1124">
            <v>0</v>
          </cell>
          <cell r="H1124">
            <v>0</v>
          </cell>
          <cell r="J1124">
            <v>0</v>
          </cell>
          <cell r="P1124">
            <v>0</v>
          </cell>
          <cell r="Q1124">
            <v>0</v>
          </cell>
        </row>
        <row r="1125">
          <cell r="D1125">
            <v>0</v>
          </cell>
          <cell r="E1125">
            <v>0</v>
          </cell>
          <cell r="F1125">
            <v>0</v>
          </cell>
          <cell r="H1125">
            <v>0</v>
          </cell>
          <cell r="J1125">
            <v>0</v>
          </cell>
          <cell r="P1125">
            <v>0</v>
          </cell>
          <cell r="Q1125">
            <v>0</v>
          </cell>
        </row>
        <row r="1126">
          <cell r="D1126">
            <v>0</v>
          </cell>
          <cell r="E1126">
            <v>0</v>
          </cell>
          <cell r="F1126">
            <v>0</v>
          </cell>
          <cell r="H1126">
            <v>0</v>
          </cell>
          <cell r="J1126">
            <v>0</v>
          </cell>
          <cell r="P1126">
            <v>0</v>
          </cell>
          <cell r="Q1126">
            <v>0</v>
          </cell>
        </row>
        <row r="1127">
          <cell r="D1127">
            <v>0</v>
          </cell>
          <cell r="E1127">
            <v>0</v>
          </cell>
          <cell r="F1127">
            <v>0</v>
          </cell>
          <cell r="H1127">
            <v>0</v>
          </cell>
          <cell r="J1127">
            <v>0</v>
          </cell>
          <cell r="P1127">
            <v>0</v>
          </cell>
          <cell r="Q1127">
            <v>0</v>
          </cell>
        </row>
        <row r="1128">
          <cell r="D1128">
            <v>0</v>
          </cell>
          <cell r="E1128">
            <v>0</v>
          </cell>
          <cell r="F1128">
            <v>0</v>
          </cell>
          <cell r="H1128">
            <v>0</v>
          </cell>
          <cell r="J1128">
            <v>0</v>
          </cell>
          <cell r="P1128">
            <v>0</v>
          </cell>
          <cell r="Q1128">
            <v>0</v>
          </cell>
        </row>
        <row r="1129">
          <cell r="D1129">
            <v>0</v>
          </cell>
          <cell r="E1129">
            <v>0</v>
          </cell>
          <cell r="F1129">
            <v>0</v>
          </cell>
          <cell r="H1129">
            <v>0</v>
          </cell>
          <cell r="J1129">
            <v>0</v>
          </cell>
          <cell r="P1129">
            <v>0</v>
          </cell>
          <cell r="Q1129">
            <v>0</v>
          </cell>
        </row>
        <row r="1130">
          <cell r="D1130">
            <v>0</v>
          </cell>
          <cell r="E1130">
            <v>0</v>
          </cell>
          <cell r="F1130">
            <v>0</v>
          </cell>
          <cell r="H1130">
            <v>0</v>
          </cell>
          <cell r="J1130">
            <v>0</v>
          </cell>
          <cell r="P1130">
            <v>0</v>
          </cell>
          <cell r="Q1130">
            <v>0</v>
          </cell>
        </row>
        <row r="1131">
          <cell r="D1131">
            <v>0</v>
          </cell>
          <cell r="E1131">
            <v>0</v>
          </cell>
          <cell r="F1131">
            <v>0</v>
          </cell>
          <cell r="H1131">
            <v>0</v>
          </cell>
          <cell r="J1131">
            <v>0</v>
          </cell>
          <cell r="P1131">
            <v>0</v>
          </cell>
          <cell r="Q1131">
            <v>0</v>
          </cell>
        </row>
        <row r="1132">
          <cell r="D1132">
            <v>0</v>
          </cell>
          <cell r="E1132">
            <v>0</v>
          </cell>
          <cell r="F1132">
            <v>0</v>
          </cell>
          <cell r="H1132">
            <v>0</v>
          </cell>
          <cell r="J1132">
            <v>0</v>
          </cell>
          <cell r="P1132">
            <v>0</v>
          </cell>
          <cell r="Q1132">
            <v>0</v>
          </cell>
        </row>
        <row r="1133">
          <cell r="D1133">
            <v>0</v>
          </cell>
          <cell r="E1133">
            <v>0</v>
          </cell>
          <cell r="F1133">
            <v>0</v>
          </cell>
          <cell r="H1133">
            <v>0</v>
          </cell>
          <cell r="J1133">
            <v>0</v>
          </cell>
          <cell r="P1133">
            <v>0</v>
          </cell>
          <cell r="Q1133">
            <v>0</v>
          </cell>
        </row>
        <row r="1134">
          <cell r="D1134">
            <v>0</v>
          </cell>
          <cell r="E1134">
            <v>0</v>
          </cell>
          <cell r="F1134">
            <v>0</v>
          </cell>
          <cell r="H1134">
            <v>0</v>
          </cell>
          <cell r="J1134">
            <v>0</v>
          </cell>
          <cell r="P1134">
            <v>0</v>
          </cell>
          <cell r="Q1134">
            <v>0</v>
          </cell>
        </row>
        <row r="1135">
          <cell r="D1135">
            <v>0</v>
          </cell>
          <cell r="E1135">
            <v>0</v>
          </cell>
          <cell r="F1135">
            <v>0</v>
          </cell>
          <cell r="H1135">
            <v>0</v>
          </cell>
          <cell r="J1135">
            <v>0</v>
          </cell>
          <cell r="P1135">
            <v>0</v>
          </cell>
          <cell r="Q1135">
            <v>0</v>
          </cell>
        </row>
        <row r="1136">
          <cell r="D1136">
            <v>0</v>
          </cell>
          <cell r="E1136">
            <v>0</v>
          </cell>
          <cell r="F1136">
            <v>0</v>
          </cell>
          <cell r="H1136">
            <v>0</v>
          </cell>
          <cell r="J1136">
            <v>0</v>
          </cell>
          <cell r="P1136">
            <v>0</v>
          </cell>
          <cell r="Q1136">
            <v>0</v>
          </cell>
        </row>
        <row r="1137">
          <cell r="D1137">
            <v>0</v>
          </cell>
          <cell r="E1137">
            <v>0</v>
          </cell>
          <cell r="F1137">
            <v>0</v>
          </cell>
          <cell r="H1137">
            <v>0</v>
          </cell>
          <cell r="J1137">
            <v>0</v>
          </cell>
          <cell r="P1137">
            <v>0</v>
          </cell>
          <cell r="Q1137">
            <v>0</v>
          </cell>
        </row>
        <row r="1138">
          <cell r="D1138">
            <v>0</v>
          </cell>
          <cell r="E1138">
            <v>0</v>
          </cell>
          <cell r="F1138">
            <v>0</v>
          </cell>
          <cell r="H1138">
            <v>0</v>
          </cell>
          <cell r="J1138">
            <v>0</v>
          </cell>
          <cell r="P1138">
            <v>0</v>
          </cell>
          <cell r="Q1138">
            <v>0</v>
          </cell>
        </row>
        <row r="1139">
          <cell r="D1139">
            <v>0</v>
          </cell>
          <cell r="E1139">
            <v>0</v>
          </cell>
          <cell r="F1139">
            <v>0</v>
          </cell>
          <cell r="H1139">
            <v>0</v>
          </cell>
          <cell r="J1139">
            <v>0</v>
          </cell>
          <cell r="P1139">
            <v>0</v>
          </cell>
          <cell r="Q1139">
            <v>0</v>
          </cell>
        </row>
        <row r="1140">
          <cell r="D1140">
            <v>0</v>
          </cell>
          <cell r="E1140">
            <v>0</v>
          </cell>
          <cell r="F1140">
            <v>0</v>
          </cell>
          <cell r="H1140">
            <v>0</v>
          </cell>
          <cell r="J1140">
            <v>0</v>
          </cell>
          <cell r="P1140">
            <v>0</v>
          </cell>
          <cell r="Q1140">
            <v>0</v>
          </cell>
        </row>
        <row r="1141">
          <cell r="D1141">
            <v>0</v>
          </cell>
          <cell r="E1141">
            <v>0</v>
          </cell>
          <cell r="F1141">
            <v>0</v>
          </cell>
          <cell r="H1141">
            <v>0</v>
          </cell>
          <cell r="J1141">
            <v>0</v>
          </cell>
          <cell r="P1141">
            <v>0</v>
          </cell>
          <cell r="Q1141">
            <v>0</v>
          </cell>
        </row>
        <row r="1142">
          <cell r="D1142">
            <v>0</v>
          </cell>
          <cell r="E1142">
            <v>0</v>
          </cell>
          <cell r="F1142">
            <v>0</v>
          </cell>
          <cell r="H1142">
            <v>0</v>
          </cell>
          <cell r="J1142">
            <v>0</v>
          </cell>
          <cell r="P1142">
            <v>0</v>
          </cell>
          <cell r="Q1142">
            <v>0</v>
          </cell>
        </row>
        <row r="1143">
          <cell r="D1143">
            <v>0</v>
          </cell>
          <cell r="E1143">
            <v>0</v>
          </cell>
          <cell r="F1143">
            <v>0</v>
          </cell>
          <cell r="H1143">
            <v>0</v>
          </cell>
          <cell r="J1143">
            <v>0</v>
          </cell>
          <cell r="P1143">
            <v>0</v>
          </cell>
          <cell r="Q1143">
            <v>0</v>
          </cell>
        </row>
        <row r="1144">
          <cell r="D1144">
            <v>0</v>
          </cell>
          <cell r="E1144">
            <v>0</v>
          </cell>
          <cell r="F1144">
            <v>0</v>
          </cell>
          <cell r="H1144">
            <v>0</v>
          </cell>
          <cell r="J1144">
            <v>0</v>
          </cell>
          <cell r="P1144">
            <v>0</v>
          </cell>
          <cell r="Q1144">
            <v>0</v>
          </cell>
        </row>
        <row r="1145">
          <cell r="D1145">
            <v>0</v>
          </cell>
          <cell r="E1145">
            <v>0</v>
          </cell>
          <cell r="F1145">
            <v>0</v>
          </cell>
          <cell r="H1145">
            <v>0</v>
          </cell>
          <cell r="J1145">
            <v>0</v>
          </cell>
          <cell r="P1145">
            <v>0</v>
          </cell>
          <cell r="Q1145">
            <v>0</v>
          </cell>
        </row>
        <row r="1146">
          <cell r="D1146">
            <v>0</v>
          </cell>
          <cell r="E1146">
            <v>0</v>
          </cell>
          <cell r="F1146">
            <v>0</v>
          </cell>
          <cell r="H1146">
            <v>0</v>
          </cell>
          <cell r="J1146">
            <v>0</v>
          </cell>
          <cell r="P1146">
            <v>0</v>
          </cell>
          <cell r="Q1146">
            <v>0</v>
          </cell>
        </row>
        <row r="1147">
          <cell r="D1147">
            <v>0</v>
          </cell>
          <cell r="E1147">
            <v>0</v>
          </cell>
          <cell r="F1147">
            <v>0</v>
          </cell>
          <cell r="H1147">
            <v>0</v>
          </cell>
          <cell r="J1147">
            <v>0</v>
          </cell>
          <cell r="P1147">
            <v>0</v>
          </cell>
          <cell r="Q1147">
            <v>0</v>
          </cell>
        </row>
        <row r="1148">
          <cell r="D1148">
            <v>0</v>
          </cell>
          <cell r="E1148">
            <v>0</v>
          </cell>
          <cell r="F1148">
            <v>0</v>
          </cell>
          <cell r="H1148">
            <v>0</v>
          </cell>
          <cell r="J1148">
            <v>0</v>
          </cell>
          <cell r="P1148">
            <v>0</v>
          </cell>
          <cell r="Q1148">
            <v>0</v>
          </cell>
        </row>
        <row r="1149">
          <cell r="D1149">
            <v>0</v>
          </cell>
          <cell r="E1149">
            <v>0</v>
          </cell>
          <cell r="F1149">
            <v>0</v>
          </cell>
          <cell r="H1149">
            <v>0</v>
          </cell>
          <cell r="J1149">
            <v>0</v>
          </cell>
          <cell r="P1149">
            <v>0</v>
          </cell>
          <cell r="Q1149">
            <v>0</v>
          </cell>
        </row>
        <row r="1150">
          <cell r="D1150">
            <v>0</v>
          </cell>
          <cell r="E1150">
            <v>0</v>
          </cell>
          <cell r="F1150">
            <v>0</v>
          </cell>
          <cell r="H1150">
            <v>0</v>
          </cell>
          <cell r="J1150">
            <v>0</v>
          </cell>
          <cell r="P1150">
            <v>0</v>
          </cell>
          <cell r="Q1150">
            <v>0</v>
          </cell>
        </row>
        <row r="1151">
          <cell r="D1151">
            <v>0</v>
          </cell>
          <cell r="E1151">
            <v>0</v>
          </cell>
          <cell r="F1151">
            <v>0</v>
          </cell>
          <cell r="H1151">
            <v>0</v>
          </cell>
          <cell r="J1151">
            <v>0</v>
          </cell>
          <cell r="P1151">
            <v>0</v>
          </cell>
          <cell r="Q1151">
            <v>0</v>
          </cell>
        </row>
        <row r="1152">
          <cell r="D1152">
            <v>0</v>
          </cell>
          <cell r="E1152">
            <v>0</v>
          </cell>
          <cell r="F1152">
            <v>0</v>
          </cell>
          <cell r="H1152">
            <v>0</v>
          </cell>
          <cell r="J1152">
            <v>0</v>
          </cell>
          <cell r="P1152">
            <v>0</v>
          </cell>
          <cell r="Q1152">
            <v>0</v>
          </cell>
        </row>
        <row r="1153">
          <cell r="D1153">
            <v>0</v>
          </cell>
          <cell r="E1153">
            <v>0</v>
          </cell>
          <cell r="F1153">
            <v>0</v>
          </cell>
          <cell r="H1153">
            <v>0</v>
          </cell>
          <cell r="J1153">
            <v>0</v>
          </cell>
          <cell r="P1153">
            <v>0</v>
          </cell>
          <cell r="Q1153">
            <v>0</v>
          </cell>
        </row>
        <row r="1154">
          <cell r="D1154">
            <v>0</v>
          </cell>
          <cell r="E1154">
            <v>0</v>
          </cell>
          <cell r="F1154">
            <v>0</v>
          </cell>
          <cell r="H1154">
            <v>0</v>
          </cell>
          <cell r="J1154">
            <v>0</v>
          </cell>
          <cell r="P1154">
            <v>0</v>
          </cell>
          <cell r="Q1154">
            <v>0</v>
          </cell>
        </row>
        <row r="1155">
          <cell r="D1155">
            <v>0</v>
          </cell>
          <cell r="E1155">
            <v>0</v>
          </cell>
          <cell r="F1155">
            <v>0</v>
          </cell>
          <cell r="H1155">
            <v>0</v>
          </cell>
          <cell r="J1155">
            <v>0</v>
          </cell>
          <cell r="P1155">
            <v>0</v>
          </cell>
          <cell r="Q1155">
            <v>0</v>
          </cell>
        </row>
        <row r="1156">
          <cell r="D1156">
            <v>0</v>
          </cell>
          <cell r="E1156">
            <v>0</v>
          </cell>
          <cell r="F1156">
            <v>0</v>
          </cell>
          <cell r="H1156">
            <v>0</v>
          </cell>
          <cell r="J1156">
            <v>0</v>
          </cell>
          <cell r="P1156">
            <v>0</v>
          </cell>
          <cell r="Q1156">
            <v>0</v>
          </cell>
        </row>
        <row r="1157">
          <cell r="D1157">
            <v>0</v>
          </cell>
          <cell r="E1157">
            <v>0</v>
          </cell>
          <cell r="F1157">
            <v>0</v>
          </cell>
          <cell r="H1157">
            <v>0</v>
          </cell>
          <cell r="J1157">
            <v>0</v>
          </cell>
          <cell r="P1157">
            <v>0</v>
          </cell>
          <cell r="Q1157">
            <v>0</v>
          </cell>
        </row>
        <row r="1158">
          <cell r="D1158">
            <v>0</v>
          </cell>
          <cell r="E1158">
            <v>0</v>
          </cell>
          <cell r="F1158">
            <v>0</v>
          </cell>
          <cell r="H1158">
            <v>0</v>
          </cell>
          <cell r="J1158">
            <v>0</v>
          </cell>
          <cell r="P1158">
            <v>0</v>
          </cell>
          <cell r="Q1158">
            <v>0</v>
          </cell>
        </row>
        <row r="1159">
          <cell r="D1159">
            <v>0</v>
          </cell>
          <cell r="E1159">
            <v>0</v>
          </cell>
          <cell r="F1159">
            <v>0</v>
          </cell>
          <cell r="H1159">
            <v>0</v>
          </cell>
          <cell r="J1159">
            <v>0</v>
          </cell>
          <cell r="P1159">
            <v>0</v>
          </cell>
          <cell r="Q1159">
            <v>0</v>
          </cell>
        </row>
        <row r="1160">
          <cell r="D1160">
            <v>0</v>
          </cell>
          <cell r="E1160">
            <v>0</v>
          </cell>
          <cell r="F1160">
            <v>0</v>
          </cell>
          <cell r="H1160">
            <v>0</v>
          </cell>
          <cell r="J1160">
            <v>0</v>
          </cell>
          <cell r="P1160">
            <v>0</v>
          </cell>
          <cell r="Q1160">
            <v>0</v>
          </cell>
        </row>
        <row r="1161">
          <cell r="D1161">
            <v>0</v>
          </cell>
          <cell r="E1161">
            <v>0</v>
          </cell>
          <cell r="F1161">
            <v>0</v>
          </cell>
          <cell r="H1161">
            <v>0</v>
          </cell>
          <cell r="J1161">
            <v>0</v>
          </cell>
          <cell r="P1161">
            <v>0</v>
          </cell>
          <cell r="Q1161">
            <v>0</v>
          </cell>
        </row>
        <row r="1162">
          <cell r="D1162">
            <v>0</v>
          </cell>
          <cell r="E1162">
            <v>0</v>
          </cell>
          <cell r="F1162">
            <v>0</v>
          </cell>
          <cell r="H1162">
            <v>0</v>
          </cell>
          <cell r="J1162">
            <v>0</v>
          </cell>
          <cell r="P1162">
            <v>0</v>
          </cell>
          <cell r="Q1162">
            <v>0</v>
          </cell>
        </row>
        <row r="1163">
          <cell r="D1163">
            <v>0</v>
          </cell>
          <cell r="E1163">
            <v>0</v>
          </cell>
          <cell r="F1163">
            <v>0</v>
          </cell>
          <cell r="H1163">
            <v>0</v>
          </cell>
          <cell r="J1163">
            <v>0</v>
          </cell>
          <cell r="P1163">
            <v>0</v>
          </cell>
          <cell r="Q1163">
            <v>0</v>
          </cell>
        </row>
        <row r="1164">
          <cell r="D1164">
            <v>0</v>
          </cell>
          <cell r="E1164">
            <v>0</v>
          </cell>
          <cell r="F1164">
            <v>0</v>
          </cell>
          <cell r="H1164">
            <v>0</v>
          </cell>
          <cell r="J1164">
            <v>0</v>
          </cell>
          <cell r="P1164">
            <v>0</v>
          </cell>
          <cell r="Q1164">
            <v>0</v>
          </cell>
        </row>
        <row r="1165">
          <cell r="D1165">
            <v>0</v>
          </cell>
          <cell r="E1165">
            <v>0</v>
          </cell>
          <cell r="F1165">
            <v>0</v>
          </cell>
          <cell r="H1165">
            <v>0</v>
          </cell>
          <cell r="J1165">
            <v>0</v>
          </cell>
          <cell r="P1165">
            <v>0</v>
          </cell>
          <cell r="Q1165">
            <v>0</v>
          </cell>
        </row>
        <row r="1166">
          <cell r="D1166">
            <v>0</v>
          </cell>
          <cell r="E1166">
            <v>0</v>
          </cell>
          <cell r="F1166">
            <v>0</v>
          </cell>
          <cell r="H1166">
            <v>0</v>
          </cell>
          <cell r="J1166">
            <v>0</v>
          </cell>
          <cell r="P1166">
            <v>0</v>
          </cell>
          <cell r="Q1166">
            <v>0</v>
          </cell>
        </row>
        <row r="1167">
          <cell r="D1167">
            <v>0</v>
          </cell>
          <cell r="E1167">
            <v>0</v>
          </cell>
          <cell r="F1167">
            <v>0</v>
          </cell>
          <cell r="H1167">
            <v>0</v>
          </cell>
          <cell r="J1167">
            <v>0</v>
          </cell>
          <cell r="P1167">
            <v>0</v>
          </cell>
          <cell r="Q1167">
            <v>0</v>
          </cell>
        </row>
        <row r="1168">
          <cell r="D1168">
            <v>0</v>
          </cell>
          <cell r="E1168">
            <v>0</v>
          </cell>
          <cell r="F1168">
            <v>0</v>
          </cell>
          <cell r="H1168">
            <v>0</v>
          </cell>
          <cell r="J1168">
            <v>0</v>
          </cell>
          <cell r="P1168">
            <v>0</v>
          </cell>
          <cell r="Q1168">
            <v>0</v>
          </cell>
        </row>
        <row r="1169">
          <cell r="D1169">
            <v>0</v>
          </cell>
          <cell r="E1169">
            <v>0</v>
          </cell>
          <cell r="F1169">
            <v>0</v>
          </cell>
          <cell r="H1169">
            <v>0</v>
          </cell>
          <cell r="J1169">
            <v>0</v>
          </cell>
          <cell r="P1169">
            <v>0</v>
          </cell>
          <cell r="Q1169">
            <v>0</v>
          </cell>
        </row>
        <row r="1170">
          <cell r="D1170">
            <v>0</v>
          </cell>
          <cell r="E1170">
            <v>0</v>
          </cell>
          <cell r="F1170">
            <v>0</v>
          </cell>
          <cell r="H1170">
            <v>0</v>
          </cell>
          <cell r="J1170">
            <v>0</v>
          </cell>
          <cell r="P1170">
            <v>0</v>
          </cell>
          <cell r="Q1170">
            <v>0</v>
          </cell>
        </row>
        <row r="1171">
          <cell r="D1171">
            <v>0</v>
          </cell>
          <cell r="E1171">
            <v>0</v>
          </cell>
          <cell r="F1171">
            <v>0</v>
          </cell>
          <cell r="H1171">
            <v>0</v>
          </cell>
          <cell r="J1171">
            <v>0</v>
          </cell>
          <cell r="P1171">
            <v>0</v>
          </cell>
          <cell r="Q1171">
            <v>0</v>
          </cell>
        </row>
        <row r="1172">
          <cell r="D1172">
            <v>0</v>
          </cell>
          <cell r="E1172">
            <v>0</v>
          </cell>
          <cell r="F1172">
            <v>0</v>
          </cell>
          <cell r="H1172">
            <v>0</v>
          </cell>
          <cell r="J1172">
            <v>0</v>
          </cell>
          <cell r="P1172">
            <v>0</v>
          </cell>
          <cell r="Q1172">
            <v>0</v>
          </cell>
        </row>
        <row r="1173">
          <cell r="D1173">
            <v>0</v>
          </cell>
          <cell r="E1173">
            <v>0</v>
          </cell>
          <cell r="F1173">
            <v>0</v>
          </cell>
          <cell r="H1173">
            <v>0</v>
          </cell>
          <cell r="J1173">
            <v>0</v>
          </cell>
          <cell r="P1173">
            <v>0</v>
          </cell>
          <cell r="Q1173">
            <v>0</v>
          </cell>
        </row>
        <row r="1174">
          <cell r="D1174">
            <v>0</v>
          </cell>
          <cell r="E1174">
            <v>0</v>
          </cell>
          <cell r="F1174">
            <v>0</v>
          </cell>
          <cell r="H1174">
            <v>0</v>
          </cell>
          <cell r="J1174">
            <v>0</v>
          </cell>
          <cell r="P1174">
            <v>0</v>
          </cell>
          <cell r="Q1174">
            <v>0</v>
          </cell>
        </row>
        <row r="1175">
          <cell r="D1175">
            <v>0</v>
          </cell>
          <cell r="E1175">
            <v>0</v>
          </cell>
          <cell r="F1175">
            <v>0</v>
          </cell>
          <cell r="H1175">
            <v>0</v>
          </cell>
          <cell r="J1175">
            <v>0</v>
          </cell>
          <cell r="P1175">
            <v>0</v>
          </cell>
          <cell r="Q1175">
            <v>0</v>
          </cell>
        </row>
        <row r="1176">
          <cell r="D1176">
            <v>0</v>
          </cell>
          <cell r="E1176">
            <v>0</v>
          </cell>
          <cell r="F1176">
            <v>0</v>
          </cell>
          <cell r="H1176">
            <v>0</v>
          </cell>
          <cell r="J1176">
            <v>0</v>
          </cell>
          <cell r="P1176">
            <v>0</v>
          </cell>
          <cell r="Q1176">
            <v>0</v>
          </cell>
        </row>
        <row r="1177">
          <cell r="D1177">
            <v>0</v>
          </cell>
          <cell r="E1177">
            <v>0</v>
          </cell>
          <cell r="F1177">
            <v>0</v>
          </cell>
          <cell r="H1177">
            <v>0</v>
          </cell>
          <cell r="J1177">
            <v>0</v>
          </cell>
          <cell r="P1177">
            <v>0</v>
          </cell>
          <cell r="Q1177">
            <v>0</v>
          </cell>
        </row>
        <row r="1178">
          <cell r="D1178">
            <v>0</v>
          </cell>
          <cell r="E1178">
            <v>0</v>
          </cell>
          <cell r="F1178">
            <v>0</v>
          </cell>
          <cell r="H1178">
            <v>0</v>
          </cell>
          <cell r="J1178">
            <v>0</v>
          </cell>
          <cell r="P1178">
            <v>0</v>
          </cell>
          <cell r="Q1178">
            <v>0</v>
          </cell>
        </row>
        <row r="1179">
          <cell r="D1179">
            <v>0</v>
          </cell>
          <cell r="E1179">
            <v>0</v>
          </cell>
          <cell r="F1179">
            <v>0</v>
          </cell>
          <cell r="H1179">
            <v>0</v>
          </cell>
          <cell r="J1179">
            <v>0</v>
          </cell>
          <cell r="P1179">
            <v>0</v>
          </cell>
          <cell r="Q1179">
            <v>0</v>
          </cell>
        </row>
        <row r="1180">
          <cell r="D1180">
            <v>0</v>
          </cell>
          <cell r="E1180">
            <v>0</v>
          </cell>
          <cell r="F1180">
            <v>0</v>
          </cell>
          <cell r="H1180">
            <v>0</v>
          </cell>
          <cell r="J1180">
            <v>0</v>
          </cell>
          <cell r="P1180">
            <v>0</v>
          </cell>
          <cell r="Q1180">
            <v>0</v>
          </cell>
        </row>
        <row r="1181">
          <cell r="D1181">
            <v>0</v>
          </cell>
          <cell r="E1181">
            <v>0</v>
          </cell>
          <cell r="F1181">
            <v>0</v>
          </cell>
          <cell r="H1181">
            <v>0</v>
          </cell>
          <cell r="J1181">
            <v>0</v>
          </cell>
          <cell r="P1181">
            <v>0</v>
          </cell>
          <cell r="Q1181">
            <v>0</v>
          </cell>
        </row>
        <row r="1182">
          <cell r="D1182">
            <v>0</v>
          </cell>
          <cell r="E1182">
            <v>0</v>
          </cell>
          <cell r="F1182">
            <v>0</v>
          </cell>
          <cell r="H1182">
            <v>0</v>
          </cell>
          <cell r="J1182">
            <v>0</v>
          </cell>
          <cell r="P1182">
            <v>0</v>
          </cell>
          <cell r="Q1182">
            <v>0</v>
          </cell>
        </row>
        <row r="1183">
          <cell r="D1183">
            <v>0</v>
          </cell>
          <cell r="E1183">
            <v>0</v>
          </cell>
          <cell r="F1183">
            <v>0</v>
          </cell>
          <cell r="H1183">
            <v>0</v>
          </cell>
          <cell r="J1183">
            <v>0</v>
          </cell>
          <cell r="P1183">
            <v>0</v>
          </cell>
          <cell r="Q1183">
            <v>0</v>
          </cell>
        </row>
        <row r="1184">
          <cell r="D1184">
            <v>0</v>
          </cell>
          <cell r="E1184">
            <v>0</v>
          </cell>
          <cell r="F1184">
            <v>0</v>
          </cell>
          <cell r="H1184">
            <v>0</v>
          </cell>
          <cell r="J1184">
            <v>0</v>
          </cell>
          <cell r="P1184">
            <v>0</v>
          </cell>
          <cell r="Q1184">
            <v>0</v>
          </cell>
        </row>
        <row r="1185">
          <cell r="D1185">
            <v>0</v>
          </cell>
          <cell r="E1185">
            <v>0</v>
          </cell>
          <cell r="F1185">
            <v>0</v>
          </cell>
          <cell r="H1185">
            <v>0</v>
          </cell>
          <cell r="J1185">
            <v>0</v>
          </cell>
          <cell r="P1185">
            <v>0</v>
          </cell>
          <cell r="Q1185">
            <v>0</v>
          </cell>
        </row>
        <row r="1186">
          <cell r="D1186">
            <v>0</v>
          </cell>
          <cell r="E1186">
            <v>0</v>
          </cell>
          <cell r="F1186">
            <v>0</v>
          </cell>
          <cell r="H1186">
            <v>0</v>
          </cell>
          <cell r="J1186">
            <v>0</v>
          </cell>
          <cell r="P1186">
            <v>0</v>
          </cell>
          <cell r="Q1186">
            <v>0</v>
          </cell>
        </row>
        <row r="1187">
          <cell r="D1187">
            <v>0</v>
          </cell>
          <cell r="E1187">
            <v>0</v>
          </cell>
          <cell r="F1187">
            <v>0</v>
          </cell>
          <cell r="H1187">
            <v>0</v>
          </cell>
          <cell r="J1187">
            <v>0</v>
          </cell>
          <cell r="P1187">
            <v>0</v>
          </cell>
          <cell r="Q1187">
            <v>0</v>
          </cell>
        </row>
        <row r="1188">
          <cell r="D1188">
            <v>0</v>
          </cell>
          <cell r="E1188">
            <v>0</v>
          </cell>
          <cell r="F1188">
            <v>0</v>
          </cell>
          <cell r="H1188">
            <v>0</v>
          </cell>
          <cell r="J1188">
            <v>0</v>
          </cell>
          <cell r="P1188">
            <v>0</v>
          </cell>
          <cell r="Q1188">
            <v>0</v>
          </cell>
        </row>
        <row r="1189">
          <cell r="D1189">
            <v>0</v>
          </cell>
          <cell r="E1189">
            <v>0</v>
          </cell>
          <cell r="F1189">
            <v>0</v>
          </cell>
          <cell r="H1189">
            <v>0</v>
          </cell>
          <cell r="J1189">
            <v>0</v>
          </cell>
          <cell r="P1189">
            <v>0</v>
          </cell>
          <cell r="Q1189">
            <v>0</v>
          </cell>
        </row>
        <row r="1190">
          <cell r="D1190">
            <v>0</v>
          </cell>
          <cell r="E1190">
            <v>0</v>
          </cell>
          <cell r="F1190">
            <v>0</v>
          </cell>
          <cell r="H1190">
            <v>0</v>
          </cell>
          <cell r="J1190">
            <v>0</v>
          </cell>
          <cell r="P1190">
            <v>0</v>
          </cell>
          <cell r="Q1190">
            <v>0</v>
          </cell>
        </row>
        <row r="1191">
          <cell r="D1191">
            <v>0</v>
          </cell>
          <cell r="E1191">
            <v>0</v>
          </cell>
          <cell r="F1191">
            <v>0</v>
          </cell>
          <cell r="H1191">
            <v>0</v>
          </cell>
          <cell r="J1191">
            <v>0</v>
          </cell>
          <cell r="P1191">
            <v>0</v>
          </cell>
          <cell r="Q1191">
            <v>0</v>
          </cell>
        </row>
        <row r="1192">
          <cell r="D1192">
            <v>0</v>
          </cell>
          <cell r="E1192">
            <v>0</v>
          </cell>
          <cell r="F1192">
            <v>0</v>
          </cell>
          <cell r="H1192">
            <v>0</v>
          </cell>
          <cell r="J1192">
            <v>0</v>
          </cell>
          <cell r="P1192">
            <v>0</v>
          </cell>
          <cell r="Q1192">
            <v>0</v>
          </cell>
        </row>
        <row r="1193">
          <cell r="D1193">
            <v>0</v>
          </cell>
          <cell r="E1193">
            <v>0</v>
          </cell>
          <cell r="F1193">
            <v>0</v>
          </cell>
          <cell r="H1193">
            <v>0</v>
          </cell>
          <cell r="J1193">
            <v>0</v>
          </cell>
          <cell r="P1193">
            <v>0</v>
          </cell>
          <cell r="Q1193">
            <v>0</v>
          </cell>
        </row>
        <row r="1194">
          <cell r="D1194">
            <v>0</v>
          </cell>
          <cell r="E1194">
            <v>0</v>
          </cell>
          <cell r="F1194">
            <v>0</v>
          </cell>
          <cell r="H1194">
            <v>0</v>
          </cell>
          <cell r="J1194">
            <v>0</v>
          </cell>
          <cell r="P1194">
            <v>0</v>
          </cell>
          <cell r="Q1194">
            <v>0</v>
          </cell>
        </row>
        <row r="1195">
          <cell r="D1195">
            <v>0</v>
          </cell>
          <cell r="E1195">
            <v>0</v>
          </cell>
          <cell r="F1195">
            <v>0</v>
          </cell>
          <cell r="H1195">
            <v>0</v>
          </cell>
          <cell r="J1195">
            <v>0</v>
          </cell>
          <cell r="P1195">
            <v>0</v>
          </cell>
          <cell r="Q1195">
            <v>0</v>
          </cell>
        </row>
        <row r="1196">
          <cell r="D1196">
            <v>0</v>
          </cell>
          <cell r="E1196">
            <v>0</v>
          </cell>
          <cell r="F1196">
            <v>0</v>
          </cell>
          <cell r="H1196">
            <v>0</v>
          </cell>
          <cell r="J1196">
            <v>0</v>
          </cell>
          <cell r="P1196">
            <v>0</v>
          </cell>
          <cell r="Q1196">
            <v>0</v>
          </cell>
        </row>
        <row r="1197">
          <cell r="D1197">
            <v>0</v>
          </cell>
          <cell r="E1197">
            <v>0</v>
          </cell>
          <cell r="F1197">
            <v>0</v>
          </cell>
          <cell r="H1197">
            <v>0</v>
          </cell>
          <cell r="J1197">
            <v>0</v>
          </cell>
          <cell r="P1197">
            <v>0</v>
          </cell>
          <cell r="Q1197">
            <v>0</v>
          </cell>
        </row>
        <row r="1198">
          <cell r="D1198">
            <v>0</v>
          </cell>
          <cell r="E1198">
            <v>0</v>
          </cell>
          <cell r="F1198">
            <v>0</v>
          </cell>
          <cell r="H1198">
            <v>0</v>
          </cell>
          <cell r="J1198">
            <v>0</v>
          </cell>
          <cell r="P1198">
            <v>0</v>
          </cell>
          <cell r="Q1198">
            <v>0</v>
          </cell>
        </row>
        <row r="1199">
          <cell r="D1199">
            <v>0</v>
          </cell>
          <cell r="E1199">
            <v>0</v>
          </cell>
          <cell r="F1199">
            <v>0</v>
          </cell>
          <cell r="H1199">
            <v>0</v>
          </cell>
          <cell r="J1199">
            <v>0</v>
          </cell>
          <cell r="P1199">
            <v>0</v>
          </cell>
          <cell r="Q1199">
            <v>0</v>
          </cell>
        </row>
        <row r="1200">
          <cell r="D1200">
            <v>0</v>
          </cell>
          <cell r="E1200">
            <v>0</v>
          </cell>
          <cell r="F1200">
            <v>0</v>
          </cell>
          <cell r="H1200">
            <v>0</v>
          </cell>
          <cell r="J1200">
            <v>0</v>
          </cell>
          <cell r="P1200">
            <v>0</v>
          </cell>
          <cell r="Q1200">
            <v>0</v>
          </cell>
        </row>
        <row r="1201">
          <cell r="D1201">
            <v>0</v>
          </cell>
          <cell r="E1201">
            <v>0</v>
          </cell>
          <cell r="F1201">
            <v>0</v>
          </cell>
          <cell r="H1201">
            <v>0</v>
          </cell>
          <cell r="J1201">
            <v>0</v>
          </cell>
          <cell r="P1201">
            <v>0</v>
          </cell>
          <cell r="Q1201">
            <v>0</v>
          </cell>
        </row>
        <row r="1202">
          <cell r="D1202">
            <v>0</v>
          </cell>
          <cell r="E1202">
            <v>0</v>
          </cell>
          <cell r="F1202">
            <v>0</v>
          </cell>
          <cell r="H1202">
            <v>0</v>
          </cell>
          <cell r="J1202">
            <v>0</v>
          </cell>
          <cell r="P1202">
            <v>0</v>
          </cell>
          <cell r="Q1202">
            <v>0</v>
          </cell>
        </row>
        <row r="1203">
          <cell r="D1203">
            <v>0</v>
          </cell>
          <cell r="E1203">
            <v>0</v>
          </cell>
          <cell r="F1203">
            <v>0</v>
          </cell>
          <cell r="H1203">
            <v>0</v>
          </cell>
          <cell r="J1203">
            <v>0</v>
          </cell>
          <cell r="P1203">
            <v>0</v>
          </cell>
          <cell r="Q1203">
            <v>0</v>
          </cell>
        </row>
        <row r="1204">
          <cell r="D1204">
            <v>0</v>
          </cell>
          <cell r="E1204">
            <v>0</v>
          </cell>
          <cell r="F1204">
            <v>0</v>
          </cell>
          <cell r="H1204">
            <v>0</v>
          </cell>
          <cell r="J1204">
            <v>0</v>
          </cell>
          <cell r="P1204">
            <v>0</v>
          </cell>
          <cell r="Q1204">
            <v>0</v>
          </cell>
        </row>
        <row r="1205">
          <cell r="D1205">
            <v>0</v>
          </cell>
          <cell r="E1205">
            <v>0</v>
          </cell>
          <cell r="F1205">
            <v>0</v>
          </cell>
          <cell r="H1205">
            <v>0</v>
          </cell>
          <cell r="J1205">
            <v>0</v>
          </cell>
          <cell r="P1205">
            <v>0</v>
          </cell>
          <cell r="Q1205">
            <v>0</v>
          </cell>
        </row>
        <row r="1206">
          <cell r="D1206">
            <v>0</v>
          </cell>
          <cell r="E1206">
            <v>0</v>
          </cell>
          <cell r="F1206">
            <v>0</v>
          </cell>
          <cell r="H1206">
            <v>0</v>
          </cell>
          <cell r="J1206">
            <v>0</v>
          </cell>
          <cell r="P1206">
            <v>0</v>
          </cell>
          <cell r="Q1206">
            <v>0</v>
          </cell>
        </row>
        <row r="1207">
          <cell r="D1207">
            <v>0</v>
          </cell>
          <cell r="E1207">
            <v>0</v>
          </cell>
          <cell r="F1207">
            <v>0</v>
          </cell>
          <cell r="H1207">
            <v>0</v>
          </cell>
          <cell r="J1207">
            <v>0</v>
          </cell>
          <cell r="P1207">
            <v>0</v>
          </cell>
          <cell r="Q1207">
            <v>0</v>
          </cell>
        </row>
        <row r="1208">
          <cell r="D1208">
            <v>0</v>
          </cell>
          <cell r="E1208">
            <v>0</v>
          </cell>
          <cell r="F1208">
            <v>0</v>
          </cell>
          <cell r="H1208">
            <v>0</v>
          </cell>
          <cell r="J1208">
            <v>0</v>
          </cell>
          <cell r="P1208">
            <v>0</v>
          </cell>
          <cell r="Q1208">
            <v>0</v>
          </cell>
        </row>
        <row r="1209">
          <cell r="D1209">
            <v>0</v>
          </cell>
          <cell r="E1209">
            <v>0</v>
          </cell>
          <cell r="F1209">
            <v>0</v>
          </cell>
          <cell r="H1209">
            <v>0</v>
          </cell>
          <cell r="J1209">
            <v>0</v>
          </cell>
          <cell r="P1209">
            <v>0</v>
          </cell>
          <cell r="Q1209">
            <v>0</v>
          </cell>
        </row>
        <row r="1210">
          <cell r="D1210">
            <v>0</v>
          </cell>
          <cell r="E1210">
            <v>0</v>
          </cell>
          <cell r="F1210">
            <v>0</v>
          </cell>
          <cell r="H1210">
            <v>0</v>
          </cell>
          <cell r="J1210">
            <v>0</v>
          </cell>
          <cell r="P1210">
            <v>0</v>
          </cell>
          <cell r="Q1210">
            <v>0</v>
          </cell>
        </row>
        <row r="1211">
          <cell r="D1211">
            <v>0</v>
          </cell>
          <cell r="E1211">
            <v>0</v>
          </cell>
          <cell r="F1211">
            <v>0</v>
          </cell>
          <cell r="H1211">
            <v>0</v>
          </cell>
          <cell r="J1211">
            <v>0</v>
          </cell>
          <cell r="P1211">
            <v>0</v>
          </cell>
          <cell r="Q1211">
            <v>0</v>
          </cell>
        </row>
        <row r="1212">
          <cell r="D1212">
            <v>0</v>
          </cell>
          <cell r="E1212">
            <v>0</v>
          </cell>
          <cell r="F1212">
            <v>0</v>
          </cell>
          <cell r="H1212">
            <v>0</v>
          </cell>
          <cell r="J1212">
            <v>0</v>
          </cell>
          <cell r="P1212">
            <v>0</v>
          </cell>
          <cell r="Q1212">
            <v>0</v>
          </cell>
        </row>
        <row r="1213">
          <cell r="D1213">
            <v>0</v>
          </cell>
          <cell r="E1213">
            <v>0</v>
          </cell>
          <cell r="F1213">
            <v>0</v>
          </cell>
          <cell r="H1213">
            <v>0</v>
          </cell>
          <cell r="J1213">
            <v>0</v>
          </cell>
          <cell r="P1213">
            <v>0</v>
          </cell>
          <cell r="Q1213">
            <v>0</v>
          </cell>
        </row>
        <row r="1214">
          <cell r="D1214">
            <v>0</v>
          </cell>
          <cell r="E1214">
            <v>0</v>
          </cell>
          <cell r="F1214">
            <v>0</v>
          </cell>
          <cell r="H1214">
            <v>0</v>
          </cell>
          <cell r="J1214">
            <v>0</v>
          </cell>
          <cell r="P1214">
            <v>0</v>
          </cell>
          <cell r="Q1214">
            <v>0</v>
          </cell>
        </row>
        <row r="1215">
          <cell r="D1215">
            <v>0</v>
          </cell>
          <cell r="E1215">
            <v>0</v>
          </cell>
          <cell r="F1215">
            <v>0</v>
          </cell>
          <cell r="H1215">
            <v>0</v>
          </cell>
          <cell r="J1215">
            <v>0</v>
          </cell>
          <cell r="P1215">
            <v>0</v>
          </cell>
          <cell r="Q1215">
            <v>0</v>
          </cell>
        </row>
        <row r="1216">
          <cell r="D1216">
            <v>0</v>
          </cell>
          <cell r="E1216">
            <v>0</v>
          </cell>
          <cell r="F1216">
            <v>0</v>
          </cell>
          <cell r="H1216">
            <v>0</v>
          </cell>
          <cell r="J1216">
            <v>0</v>
          </cell>
          <cell r="P1216">
            <v>0</v>
          </cell>
          <cell r="Q1216">
            <v>0</v>
          </cell>
        </row>
        <row r="1217">
          <cell r="D1217">
            <v>0</v>
          </cell>
          <cell r="E1217">
            <v>0</v>
          </cell>
          <cell r="F1217">
            <v>0</v>
          </cell>
          <cell r="H1217">
            <v>0</v>
          </cell>
          <cell r="J1217">
            <v>0</v>
          </cell>
          <cell r="P1217">
            <v>0</v>
          </cell>
          <cell r="Q1217">
            <v>0</v>
          </cell>
        </row>
        <row r="1218">
          <cell r="D1218">
            <v>0</v>
          </cell>
          <cell r="E1218">
            <v>0</v>
          </cell>
          <cell r="F1218">
            <v>0</v>
          </cell>
          <cell r="H1218">
            <v>0</v>
          </cell>
          <cell r="J1218">
            <v>0</v>
          </cell>
          <cell r="P1218">
            <v>0</v>
          </cell>
          <cell r="Q1218">
            <v>0</v>
          </cell>
        </row>
        <row r="1219">
          <cell r="D1219">
            <v>0</v>
          </cell>
          <cell r="E1219">
            <v>0</v>
          </cell>
          <cell r="F1219">
            <v>0</v>
          </cell>
          <cell r="H1219">
            <v>0</v>
          </cell>
          <cell r="J1219">
            <v>0</v>
          </cell>
          <cell r="P1219">
            <v>0</v>
          </cell>
          <cell r="Q1219">
            <v>0</v>
          </cell>
        </row>
        <row r="1220">
          <cell r="D1220">
            <v>0</v>
          </cell>
          <cell r="E1220">
            <v>0</v>
          </cell>
          <cell r="F1220">
            <v>0</v>
          </cell>
          <cell r="H1220">
            <v>0</v>
          </cell>
          <cell r="J1220">
            <v>0</v>
          </cell>
          <cell r="P1220">
            <v>0</v>
          </cell>
          <cell r="Q1220">
            <v>0</v>
          </cell>
        </row>
        <row r="1221">
          <cell r="D1221">
            <v>0</v>
          </cell>
          <cell r="E1221">
            <v>0</v>
          </cell>
          <cell r="F1221">
            <v>0</v>
          </cell>
          <cell r="H1221">
            <v>0</v>
          </cell>
          <cell r="J1221">
            <v>0</v>
          </cell>
          <cell r="P1221">
            <v>0</v>
          </cell>
          <cell r="Q1221">
            <v>0</v>
          </cell>
        </row>
        <row r="1222">
          <cell r="D1222">
            <v>0</v>
          </cell>
          <cell r="E1222">
            <v>0</v>
          </cell>
          <cell r="F1222">
            <v>0</v>
          </cell>
          <cell r="H1222">
            <v>0</v>
          </cell>
          <cell r="J1222">
            <v>0</v>
          </cell>
          <cell r="P1222">
            <v>0</v>
          </cell>
          <cell r="Q1222">
            <v>0</v>
          </cell>
        </row>
        <row r="1223">
          <cell r="D1223">
            <v>0</v>
          </cell>
          <cell r="E1223">
            <v>0</v>
          </cell>
          <cell r="F1223">
            <v>0</v>
          </cell>
          <cell r="H1223">
            <v>0</v>
          </cell>
          <cell r="J1223">
            <v>0</v>
          </cell>
          <cell r="P1223">
            <v>0</v>
          </cell>
          <cell r="Q1223">
            <v>0</v>
          </cell>
        </row>
        <row r="1224">
          <cell r="D1224">
            <v>0</v>
          </cell>
          <cell r="E1224">
            <v>0</v>
          </cell>
          <cell r="F1224">
            <v>0</v>
          </cell>
          <cell r="H1224">
            <v>0</v>
          </cell>
          <cell r="J1224">
            <v>0</v>
          </cell>
          <cell r="P1224">
            <v>0</v>
          </cell>
          <cell r="Q1224">
            <v>0</v>
          </cell>
        </row>
        <row r="1225">
          <cell r="D1225">
            <v>0</v>
          </cell>
          <cell r="E1225">
            <v>0</v>
          </cell>
          <cell r="F1225">
            <v>0</v>
          </cell>
          <cell r="H1225">
            <v>0</v>
          </cell>
          <cell r="J1225">
            <v>0</v>
          </cell>
          <cell r="P1225">
            <v>0</v>
          </cell>
          <cell r="Q1225">
            <v>0</v>
          </cell>
        </row>
        <row r="1226">
          <cell r="D1226">
            <v>0</v>
          </cell>
          <cell r="E1226">
            <v>0</v>
          </cell>
          <cell r="F1226">
            <v>0</v>
          </cell>
          <cell r="H1226">
            <v>0</v>
          </cell>
          <cell r="J1226">
            <v>0</v>
          </cell>
          <cell r="P1226">
            <v>0</v>
          </cell>
          <cell r="Q1226">
            <v>0</v>
          </cell>
        </row>
        <row r="1227">
          <cell r="D1227">
            <v>0</v>
          </cell>
          <cell r="E1227">
            <v>0</v>
          </cell>
          <cell r="F1227">
            <v>0</v>
          </cell>
          <cell r="H1227">
            <v>0</v>
          </cell>
          <cell r="J1227">
            <v>0</v>
          </cell>
          <cell r="P1227">
            <v>0</v>
          </cell>
          <cell r="Q1227">
            <v>0</v>
          </cell>
        </row>
        <row r="1228">
          <cell r="D1228">
            <v>0</v>
          </cell>
          <cell r="E1228">
            <v>0</v>
          </cell>
          <cell r="F1228">
            <v>0</v>
          </cell>
          <cell r="H1228">
            <v>0</v>
          </cell>
          <cell r="J1228">
            <v>0</v>
          </cell>
          <cell r="P1228">
            <v>0</v>
          </cell>
          <cell r="Q1228">
            <v>0</v>
          </cell>
        </row>
        <row r="1229">
          <cell r="D1229">
            <v>0</v>
          </cell>
          <cell r="E1229">
            <v>0</v>
          </cell>
          <cell r="F1229">
            <v>0</v>
          </cell>
          <cell r="H1229">
            <v>0</v>
          </cell>
          <cell r="J1229">
            <v>0</v>
          </cell>
          <cell r="P1229">
            <v>0</v>
          </cell>
          <cell r="Q1229">
            <v>0</v>
          </cell>
        </row>
        <row r="1230">
          <cell r="D1230">
            <v>0</v>
          </cell>
          <cell r="E1230">
            <v>0</v>
          </cell>
          <cell r="F1230">
            <v>0</v>
          </cell>
          <cell r="H1230">
            <v>0</v>
          </cell>
          <cell r="J1230">
            <v>0</v>
          </cell>
          <cell r="P1230">
            <v>0</v>
          </cell>
          <cell r="Q1230">
            <v>0</v>
          </cell>
        </row>
        <row r="1231">
          <cell r="D1231">
            <v>0</v>
          </cell>
          <cell r="E1231">
            <v>0</v>
          </cell>
          <cell r="F1231">
            <v>0</v>
          </cell>
          <cell r="H1231">
            <v>0</v>
          </cell>
          <cell r="J1231">
            <v>0</v>
          </cell>
          <cell r="P1231">
            <v>0</v>
          </cell>
          <cell r="Q1231">
            <v>0</v>
          </cell>
        </row>
        <row r="1232">
          <cell r="D1232">
            <v>0</v>
          </cell>
          <cell r="E1232">
            <v>0</v>
          </cell>
          <cell r="F1232">
            <v>0</v>
          </cell>
          <cell r="H1232">
            <v>0</v>
          </cell>
          <cell r="J1232">
            <v>0</v>
          </cell>
          <cell r="P1232">
            <v>0</v>
          </cell>
          <cell r="Q1232">
            <v>0</v>
          </cell>
        </row>
        <row r="1233">
          <cell r="D1233">
            <v>0</v>
          </cell>
          <cell r="E1233">
            <v>0</v>
          </cell>
          <cell r="F1233">
            <v>0</v>
          </cell>
          <cell r="H1233">
            <v>0</v>
          </cell>
          <cell r="J1233">
            <v>0</v>
          </cell>
          <cell r="P1233">
            <v>0</v>
          </cell>
          <cell r="Q1233">
            <v>0</v>
          </cell>
        </row>
        <row r="1234">
          <cell r="D1234">
            <v>0</v>
          </cell>
          <cell r="E1234">
            <v>0</v>
          </cell>
          <cell r="F1234">
            <v>0</v>
          </cell>
          <cell r="H1234">
            <v>0</v>
          </cell>
          <cell r="J1234">
            <v>0</v>
          </cell>
          <cell r="P1234">
            <v>0</v>
          </cell>
          <cell r="Q1234">
            <v>0</v>
          </cell>
        </row>
        <row r="1235">
          <cell r="D1235">
            <v>0</v>
          </cell>
          <cell r="E1235">
            <v>0</v>
          </cell>
          <cell r="F1235">
            <v>0</v>
          </cell>
          <cell r="H1235">
            <v>0</v>
          </cell>
          <cell r="J1235">
            <v>0</v>
          </cell>
          <cell r="P1235">
            <v>0</v>
          </cell>
          <cell r="Q1235">
            <v>0</v>
          </cell>
        </row>
        <row r="1236">
          <cell r="D1236">
            <v>0</v>
          </cell>
          <cell r="E1236">
            <v>0</v>
          </cell>
          <cell r="F1236">
            <v>0</v>
          </cell>
          <cell r="H1236">
            <v>0</v>
          </cell>
          <cell r="J1236">
            <v>0</v>
          </cell>
          <cell r="P1236">
            <v>0</v>
          </cell>
          <cell r="Q1236">
            <v>0</v>
          </cell>
        </row>
        <row r="1237">
          <cell r="D1237">
            <v>0</v>
          </cell>
          <cell r="E1237">
            <v>0</v>
          </cell>
          <cell r="F1237">
            <v>0</v>
          </cell>
          <cell r="H1237">
            <v>0</v>
          </cell>
          <cell r="J1237">
            <v>0</v>
          </cell>
          <cell r="P1237">
            <v>0</v>
          </cell>
          <cell r="Q1237">
            <v>0</v>
          </cell>
        </row>
        <row r="1238">
          <cell r="D1238">
            <v>0</v>
          </cell>
          <cell r="E1238">
            <v>0</v>
          </cell>
          <cell r="F1238">
            <v>0</v>
          </cell>
          <cell r="H1238">
            <v>0</v>
          </cell>
          <cell r="J1238">
            <v>0</v>
          </cell>
          <cell r="P1238">
            <v>0</v>
          </cell>
          <cell r="Q1238">
            <v>0</v>
          </cell>
        </row>
        <row r="1239">
          <cell r="D1239">
            <v>0</v>
          </cell>
          <cell r="E1239">
            <v>0</v>
          </cell>
          <cell r="F1239">
            <v>0</v>
          </cell>
          <cell r="H1239">
            <v>0</v>
          </cell>
          <cell r="J1239">
            <v>0</v>
          </cell>
          <cell r="P1239">
            <v>0</v>
          </cell>
          <cell r="Q1239">
            <v>0</v>
          </cell>
        </row>
        <row r="1240">
          <cell r="D1240">
            <v>0</v>
          </cell>
          <cell r="E1240">
            <v>0</v>
          </cell>
          <cell r="F1240">
            <v>0</v>
          </cell>
          <cell r="H1240">
            <v>0</v>
          </cell>
          <cell r="J1240">
            <v>0</v>
          </cell>
          <cell r="P1240">
            <v>0</v>
          </cell>
          <cell r="Q1240">
            <v>0</v>
          </cell>
        </row>
        <row r="1241">
          <cell r="D1241">
            <v>0</v>
          </cell>
          <cell r="E1241">
            <v>0</v>
          </cell>
          <cell r="F1241">
            <v>0</v>
          </cell>
          <cell r="H1241">
            <v>0</v>
          </cell>
          <cell r="J1241">
            <v>0</v>
          </cell>
          <cell r="P1241">
            <v>0</v>
          </cell>
          <cell r="Q1241">
            <v>0</v>
          </cell>
        </row>
        <row r="1242">
          <cell r="D1242">
            <v>0</v>
          </cell>
          <cell r="E1242">
            <v>0</v>
          </cell>
          <cell r="F1242">
            <v>0</v>
          </cell>
          <cell r="H1242">
            <v>0</v>
          </cell>
          <cell r="J1242">
            <v>0</v>
          </cell>
          <cell r="P1242">
            <v>0</v>
          </cell>
          <cell r="Q1242">
            <v>0</v>
          </cell>
        </row>
        <row r="1243">
          <cell r="D1243">
            <v>0</v>
          </cell>
          <cell r="E1243">
            <v>0</v>
          </cell>
          <cell r="F1243">
            <v>0</v>
          </cell>
          <cell r="H1243">
            <v>0</v>
          </cell>
          <cell r="J1243">
            <v>0</v>
          </cell>
          <cell r="P1243">
            <v>0</v>
          </cell>
          <cell r="Q1243">
            <v>0</v>
          </cell>
        </row>
        <row r="1244">
          <cell r="D1244">
            <v>0</v>
          </cell>
          <cell r="E1244">
            <v>0</v>
          </cell>
          <cell r="F1244">
            <v>0</v>
          </cell>
          <cell r="H1244">
            <v>0</v>
          </cell>
          <cell r="J1244">
            <v>0</v>
          </cell>
          <cell r="P1244">
            <v>0</v>
          </cell>
          <cell r="Q1244">
            <v>0</v>
          </cell>
        </row>
        <row r="1245">
          <cell r="D1245">
            <v>0</v>
          </cell>
          <cell r="E1245">
            <v>0</v>
          </cell>
          <cell r="F1245">
            <v>0</v>
          </cell>
          <cell r="H1245">
            <v>0</v>
          </cell>
          <cell r="J1245">
            <v>0</v>
          </cell>
          <cell r="P1245">
            <v>0</v>
          </cell>
          <cell r="Q1245">
            <v>0</v>
          </cell>
        </row>
        <row r="1246">
          <cell r="D1246">
            <v>0</v>
          </cell>
          <cell r="E1246">
            <v>0</v>
          </cell>
          <cell r="F1246">
            <v>0</v>
          </cell>
          <cell r="H1246">
            <v>0</v>
          </cell>
          <cell r="J1246">
            <v>0</v>
          </cell>
          <cell r="P1246">
            <v>0</v>
          </cell>
          <cell r="Q1246">
            <v>0</v>
          </cell>
        </row>
        <row r="1247">
          <cell r="D1247">
            <v>0</v>
          </cell>
          <cell r="E1247">
            <v>0</v>
          </cell>
          <cell r="F1247">
            <v>0</v>
          </cell>
          <cell r="H1247">
            <v>0</v>
          </cell>
          <cell r="J1247">
            <v>0</v>
          </cell>
          <cell r="P1247">
            <v>0</v>
          </cell>
          <cell r="Q1247">
            <v>0</v>
          </cell>
        </row>
        <row r="1248">
          <cell r="D1248">
            <v>0</v>
          </cell>
          <cell r="E1248">
            <v>0</v>
          </cell>
          <cell r="F1248">
            <v>0</v>
          </cell>
          <cell r="H1248">
            <v>0</v>
          </cell>
          <cell r="J1248">
            <v>0</v>
          </cell>
          <cell r="P1248">
            <v>0</v>
          </cell>
          <cell r="Q1248">
            <v>0</v>
          </cell>
        </row>
        <row r="1249">
          <cell r="D1249">
            <v>0</v>
          </cell>
          <cell r="E1249">
            <v>0</v>
          </cell>
          <cell r="F1249">
            <v>0</v>
          </cell>
          <cell r="H1249">
            <v>0</v>
          </cell>
          <cell r="J1249">
            <v>0</v>
          </cell>
          <cell r="P1249">
            <v>0</v>
          </cell>
          <cell r="Q1249">
            <v>0</v>
          </cell>
        </row>
        <row r="1250">
          <cell r="D1250">
            <v>0</v>
          </cell>
          <cell r="E1250">
            <v>0</v>
          </cell>
          <cell r="F1250">
            <v>0</v>
          </cell>
          <cell r="H1250">
            <v>0</v>
          </cell>
          <cell r="J1250">
            <v>0</v>
          </cell>
          <cell r="P1250">
            <v>0</v>
          </cell>
          <cell r="Q1250">
            <v>0</v>
          </cell>
        </row>
        <row r="1251">
          <cell r="D1251">
            <v>0</v>
          </cell>
          <cell r="E1251">
            <v>0</v>
          </cell>
          <cell r="F1251">
            <v>0</v>
          </cell>
          <cell r="H1251">
            <v>0</v>
          </cell>
          <cell r="J1251">
            <v>0</v>
          </cell>
          <cell r="P1251">
            <v>0</v>
          </cell>
          <cell r="Q1251">
            <v>0</v>
          </cell>
        </row>
        <row r="1252">
          <cell r="D1252">
            <v>0</v>
          </cell>
          <cell r="E1252">
            <v>0</v>
          </cell>
          <cell r="F1252">
            <v>0</v>
          </cell>
          <cell r="H1252">
            <v>0</v>
          </cell>
          <cell r="J1252">
            <v>0</v>
          </cell>
          <cell r="P1252">
            <v>0</v>
          </cell>
          <cell r="Q1252">
            <v>0</v>
          </cell>
        </row>
        <row r="1253">
          <cell r="D1253">
            <v>0</v>
          </cell>
          <cell r="E1253">
            <v>0</v>
          </cell>
          <cell r="F1253">
            <v>0</v>
          </cell>
          <cell r="H1253">
            <v>0</v>
          </cell>
          <cell r="J1253">
            <v>0</v>
          </cell>
          <cell r="P1253">
            <v>0</v>
          </cell>
          <cell r="Q1253">
            <v>0</v>
          </cell>
        </row>
        <row r="1254">
          <cell r="D1254">
            <v>0</v>
          </cell>
          <cell r="E1254">
            <v>0</v>
          </cell>
          <cell r="F1254">
            <v>0</v>
          </cell>
          <cell r="H1254">
            <v>0</v>
          </cell>
          <cell r="J1254">
            <v>0</v>
          </cell>
          <cell r="P1254">
            <v>0</v>
          </cell>
          <cell r="Q1254">
            <v>0</v>
          </cell>
        </row>
        <row r="1255">
          <cell r="D1255">
            <v>0</v>
          </cell>
          <cell r="E1255">
            <v>0</v>
          </cell>
          <cell r="F1255">
            <v>0</v>
          </cell>
          <cell r="H1255">
            <v>0</v>
          </cell>
          <cell r="J1255">
            <v>0</v>
          </cell>
          <cell r="P1255">
            <v>0</v>
          </cell>
          <cell r="Q1255">
            <v>0</v>
          </cell>
        </row>
        <row r="1256">
          <cell r="D1256">
            <v>0</v>
          </cell>
          <cell r="E1256">
            <v>0</v>
          </cell>
          <cell r="F1256">
            <v>0</v>
          </cell>
          <cell r="H1256">
            <v>0</v>
          </cell>
          <cell r="J1256">
            <v>0</v>
          </cell>
          <cell r="P1256">
            <v>0</v>
          </cell>
          <cell r="Q1256">
            <v>0</v>
          </cell>
        </row>
        <row r="1257">
          <cell r="D1257">
            <v>0</v>
          </cell>
          <cell r="E1257">
            <v>0</v>
          </cell>
          <cell r="F1257">
            <v>0</v>
          </cell>
          <cell r="H1257">
            <v>0</v>
          </cell>
          <cell r="J1257">
            <v>0</v>
          </cell>
          <cell r="P1257">
            <v>0</v>
          </cell>
          <cell r="Q1257">
            <v>0</v>
          </cell>
        </row>
        <row r="1258">
          <cell r="D1258">
            <v>0</v>
          </cell>
          <cell r="E1258">
            <v>0</v>
          </cell>
          <cell r="F1258">
            <v>0</v>
          </cell>
          <cell r="H1258">
            <v>0</v>
          </cell>
          <cell r="J1258">
            <v>0</v>
          </cell>
          <cell r="P1258">
            <v>0</v>
          </cell>
          <cell r="Q1258">
            <v>0</v>
          </cell>
        </row>
        <row r="1259">
          <cell r="D1259">
            <v>0</v>
          </cell>
          <cell r="E1259">
            <v>0</v>
          </cell>
          <cell r="F1259">
            <v>0</v>
          </cell>
          <cell r="H1259">
            <v>0</v>
          </cell>
          <cell r="J1259">
            <v>0</v>
          </cell>
          <cell r="P1259">
            <v>0</v>
          </cell>
          <cell r="Q1259">
            <v>0</v>
          </cell>
        </row>
        <row r="1260">
          <cell r="D1260">
            <v>0</v>
          </cell>
          <cell r="E1260">
            <v>0</v>
          </cell>
          <cell r="F1260">
            <v>0</v>
          </cell>
          <cell r="H1260">
            <v>0</v>
          </cell>
          <cell r="J1260">
            <v>0</v>
          </cell>
          <cell r="P1260">
            <v>0</v>
          </cell>
          <cell r="Q1260">
            <v>0</v>
          </cell>
        </row>
        <row r="1261">
          <cell r="D1261">
            <v>0</v>
          </cell>
          <cell r="E1261">
            <v>0</v>
          </cell>
          <cell r="F1261">
            <v>0</v>
          </cell>
          <cell r="H1261">
            <v>0</v>
          </cell>
          <cell r="J1261">
            <v>0</v>
          </cell>
          <cell r="P1261">
            <v>0</v>
          </cell>
          <cell r="Q1261">
            <v>0</v>
          </cell>
        </row>
        <row r="1262">
          <cell r="D1262">
            <v>0</v>
          </cell>
          <cell r="E1262">
            <v>0</v>
          </cell>
          <cell r="F1262">
            <v>0</v>
          </cell>
          <cell r="H1262">
            <v>0</v>
          </cell>
          <cell r="J1262">
            <v>0</v>
          </cell>
          <cell r="P1262">
            <v>0</v>
          </cell>
          <cell r="Q1262">
            <v>0</v>
          </cell>
        </row>
        <row r="1263">
          <cell r="D1263">
            <v>0</v>
          </cell>
          <cell r="E1263">
            <v>0</v>
          </cell>
          <cell r="F1263">
            <v>0</v>
          </cell>
          <cell r="H1263">
            <v>0</v>
          </cell>
          <cell r="J1263">
            <v>0</v>
          </cell>
          <cell r="P1263">
            <v>0</v>
          </cell>
          <cell r="Q1263">
            <v>0</v>
          </cell>
        </row>
        <row r="1264">
          <cell r="D1264">
            <v>0</v>
          </cell>
          <cell r="E1264">
            <v>0</v>
          </cell>
          <cell r="F1264">
            <v>0</v>
          </cell>
          <cell r="H1264">
            <v>0</v>
          </cell>
          <cell r="J1264">
            <v>0</v>
          </cell>
          <cell r="P1264">
            <v>0</v>
          </cell>
          <cell r="Q1264">
            <v>0</v>
          </cell>
        </row>
        <row r="1265">
          <cell r="D1265">
            <v>0</v>
          </cell>
          <cell r="E1265">
            <v>0</v>
          </cell>
          <cell r="F1265">
            <v>0</v>
          </cell>
          <cell r="H1265">
            <v>0</v>
          </cell>
          <cell r="J1265">
            <v>0</v>
          </cell>
          <cell r="P1265">
            <v>0</v>
          </cell>
          <cell r="Q1265">
            <v>0</v>
          </cell>
        </row>
        <row r="1266">
          <cell r="D1266">
            <v>0</v>
          </cell>
          <cell r="E1266">
            <v>0</v>
          </cell>
          <cell r="F1266">
            <v>0</v>
          </cell>
          <cell r="H1266">
            <v>0</v>
          </cell>
          <cell r="J1266">
            <v>0</v>
          </cell>
          <cell r="P1266">
            <v>0</v>
          </cell>
          <cell r="Q1266">
            <v>0</v>
          </cell>
        </row>
        <row r="1267">
          <cell r="D1267">
            <v>0</v>
          </cell>
          <cell r="E1267">
            <v>0</v>
          </cell>
          <cell r="F1267">
            <v>0</v>
          </cell>
          <cell r="H1267">
            <v>0</v>
          </cell>
          <cell r="J1267">
            <v>0</v>
          </cell>
          <cell r="P1267">
            <v>0</v>
          </cell>
          <cell r="Q1267">
            <v>0</v>
          </cell>
        </row>
        <row r="1268">
          <cell r="D1268">
            <v>0</v>
          </cell>
          <cell r="E1268">
            <v>0</v>
          </cell>
          <cell r="F1268">
            <v>0</v>
          </cell>
          <cell r="H1268">
            <v>0</v>
          </cell>
          <cell r="J1268">
            <v>0</v>
          </cell>
          <cell r="P1268">
            <v>0</v>
          </cell>
          <cell r="Q1268">
            <v>0</v>
          </cell>
        </row>
        <row r="1269">
          <cell r="D1269">
            <v>0</v>
          </cell>
          <cell r="E1269">
            <v>0</v>
          </cell>
          <cell r="F1269">
            <v>0</v>
          </cell>
          <cell r="H1269">
            <v>0</v>
          </cell>
          <cell r="J1269">
            <v>0</v>
          </cell>
          <cell r="P1269">
            <v>0</v>
          </cell>
          <cell r="Q1269">
            <v>0</v>
          </cell>
        </row>
        <row r="1270">
          <cell r="D1270">
            <v>0</v>
          </cell>
          <cell r="E1270">
            <v>0</v>
          </cell>
          <cell r="F1270">
            <v>0</v>
          </cell>
          <cell r="H1270">
            <v>0</v>
          </cell>
          <cell r="J1270">
            <v>0</v>
          </cell>
          <cell r="P1270">
            <v>0</v>
          </cell>
          <cell r="Q1270">
            <v>0</v>
          </cell>
        </row>
        <row r="1271">
          <cell r="D1271">
            <v>0</v>
          </cell>
          <cell r="E1271">
            <v>0</v>
          </cell>
          <cell r="F1271">
            <v>0</v>
          </cell>
          <cell r="H1271">
            <v>0</v>
          </cell>
          <cell r="J1271">
            <v>0</v>
          </cell>
          <cell r="P1271">
            <v>0</v>
          </cell>
          <cell r="Q1271">
            <v>0</v>
          </cell>
        </row>
        <row r="1272">
          <cell r="D1272">
            <v>0</v>
          </cell>
          <cell r="E1272">
            <v>0</v>
          </cell>
          <cell r="F1272">
            <v>0</v>
          </cell>
          <cell r="H1272">
            <v>0</v>
          </cell>
          <cell r="J1272">
            <v>0</v>
          </cell>
          <cell r="P1272">
            <v>0</v>
          </cell>
          <cell r="Q1272">
            <v>0</v>
          </cell>
        </row>
        <row r="1273">
          <cell r="D1273">
            <v>0</v>
          </cell>
          <cell r="E1273">
            <v>0</v>
          </cell>
          <cell r="F1273">
            <v>0</v>
          </cell>
          <cell r="H1273">
            <v>0</v>
          </cell>
          <cell r="J1273">
            <v>0</v>
          </cell>
          <cell r="P1273">
            <v>0</v>
          </cell>
          <cell r="Q1273">
            <v>0</v>
          </cell>
        </row>
        <row r="1274">
          <cell r="D1274">
            <v>0</v>
          </cell>
          <cell r="E1274">
            <v>0</v>
          </cell>
          <cell r="F1274">
            <v>0</v>
          </cell>
          <cell r="H1274">
            <v>0</v>
          </cell>
          <cell r="J1274">
            <v>0</v>
          </cell>
          <cell r="P1274">
            <v>0</v>
          </cell>
          <cell r="Q1274">
            <v>0</v>
          </cell>
        </row>
        <row r="1275">
          <cell r="D1275">
            <v>0</v>
          </cell>
          <cell r="E1275">
            <v>0</v>
          </cell>
          <cell r="F1275">
            <v>0</v>
          </cell>
          <cell r="H1275">
            <v>0</v>
          </cell>
          <cell r="J1275">
            <v>0</v>
          </cell>
          <cell r="P1275">
            <v>0</v>
          </cell>
          <cell r="Q1275">
            <v>0</v>
          </cell>
        </row>
        <row r="1276">
          <cell r="D1276">
            <v>0</v>
          </cell>
          <cell r="E1276">
            <v>0</v>
          </cell>
          <cell r="F1276">
            <v>0</v>
          </cell>
          <cell r="H1276">
            <v>0</v>
          </cell>
          <cell r="J1276">
            <v>0</v>
          </cell>
          <cell r="P1276">
            <v>0</v>
          </cell>
          <cell r="Q1276">
            <v>0</v>
          </cell>
        </row>
        <row r="1277">
          <cell r="D1277">
            <v>0</v>
          </cell>
          <cell r="E1277">
            <v>0</v>
          </cell>
          <cell r="F1277">
            <v>0</v>
          </cell>
          <cell r="H1277">
            <v>0</v>
          </cell>
          <cell r="J1277">
            <v>0</v>
          </cell>
          <cell r="P1277">
            <v>0</v>
          </cell>
          <cell r="Q1277">
            <v>0</v>
          </cell>
        </row>
        <row r="1278">
          <cell r="D1278">
            <v>0</v>
          </cell>
          <cell r="E1278">
            <v>0</v>
          </cell>
          <cell r="F1278">
            <v>0</v>
          </cell>
          <cell r="H1278">
            <v>0</v>
          </cell>
          <cell r="J1278">
            <v>0</v>
          </cell>
          <cell r="P1278">
            <v>0</v>
          </cell>
          <cell r="Q1278">
            <v>0</v>
          </cell>
        </row>
        <row r="1279">
          <cell r="D1279">
            <v>0</v>
          </cell>
          <cell r="E1279">
            <v>0</v>
          </cell>
          <cell r="F1279">
            <v>0</v>
          </cell>
          <cell r="H1279">
            <v>0</v>
          </cell>
          <cell r="J1279">
            <v>0</v>
          </cell>
          <cell r="P1279">
            <v>0</v>
          </cell>
          <cell r="Q1279">
            <v>0</v>
          </cell>
        </row>
        <row r="1280">
          <cell r="D1280">
            <v>0</v>
          </cell>
          <cell r="E1280">
            <v>0</v>
          </cell>
          <cell r="F1280">
            <v>0</v>
          </cell>
          <cell r="H1280">
            <v>0</v>
          </cell>
          <cell r="J1280">
            <v>0</v>
          </cell>
          <cell r="P1280">
            <v>0</v>
          </cell>
          <cell r="Q1280">
            <v>0</v>
          </cell>
        </row>
        <row r="1281">
          <cell r="D1281">
            <v>0</v>
          </cell>
          <cell r="E1281">
            <v>0</v>
          </cell>
          <cell r="F1281">
            <v>0</v>
          </cell>
          <cell r="H1281">
            <v>0</v>
          </cell>
          <cell r="J1281">
            <v>0</v>
          </cell>
          <cell r="P1281">
            <v>0</v>
          </cell>
          <cell r="Q1281">
            <v>0</v>
          </cell>
        </row>
        <row r="1282">
          <cell r="D1282">
            <v>0</v>
          </cell>
          <cell r="E1282">
            <v>0</v>
          </cell>
          <cell r="F1282">
            <v>0</v>
          </cell>
          <cell r="H1282">
            <v>0</v>
          </cell>
          <cell r="J1282">
            <v>0</v>
          </cell>
          <cell r="P1282">
            <v>0</v>
          </cell>
          <cell r="Q1282">
            <v>0</v>
          </cell>
        </row>
        <row r="1283">
          <cell r="D1283">
            <v>0</v>
          </cell>
          <cell r="E1283">
            <v>0</v>
          </cell>
          <cell r="F1283">
            <v>0</v>
          </cell>
          <cell r="H1283">
            <v>0</v>
          </cell>
          <cell r="J1283">
            <v>0</v>
          </cell>
          <cell r="P1283">
            <v>0</v>
          </cell>
          <cell r="Q1283">
            <v>0</v>
          </cell>
        </row>
        <row r="1284">
          <cell r="D1284">
            <v>0</v>
          </cell>
          <cell r="E1284">
            <v>0</v>
          </cell>
          <cell r="F1284">
            <v>0</v>
          </cell>
          <cell r="H1284">
            <v>0</v>
          </cell>
          <cell r="J1284">
            <v>0</v>
          </cell>
          <cell r="P1284">
            <v>0</v>
          </cell>
          <cell r="Q1284">
            <v>0</v>
          </cell>
        </row>
        <row r="1285">
          <cell r="D1285">
            <v>0</v>
          </cell>
          <cell r="E1285">
            <v>0</v>
          </cell>
          <cell r="F1285">
            <v>0</v>
          </cell>
          <cell r="H1285">
            <v>0</v>
          </cell>
          <cell r="J1285">
            <v>0</v>
          </cell>
          <cell r="P1285">
            <v>0</v>
          </cell>
          <cell r="Q1285">
            <v>0</v>
          </cell>
        </row>
        <row r="1286">
          <cell r="D1286">
            <v>0</v>
          </cell>
          <cell r="E1286">
            <v>0</v>
          </cell>
          <cell r="F1286">
            <v>0</v>
          </cell>
          <cell r="H1286">
            <v>0</v>
          </cell>
          <cell r="J1286">
            <v>0</v>
          </cell>
          <cell r="P1286">
            <v>0</v>
          </cell>
          <cell r="Q1286">
            <v>0</v>
          </cell>
        </row>
        <row r="1287">
          <cell r="D1287">
            <v>0</v>
          </cell>
          <cell r="E1287">
            <v>0</v>
          </cell>
          <cell r="F1287">
            <v>0</v>
          </cell>
          <cell r="H1287">
            <v>0</v>
          </cell>
          <cell r="J1287">
            <v>0</v>
          </cell>
          <cell r="P1287">
            <v>0</v>
          </cell>
          <cell r="Q1287">
            <v>0</v>
          </cell>
        </row>
        <row r="1288">
          <cell r="D1288">
            <v>0</v>
          </cell>
          <cell r="E1288">
            <v>0</v>
          </cell>
          <cell r="F1288">
            <v>0</v>
          </cell>
          <cell r="H1288">
            <v>0</v>
          </cell>
          <cell r="J1288">
            <v>0</v>
          </cell>
          <cell r="P1288">
            <v>0</v>
          </cell>
          <cell r="Q1288">
            <v>0</v>
          </cell>
        </row>
        <row r="1289">
          <cell r="D1289">
            <v>0</v>
          </cell>
          <cell r="E1289">
            <v>0</v>
          </cell>
          <cell r="F1289">
            <v>0</v>
          </cell>
          <cell r="H1289">
            <v>0</v>
          </cell>
          <cell r="J1289">
            <v>0</v>
          </cell>
          <cell r="P1289">
            <v>0</v>
          </cell>
          <cell r="Q1289">
            <v>0</v>
          </cell>
        </row>
        <row r="1290">
          <cell r="D1290">
            <v>0</v>
          </cell>
          <cell r="E1290">
            <v>0</v>
          </cell>
          <cell r="F1290">
            <v>0</v>
          </cell>
          <cell r="H1290">
            <v>0</v>
          </cell>
          <cell r="J1290">
            <v>0</v>
          </cell>
          <cell r="P1290">
            <v>0</v>
          </cell>
          <cell r="Q1290">
            <v>0</v>
          </cell>
        </row>
        <row r="1291">
          <cell r="D1291">
            <v>0</v>
          </cell>
          <cell r="E1291">
            <v>0</v>
          </cell>
          <cell r="F1291">
            <v>0</v>
          </cell>
          <cell r="H1291">
            <v>0</v>
          </cell>
          <cell r="J1291">
            <v>0</v>
          </cell>
          <cell r="P1291">
            <v>0</v>
          </cell>
          <cell r="Q1291">
            <v>0</v>
          </cell>
        </row>
        <row r="1292">
          <cell r="D1292">
            <v>0</v>
          </cell>
          <cell r="E1292">
            <v>0</v>
          </cell>
          <cell r="F1292">
            <v>0</v>
          </cell>
          <cell r="H1292">
            <v>0</v>
          </cell>
          <cell r="J1292">
            <v>0</v>
          </cell>
          <cell r="P1292">
            <v>0</v>
          </cell>
          <cell r="Q1292">
            <v>0</v>
          </cell>
        </row>
        <row r="1293">
          <cell r="D1293">
            <v>0</v>
          </cell>
          <cell r="E1293">
            <v>0</v>
          </cell>
          <cell r="F1293">
            <v>0</v>
          </cell>
          <cell r="H1293">
            <v>0</v>
          </cell>
          <cell r="J1293">
            <v>0</v>
          </cell>
          <cell r="P1293">
            <v>0</v>
          </cell>
          <cell r="Q1293">
            <v>0</v>
          </cell>
        </row>
        <row r="1294">
          <cell r="D1294">
            <v>0</v>
          </cell>
          <cell r="E1294">
            <v>0</v>
          </cell>
          <cell r="F1294">
            <v>0</v>
          </cell>
          <cell r="H1294">
            <v>0</v>
          </cell>
          <cell r="J1294">
            <v>0</v>
          </cell>
          <cell r="P1294">
            <v>0</v>
          </cell>
          <cell r="Q1294">
            <v>0</v>
          </cell>
        </row>
        <row r="1295">
          <cell r="D1295">
            <v>0</v>
          </cell>
          <cell r="E1295">
            <v>0</v>
          </cell>
          <cell r="F1295">
            <v>0</v>
          </cell>
          <cell r="H1295">
            <v>0</v>
          </cell>
          <cell r="J1295">
            <v>0</v>
          </cell>
          <cell r="P1295">
            <v>0</v>
          </cell>
          <cell r="Q1295">
            <v>0</v>
          </cell>
        </row>
        <row r="1296">
          <cell r="D1296">
            <v>0</v>
          </cell>
          <cell r="E1296">
            <v>0</v>
          </cell>
          <cell r="F1296">
            <v>0</v>
          </cell>
          <cell r="H1296">
            <v>0</v>
          </cell>
          <cell r="J1296">
            <v>0</v>
          </cell>
          <cell r="P1296">
            <v>0</v>
          </cell>
          <cell r="Q1296">
            <v>0</v>
          </cell>
        </row>
        <row r="1297">
          <cell r="D1297">
            <v>0</v>
          </cell>
          <cell r="E1297">
            <v>0</v>
          </cell>
          <cell r="F1297">
            <v>0</v>
          </cell>
          <cell r="H1297">
            <v>0</v>
          </cell>
          <cell r="J1297">
            <v>0</v>
          </cell>
          <cell r="P1297">
            <v>0</v>
          </cell>
          <cell r="Q1297">
            <v>0</v>
          </cell>
        </row>
        <row r="1298">
          <cell r="D1298">
            <v>0</v>
          </cell>
          <cell r="E1298">
            <v>0</v>
          </cell>
          <cell r="F1298">
            <v>0</v>
          </cell>
          <cell r="H1298">
            <v>0</v>
          </cell>
          <cell r="J1298">
            <v>0</v>
          </cell>
          <cell r="P1298">
            <v>0</v>
          </cell>
          <cell r="Q1298">
            <v>0</v>
          </cell>
        </row>
        <row r="1299">
          <cell r="D1299">
            <v>0</v>
          </cell>
          <cell r="E1299">
            <v>0</v>
          </cell>
          <cell r="F1299">
            <v>0</v>
          </cell>
          <cell r="H1299">
            <v>0</v>
          </cell>
          <cell r="J1299">
            <v>0</v>
          </cell>
          <cell r="P1299">
            <v>0</v>
          </cell>
          <cell r="Q1299">
            <v>0</v>
          </cell>
        </row>
        <row r="1300">
          <cell r="D1300">
            <v>0</v>
          </cell>
          <cell r="E1300">
            <v>0</v>
          </cell>
          <cell r="F1300">
            <v>0</v>
          </cell>
          <cell r="H1300">
            <v>0</v>
          </cell>
          <cell r="J1300">
            <v>0</v>
          </cell>
          <cell r="P1300">
            <v>0</v>
          </cell>
          <cell r="Q1300">
            <v>0</v>
          </cell>
        </row>
        <row r="1301">
          <cell r="D1301">
            <v>0</v>
          </cell>
          <cell r="E1301">
            <v>0</v>
          </cell>
          <cell r="F1301">
            <v>0</v>
          </cell>
          <cell r="H1301">
            <v>0</v>
          </cell>
          <cell r="J1301">
            <v>0</v>
          </cell>
          <cell r="P1301">
            <v>0</v>
          </cell>
          <cell r="Q1301">
            <v>0</v>
          </cell>
        </row>
        <row r="1302">
          <cell r="D1302">
            <v>0</v>
          </cell>
          <cell r="E1302">
            <v>0</v>
          </cell>
          <cell r="F1302">
            <v>0</v>
          </cell>
          <cell r="H1302">
            <v>0</v>
          </cell>
          <cell r="J1302">
            <v>0</v>
          </cell>
          <cell r="P1302">
            <v>0</v>
          </cell>
          <cell r="Q1302">
            <v>0</v>
          </cell>
        </row>
        <row r="1303">
          <cell r="D1303">
            <v>0</v>
          </cell>
          <cell r="E1303">
            <v>0</v>
          </cell>
          <cell r="F1303">
            <v>0</v>
          </cell>
          <cell r="H1303">
            <v>0</v>
          </cell>
          <cell r="J1303">
            <v>0</v>
          </cell>
          <cell r="P1303">
            <v>0</v>
          </cell>
          <cell r="Q1303">
            <v>0</v>
          </cell>
        </row>
        <row r="1304">
          <cell r="D1304">
            <v>0</v>
          </cell>
          <cell r="E1304">
            <v>0</v>
          </cell>
          <cell r="F1304">
            <v>0</v>
          </cell>
          <cell r="H1304">
            <v>0</v>
          </cell>
          <cell r="J1304">
            <v>0</v>
          </cell>
          <cell r="P1304">
            <v>0</v>
          </cell>
          <cell r="Q1304">
            <v>0</v>
          </cell>
        </row>
        <row r="1305">
          <cell r="D1305">
            <v>0</v>
          </cell>
          <cell r="E1305">
            <v>0</v>
          </cell>
          <cell r="F1305">
            <v>0</v>
          </cell>
          <cell r="H1305">
            <v>0</v>
          </cell>
          <cell r="J1305">
            <v>0</v>
          </cell>
          <cell r="P1305">
            <v>0</v>
          </cell>
          <cell r="Q1305">
            <v>0</v>
          </cell>
        </row>
        <row r="1306">
          <cell r="D1306">
            <v>0</v>
          </cell>
          <cell r="E1306">
            <v>0</v>
          </cell>
          <cell r="F1306">
            <v>0</v>
          </cell>
          <cell r="H1306">
            <v>0</v>
          </cell>
          <cell r="J1306">
            <v>0</v>
          </cell>
          <cell r="P1306">
            <v>0</v>
          </cell>
          <cell r="Q1306">
            <v>0</v>
          </cell>
        </row>
        <row r="1307">
          <cell r="D1307">
            <v>0</v>
          </cell>
          <cell r="E1307">
            <v>0</v>
          </cell>
          <cell r="F1307">
            <v>0</v>
          </cell>
          <cell r="H1307">
            <v>0</v>
          </cell>
          <cell r="J1307">
            <v>0</v>
          </cell>
          <cell r="P1307">
            <v>0</v>
          </cell>
          <cell r="Q1307">
            <v>0</v>
          </cell>
        </row>
        <row r="1308">
          <cell r="D1308">
            <v>0</v>
          </cell>
          <cell r="E1308">
            <v>0</v>
          </cell>
          <cell r="F1308">
            <v>0</v>
          </cell>
          <cell r="H1308">
            <v>0</v>
          </cell>
          <cell r="J1308">
            <v>0</v>
          </cell>
          <cell r="P1308">
            <v>0</v>
          </cell>
          <cell r="Q1308">
            <v>0</v>
          </cell>
        </row>
        <row r="1309">
          <cell r="D1309">
            <v>0</v>
          </cell>
          <cell r="E1309">
            <v>0</v>
          </cell>
          <cell r="F1309">
            <v>0</v>
          </cell>
          <cell r="H1309">
            <v>0</v>
          </cell>
          <cell r="J1309">
            <v>0</v>
          </cell>
          <cell r="P1309">
            <v>0</v>
          </cell>
          <cell r="Q1309">
            <v>0</v>
          </cell>
        </row>
        <row r="1310">
          <cell r="D1310">
            <v>0</v>
          </cell>
          <cell r="E1310">
            <v>0</v>
          </cell>
          <cell r="F1310">
            <v>0</v>
          </cell>
          <cell r="H1310">
            <v>0</v>
          </cell>
          <cell r="J1310">
            <v>0</v>
          </cell>
          <cell r="P1310">
            <v>0</v>
          </cell>
          <cell r="Q1310">
            <v>0</v>
          </cell>
        </row>
        <row r="1311">
          <cell r="D1311">
            <v>0</v>
          </cell>
          <cell r="E1311">
            <v>0</v>
          </cell>
          <cell r="F1311">
            <v>0</v>
          </cell>
          <cell r="H1311">
            <v>0</v>
          </cell>
          <cell r="J1311">
            <v>0</v>
          </cell>
          <cell r="P1311">
            <v>0</v>
          </cell>
          <cell r="Q1311">
            <v>0</v>
          </cell>
        </row>
        <row r="1312">
          <cell r="D1312">
            <v>0</v>
          </cell>
          <cell r="E1312">
            <v>0</v>
          </cell>
          <cell r="F1312">
            <v>0</v>
          </cell>
          <cell r="H1312">
            <v>0</v>
          </cell>
          <cell r="J1312">
            <v>0</v>
          </cell>
          <cell r="P1312">
            <v>0</v>
          </cell>
          <cell r="Q1312">
            <v>0</v>
          </cell>
        </row>
        <row r="1313">
          <cell r="D1313">
            <v>0</v>
          </cell>
          <cell r="E1313">
            <v>0</v>
          </cell>
          <cell r="F1313">
            <v>0</v>
          </cell>
          <cell r="H1313">
            <v>0</v>
          </cell>
          <cell r="J1313">
            <v>0</v>
          </cell>
          <cell r="P1313">
            <v>0</v>
          </cell>
          <cell r="Q1313">
            <v>0</v>
          </cell>
        </row>
        <row r="1314">
          <cell r="D1314">
            <v>0</v>
          </cell>
          <cell r="E1314">
            <v>0</v>
          </cell>
          <cell r="F1314">
            <v>0</v>
          </cell>
          <cell r="H1314">
            <v>0</v>
          </cell>
          <cell r="J1314">
            <v>0</v>
          </cell>
          <cell r="P1314">
            <v>0</v>
          </cell>
          <cell r="Q1314">
            <v>0</v>
          </cell>
        </row>
        <row r="1315">
          <cell r="D1315">
            <v>0</v>
          </cell>
          <cell r="E1315">
            <v>0</v>
          </cell>
          <cell r="F1315">
            <v>0</v>
          </cell>
          <cell r="H1315">
            <v>0</v>
          </cell>
          <cell r="J1315">
            <v>0</v>
          </cell>
          <cell r="P1315">
            <v>0</v>
          </cell>
          <cell r="Q1315">
            <v>0</v>
          </cell>
        </row>
        <row r="1316">
          <cell r="D1316">
            <v>0</v>
          </cell>
          <cell r="E1316">
            <v>0</v>
          </cell>
          <cell r="F1316">
            <v>0</v>
          </cell>
          <cell r="H1316">
            <v>0</v>
          </cell>
          <cell r="J1316">
            <v>0</v>
          </cell>
          <cell r="P1316">
            <v>0</v>
          </cell>
          <cell r="Q1316">
            <v>0</v>
          </cell>
        </row>
        <row r="1317">
          <cell r="D1317">
            <v>0</v>
          </cell>
          <cell r="E1317">
            <v>0</v>
          </cell>
          <cell r="F1317">
            <v>0</v>
          </cell>
          <cell r="H1317">
            <v>0</v>
          </cell>
          <cell r="J1317">
            <v>0</v>
          </cell>
          <cell r="P1317">
            <v>0</v>
          </cell>
          <cell r="Q1317">
            <v>0</v>
          </cell>
        </row>
        <row r="1318">
          <cell r="D1318">
            <v>0</v>
          </cell>
          <cell r="E1318">
            <v>0</v>
          </cell>
          <cell r="F1318">
            <v>0</v>
          </cell>
          <cell r="H1318">
            <v>0</v>
          </cell>
          <cell r="J1318">
            <v>0</v>
          </cell>
          <cell r="P1318">
            <v>0</v>
          </cell>
          <cell r="Q1318">
            <v>0</v>
          </cell>
        </row>
        <row r="1319">
          <cell r="D1319">
            <v>0</v>
          </cell>
          <cell r="E1319">
            <v>0</v>
          </cell>
          <cell r="F1319">
            <v>0</v>
          </cell>
          <cell r="H1319">
            <v>0</v>
          </cell>
          <cell r="J1319">
            <v>0</v>
          </cell>
          <cell r="P1319">
            <v>0</v>
          </cell>
          <cell r="Q1319">
            <v>0</v>
          </cell>
        </row>
        <row r="1320">
          <cell r="D1320">
            <v>0</v>
          </cell>
          <cell r="E1320">
            <v>0</v>
          </cell>
          <cell r="F1320">
            <v>0</v>
          </cell>
          <cell r="H1320">
            <v>0</v>
          </cell>
          <cell r="J1320">
            <v>0</v>
          </cell>
          <cell r="P1320">
            <v>0</v>
          </cell>
          <cell r="Q1320">
            <v>0</v>
          </cell>
        </row>
        <row r="1321">
          <cell r="D1321">
            <v>0</v>
          </cell>
          <cell r="E1321">
            <v>0</v>
          </cell>
          <cell r="F1321">
            <v>0</v>
          </cell>
          <cell r="H1321">
            <v>0</v>
          </cell>
          <cell r="J1321">
            <v>0</v>
          </cell>
          <cell r="P1321">
            <v>0</v>
          </cell>
          <cell r="Q1321">
            <v>0</v>
          </cell>
        </row>
        <row r="1322">
          <cell r="D1322">
            <v>0</v>
          </cell>
          <cell r="E1322">
            <v>0</v>
          </cell>
          <cell r="F1322">
            <v>0</v>
          </cell>
          <cell r="H1322">
            <v>0</v>
          </cell>
          <cell r="J1322">
            <v>0</v>
          </cell>
          <cell r="P1322">
            <v>0</v>
          </cell>
          <cell r="Q1322">
            <v>0</v>
          </cell>
        </row>
        <row r="1323">
          <cell r="D1323">
            <v>0</v>
          </cell>
          <cell r="E1323">
            <v>0</v>
          </cell>
          <cell r="F1323">
            <v>0</v>
          </cell>
          <cell r="H1323">
            <v>0</v>
          </cell>
          <cell r="J1323">
            <v>0</v>
          </cell>
          <cell r="P1323">
            <v>0</v>
          </cell>
          <cell r="Q1323">
            <v>0</v>
          </cell>
        </row>
        <row r="1324">
          <cell r="D1324">
            <v>0</v>
          </cell>
          <cell r="E1324">
            <v>0</v>
          </cell>
          <cell r="F1324">
            <v>0</v>
          </cell>
          <cell r="H1324">
            <v>0</v>
          </cell>
          <cell r="J1324">
            <v>0</v>
          </cell>
          <cell r="P1324">
            <v>0</v>
          </cell>
          <cell r="Q1324">
            <v>0</v>
          </cell>
        </row>
        <row r="1325">
          <cell r="D1325">
            <v>0</v>
          </cell>
          <cell r="E1325">
            <v>0</v>
          </cell>
          <cell r="F1325">
            <v>0</v>
          </cell>
          <cell r="H1325">
            <v>0</v>
          </cell>
          <cell r="J1325">
            <v>0</v>
          </cell>
          <cell r="P1325">
            <v>0</v>
          </cell>
          <cell r="Q1325">
            <v>0</v>
          </cell>
        </row>
        <row r="1326">
          <cell r="D1326">
            <v>0</v>
          </cell>
          <cell r="E1326">
            <v>0</v>
          </cell>
          <cell r="F1326">
            <v>0</v>
          </cell>
          <cell r="H1326">
            <v>0</v>
          </cell>
          <cell r="J1326">
            <v>0</v>
          </cell>
          <cell r="P1326">
            <v>0</v>
          </cell>
          <cell r="Q1326">
            <v>0</v>
          </cell>
        </row>
        <row r="1327">
          <cell r="D1327">
            <v>0</v>
          </cell>
          <cell r="E1327">
            <v>0</v>
          </cell>
          <cell r="F1327">
            <v>0</v>
          </cell>
          <cell r="H1327">
            <v>0</v>
          </cell>
          <cell r="J1327">
            <v>0</v>
          </cell>
          <cell r="P1327">
            <v>0</v>
          </cell>
          <cell r="Q1327">
            <v>0</v>
          </cell>
        </row>
        <row r="1328">
          <cell r="D1328">
            <v>0</v>
          </cell>
          <cell r="E1328">
            <v>0</v>
          </cell>
          <cell r="F1328">
            <v>0</v>
          </cell>
          <cell r="H1328">
            <v>0</v>
          </cell>
          <cell r="J1328">
            <v>0</v>
          </cell>
          <cell r="P1328">
            <v>0</v>
          </cell>
          <cell r="Q1328">
            <v>0</v>
          </cell>
        </row>
        <row r="1329">
          <cell r="D1329">
            <v>0</v>
          </cell>
          <cell r="E1329">
            <v>0</v>
          </cell>
          <cell r="F1329">
            <v>0</v>
          </cell>
          <cell r="H1329">
            <v>0</v>
          </cell>
          <cell r="J1329">
            <v>0</v>
          </cell>
          <cell r="P1329">
            <v>0</v>
          </cell>
          <cell r="Q1329">
            <v>0</v>
          </cell>
        </row>
        <row r="1330">
          <cell r="D1330">
            <v>0</v>
          </cell>
          <cell r="E1330">
            <v>0</v>
          </cell>
          <cell r="F1330">
            <v>0</v>
          </cell>
          <cell r="H1330">
            <v>0</v>
          </cell>
          <cell r="J1330">
            <v>0</v>
          </cell>
          <cell r="P1330">
            <v>0</v>
          </cell>
          <cell r="Q1330">
            <v>0</v>
          </cell>
        </row>
        <row r="1331">
          <cell r="D1331">
            <v>0</v>
          </cell>
          <cell r="E1331">
            <v>0</v>
          </cell>
          <cell r="F1331">
            <v>0</v>
          </cell>
          <cell r="H1331">
            <v>0</v>
          </cell>
          <cell r="J1331">
            <v>0</v>
          </cell>
          <cell r="P1331">
            <v>0</v>
          </cell>
          <cell r="Q1331">
            <v>0</v>
          </cell>
        </row>
        <row r="1332">
          <cell r="D1332">
            <v>0</v>
          </cell>
          <cell r="E1332">
            <v>0</v>
          </cell>
          <cell r="F1332">
            <v>0</v>
          </cell>
          <cell r="H1332">
            <v>0</v>
          </cell>
          <cell r="J1332">
            <v>0</v>
          </cell>
          <cell r="P1332">
            <v>0</v>
          </cell>
          <cell r="Q1332">
            <v>0</v>
          </cell>
        </row>
        <row r="1333">
          <cell r="D1333">
            <v>0</v>
          </cell>
          <cell r="E1333">
            <v>0</v>
          </cell>
          <cell r="F1333">
            <v>0</v>
          </cell>
          <cell r="H1333">
            <v>0</v>
          </cell>
          <cell r="J1333">
            <v>0</v>
          </cell>
          <cell r="P1333">
            <v>0</v>
          </cell>
          <cell r="Q1333">
            <v>0</v>
          </cell>
        </row>
        <row r="1334">
          <cell r="D1334">
            <v>0</v>
          </cell>
          <cell r="E1334">
            <v>0</v>
          </cell>
          <cell r="F1334">
            <v>0</v>
          </cell>
          <cell r="H1334">
            <v>0</v>
          </cell>
          <cell r="J1334">
            <v>0</v>
          </cell>
          <cell r="P1334">
            <v>0</v>
          </cell>
          <cell r="Q1334">
            <v>0</v>
          </cell>
        </row>
        <row r="1335">
          <cell r="D1335">
            <v>0</v>
          </cell>
          <cell r="E1335">
            <v>0</v>
          </cell>
          <cell r="F1335">
            <v>0</v>
          </cell>
          <cell r="H1335">
            <v>0</v>
          </cell>
          <cell r="J1335">
            <v>0</v>
          </cell>
          <cell r="P1335">
            <v>0</v>
          </cell>
          <cell r="Q1335">
            <v>0</v>
          </cell>
        </row>
        <row r="1336">
          <cell r="D1336">
            <v>0</v>
          </cell>
          <cell r="E1336">
            <v>0</v>
          </cell>
          <cell r="F1336">
            <v>0</v>
          </cell>
          <cell r="H1336">
            <v>0</v>
          </cell>
          <cell r="J1336">
            <v>0</v>
          </cell>
          <cell r="P1336">
            <v>0</v>
          </cell>
          <cell r="Q1336">
            <v>0</v>
          </cell>
        </row>
        <row r="1337">
          <cell r="D1337">
            <v>0</v>
          </cell>
          <cell r="E1337">
            <v>0</v>
          </cell>
          <cell r="F1337">
            <v>0</v>
          </cell>
          <cell r="H1337">
            <v>0</v>
          </cell>
          <cell r="J1337">
            <v>0</v>
          </cell>
          <cell r="P1337">
            <v>0</v>
          </cell>
          <cell r="Q1337">
            <v>0</v>
          </cell>
        </row>
        <row r="1338">
          <cell r="D1338">
            <v>0</v>
          </cell>
          <cell r="E1338">
            <v>0</v>
          </cell>
          <cell r="F1338">
            <v>0</v>
          </cell>
          <cell r="H1338">
            <v>0</v>
          </cell>
          <cell r="J1338">
            <v>0</v>
          </cell>
          <cell r="P1338">
            <v>0</v>
          </cell>
          <cell r="Q1338">
            <v>0</v>
          </cell>
        </row>
        <row r="1339">
          <cell r="D1339">
            <v>0</v>
          </cell>
          <cell r="E1339">
            <v>0</v>
          </cell>
          <cell r="F1339">
            <v>0</v>
          </cell>
          <cell r="H1339">
            <v>0</v>
          </cell>
          <cell r="J1339">
            <v>0</v>
          </cell>
          <cell r="P1339">
            <v>0</v>
          </cell>
          <cell r="Q1339">
            <v>0</v>
          </cell>
        </row>
        <row r="1340">
          <cell r="D1340">
            <v>0</v>
          </cell>
          <cell r="E1340">
            <v>0</v>
          </cell>
          <cell r="F1340">
            <v>0</v>
          </cell>
          <cell r="H1340">
            <v>0</v>
          </cell>
          <cell r="J1340">
            <v>0</v>
          </cell>
          <cell r="P1340">
            <v>0</v>
          </cell>
          <cell r="Q1340">
            <v>0</v>
          </cell>
        </row>
        <row r="1341">
          <cell r="D1341">
            <v>0</v>
          </cell>
          <cell r="E1341">
            <v>0</v>
          </cell>
          <cell r="F1341">
            <v>0</v>
          </cell>
          <cell r="H1341">
            <v>0</v>
          </cell>
          <cell r="J1341">
            <v>0</v>
          </cell>
          <cell r="P1341">
            <v>0</v>
          </cell>
          <cell r="Q1341">
            <v>0</v>
          </cell>
        </row>
        <row r="1342">
          <cell r="D1342">
            <v>0</v>
          </cell>
          <cell r="E1342">
            <v>0</v>
          </cell>
          <cell r="F1342">
            <v>0</v>
          </cell>
          <cell r="H1342">
            <v>0</v>
          </cell>
          <cell r="J1342">
            <v>0</v>
          </cell>
          <cell r="P1342">
            <v>0</v>
          </cell>
          <cell r="Q1342">
            <v>0</v>
          </cell>
        </row>
        <row r="1343">
          <cell r="D1343">
            <v>0</v>
          </cell>
          <cell r="E1343">
            <v>0</v>
          </cell>
          <cell r="F1343">
            <v>0</v>
          </cell>
          <cell r="H1343">
            <v>0</v>
          </cell>
          <cell r="J1343">
            <v>0</v>
          </cell>
          <cell r="P1343">
            <v>0</v>
          </cell>
          <cell r="Q1343">
            <v>0</v>
          </cell>
        </row>
        <row r="1344">
          <cell r="D1344">
            <v>0</v>
          </cell>
          <cell r="E1344">
            <v>0</v>
          </cell>
          <cell r="F1344">
            <v>0</v>
          </cell>
          <cell r="H1344">
            <v>0</v>
          </cell>
          <cell r="J1344">
            <v>0</v>
          </cell>
          <cell r="P1344">
            <v>0</v>
          </cell>
          <cell r="Q1344">
            <v>0</v>
          </cell>
        </row>
        <row r="1345">
          <cell r="D1345">
            <v>0</v>
          </cell>
          <cell r="E1345">
            <v>0</v>
          </cell>
          <cell r="F1345">
            <v>0</v>
          </cell>
          <cell r="H1345">
            <v>0</v>
          </cell>
          <cell r="J1345">
            <v>0</v>
          </cell>
          <cell r="P1345">
            <v>0</v>
          </cell>
          <cell r="Q1345">
            <v>0</v>
          </cell>
        </row>
        <row r="1346">
          <cell r="D1346">
            <v>0</v>
          </cell>
          <cell r="E1346">
            <v>0</v>
          </cell>
          <cell r="F1346">
            <v>0</v>
          </cell>
          <cell r="H1346">
            <v>0</v>
          </cell>
          <cell r="J1346">
            <v>0</v>
          </cell>
          <cell r="P1346">
            <v>0</v>
          </cell>
          <cell r="Q1346">
            <v>0</v>
          </cell>
        </row>
        <row r="1347">
          <cell r="D1347">
            <v>0</v>
          </cell>
          <cell r="E1347">
            <v>0</v>
          </cell>
          <cell r="F1347">
            <v>0</v>
          </cell>
          <cell r="H1347">
            <v>0</v>
          </cell>
          <cell r="J1347">
            <v>0</v>
          </cell>
          <cell r="P1347">
            <v>0</v>
          </cell>
          <cell r="Q1347">
            <v>0</v>
          </cell>
        </row>
        <row r="1348">
          <cell r="D1348">
            <v>0</v>
          </cell>
          <cell r="E1348">
            <v>0</v>
          </cell>
          <cell r="F1348">
            <v>0</v>
          </cell>
          <cell r="H1348">
            <v>0</v>
          </cell>
          <cell r="J1348">
            <v>0</v>
          </cell>
          <cell r="P1348">
            <v>0</v>
          </cell>
          <cell r="Q1348">
            <v>0</v>
          </cell>
        </row>
        <row r="1349">
          <cell r="D1349">
            <v>0</v>
          </cell>
          <cell r="E1349">
            <v>0</v>
          </cell>
          <cell r="F1349">
            <v>0</v>
          </cell>
          <cell r="H1349">
            <v>0</v>
          </cell>
          <cell r="J1349">
            <v>0</v>
          </cell>
          <cell r="P1349">
            <v>0</v>
          </cell>
          <cell r="Q1349">
            <v>0</v>
          </cell>
        </row>
        <row r="1350">
          <cell r="D1350">
            <v>0</v>
          </cell>
          <cell r="E1350">
            <v>0</v>
          </cell>
          <cell r="F1350">
            <v>0</v>
          </cell>
          <cell r="H1350">
            <v>0</v>
          </cell>
          <cell r="J1350">
            <v>0</v>
          </cell>
          <cell r="P1350">
            <v>0</v>
          </cell>
          <cell r="Q1350">
            <v>0</v>
          </cell>
        </row>
        <row r="1351">
          <cell r="D1351">
            <v>0</v>
          </cell>
          <cell r="E1351">
            <v>0</v>
          </cell>
          <cell r="F1351">
            <v>0</v>
          </cell>
          <cell r="H1351">
            <v>0</v>
          </cell>
          <cell r="J1351">
            <v>0</v>
          </cell>
          <cell r="P1351">
            <v>0</v>
          </cell>
          <cell r="Q1351">
            <v>0</v>
          </cell>
        </row>
        <row r="1352">
          <cell r="D1352">
            <v>0</v>
          </cell>
          <cell r="E1352">
            <v>0</v>
          </cell>
          <cell r="F1352">
            <v>0</v>
          </cell>
          <cell r="H1352">
            <v>0</v>
          </cell>
          <cell r="J1352">
            <v>0</v>
          </cell>
          <cell r="P1352">
            <v>0</v>
          </cell>
          <cell r="Q1352">
            <v>0</v>
          </cell>
        </row>
        <row r="1353">
          <cell r="D1353">
            <v>0</v>
          </cell>
          <cell r="E1353">
            <v>0</v>
          </cell>
          <cell r="F1353">
            <v>0</v>
          </cell>
          <cell r="H1353">
            <v>0</v>
          </cell>
          <cell r="J1353">
            <v>0</v>
          </cell>
          <cell r="P1353">
            <v>0</v>
          </cell>
          <cell r="Q1353">
            <v>0</v>
          </cell>
        </row>
        <row r="1354">
          <cell r="D1354">
            <v>0</v>
          </cell>
          <cell r="E1354">
            <v>0</v>
          </cell>
          <cell r="F1354">
            <v>0</v>
          </cell>
          <cell r="H1354">
            <v>0</v>
          </cell>
          <cell r="J1354">
            <v>0</v>
          </cell>
          <cell r="P1354">
            <v>0</v>
          </cell>
          <cell r="Q1354">
            <v>0</v>
          </cell>
        </row>
        <row r="1355">
          <cell r="D1355">
            <v>0</v>
          </cell>
          <cell r="E1355">
            <v>0</v>
          </cell>
          <cell r="F1355">
            <v>0</v>
          </cell>
          <cell r="H1355">
            <v>0</v>
          </cell>
          <cell r="J1355">
            <v>0</v>
          </cell>
          <cell r="P1355">
            <v>0</v>
          </cell>
          <cell r="Q1355">
            <v>0</v>
          </cell>
        </row>
        <row r="1356">
          <cell r="D1356">
            <v>0</v>
          </cell>
          <cell r="E1356">
            <v>0</v>
          </cell>
          <cell r="F1356">
            <v>0</v>
          </cell>
          <cell r="H1356">
            <v>0</v>
          </cell>
          <cell r="J1356">
            <v>0</v>
          </cell>
          <cell r="P1356">
            <v>0</v>
          </cell>
          <cell r="Q1356">
            <v>0</v>
          </cell>
        </row>
        <row r="1357">
          <cell r="D1357">
            <v>0</v>
          </cell>
          <cell r="E1357">
            <v>0</v>
          </cell>
          <cell r="F1357">
            <v>0</v>
          </cell>
          <cell r="H1357">
            <v>0</v>
          </cell>
          <cell r="J1357">
            <v>0</v>
          </cell>
          <cell r="P1357">
            <v>0</v>
          </cell>
          <cell r="Q1357">
            <v>0</v>
          </cell>
        </row>
        <row r="1358">
          <cell r="D1358">
            <v>0</v>
          </cell>
          <cell r="E1358">
            <v>0</v>
          </cell>
          <cell r="F1358">
            <v>0</v>
          </cell>
          <cell r="H1358">
            <v>0</v>
          </cell>
          <cell r="J1358">
            <v>0</v>
          </cell>
          <cell r="P1358">
            <v>0</v>
          </cell>
          <cell r="Q1358">
            <v>0</v>
          </cell>
        </row>
        <row r="1359">
          <cell r="D1359">
            <v>0</v>
          </cell>
          <cell r="E1359">
            <v>0</v>
          </cell>
          <cell r="F1359">
            <v>0</v>
          </cell>
          <cell r="H1359">
            <v>0</v>
          </cell>
          <cell r="J1359">
            <v>0</v>
          </cell>
          <cell r="P1359">
            <v>0</v>
          </cell>
          <cell r="Q1359">
            <v>0</v>
          </cell>
        </row>
        <row r="1360">
          <cell r="D1360">
            <v>0</v>
          </cell>
          <cell r="E1360">
            <v>0</v>
          </cell>
          <cell r="F1360">
            <v>0</v>
          </cell>
          <cell r="H1360">
            <v>0</v>
          </cell>
          <cell r="J1360">
            <v>0</v>
          </cell>
          <cell r="P1360">
            <v>0</v>
          </cell>
          <cell r="Q1360">
            <v>0</v>
          </cell>
        </row>
        <row r="1361">
          <cell r="D1361">
            <v>0</v>
          </cell>
          <cell r="E1361">
            <v>0</v>
          </cell>
          <cell r="F1361">
            <v>0</v>
          </cell>
          <cell r="H1361">
            <v>0</v>
          </cell>
          <cell r="J1361">
            <v>0</v>
          </cell>
          <cell r="P1361">
            <v>0</v>
          </cell>
          <cell r="Q1361">
            <v>0</v>
          </cell>
        </row>
        <row r="1362">
          <cell r="D1362">
            <v>0</v>
          </cell>
          <cell r="E1362">
            <v>0</v>
          </cell>
          <cell r="F1362">
            <v>0</v>
          </cell>
          <cell r="H1362">
            <v>0</v>
          </cell>
          <cell r="J1362">
            <v>0</v>
          </cell>
          <cell r="P1362">
            <v>0</v>
          </cell>
          <cell r="Q1362">
            <v>0</v>
          </cell>
        </row>
        <row r="1363">
          <cell r="D1363">
            <v>0</v>
          </cell>
          <cell r="E1363">
            <v>0</v>
          </cell>
          <cell r="F1363">
            <v>0</v>
          </cell>
          <cell r="H1363">
            <v>0</v>
          </cell>
          <cell r="J1363">
            <v>0</v>
          </cell>
          <cell r="P1363">
            <v>0</v>
          </cell>
          <cell r="Q1363">
            <v>0</v>
          </cell>
        </row>
        <row r="1364">
          <cell r="D1364">
            <v>0</v>
          </cell>
          <cell r="E1364">
            <v>0</v>
          </cell>
          <cell r="F1364">
            <v>0</v>
          </cell>
          <cell r="H1364">
            <v>0</v>
          </cell>
          <cell r="J1364">
            <v>0</v>
          </cell>
          <cell r="P1364">
            <v>0</v>
          </cell>
          <cell r="Q1364">
            <v>0</v>
          </cell>
        </row>
        <row r="1365">
          <cell r="D1365">
            <v>0</v>
          </cell>
          <cell r="E1365">
            <v>0</v>
          </cell>
          <cell r="F1365">
            <v>0</v>
          </cell>
          <cell r="H1365">
            <v>0</v>
          </cell>
          <cell r="J1365">
            <v>0</v>
          </cell>
          <cell r="P1365">
            <v>0</v>
          </cell>
          <cell r="Q1365">
            <v>0</v>
          </cell>
        </row>
        <row r="1366">
          <cell r="D1366">
            <v>0</v>
          </cell>
          <cell r="E1366">
            <v>0</v>
          </cell>
          <cell r="F1366">
            <v>0</v>
          </cell>
          <cell r="H1366">
            <v>0</v>
          </cell>
          <cell r="J1366">
            <v>0</v>
          </cell>
          <cell r="P1366">
            <v>0</v>
          </cell>
          <cell r="Q1366">
            <v>0</v>
          </cell>
        </row>
        <row r="1367">
          <cell r="D1367">
            <v>0</v>
          </cell>
          <cell r="E1367">
            <v>0</v>
          </cell>
          <cell r="F1367">
            <v>0</v>
          </cell>
          <cell r="H1367">
            <v>0</v>
          </cell>
          <cell r="J1367">
            <v>0</v>
          </cell>
          <cell r="P1367">
            <v>0</v>
          </cell>
          <cell r="Q1367">
            <v>0</v>
          </cell>
        </row>
        <row r="1368">
          <cell r="D1368">
            <v>0</v>
          </cell>
          <cell r="E1368">
            <v>0</v>
          </cell>
          <cell r="F1368">
            <v>0</v>
          </cell>
          <cell r="H1368">
            <v>0</v>
          </cell>
          <cell r="J1368">
            <v>0</v>
          </cell>
          <cell r="P1368">
            <v>0</v>
          </cell>
          <cell r="Q1368">
            <v>0</v>
          </cell>
        </row>
        <row r="1369">
          <cell r="D1369">
            <v>0</v>
          </cell>
          <cell r="E1369">
            <v>0</v>
          </cell>
          <cell r="F1369">
            <v>0</v>
          </cell>
          <cell r="H1369">
            <v>0</v>
          </cell>
          <cell r="J1369">
            <v>0</v>
          </cell>
          <cell r="P1369">
            <v>0</v>
          </cell>
          <cell r="Q1369">
            <v>0</v>
          </cell>
        </row>
        <row r="1370">
          <cell r="D1370">
            <v>0</v>
          </cell>
          <cell r="E1370">
            <v>0</v>
          </cell>
          <cell r="F1370">
            <v>0</v>
          </cell>
          <cell r="H1370">
            <v>0</v>
          </cell>
          <cell r="J1370">
            <v>0</v>
          </cell>
          <cell r="P1370">
            <v>0</v>
          </cell>
          <cell r="Q1370">
            <v>0</v>
          </cell>
        </row>
        <row r="1371">
          <cell r="D1371">
            <v>0</v>
          </cell>
          <cell r="E1371">
            <v>0</v>
          </cell>
          <cell r="F1371">
            <v>0</v>
          </cell>
          <cell r="H1371">
            <v>0</v>
          </cell>
          <cell r="J1371">
            <v>0</v>
          </cell>
          <cell r="P1371">
            <v>0</v>
          </cell>
          <cell r="Q1371">
            <v>0</v>
          </cell>
        </row>
        <row r="1372">
          <cell r="D1372">
            <v>0</v>
          </cell>
          <cell r="E1372">
            <v>0</v>
          </cell>
          <cell r="F1372">
            <v>0</v>
          </cell>
          <cell r="H1372">
            <v>0</v>
          </cell>
          <cell r="J1372">
            <v>0</v>
          </cell>
          <cell r="P1372">
            <v>0</v>
          </cell>
          <cell r="Q1372">
            <v>0</v>
          </cell>
        </row>
        <row r="1373">
          <cell r="D1373">
            <v>0</v>
          </cell>
          <cell r="E1373">
            <v>0</v>
          </cell>
          <cell r="F1373">
            <v>0</v>
          </cell>
          <cell r="H1373">
            <v>0</v>
          </cell>
          <cell r="J1373">
            <v>0</v>
          </cell>
          <cell r="P1373">
            <v>0</v>
          </cell>
          <cell r="Q1373">
            <v>0</v>
          </cell>
        </row>
        <row r="1374">
          <cell r="D1374">
            <v>0</v>
          </cell>
          <cell r="E1374">
            <v>0</v>
          </cell>
          <cell r="F1374">
            <v>0</v>
          </cell>
          <cell r="H1374">
            <v>0</v>
          </cell>
          <cell r="J1374">
            <v>0</v>
          </cell>
          <cell r="P1374">
            <v>0</v>
          </cell>
          <cell r="Q1374">
            <v>0</v>
          </cell>
        </row>
        <row r="1375">
          <cell r="D1375">
            <v>0</v>
          </cell>
          <cell r="E1375">
            <v>0</v>
          </cell>
          <cell r="F1375">
            <v>0</v>
          </cell>
          <cell r="H1375">
            <v>0</v>
          </cell>
          <cell r="J1375">
            <v>0</v>
          </cell>
          <cell r="P1375">
            <v>0</v>
          </cell>
          <cell r="Q1375">
            <v>0</v>
          </cell>
        </row>
        <row r="1376">
          <cell r="D1376">
            <v>0</v>
          </cell>
          <cell r="E1376">
            <v>0</v>
          </cell>
          <cell r="F1376">
            <v>0</v>
          </cell>
          <cell r="H1376">
            <v>0</v>
          </cell>
          <cell r="J1376">
            <v>0</v>
          </cell>
          <cell r="P1376">
            <v>0</v>
          </cell>
          <cell r="Q1376">
            <v>0</v>
          </cell>
        </row>
        <row r="1377">
          <cell r="D1377">
            <v>0</v>
          </cell>
          <cell r="E1377">
            <v>0</v>
          </cell>
          <cell r="F1377">
            <v>0</v>
          </cell>
          <cell r="H1377">
            <v>0</v>
          </cell>
          <cell r="J1377">
            <v>0</v>
          </cell>
          <cell r="P1377">
            <v>0</v>
          </cell>
          <cell r="Q1377">
            <v>0</v>
          </cell>
        </row>
        <row r="1378">
          <cell r="D1378">
            <v>0</v>
          </cell>
          <cell r="E1378">
            <v>0</v>
          </cell>
          <cell r="F1378">
            <v>0</v>
          </cell>
          <cell r="H1378">
            <v>0</v>
          </cell>
          <cell r="J1378">
            <v>0</v>
          </cell>
          <cell r="P1378">
            <v>0</v>
          </cell>
          <cell r="Q1378">
            <v>0</v>
          </cell>
        </row>
        <row r="1379">
          <cell r="D1379">
            <v>0</v>
          </cell>
          <cell r="E1379">
            <v>0</v>
          </cell>
          <cell r="F1379">
            <v>0</v>
          </cell>
          <cell r="H1379">
            <v>0</v>
          </cell>
          <cell r="J1379">
            <v>0</v>
          </cell>
          <cell r="P1379">
            <v>0</v>
          </cell>
          <cell r="Q1379">
            <v>0</v>
          </cell>
        </row>
        <row r="1380">
          <cell r="D1380">
            <v>0</v>
          </cell>
          <cell r="E1380">
            <v>0</v>
          </cell>
          <cell r="F1380">
            <v>0</v>
          </cell>
          <cell r="H1380">
            <v>0</v>
          </cell>
          <cell r="J1380">
            <v>0</v>
          </cell>
          <cell r="P1380">
            <v>0</v>
          </cell>
          <cell r="Q1380">
            <v>0</v>
          </cell>
        </row>
        <row r="1381">
          <cell r="D1381">
            <v>0</v>
          </cell>
          <cell r="E1381">
            <v>0</v>
          </cell>
          <cell r="F1381">
            <v>0</v>
          </cell>
          <cell r="H1381">
            <v>0</v>
          </cell>
          <cell r="J1381">
            <v>0</v>
          </cell>
          <cell r="P1381">
            <v>0</v>
          </cell>
          <cell r="Q1381">
            <v>0</v>
          </cell>
        </row>
        <row r="1382">
          <cell r="D1382">
            <v>0</v>
          </cell>
          <cell r="E1382">
            <v>0</v>
          </cell>
          <cell r="F1382">
            <v>0</v>
          </cell>
          <cell r="H1382">
            <v>0</v>
          </cell>
          <cell r="J1382">
            <v>0</v>
          </cell>
          <cell r="P1382">
            <v>0</v>
          </cell>
          <cell r="Q1382">
            <v>0</v>
          </cell>
        </row>
        <row r="1383">
          <cell r="D1383">
            <v>0</v>
          </cell>
          <cell r="E1383">
            <v>0</v>
          </cell>
          <cell r="F1383">
            <v>0</v>
          </cell>
          <cell r="H1383">
            <v>0</v>
          </cell>
          <cell r="J1383">
            <v>0</v>
          </cell>
          <cell r="P1383">
            <v>0</v>
          </cell>
          <cell r="Q1383">
            <v>0</v>
          </cell>
        </row>
        <row r="1384">
          <cell r="D1384">
            <v>0</v>
          </cell>
          <cell r="E1384">
            <v>0</v>
          </cell>
          <cell r="F1384">
            <v>0</v>
          </cell>
          <cell r="H1384">
            <v>0</v>
          </cell>
          <cell r="J1384">
            <v>0</v>
          </cell>
          <cell r="P1384">
            <v>0</v>
          </cell>
          <cell r="Q1384">
            <v>0</v>
          </cell>
        </row>
        <row r="1385">
          <cell r="D1385">
            <v>0</v>
          </cell>
          <cell r="E1385">
            <v>0</v>
          </cell>
          <cell r="F1385">
            <v>0</v>
          </cell>
          <cell r="H1385">
            <v>0</v>
          </cell>
          <cell r="J1385">
            <v>0</v>
          </cell>
          <cell r="P1385">
            <v>0</v>
          </cell>
          <cell r="Q1385">
            <v>0</v>
          </cell>
        </row>
        <row r="1386">
          <cell r="D1386">
            <v>0</v>
          </cell>
          <cell r="E1386">
            <v>0</v>
          </cell>
          <cell r="F1386">
            <v>0</v>
          </cell>
          <cell r="H1386">
            <v>0</v>
          </cell>
          <cell r="J1386">
            <v>0</v>
          </cell>
          <cell r="P1386">
            <v>0</v>
          </cell>
          <cell r="Q1386">
            <v>0</v>
          </cell>
        </row>
        <row r="1387">
          <cell r="D1387">
            <v>0</v>
          </cell>
          <cell r="E1387">
            <v>0</v>
          </cell>
          <cell r="F1387">
            <v>0</v>
          </cell>
          <cell r="H1387">
            <v>0</v>
          </cell>
          <cell r="J1387">
            <v>0</v>
          </cell>
          <cell r="P1387">
            <v>0</v>
          </cell>
          <cell r="Q1387">
            <v>0</v>
          </cell>
        </row>
        <row r="1388">
          <cell r="D1388">
            <v>0</v>
          </cell>
          <cell r="E1388">
            <v>0</v>
          </cell>
          <cell r="F1388">
            <v>0</v>
          </cell>
          <cell r="H1388">
            <v>0</v>
          </cell>
          <cell r="J1388">
            <v>0</v>
          </cell>
          <cell r="P1388">
            <v>0</v>
          </cell>
          <cell r="Q1388">
            <v>0</v>
          </cell>
        </row>
        <row r="1389">
          <cell r="D1389">
            <v>0</v>
          </cell>
          <cell r="E1389">
            <v>0</v>
          </cell>
          <cell r="F1389">
            <v>0</v>
          </cell>
          <cell r="H1389">
            <v>0</v>
          </cell>
          <cell r="J1389">
            <v>0</v>
          </cell>
          <cell r="P1389">
            <v>0</v>
          </cell>
          <cell r="Q1389">
            <v>0</v>
          </cell>
        </row>
        <row r="1390">
          <cell r="D1390">
            <v>0</v>
          </cell>
          <cell r="E1390">
            <v>0</v>
          </cell>
          <cell r="F1390">
            <v>0</v>
          </cell>
          <cell r="H1390">
            <v>0</v>
          </cell>
          <cell r="J1390">
            <v>0</v>
          </cell>
          <cell r="P1390">
            <v>0</v>
          </cell>
          <cell r="Q1390">
            <v>0</v>
          </cell>
        </row>
        <row r="1391">
          <cell r="D1391">
            <v>0</v>
          </cell>
          <cell r="E1391">
            <v>0</v>
          </cell>
          <cell r="F1391">
            <v>0</v>
          </cell>
          <cell r="H1391">
            <v>0</v>
          </cell>
          <cell r="J1391">
            <v>0</v>
          </cell>
          <cell r="P1391">
            <v>0</v>
          </cell>
          <cell r="Q1391">
            <v>0</v>
          </cell>
        </row>
        <row r="1392">
          <cell r="D1392">
            <v>0</v>
          </cell>
          <cell r="E1392">
            <v>0</v>
          </cell>
          <cell r="F1392">
            <v>0</v>
          </cell>
          <cell r="H1392">
            <v>0</v>
          </cell>
          <cell r="J1392">
            <v>0</v>
          </cell>
          <cell r="P1392">
            <v>0</v>
          </cell>
          <cell r="Q1392">
            <v>0</v>
          </cell>
        </row>
        <row r="1393">
          <cell r="D1393">
            <v>0</v>
          </cell>
          <cell r="E1393">
            <v>0</v>
          </cell>
          <cell r="F1393">
            <v>0</v>
          </cell>
          <cell r="H1393">
            <v>0</v>
          </cell>
          <cell r="J1393">
            <v>0</v>
          </cell>
          <cell r="P1393">
            <v>0</v>
          </cell>
          <cell r="Q1393">
            <v>0</v>
          </cell>
        </row>
        <row r="1394">
          <cell r="D1394">
            <v>0</v>
          </cell>
          <cell r="E1394">
            <v>0</v>
          </cell>
          <cell r="F1394">
            <v>0</v>
          </cell>
          <cell r="H1394">
            <v>0</v>
          </cell>
          <cell r="J1394">
            <v>0</v>
          </cell>
          <cell r="P1394">
            <v>0</v>
          </cell>
          <cell r="Q1394">
            <v>0</v>
          </cell>
        </row>
        <row r="1395">
          <cell r="D1395">
            <v>0</v>
          </cell>
          <cell r="E1395">
            <v>0</v>
          </cell>
          <cell r="F1395">
            <v>0</v>
          </cell>
          <cell r="H1395">
            <v>0</v>
          </cell>
          <cell r="J1395">
            <v>0</v>
          </cell>
          <cell r="P1395">
            <v>0</v>
          </cell>
          <cell r="Q1395">
            <v>0</v>
          </cell>
        </row>
        <row r="1396">
          <cell r="D1396">
            <v>0</v>
          </cell>
          <cell r="E1396">
            <v>0</v>
          </cell>
          <cell r="F1396">
            <v>0</v>
          </cell>
          <cell r="H1396">
            <v>0</v>
          </cell>
          <cell r="J1396">
            <v>0</v>
          </cell>
          <cell r="P1396">
            <v>0</v>
          </cell>
          <cell r="Q1396">
            <v>0</v>
          </cell>
        </row>
        <row r="1397">
          <cell r="D1397">
            <v>0</v>
          </cell>
          <cell r="E1397">
            <v>0</v>
          </cell>
          <cell r="F1397">
            <v>0</v>
          </cell>
          <cell r="H1397">
            <v>0</v>
          </cell>
          <cell r="J1397">
            <v>0</v>
          </cell>
          <cell r="P1397">
            <v>0</v>
          </cell>
          <cell r="Q1397">
            <v>0</v>
          </cell>
        </row>
        <row r="1398">
          <cell r="D1398">
            <v>0</v>
          </cell>
          <cell r="E1398">
            <v>0</v>
          </cell>
          <cell r="F1398">
            <v>0</v>
          </cell>
          <cell r="H1398">
            <v>0</v>
          </cell>
          <cell r="J1398">
            <v>0</v>
          </cell>
          <cell r="P1398">
            <v>0</v>
          </cell>
          <cell r="Q1398">
            <v>0</v>
          </cell>
        </row>
        <row r="1399">
          <cell r="D1399">
            <v>0</v>
          </cell>
          <cell r="E1399">
            <v>0</v>
          </cell>
          <cell r="F1399">
            <v>0</v>
          </cell>
          <cell r="H1399">
            <v>0</v>
          </cell>
          <cell r="J1399">
            <v>0</v>
          </cell>
          <cell r="P1399">
            <v>0</v>
          </cell>
          <cell r="Q1399">
            <v>0</v>
          </cell>
        </row>
        <row r="1400">
          <cell r="D1400">
            <v>0</v>
          </cell>
          <cell r="E1400">
            <v>0</v>
          </cell>
          <cell r="F1400">
            <v>0</v>
          </cell>
          <cell r="H1400">
            <v>0</v>
          </cell>
          <cell r="J1400">
            <v>0</v>
          </cell>
          <cell r="P1400">
            <v>0</v>
          </cell>
          <cell r="Q1400">
            <v>0</v>
          </cell>
        </row>
        <row r="1401">
          <cell r="D1401">
            <v>0</v>
          </cell>
          <cell r="E1401">
            <v>0</v>
          </cell>
          <cell r="F1401">
            <v>0</v>
          </cell>
          <cell r="H1401">
            <v>0</v>
          </cell>
          <cell r="J1401">
            <v>0</v>
          </cell>
          <cell r="P1401">
            <v>0</v>
          </cell>
          <cell r="Q1401">
            <v>0</v>
          </cell>
        </row>
        <row r="1402">
          <cell r="D1402">
            <v>0</v>
          </cell>
          <cell r="E1402">
            <v>0</v>
          </cell>
          <cell r="F1402">
            <v>0</v>
          </cell>
          <cell r="H1402">
            <v>0</v>
          </cell>
          <cell r="J1402">
            <v>0</v>
          </cell>
          <cell r="P1402">
            <v>0</v>
          </cell>
          <cell r="Q1402">
            <v>0</v>
          </cell>
        </row>
        <row r="1403">
          <cell r="D1403">
            <v>0</v>
          </cell>
          <cell r="E1403">
            <v>0</v>
          </cell>
          <cell r="F1403">
            <v>0</v>
          </cell>
          <cell r="H1403">
            <v>0</v>
          </cell>
          <cell r="J1403">
            <v>0</v>
          </cell>
          <cell r="P1403">
            <v>0</v>
          </cell>
          <cell r="Q1403">
            <v>0</v>
          </cell>
        </row>
        <row r="1404">
          <cell r="D1404">
            <v>0</v>
          </cell>
          <cell r="E1404">
            <v>0</v>
          </cell>
          <cell r="F1404">
            <v>0</v>
          </cell>
          <cell r="H1404">
            <v>0</v>
          </cell>
          <cell r="J1404">
            <v>0</v>
          </cell>
          <cell r="P1404">
            <v>0</v>
          </cell>
          <cell r="Q1404">
            <v>0</v>
          </cell>
        </row>
        <row r="1405">
          <cell r="D1405">
            <v>0</v>
          </cell>
          <cell r="E1405">
            <v>0</v>
          </cell>
          <cell r="F1405">
            <v>0</v>
          </cell>
          <cell r="H1405">
            <v>0</v>
          </cell>
          <cell r="J1405">
            <v>0</v>
          </cell>
          <cell r="P1405">
            <v>0</v>
          </cell>
          <cell r="Q1405">
            <v>0</v>
          </cell>
        </row>
        <row r="1406">
          <cell r="D1406">
            <v>0</v>
          </cell>
          <cell r="E1406">
            <v>0</v>
          </cell>
          <cell r="F1406">
            <v>0</v>
          </cell>
          <cell r="H1406">
            <v>0</v>
          </cell>
          <cell r="J1406">
            <v>0</v>
          </cell>
          <cell r="P1406">
            <v>0</v>
          </cell>
          <cell r="Q1406">
            <v>0</v>
          </cell>
        </row>
        <row r="1407">
          <cell r="D1407">
            <v>0</v>
          </cell>
          <cell r="E1407">
            <v>0</v>
          </cell>
          <cell r="F1407">
            <v>0</v>
          </cell>
          <cell r="H1407">
            <v>0</v>
          </cell>
          <cell r="J1407">
            <v>0</v>
          </cell>
          <cell r="P1407">
            <v>0</v>
          </cell>
          <cell r="Q1407">
            <v>0</v>
          </cell>
        </row>
        <row r="1408">
          <cell r="D1408">
            <v>0</v>
          </cell>
          <cell r="E1408">
            <v>0</v>
          </cell>
          <cell r="F1408">
            <v>0</v>
          </cell>
          <cell r="H1408">
            <v>0</v>
          </cell>
          <cell r="J1408">
            <v>0</v>
          </cell>
          <cell r="P1408">
            <v>0</v>
          </cell>
          <cell r="Q1408">
            <v>0</v>
          </cell>
        </row>
        <row r="1409">
          <cell r="D1409">
            <v>0</v>
          </cell>
          <cell r="E1409">
            <v>0</v>
          </cell>
          <cell r="F1409">
            <v>0</v>
          </cell>
          <cell r="H1409">
            <v>0</v>
          </cell>
          <cell r="J1409">
            <v>0</v>
          </cell>
          <cell r="P1409">
            <v>0</v>
          </cell>
          <cell r="Q1409">
            <v>0</v>
          </cell>
        </row>
        <row r="1410">
          <cell r="D1410">
            <v>0</v>
          </cell>
          <cell r="E1410">
            <v>0</v>
          </cell>
          <cell r="F1410">
            <v>0</v>
          </cell>
          <cell r="H1410">
            <v>0</v>
          </cell>
          <cell r="J1410">
            <v>0</v>
          </cell>
          <cell r="P1410">
            <v>0</v>
          </cell>
          <cell r="Q1410">
            <v>0</v>
          </cell>
        </row>
        <row r="1411">
          <cell r="D1411">
            <v>0</v>
          </cell>
          <cell r="E1411">
            <v>0</v>
          </cell>
          <cell r="F1411">
            <v>0</v>
          </cell>
          <cell r="H1411">
            <v>0</v>
          </cell>
          <cell r="J1411">
            <v>0</v>
          </cell>
          <cell r="P1411">
            <v>0</v>
          </cell>
          <cell r="Q1411">
            <v>0</v>
          </cell>
        </row>
        <row r="1412">
          <cell r="D1412">
            <v>0</v>
          </cell>
          <cell r="E1412">
            <v>0</v>
          </cell>
          <cell r="F1412">
            <v>0</v>
          </cell>
          <cell r="H1412">
            <v>0</v>
          </cell>
          <cell r="J1412">
            <v>0</v>
          </cell>
          <cell r="P1412">
            <v>0</v>
          </cell>
          <cell r="Q1412">
            <v>0</v>
          </cell>
        </row>
        <row r="1413">
          <cell r="D1413">
            <v>0</v>
          </cell>
          <cell r="E1413">
            <v>0</v>
          </cell>
          <cell r="F1413">
            <v>0</v>
          </cell>
          <cell r="H1413">
            <v>0</v>
          </cell>
          <cell r="J1413">
            <v>0</v>
          </cell>
          <cell r="P1413">
            <v>0</v>
          </cell>
          <cell r="Q1413">
            <v>0</v>
          </cell>
        </row>
        <row r="1414">
          <cell r="D1414">
            <v>0</v>
          </cell>
          <cell r="E1414">
            <v>0</v>
          </cell>
          <cell r="F1414">
            <v>0</v>
          </cell>
          <cell r="H1414">
            <v>0</v>
          </cell>
          <cell r="J1414">
            <v>0</v>
          </cell>
          <cell r="P1414">
            <v>0</v>
          </cell>
          <cell r="Q1414">
            <v>0</v>
          </cell>
        </row>
        <row r="1415">
          <cell r="D1415">
            <v>0</v>
          </cell>
          <cell r="E1415">
            <v>0</v>
          </cell>
          <cell r="F1415">
            <v>0</v>
          </cell>
          <cell r="H1415">
            <v>0</v>
          </cell>
          <cell r="J1415">
            <v>0</v>
          </cell>
          <cell r="P1415">
            <v>0</v>
          </cell>
          <cell r="Q1415">
            <v>0</v>
          </cell>
        </row>
        <row r="1416">
          <cell r="D1416">
            <v>0</v>
          </cell>
          <cell r="E1416">
            <v>0</v>
          </cell>
          <cell r="F1416">
            <v>0</v>
          </cell>
          <cell r="H1416">
            <v>0</v>
          </cell>
          <cell r="J1416">
            <v>0</v>
          </cell>
          <cell r="P1416">
            <v>0</v>
          </cell>
          <cell r="Q1416">
            <v>0</v>
          </cell>
        </row>
        <row r="1417">
          <cell r="D1417">
            <v>0</v>
          </cell>
          <cell r="E1417">
            <v>0</v>
          </cell>
          <cell r="F1417">
            <v>0</v>
          </cell>
          <cell r="H1417">
            <v>0</v>
          </cell>
          <cell r="J1417">
            <v>0</v>
          </cell>
          <cell r="P1417">
            <v>0</v>
          </cell>
          <cell r="Q1417">
            <v>0</v>
          </cell>
        </row>
        <row r="1418">
          <cell r="D1418">
            <v>0</v>
          </cell>
          <cell r="E1418">
            <v>0</v>
          </cell>
          <cell r="F1418">
            <v>0</v>
          </cell>
          <cell r="H1418">
            <v>0</v>
          </cell>
          <cell r="J1418">
            <v>0</v>
          </cell>
          <cell r="P1418">
            <v>0</v>
          </cell>
          <cell r="Q1418">
            <v>0</v>
          </cell>
        </row>
        <row r="1419">
          <cell r="D1419">
            <v>0</v>
          </cell>
          <cell r="E1419">
            <v>0</v>
          </cell>
          <cell r="F1419">
            <v>0</v>
          </cell>
          <cell r="H1419">
            <v>0</v>
          </cell>
          <cell r="J1419">
            <v>0</v>
          </cell>
          <cell r="P1419">
            <v>0</v>
          </cell>
          <cell r="Q1419">
            <v>0</v>
          </cell>
        </row>
        <row r="1420">
          <cell r="D1420">
            <v>0</v>
          </cell>
          <cell r="E1420">
            <v>0</v>
          </cell>
          <cell r="F1420">
            <v>0</v>
          </cell>
          <cell r="H1420">
            <v>0</v>
          </cell>
          <cell r="J1420">
            <v>0</v>
          </cell>
          <cell r="P1420">
            <v>0</v>
          </cell>
          <cell r="Q1420">
            <v>0</v>
          </cell>
        </row>
        <row r="1421">
          <cell r="D1421">
            <v>0</v>
          </cell>
          <cell r="E1421">
            <v>0</v>
          </cell>
          <cell r="F1421">
            <v>0</v>
          </cell>
          <cell r="H1421">
            <v>0</v>
          </cell>
          <cell r="J1421">
            <v>0</v>
          </cell>
          <cell r="P1421">
            <v>0</v>
          </cell>
          <cell r="Q1421">
            <v>0</v>
          </cell>
        </row>
        <row r="1422">
          <cell r="D1422">
            <v>0</v>
          </cell>
          <cell r="E1422">
            <v>0</v>
          </cell>
          <cell r="F1422">
            <v>0</v>
          </cell>
          <cell r="H1422">
            <v>0</v>
          </cell>
          <cell r="J1422">
            <v>0</v>
          </cell>
          <cell r="P1422">
            <v>0</v>
          </cell>
          <cell r="Q1422">
            <v>0</v>
          </cell>
        </row>
        <row r="1423">
          <cell r="D1423">
            <v>0</v>
          </cell>
          <cell r="E1423">
            <v>0</v>
          </cell>
          <cell r="F1423">
            <v>0</v>
          </cell>
          <cell r="H1423">
            <v>0</v>
          </cell>
          <cell r="J1423">
            <v>0</v>
          </cell>
          <cell r="P1423">
            <v>0</v>
          </cell>
          <cell r="Q1423">
            <v>0</v>
          </cell>
        </row>
        <row r="1424">
          <cell r="D1424">
            <v>0</v>
          </cell>
          <cell r="E1424">
            <v>0</v>
          </cell>
          <cell r="F1424">
            <v>0</v>
          </cell>
          <cell r="H1424">
            <v>0</v>
          </cell>
          <cell r="J1424">
            <v>0</v>
          </cell>
          <cell r="P1424">
            <v>0</v>
          </cell>
          <cell r="Q1424">
            <v>0</v>
          </cell>
        </row>
        <row r="1425">
          <cell r="D1425">
            <v>0</v>
          </cell>
          <cell r="E1425">
            <v>0</v>
          </cell>
          <cell r="F1425">
            <v>0</v>
          </cell>
          <cell r="H1425">
            <v>0</v>
          </cell>
          <cell r="J1425">
            <v>0</v>
          </cell>
          <cell r="P1425">
            <v>0</v>
          </cell>
          <cell r="Q1425">
            <v>0</v>
          </cell>
        </row>
        <row r="1426">
          <cell r="D1426">
            <v>0</v>
          </cell>
          <cell r="E1426">
            <v>0</v>
          </cell>
          <cell r="F1426">
            <v>0</v>
          </cell>
          <cell r="H1426">
            <v>0</v>
          </cell>
          <cell r="J1426">
            <v>0</v>
          </cell>
          <cell r="P1426">
            <v>0</v>
          </cell>
          <cell r="Q1426">
            <v>0</v>
          </cell>
        </row>
        <row r="1427">
          <cell r="D1427">
            <v>0</v>
          </cell>
          <cell r="E1427">
            <v>0</v>
          </cell>
          <cell r="F1427">
            <v>0</v>
          </cell>
          <cell r="H1427">
            <v>0</v>
          </cell>
          <cell r="J1427">
            <v>0</v>
          </cell>
          <cell r="P1427">
            <v>0</v>
          </cell>
          <cell r="Q1427">
            <v>0</v>
          </cell>
        </row>
        <row r="1428">
          <cell r="D1428">
            <v>0</v>
          </cell>
          <cell r="E1428">
            <v>0</v>
          </cell>
          <cell r="F1428">
            <v>0</v>
          </cell>
          <cell r="H1428">
            <v>0</v>
          </cell>
          <cell r="J1428">
            <v>0</v>
          </cell>
          <cell r="P1428">
            <v>0</v>
          </cell>
          <cell r="Q1428">
            <v>0</v>
          </cell>
        </row>
        <row r="1429">
          <cell r="D1429">
            <v>0</v>
          </cell>
          <cell r="E1429">
            <v>0</v>
          </cell>
          <cell r="F1429">
            <v>0</v>
          </cell>
          <cell r="H1429">
            <v>0</v>
          </cell>
          <cell r="J1429">
            <v>0</v>
          </cell>
          <cell r="P1429">
            <v>0</v>
          </cell>
          <cell r="Q1429">
            <v>0</v>
          </cell>
        </row>
        <row r="1430">
          <cell r="D1430">
            <v>0</v>
          </cell>
          <cell r="E1430">
            <v>0</v>
          </cell>
          <cell r="F1430">
            <v>0</v>
          </cell>
          <cell r="H1430">
            <v>0</v>
          </cell>
          <cell r="J1430">
            <v>0</v>
          </cell>
          <cell r="P1430">
            <v>0</v>
          </cell>
          <cell r="Q1430">
            <v>0</v>
          </cell>
        </row>
        <row r="1431">
          <cell r="D1431">
            <v>0</v>
          </cell>
          <cell r="E1431">
            <v>0</v>
          </cell>
          <cell r="F1431">
            <v>0</v>
          </cell>
          <cell r="H1431">
            <v>0</v>
          </cell>
          <cell r="J1431">
            <v>0</v>
          </cell>
          <cell r="P1431">
            <v>0</v>
          </cell>
          <cell r="Q1431">
            <v>0</v>
          </cell>
        </row>
        <row r="1432">
          <cell r="D1432">
            <v>0</v>
          </cell>
          <cell r="E1432">
            <v>0</v>
          </cell>
          <cell r="F1432">
            <v>0</v>
          </cell>
          <cell r="H1432">
            <v>0</v>
          </cell>
          <cell r="J1432">
            <v>0</v>
          </cell>
          <cell r="P1432">
            <v>0</v>
          </cell>
          <cell r="Q1432">
            <v>0</v>
          </cell>
        </row>
        <row r="1433">
          <cell r="D1433">
            <v>0</v>
          </cell>
          <cell r="E1433">
            <v>0</v>
          </cell>
          <cell r="F1433">
            <v>0</v>
          </cell>
          <cell r="H1433">
            <v>0</v>
          </cell>
          <cell r="J1433">
            <v>0</v>
          </cell>
          <cell r="P1433">
            <v>0</v>
          </cell>
          <cell r="Q1433">
            <v>0</v>
          </cell>
        </row>
        <row r="1434">
          <cell r="D1434">
            <v>0</v>
          </cell>
          <cell r="E1434">
            <v>0</v>
          </cell>
          <cell r="F1434">
            <v>0</v>
          </cell>
          <cell r="H1434">
            <v>0</v>
          </cell>
          <cell r="J1434">
            <v>0</v>
          </cell>
          <cell r="P1434">
            <v>0</v>
          </cell>
          <cell r="Q1434">
            <v>0</v>
          </cell>
        </row>
        <row r="1435">
          <cell r="D1435">
            <v>0</v>
          </cell>
          <cell r="E1435">
            <v>0</v>
          </cell>
          <cell r="F1435">
            <v>0</v>
          </cell>
          <cell r="H1435">
            <v>0</v>
          </cell>
          <cell r="J1435">
            <v>0</v>
          </cell>
          <cell r="P1435">
            <v>0</v>
          </cell>
          <cell r="Q1435">
            <v>0</v>
          </cell>
        </row>
        <row r="1436">
          <cell r="D1436">
            <v>0</v>
          </cell>
          <cell r="E1436">
            <v>0</v>
          </cell>
          <cell r="F1436">
            <v>0</v>
          </cell>
          <cell r="H1436">
            <v>0</v>
          </cell>
          <cell r="J1436">
            <v>0</v>
          </cell>
          <cell r="P1436">
            <v>0</v>
          </cell>
          <cell r="Q1436">
            <v>0</v>
          </cell>
        </row>
        <row r="1437">
          <cell r="D1437">
            <v>0</v>
          </cell>
          <cell r="E1437">
            <v>0</v>
          </cell>
          <cell r="F1437">
            <v>0</v>
          </cell>
          <cell r="H1437">
            <v>0</v>
          </cell>
          <cell r="J1437">
            <v>0</v>
          </cell>
          <cell r="P1437">
            <v>0</v>
          </cell>
          <cell r="Q1437">
            <v>0</v>
          </cell>
        </row>
        <row r="1438">
          <cell r="D1438">
            <v>0</v>
          </cell>
          <cell r="E1438">
            <v>0</v>
          </cell>
          <cell r="F1438">
            <v>0</v>
          </cell>
          <cell r="H1438">
            <v>0</v>
          </cell>
          <cell r="J1438">
            <v>0</v>
          </cell>
          <cell r="P1438">
            <v>0</v>
          </cell>
          <cell r="Q1438">
            <v>0</v>
          </cell>
        </row>
        <row r="1439">
          <cell r="D1439">
            <v>0</v>
          </cell>
          <cell r="E1439">
            <v>0</v>
          </cell>
          <cell r="F1439">
            <v>0</v>
          </cell>
          <cell r="H1439">
            <v>0</v>
          </cell>
          <cell r="J1439">
            <v>0</v>
          </cell>
          <cell r="P1439">
            <v>0</v>
          </cell>
          <cell r="Q1439">
            <v>0</v>
          </cell>
        </row>
        <row r="1440">
          <cell r="D1440">
            <v>0</v>
          </cell>
          <cell r="E1440">
            <v>0</v>
          </cell>
          <cell r="F1440">
            <v>0</v>
          </cell>
          <cell r="H1440">
            <v>0</v>
          </cell>
          <cell r="J1440">
            <v>0</v>
          </cell>
          <cell r="P1440">
            <v>0</v>
          </cell>
          <cell r="Q1440">
            <v>0</v>
          </cell>
        </row>
        <row r="1441">
          <cell r="D1441">
            <v>0</v>
          </cell>
          <cell r="E1441">
            <v>0</v>
          </cell>
          <cell r="F1441">
            <v>0</v>
          </cell>
          <cell r="H1441">
            <v>0</v>
          </cell>
          <cell r="J1441">
            <v>0</v>
          </cell>
          <cell r="P1441">
            <v>0</v>
          </cell>
          <cell r="Q1441">
            <v>0</v>
          </cell>
        </row>
        <row r="1442">
          <cell r="D1442">
            <v>0</v>
          </cell>
          <cell r="E1442">
            <v>0</v>
          </cell>
          <cell r="F1442">
            <v>0</v>
          </cell>
          <cell r="H1442">
            <v>0</v>
          </cell>
          <cell r="J1442">
            <v>0</v>
          </cell>
          <cell r="P1442">
            <v>0</v>
          </cell>
          <cell r="Q1442">
            <v>0</v>
          </cell>
        </row>
        <row r="1443">
          <cell r="D1443">
            <v>0</v>
          </cell>
          <cell r="E1443">
            <v>0</v>
          </cell>
          <cell r="F1443">
            <v>0</v>
          </cell>
          <cell r="H1443">
            <v>0</v>
          </cell>
          <cell r="J1443">
            <v>0</v>
          </cell>
          <cell r="P1443">
            <v>0</v>
          </cell>
          <cell r="Q1443">
            <v>0</v>
          </cell>
        </row>
        <row r="1444">
          <cell r="D1444">
            <v>0</v>
          </cell>
          <cell r="E1444">
            <v>0</v>
          </cell>
          <cell r="F1444">
            <v>0</v>
          </cell>
          <cell r="H1444">
            <v>0</v>
          </cell>
          <cell r="J1444">
            <v>0</v>
          </cell>
          <cell r="P1444">
            <v>0</v>
          </cell>
          <cell r="Q1444">
            <v>0</v>
          </cell>
        </row>
        <row r="1445">
          <cell r="D1445">
            <v>0</v>
          </cell>
          <cell r="E1445">
            <v>0</v>
          </cell>
          <cell r="F1445">
            <v>0</v>
          </cell>
          <cell r="H1445">
            <v>0</v>
          </cell>
          <cell r="J1445">
            <v>0</v>
          </cell>
          <cell r="P1445">
            <v>0</v>
          </cell>
          <cell r="Q1445">
            <v>0</v>
          </cell>
        </row>
        <row r="1446">
          <cell r="D1446">
            <v>0</v>
          </cell>
          <cell r="E1446">
            <v>0</v>
          </cell>
          <cell r="F1446">
            <v>0</v>
          </cell>
          <cell r="H1446">
            <v>0</v>
          </cell>
          <cell r="J1446">
            <v>0</v>
          </cell>
          <cell r="P1446">
            <v>0</v>
          </cell>
          <cell r="Q1446">
            <v>0</v>
          </cell>
        </row>
        <row r="1447">
          <cell r="D1447">
            <v>0</v>
          </cell>
          <cell r="E1447">
            <v>0</v>
          </cell>
          <cell r="F1447">
            <v>0</v>
          </cell>
          <cell r="H1447">
            <v>0</v>
          </cell>
          <cell r="J1447">
            <v>0</v>
          </cell>
          <cell r="P1447">
            <v>0</v>
          </cell>
          <cell r="Q1447">
            <v>0</v>
          </cell>
        </row>
        <row r="1448">
          <cell r="D1448">
            <v>0</v>
          </cell>
          <cell r="E1448">
            <v>0</v>
          </cell>
          <cell r="F1448">
            <v>0</v>
          </cell>
          <cell r="H1448">
            <v>0</v>
          </cell>
          <cell r="J1448">
            <v>0</v>
          </cell>
          <cell r="P1448">
            <v>0</v>
          </cell>
          <cell r="Q1448">
            <v>0</v>
          </cell>
        </row>
        <row r="1449">
          <cell r="D1449">
            <v>0</v>
          </cell>
          <cell r="E1449">
            <v>0</v>
          </cell>
          <cell r="F1449">
            <v>0</v>
          </cell>
          <cell r="H1449">
            <v>0</v>
          </cell>
          <cell r="J1449">
            <v>0</v>
          </cell>
          <cell r="P1449">
            <v>0</v>
          </cell>
          <cell r="Q1449">
            <v>0</v>
          </cell>
        </row>
        <row r="1450">
          <cell r="D1450">
            <v>0</v>
          </cell>
          <cell r="E1450">
            <v>0</v>
          </cell>
          <cell r="F1450">
            <v>0</v>
          </cell>
          <cell r="H1450">
            <v>0</v>
          </cell>
          <cell r="J1450">
            <v>0</v>
          </cell>
          <cell r="P1450">
            <v>0</v>
          </cell>
          <cell r="Q1450">
            <v>0</v>
          </cell>
        </row>
        <row r="1451">
          <cell r="D1451">
            <v>0</v>
          </cell>
          <cell r="E1451">
            <v>0</v>
          </cell>
          <cell r="F1451">
            <v>0</v>
          </cell>
          <cell r="H1451">
            <v>0</v>
          </cell>
          <cell r="J1451">
            <v>0</v>
          </cell>
          <cell r="P1451">
            <v>0</v>
          </cell>
          <cell r="Q1451">
            <v>0</v>
          </cell>
        </row>
        <row r="1452">
          <cell r="D1452">
            <v>0</v>
          </cell>
          <cell r="E1452">
            <v>0</v>
          </cell>
          <cell r="F1452">
            <v>0</v>
          </cell>
          <cell r="H1452">
            <v>0</v>
          </cell>
          <cell r="J1452">
            <v>0</v>
          </cell>
          <cell r="P1452">
            <v>0</v>
          </cell>
          <cell r="Q1452">
            <v>0</v>
          </cell>
        </row>
        <row r="1453">
          <cell r="D1453">
            <v>0</v>
          </cell>
          <cell r="E1453">
            <v>0</v>
          </cell>
          <cell r="F1453">
            <v>0</v>
          </cell>
          <cell r="H1453">
            <v>0</v>
          </cell>
          <cell r="J1453">
            <v>0</v>
          </cell>
          <cell r="P1453">
            <v>0</v>
          </cell>
          <cell r="Q1453">
            <v>0</v>
          </cell>
        </row>
        <row r="1454">
          <cell r="D1454">
            <v>0</v>
          </cell>
          <cell r="E1454">
            <v>0</v>
          </cell>
          <cell r="F1454">
            <v>0</v>
          </cell>
          <cell r="H1454">
            <v>0</v>
          </cell>
          <cell r="J1454">
            <v>0</v>
          </cell>
          <cell r="P1454">
            <v>0</v>
          </cell>
          <cell r="Q1454">
            <v>0</v>
          </cell>
        </row>
        <row r="1455">
          <cell r="D1455">
            <v>0</v>
          </cell>
          <cell r="E1455">
            <v>0</v>
          </cell>
          <cell r="F1455">
            <v>0</v>
          </cell>
          <cell r="H1455">
            <v>0</v>
          </cell>
          <cell r="J1455">
            <v>0</v>
          </cell>
          <cell r="P1455">
            <v>0</v>
          </cell>
          <cell r="Q1455">
            <v>0</v>
          </cell>
        </row>
        <row r="1456">
          <cell r="D1456">
            <v>0</v>
          </cell>
          <cell r="E1456">
            <v>0</v>
          </cell>
          <cell r="F1456">
            <v>0</v>
          </cell>
          <cell r="H1456">
            <v>0</v>
          </cell>
          <cell r="J1456">
            <v>0</v>
          </cell>
          <cell r="P1456">
            <v>0</v>
          </cell>
          <cell r="Q1456">
            <v>0</v>
          </cell>
        </row>
        <row r="1457">
          <cell r="D1457">
            <v>0</v>
          </cell>
          <cell r="E1457">
            <v>0</v>
          </cell>
          <cell r="F1457">
            <v>0</v>
          </cell>
          <cell r="H1457">
            <v>0</v>
          </cell>
          <cell r="J1457">
            <v>0</v>
          </cell>
          <cell r="P1457">
            <v>0</v>
          </cell>
          <cell r="Q1457">
            <v>0</v>
          </cell>
        </row>
        <row r="1458">
          <cell r="D1458">
            <v>0</v>
          </cell>
          <cell r="E1458">
            <v>0</v>
          </cell>
          <cell r="F1458">
            <v>0</v>
          </cell>
          <cell r="H1458">
            <v>0</v>
          </cell>
          <cell r="J1458">
            <v>0</v>
          </cell>
          <cell r="P1458">
            <v>0</v>
          </cell>
          <cell r="Q1458">
            <v>0</v>
          </cell>
        </row>
        <row r="1459">
          <cell r="D1459">
            <v>0</v>
          </cell>
          <cell r="E1459">
            <v>0</v>
          </cell>
          <cell r="F1459">
            <v>0</v>
          </cell>
          <cell r="H1459">
            <v>0</v>
          </cell>
          <cell r="J1459">
            <v>0</v>
          </cell>
          <cell r="P1459">
            <v>0</v>
          </cell>
          <cell r="Q1459">
            <v>0</v>
          </cell>
        </row>
        <row r="1460">
          <cell r="D1460">
            <v>0</v>
          </cell>
          <cell r="E1460">
            <v>0</v>
          </cell>
          <cell r="F1460">
            <v>0</v>
          </cell>
          <cell r="H1460">
            <v>0</v>
          </cell>
          <cell r="J1460">
            <v>0</v>
          </cell>
          <cell r="P1460">
            <v>0</v>
          </cell>
          <cell r="Q1460">
            <v>0</v>
          </cell>
        </row>
        <row r="1461">
          <cell r="D1461">
            <v>0</v>
          </cell>
          <cell r="E1461">
            <v>0</v>
          </cell>
          <cell r="F1461">
            <v>0</v>
          </cell>
          <cell r="H1461">
            <v>0</v>
          </cell>
          <cell r="J1461">
            <v>0</v>
          </cell>
          <cell r="P1461">
            <v>0</v>
          </cell>
          <cell r="Q1461">
            <v>0</v>
          </cell>
        </row>
        <row r="1462">
          <cell r="D1462">
            <v>0</v>
          </cell>
          <cell r="E1462">
            <v>0</v>
          </cell>
          <cell r="F1462">
            <v>0</v>
          </cell>
          <cell r="H1462">
            <v>0</v>
          </cell>
          <cell r="J1462">
            <v>0</v>
          </cell>
          <cell r="P1462">
            <v>0</v>
          </cell>
          <cell r="Q1462">
            <v>0</v>
          </cell>
        </row>
        <row r="1463">
          <cell r="D1463">
            <v>0</v>
          </cell>
          <cell r="E1463">
            <v>0</v>
          </cell>
          <cell r="F1463">
            <v>0</v>
          </cell>
          <cell r="H1463">
            <v>0</v>
          </cell>
          <cell r="J1463">
            <v>0</v>
          </cell>
          <cell r="P1463">
            <v>0</v>
          </cell>
          <cell r="Q1463">
            <v>0</v>
          </cell>
        </row>
        <row r="1464">
          <cell r="D1464">
            <v>0</v>
          </cell>
          <cell r="E1464">
            <v>0</v>
          </cell>
          <cell r="F1464">
            <v>0</v>
          </cell>
          <cell r="H1464">
            <v>0</v>
          </cell>
          <cell r="J1464">
            <v>0</v>
          </cell>
          <cell r="P1464">
            <v>0</v>
          </cell>
          <cell r="Q1464">
            <v>0</v>
          </cell>
        </row>
        <row r="1465">
          <cell r="D1465">
            <v>0</v>
          </cell>
          <cell r="E1465">
            <v>0</v>
          </cell>
          <cell r="F1465">
            <v>0</v>
          </cell>
          <cell r="H1465">
            <v>0</v>
          </cell>
          <cell r="J1465">
            <v>0</v>
          </cell>
          <cell r="P1465">
            <v>0</v>
          </cell>
          <cell r="Q1465">
            <v>0</v>
          </cell>
        </row>
        <row r="1466">
          <cell r="D1466">
            <v>0</v>
          </cell>
          <cell r="E1466">
            <v>0</v>
          </cell>
          <cell r="F1466">
            <v>0</v>
          </cell>
          <cell r="H1466">
            <v>0</v>
          </cell>
          <cell r="J1466">
            <v>0</v>
          </cell>
          <cell r="P1466">
            <v>0</v>
          </cell>
          <cell r="Q1466">
            <v>0</v>
          </cell>
        </row>
        <row r="1467">
          <cell r="D1467">
            <v>0</v>
          </cell>
          <cell r="E1467">
            <v>0</v>
          </cell>
          <cell r="F1467">
            <v>0</v>
          </cell>
          <cell r="H1467">
            <v>0</v>
          </cell>
          <cell r="J1467">
            <v>0</v>
          </cell>
          <cell r="P1467">
            <v>0</v>
          </cell>
          <cell r="Q1467">
            <v>0</v>
          </cell>
        </row>
        <row r="1468">
          <cell r="D1468">
            <v>0</v>
          </cell>
          <cell r="E1468">
            <v>0</v>
          </cell>
          <cell r="F1468">
            <v>0</v>
          </cell>
          <cell r="H1468">
            <v>0</v>
          </cell>
          <cell r="J1468">
            <v>0</v>
          </cell>
          <cell r="P1468">
            <v>0</v>
          </cell>
          <cell r="Q1468">
            <v>0</v>
          </cell>
        </row>
        <row r="1469">
          <cell r="D1469">
            <v>0</v>
          </cell>
          <cell r="E1469">
            <v>0</v>
          </cell>
          <cell r="F1469">
            <v>0</v>
          </cell>
          <cell r="H1469">
            <v>0</v>
          </cell>
          <cell r="J1469">
            <v>0</v>
          </cell>
          <cell r="P1469">
            <v>0</v>
          </cell>
          <cell r="Q1469">
            <v>0</v>
          </cell>
        </row>
        <row r="1470">
          <cell r="D1470">
            <v>0</v>
          </cell>
          <cell r="E1470">
            <v>0</v>
          </cell>
          <cell r="F1470">
            <v>0</v>
          </cell>
          <cell r="H1470">
            <v>0</v>
          </cell>
          <cell r="J1470">
            <v>0</v>
          </cell>
          <cell r="P1470">
            <v>0</v>
          </cell>
          <cell r="Q1470">
            <v>0</v>
          </cell>
        </row>
        <row r="1471">
          <cell r="D1471">
            <v>0</v>
          </cell>
          <cell r="E1471">
            <v>0</v>
          </cell>
          <cell r="F1471">
            <v>0</v>
          </cell>
          <cell r="H1471">
            <v>0</v>
          </cell>
          <cell r="J1471">
            <v>0</v>
          </cell>
          <cell r="P1471">
            <v>0</v>
          </cell>
          <cell r="Q1471">
            <v>0</v>
          </cell>
        </row>
        <row r="1472">
          <cell r="D1472">
            <v>0</v>
          </cell>
          <cell r="E1472">
            <v>0</v>
          </cell>
          <cell r="F1472">
            <v>0</v>
          </cell>
          <cell r="H1472">
            <v>0</v>
          </cell>
          <cell r="J1472">
            <v>0</v>
          </cell>
          <cell r="P1472">
            <v>0</v>
          </cell>
          <cell r="Q1472">
            <v>0</v>
          </cell>
        </row>
        <row r="1473">
          <cell r="D1473">
            <v>0</v>
          </cell>
          <cell r="E1473">
            <v>0</v>
          </cell>
          <cell r="F1473">
            <v>0</v>
          </cell>
          <cell r="H1473">
            <v>0</v>
          </cell>
          <cell r="J1473">
            <v>0</v>
          </cell>
          <cell r="P1473">
            <v>0</v>
          </cell>
          <cell r="Q1473">
            <v>0</v>
          </cell>
        </row>
        <row r="1474">
          <cell r="D1474">
            <v>0</v>
          </cell>
          <cell r="E1474">
            <v>0</v>
          </cell>
          <cell r="F1474">
            <v>0</v>
          </cell>
          <cell r="H1474">
            <v>0</v>
          </cell>
          <cell r="J1474">
            <v>0</v>
          </cell>
          <cell r="P1474">
            <v>0</v>
          </cell>
          <cell r="Q1474">
            <v>0</v>
          </cell>
        </row>
        <row r="1475">
          <cell r="D1475">
            <v>0</v>
          </cell>
          <cell r="E1475">
            <v>0</v>
          </cell>
          <cell r="F1475">
            <v>0</v>
          </cell>
          <cell r="H1475">
            <v>0</v>
          </cell>
          <cell r="J1475">
            <v>0</v>
          </cell>
          <cell r="P1475">
            <v>0</v>
          </cell>
          <cell r="Q1475">
            <v>0</v>
          </cell>
        </row>
        <row r="1476">
          <cell r="D1476">
            <v>0</v>
          </cell>
          <cell r="E1476">
            <v>0</v>
          </cell>
          <cell r="F1476">
            <v>0</v>
          </cell>
          <cell r="H1476">
            <v>0</v>
          </cell>
          <cell r="J1476">
            <v>0</v>
          </cell>
          <cell r="P1476">
            <v>0</v>
          </cell>
          <cell r="Q1476">
            <v>0</v>
          </cell>
        </row>
        <row r="1477">
          <cell r="D1477">
            <v>0</v>
          </cell>
          <cell r="E1477">
            <v>0</v>
          </cell>
          <cell r="F1477">
            <v>0</v>
          </cell>
          <cell r="H1477">
            <v>0</v>
          </cell>
          <cell r="J1477">
            <v>0</v>
          </cell>
          <cell r="P1477">
            <v>0</v>
          </cell>
          <cell r="Q1477">
            <v>0</v>
          </cell>
        </row>
        <row r="1478">
          <cell r="D1478">
            <v>0</v>
          </cell>
          <cell r="E1478">
            <v>0</v>
          </cell>
          <cell r="F1478">
            <v>0</v>
          </cell>
          <cell r="H1478">
            <v>0</v>
          </cell>
          <cell r="J1478">
            <v>0</v>
          </cell>
          <cell r="P1478">
            <v>0</v>
          </cell>
          <cell r="Q1478">
            <v>0</v>
          </cell>
        </row>
        <row r="1479">
          <cell r="D1479">
            <v>0</v>
          </cell>
          <cell r="E1479">
            <v>0</v>
          </cell>
          <cell r="F1479">
            <v>0</v>
          </cell>
          <cell r="H1479">
            <v>0</v>
          </cell>
          <cell r="J1479">
            <v>0</v>
          </cell>
          <cell r="P1479">
            <v>0</v>
          </cell>
          <cell r="Q1479">
            <v>0</v>
          </cell>
        </row>
        <row r="1480">
          <cell r="D1480">
            <v>0</v>
          </cell>
          <cell r="E1480">
            <v>0</v>
          </cell>
          <cell r="F1480">
            <v>0</v>
          </cell>
          <cell r="H1480">
            <v>0</v>
          </cell>
          <cell r="J1480">
            <v>0</v>
          </cell>
          <cell r="P1480">
            <v>0</v>
          </cell>
          <cell r="Q1480">
            <v>0</v>
          </cell>
        </row>
        <row r="1481">
          <cell r="D1481">
            <v>0</v>
          </cell>
          <cell r="E1481">
            <v>0</v>
          </cell>
          <cell r="F1481">
            <v>0</v>
          </cell>
          <cell r="H1481">
            <v>0</v>
          </cell>
          <cell r="J1481">
            <v>0</v>
          </cell>
          <cell r="P1481">
            <v>0</v>
          </cell>
          <cell r="Q1481">
            <v>0</v>
          </cell>
        </row>
        <row r="1482">
          <cell r="D1482">
            <v>0</v>
          </cell>
          <cell r="E1482">
            <v>0</v>
          </cell>
          <cell r="F1482">
            <v>0</v>
          </cell>
          <cell r="H1482">
            <v>0</v>
          </cell>
          <cell r="J1482">
            <v>0</v>
          </cell>
          <cell r="P1482">
            <v>0</v>
          </cell>
          <cell r="Q1482">
            <v>0</v>
          </cell>
        </row>
        <row r="1483">
          <cell r="D1483">
            <v>0</v>
          </cell>
          <cell r="E1483">
            <v>0</v>
          </cell>
          <cell r="F1483">
            <v>0</v>
          </cell>
          <cell r="H1483">
            <v>0</v>
          </cell>
          <cell r="J1483">
            <v>0</v>
          </cell>
          <cell r="P1483">
            <v>0</v>
          </cell>
          <cell r="Q1483">
            <v>0</v>
          </cell>
        </row>
        <row r="1484">
          <cell r="D1484">
            <v>0</v>
          </cell>
          <cell r="E1484">
            <v>0</v>
          </cell>
          <cell r="F1484">
            <v>0</v>
          </cell>
          <cell r="H1484">
            <v>0</v>
          </cell>
          <cell r="J1484">
            <v>0</v>
          </cell>
          <cell r="P1484">
            <v>0</v>
          </cell>
          <cell r="Q1484">
            <v>0</v>
          </cell>
        </row>
        <row r="1485">
          <cell r="D1485">
            <v>0</v>
          </cell>
          <cell r="E1485">
            <v>0</v>
          </cell>
          <cell r="F1485">
            <v>0</v>
          </cell>
          <cell r="H1485">
            <v>0</v>
          </cell>
          <cell r="J1485">
            <v>0</v>
          </cell>
          <cell r="P1485">
            <v>0</v>
          </cell>
          <cell r="Q1485">
            <v>0</v>
          </cell>
        </row>
        <row r="1486">
          <cell r="D1486">
            <v>0</v>
          </cell>
          <cell r="E1486">
            <v>0</v>
          </cell>
          <cell r="F1486">
            <v>0</v>
          </cell>
          <cell r="H1486">
            <v>0</v>
          </cell>
          <cell r="J1486">
            <v>0</v>
          </cell>
          <cell r="P1486">
            <v>0</v>
          </cell>
          <cell r="Q1486">
            <v>0</v>
          </cell>
        </row>
        <row r="1487">
          <cell r="D1487">
            <v>0</v>
          </cell>
          <cell r="E1487">
            <v>0</v>
          </cell>
          <cell r="F1487">
            <v>0</v>
          </cell>
          <cell r="H1487">
            <v>0</v>
          </cell>
          <cell r="J1487">
            <v>0</v>
          </cell>
          <cell r="P1487">
            <v>0</v>
          </cell>
          <cell r="Q1487">
            <v>0</v>
          </cell>
        </row>
        <row r="1488">
          <cell r="D1488">
            <v>0</v>
          </cell>
          <cell r="E1488">
            <v>0</v>
          </cell>
          <cell r="F1488">
            <v>0</v>
          </cell>
          <cell r="H1488">
            <v>0</v>
          </cell>
          <cell r="J1488">
            <v>0</v>
          </cell>
          <cell r="P1488">
            <v>0</v>
          </cell>
          <cell r="Q1488">
            <v>0</v>
          </cell>
        </row>
        <row r="1489">
          <cell r="D1489">
            <v>0</v>
          </cell>
          <cell r="E1489">
            <v>0</v>
          </cell>
          <cell r="F1489">
            <v>0</v>
          </cell>
          <cell r="H1489">
            <v>0</v>
          </cell>
          <cell r="J1489">
            <v>0</v>
          </cell>
          <cell r="P1489">
            <v>0</v>
          </cell>
          <cell r="Q1489">
            <v>0</v>
          </cell>
        </row>
        <row r="1490">
          <cell r="D1490">
            <v>0</v>
          </cell>
          <cell r="E1490">
            <v>0</v>
          </cell>
          <cell r="F1490">
            <v>0</v>
          </cell>
          <cell r="H1490">
            <v>0</v>
          </cell>
          <cell r="J1490">
            <v>0</v>
          </cell>
          <cell r="P1490">
            <v>0</v>
          </cell>
          <cell r="Q1490">
            <v>0</v>
          </cell>
        </row>
        <row r="1491">
          <cell r="D1491">
            <v>0</v>
          </cell>
          <cell r="E1491">
            <v>0</v>
          </cell>
          <cell r="F1491">
            <v>0</v>
          </cell>
          <cell r="H1491">
            <v>0</v>
          </cell>
          <cell r="J1491">
            <v>0</v>
          </cell>
          <cell r="P1491">
            <v>0</v>
          </cell>
          <cell r="Q1491">
            <v>0</v>
          </cell>
        </row>
        <row r="1492">
          <cell r="D1492">
            <v>0</v>
          </cell>
          <cell r="E1492">
            <v>0</v>
          </cell>
          <cell r="F1492">
            <v>0</v>
          </cell>
          <cell r="H1492">
            <v>0</v>
          </cell>
          <cell r="J1492">
            <v>0</v>
          </cell>
          <cell r="P1492">
            <v>0</v>
          </cell>
          <cell r="Q1492">
            <v>0</v>
          </cell>
        </row>
        <row r="1493">
          <cell r="D1493">
            <v>0</v>
          </cell>
          <cell r="E1493">
            <v>0</v>
          </cell>
          <cell r="F1493">
            <v>0</v>
          </cell>
          <cell r="H1493">
            <v>0</v>
          </cell>
          <cell r="J1493">
            <v>0</v>
          </cell>
          <cell r="P1493">
            <v>0</v>
          </cell>
          <cell r="Q1493">
            <v>0</v>
          </cell>
        </row>
        <row r="1494">
          <cell r="D1494">
            <v>0</v>
          </cell>
          <cell r="E1494">
            <v>0</v>
          </cell>
          <cell r="F1494">
            <v>0</v>
          </cell>
          <cell r="H1494">
            <v>0</v>
          </cell>
          <cell r="J1494">
            <v>0</v>
          </cell>
          <cell r="P1494">
            <v>0</v>
          </cell>
          <cell r="Q1494">
            <v>0</v>
          </cell>
        </row>
        <row r="1495">
          <cell r="D1495">
            <v>0</v>
          </cell>
          <cell r="E1495">
            <v>0</v>
          </cell>
          <cell r="F1495">
            <v>0</v>
          </cell>
          <cell r="H1495">
            <v>0</v>
          </cell>
          <cell r="J1495">
            <v>0</v>
          </cell>
          <cell r="P1495">
            <v>0</v>
          </cell>
          <cell r="Q1495">
            <v>0</v>
          </cell>
        </row>
        <row r="1496">
          <cell r="D1496">
            <v>0</v>
          </cell>
          <cell r="E1496">
            <v>0</v>
          </cell>
          <cell r="F1496">
            <v>0</v>
          </cell>
          <cell r="H1496">
            <v>0</v>
          </cell>
          <cell r="J1496">
            <v>0</v>
          </cell>
          <cell r="P1496">
            <v>0</v>
          </cell>
          <cell r="Q1496">
            <v>0</v>
          </cell>
        </row>
        <row r="1497">
          <cell r="D1497">
            <v>0</v>
          </cell>
          <cell r="E1497">
            <v>0</v>
          </cell>
          <cell r="F1497">
            <v>0</v>
          </cell>
          <cell r="H1497">
            <v>0</v>
          </cell>
          <cell r="J1497">
            <v>0</v>
          </cell>
          <cell r="P1497">
            <v>0</v>
          </cell>
          <cell r="Q1497">
            <v>0</v>
          </cell>
        </row>
        <row r="1498">
          <cell r="D1498">
            <v>0</v>
          </cell>
          <cell r="E1498">
            <v>0</v>
          </cell>
          <cell r="F1498">
            <v>0</v>
          </cell>
          <cell r="H1498">
            <v>0</v>
          </cell>
          <cell r="J1498">
            <v>0</v>
          </cell>
          <cell r="P1498">
            <v>0</v>
          </cell>
          <cell r="Q1498">
            <v>0</v>
          </cell>
        </row>
        <row r="1499">
          <cell r="D1499">
            <v>0</v>
          </cell>
          <cell r="E1499">
            <v>0</v>
          </cell>
          <cell r="F1499">
            <v>0</v>
          </cell>
          <cell r="H1499">
            <v>0</v>
          </cell>
          <cell r="J1499">
            <v>0</v>
          </cell>
          <cell r="P1499">
            <v>0</v>
          </cell>
          <cell r="Q1499">
            <v>0</v>
          </cell>
        </row>
        <row r="1500">
          <cell r="D1500">
            <v>0</v>
          </cell>
          <cell r="E1500">
            <v>0</v>
          </cell>
          <cell r="F1500">
            <v>0</v>
          </cell>
          <cell r="H1500">
            <v>0</v>
          </cell>
          <cell r="J1500">
            <v>0</v>
          </cell>
          <cell r="P1500">
            <v>0</v>
          </cell>
          <cell r="Q1500">
            <v>0</v>
          </cell>
        </row>
        <row r="1501">
          <cell r="D1501">
            <v>0</v>
          </cell>
          <cell r="E1501">
            <v>0</v>
          </cell>
          <cell r="F1501">
            <v>0</v>
          </cell>
          <cell r="H1501">
            <v>0</v>
          </cell>
          <cell r="J1501">
            <v>0</v>
          </cell>
          <cell r="P1501">
            <v>0</v>
          </cell>
          <cell r="Q1501">
            <v>0</v>
          </cell>
        </row>
        <row r="1502">
          <cell r="D1502">
            <v>0</v>
          </cell>
          <cell r="E1502">
            <v>0</v>
          </cell>
          <cell r="F1502">
            <v>0</v>
          </cell>
          <cell r="H1502">
            <v>0</v>
          </cell>
          <cell r="J1502">
            <v>0</v>
          </cell>
          <cell r="P1502">
            <v>0</v>
          </cell>
          <cell r="Q1502">
            <v>0</v>
          </cell>
        </row>
        <row r="1503">
          <cell r="D1503">
            <v>0</v>
          </cell>
          <cell r="E1503">
            <v>0</v>
          </cell>
          <cell r="F1503">
            <v>0</v>
          </cell>
          <cell r="H1503">
            <v>0</v>
          </cell>
          <cell r="J1503">
            <v>0</v>
          </cell>
          <cell r="P1503">
            <v>0</v>
          </cell>
          <cell r="Q1503">
            <v>0</v>
          </cell>
        </row>
        <row r="1504">
          <cell r="D1504">
            <v>0</v>
          </cell>
          <cell r="E1504">
            <v>0</v>
          </cell>
          <cell r="F1504">
            <v>0</v>
          </cell>
          <cell r="H1504">
            <v>0</v>
          </cell>
          <cell r="J1504">
            <v>0</v>
          </cell>
          <cell r="P1504">
            <v>0</v>
          </cell>
          <cell r="Q1504">
            <v>0</v>
          </cell>
        </row>
        <row r="1505">
          <cell r="D1505">
            <v>0</v>
          </cell>
          <cell r="E1505">
            <v>0</v>
          </cell>
          <cell r="F1505">
            <v>0</v>
          </cell>
          <cell r="H1505">
            <v>0</v>
          </cell>
          <cell r="J1505">
            <v>0</v>
          </cell>
          <cell r="P1505">
            <v>0</v>
          </cell>
          <cell r="Q1505">
            <v>0</v>
          </cell>
        </row>
        <row r="1506">
          <cell r="D1506">
            <v>0</v>
          </cell>
          <cell r="E1506">
            <v>0</v>
          </cell>
          <cell r="F1506">
            <v>0</v>
          </cell>
          <cell r="H1506">
            <v>0</v>
          </cell>
          <cell r="J1506">
            <v>0</v>
          </cell>
          <cell r="P1506">
            <v>0</v>
          </cell>
          <cell r="Q1506">
            <v>0</v>
          </cell>
        </row>
        <row r="1507">
          <cell r="D1507">
            <v>0</v>
          </cell>
          <cell r="E1507">
            <v>0</v>
          </cell>
          <cell r="F1507">
            <v>0</v>
          </cell>
          <cell r="H1507">
            <v>0</v>
          </cell>
          <cell r="J1507">
            <v>0</v>
          </cell>
          <cell r="P1507">
            <v>0</v>
          </cell>
          <cell r="Q1507">
            <v>0</v>
          </cell>
        </row>
        <row r="1508">
          <cell r="D1508">
            <v>0</v>
          </cell>
          <cell r="E1508">
            <v>0</v>
          </cell>
          <cell r="F1508">
            <v>0</v>
          </cell>
          <cell r="H1508">
            <v>0</v>
          </cell>
          <cell r="J1508">
            <v>0</v>
          </cell>
          <cell r="P1508">
            <v>0</v>
          </cell>
          <cell r="Q1508">
            <v>0</v>
          </cell>
        </row>
        <row r="1509">
          <cell r="D1509">
            <v>0</v>
          </cell>
          <cell r="E1509">
            <v>0</v>
          </cell>
          <cell r="F1509">
            <v>0</v>
          </cell>
          <cell r="H1509">
            <v>0</v>
          </cell>
          <cell r="J1509">
            <v>0</v>
          </cell>
          <cell r="P1509">
            <v>0</v>
          </cell>
          <cell r="Q1509">
            <v>0</v>
          </cell>
        </row>
        <row r="1510">
          <cell r="D1510">
            <v>0</v>
          </cell>
          <cell r="E1510">
            <v>0</v>
          </cell>
          <cell r="F1510">
            <v>0</v>
          </cell>
          <cell r="H1510">
            <v>0</v>
          </cell>
          <cell r="J1510">
            <v>0</v>
          </cell>
          <cell r="P1510">
            <v>0</v>
          </cell>
          <cell r="Q1510">
            <v>0</v>
          </cell>
        </row>
        <row r="1511">
          <cell r="D1511">
            <v>0</v>
          </cell>
          <cell r="E1511">
            <v>0</v>
          </cell>
          <cell r="F1511">
            <v>0</v>
          </cell>
          <cell r="H1511">
            <v>0</v>
          </cell>
          <cell r="J1511">
            <v>0</v>
          </cell>
          <cell r="P1511">
            <v>0</v>
          </cell>
          <cell r="Q1511">
            <v>0</v>
          </cell>
        </row>
        <row r="1512">
          <cell r="D1512">
            <v>0</v>
          </cell>
          <cell r="E1512">
            <v>0</v>
          </cell>
          <cell r="F1512">
            <v>0</v>
          </cell>
          <cell r="H1512">
            <v>0</v>
          </cell>
          <cell r="J1512">
            <v>0</v>
          </cell>
          <cell r="P1512">
            <v>0</v>
          </cell>
          <cell r="Q1512">
            <v>0</v>
          </cell>
        </row>
        <row r="1513">
          <cell r="D1513">
            <v>0</v>
          </cell>
          <cell r="E1513">
            <v>0</v>
          </cell>
          <cell r="F1513">
            <v>0</v>
          </cell>
          <cell r="H1513">
            <v>0</v>
          </cell>
          <cell r="J1513">
            <v>0</v>
          </cell>
          <cell r="P1513">
            <v>0</v>
          </cell>
          <cell r="Q1513">
            <v>0</v>
          </cell>
        </row>
        <row r="1514">
          <cell r="D1514">
            <v>0</v>
          </cell>
          <cell r="E1514">
            <v>0</v>
          </cell>
          <cell r="F1514">
            <v>0</v>
          </cell>
          <cell r="H1514">
            <v>0</v>
          </cell>
          <cell r="J1514">
            <v>0</v>
          </cell>
          <cell r="P1514">
            <v>0</v>
          </cell>
          <cell r="Q1514">
            <v>0</v>
          </cell>
        </row>
        <row r="1515">
          <cell r="D1515">
            <v>0</v>
          </cell>
          <cell r="E1515">
            <v>0</v>
          </cell>
          <cell r="F1515">
            <v>0</v>
          </cell>
          <cell r="H1515">
            <v>0</v>
          </cell>
          <cell r="J1515">
            <v>0</v>
          </cell>
          <cell r="P1515">
            <v>0</v>
          </cell>
          <cell r="Q1515">
            <v>0</v>
          </cell>
        </row>
        <row r="1516">
          <cell r="D1516">
            <v>0</v>
          </cell>
          <cell r="E1516">
            <v>0</v>
          </cell>
          <cell r="F1516">
            <v>0</v>
          </cell>
          <cell r="H1516">
            <v>0</v>
          </cell>
          <cell r="J1516">
            <v>0</v>
          </cell>
          <cell r="P1516">
            <v>0</v>
          </cell>
          <cell r="Q1516">
            <v>0</v>
          </cell>
        </row>
        <row r="1517">
          <cell r="D1517">
            <v>0</v>
          </cell>
          <cell r="E1517">
            <v>0</v>
          </cell>
          <cell r="F1517">
            <v>0</v>
          </cell>
          <cell r="H1517">
            <v>0</v>
          </cell>
          <cell r="J1517">
            <v>0</v>
          </cell>
          <cell r="P1517">
            <v>0</v>
          </cell>
          <cell r="Q1517">
            <v>0</v>
          </cell>
        </row>
        <row r="1518">
          <cell r="D1518">
            <v>0</v>
          </cell>
          <cell r="E1518">
            <v>0</v>
          </cell>
          <cell r="F1518">
            <v>0</v>
          </cell>
          <cell r="H1518">
            <v>0</v>
          </cell>
          <cell r="J1518">
            <v>0</v>
          </cell>
          <cell r="P1518">
            <v>0</v>
          </cell>
          <cell r="Q1518">
            <v>0</v>
          </cell>
        </row>
        <row r="1519">
          <cell r="D1519">
            <v>0</v>
          </cell>
          <cell r="E1519">
            <v>0</v>
          </cell>
          <cell r="F1519">
            <v>0</v>
          </cell>
          <cell r="H1519">
            <v>0</v>
          </cell>
          <cell r="J1519">
            <v>0</v>
          </cell>
          <cell r="P1519">
            <v>0</v>
          </cell>
          <cell r="Q1519">
            <v>0</v>
          </cell>
        </row>
        <row r="1520">
          <cell r="D1520">
            <v>0</v>
          </cell>
          <cell r="E1520">
            <v>0</v>
          </cell>
          <cell r="F1520">
            <v>0</v>
          </cell>
          <cell r="H1520">
            <v>0</v>
          </cell>
          <cell r="J1520">
            <v>0</v>
          </cell>
          <cell r="P1520">
            <v>0</v>
          </cell>
          <cell r="Q1520">
            <v>0</v>
          </cell>
        </row>
        <row r="1521">
          <cell r="D1521">
            <v>0</v>
          </cell>
          <cell r="E1521">
            <v>0</v>
          </cell>
          <cell r="F1521">
            <v>0</v>
          </cell>
          <cell r="H1521">
            <v>0</v>
          </cell>
          <cell r="J1521">
            <v>0</v>
          </cell>
          <cell r="P1521">
            <v>0</v>
          </cell>
          <cell r="Q1521">
            <v>0</v>
          </cell>
        </row>
        <row r="1522">
          <cell r="D1522">
            <v>0</v>
          </cell>
          <cell r="E1522">
            <v>0</v>
          </cell>
          <cell r="F1522">
            <v>0</v>
          </cell>
          <cell r="H1522">
            <v>0</v>
          </cell>
          <cell r="J1522">
            <v>0</v>
          </cell>
          <cell r="P1522">
            <v>0</v>
          </cell>
          <cell r="Q1522">
            <v>0</v>
          </cell>
        </row>
        <row r="1523">
          <cell r="D1523">
            <v>0</v>
          </cell>
          <cell r="E1523">
            <v>0</v>
          </cell>
          <cell r="F1523">
            <v>0</v>
          </cell>
          <cell r="H1523">
            <v>0</v>
          </cell>
          <cell r="J1523">
            <v>0</v>
          </cell>
          <cell r="P1523">
            <v>0</v>
          </cell>
          <cell r="Q1523">
            <v>0</v>
          </cell>
        </row>
        <row r="1524">
          <cell r="D1524">
            <v>0</v>
          </cell>
          <cell r="E1524">
            <v>0</v>
          </cell>
          <cell r="F1524">
            <v>0</v>
          </cell>
          <cell r="H1524">
            <v>0</v>
          </cell>
          <cell r="J1524">
            <v>0</v>
          </cell>
          <cell r="P1524">
            <v>0</v>
          </cell>
          <cell r="Q1524">
            <v>0</v>
          </cell>
        </row>
        <row r="1525">
          <cell r="D1525">
            <v>0</v>
          </cell>
          <cell r="E1525">
            <v>0</v>
          </cell>
          <cell r="F1525">
            <v>0</v>
          </cell>
          <cell r="H1525">
            <v>0</v>
          </cell>
          <cell r="J1525">
            <v>0</v>
          </cell>
          <cell r="P1525">
            <v>0</v>
          </cell>
          <cell r="Q1525">
            <v>0</v>
          </cell>
        </row>
        <row r="1526">
          <cell r="D1526">
            <v>0</v>
          </cell>
          <cell r="E1526">
            <v>0</v>
          </cell>
          <cell r="F1526">
            <v>0</v>
          </cell>
          <cell r="H1526">
            <v>0</v>
          </cell>
          <cell r="J1526">
            <v>0</v>
          </cell>
          <cell r="P1526">
            <v>0</v>
          </cell>
          <cell r="Q1526">
            <v>0</v>
          </cell>
        </row>
        <row r="1527">
          <cell r="D1527">
            <v>0</v>
          </cell>
          <cell r="E1527">
            <v>0</v>
          </cell>
          <cell r="F1527">
            <v>0</v>
          </cell>
          <cell r="H1527">
            <v>0</v>
          </cell>
          <cell r="J1527">
            <v>0</v>
          </cell>
          <cell r="P1527">
            <v>0</v>
          </cell>
          <cell r="Q1527">
            <v>0</v>
          </cell>
        </row>
        <row r="1528">
          <cell r="D1528">
            <v>0</v>
          </cell>
          <cell r="E1528">
            <v>0</v>
          </cell>
          <cell r="F1528">
            <v>0</v>
          </cell>
          <cell r="H1528">
            <v>0</v>
          </cell>
          <cell r="J1528">
            <v>0</v>
          </cell>
          <cell r="P1528">
            <v>0</v>
          </cell>
          <cell r="Q1528">
            <v>0</v>
          </cell>
        </row>
        <row r="1529">
          <cell r="D1529">
            <v>0</v>
          </cell>
          <cell r="E1529">
            <v>0</v>
          </cell>
          <cell r="F1529">
            <v>0</v>
          </cell>
          <cell r="H1529">
            <v>0</v>
          </cell>
          <cell r="J1529">
            <v>0</v>
          </cell>
          <cell r="P1529">
            <v>0</v>
          </cell>
          <cell r="Q1529">
            <v>0</v>
          </cell>
        </row>
        <row r="1530">
          <cell r="D1530">
            <v>0</v>
          </cell>
          <cell r="E1530">
            <v>0</v>
          </cell>
          <cell r="F1530">
            <v>0</v>
          </cell>
          <cell r="H1530">
            <v>0</v>
          </cell>
          <cell r="J1530">
            <v>0</v>
          </cell>
          <cell r="P1530">
            <v>0</v>
          </cell>
          <cell r="Q1530">
            <v>0</v>
          </cell>
        </row>
        <row r="1531">
          <cell r="D1531">
            <v>0</v>
          </cell>
          <cell r="E1531">
            <v>0</v>
          </cell>
          <cell r="F1531">
            <v>0</v>
          </cell>
          <cell r="H1531">
            <v>0</v>
          </cell>
          <cell r="J1531">
            <v>0</v>
          </cell>
          <cell r="P1531">
            <v>0</v>
          </cell>
          <cell r="Q1531">
            <v>0</v>
          </cell>
        </row>
        <row r="1532">
          <cell r="D1532">
            <v>0</v>
          </cell>
          <cell r="E1532">
            <v>0</v>
          </cell>
          <cell r="F1532">
            <v>0</v>
          </cell>
          <cell r="H1532">
            <v>0</v>
          </cell>
          <cell r="J1532">
            <v>0</v>
          </cell>
          <cell r="P1532">
            <v>0</v>
          </cell>
          <cell r="Q1532">
            <v>0</v>
          </cell>
        </row>
        <row r="1533">
          <cell r="D1533">
            <v>0</v>
          </cell>
          <cell r="E1533">
            <v>0</v>
          </cell>
          <cell r="F1533">
            <v>0</v>
          </cell>
          <cell r="H1533">
            <v>0</v>
          </cell>
          <cell r="J1533">
            <v>0</v>
          </cell>
          <cell r="P1533">
            <v>0</v>
          </cell>
          <cell r="Q1533">
            <v>0</v>
          </cell>
        </row>
        <row r="1534">
          <cell r="D1534">
            <v>0</v>
          </cell>
          <cell r="E1534">
            <v>0</v>
          </cell>
          <cell r="F1534">
            <v>0</v>
          </cell>
          <cell r="H1534">
            <v>0</v>
          </cell>
          <cell r="J1534">
            <v>0</v>
          </cell>
          <cell r="P1534">
            <v>0</v>
          </cell>
          <cell r="Q1534">
            <v>0</v>
          </cell>
        </row>
        <row r="1535">
          <cell r="D1535">
            <v>0</v>
          </cell>
          <cell r="E1535">
            <v>0</v>
          </cell>
          <cell r="F1535">
            <v>0</v>
          </cell>
          <cell r="H1535">
            <v>0</v>
          </cell>
          <cell r="J1535">
            <v>0</v>
          </cell>
          <cell r="P1535">
            <v>0</v>
          </cell>
          <cell r="Q1535">
            <v>0</v>
          </cell>
        </row>
        <row r="1536">
          <cell r="D1536">
            <v>0</v>
          </cell>
          <cell r="E1536">
            <v>0</v>
          </cell>
          <cell r="F1536">
            <v>0</v>
          </cell>
          <cell r="H1536">
            <v>0</v>
          </cell>
          <cell r="J1536">
            <v>0</v>
          </cell>
          <cell r="P1536">
            <v>0</v>
          </cell>
          <cell r="Q1536">
            <v>0</v>
          </cell>
        </row>
        <row r="1537">
          <cell r="D1537">
            <v>0</v>
          </cell>
          <cell r="E1537">
            <v>0</v>
          </cell>
          <cell r="F1537">
            <v>0</v>
          </cell>
          <cell r="H1537">
            <v>0</v>
          </cell>
          <cell r="J1537">
            <v>0</v>
          </cell>
          <cell r="P1537">
            <v>0</v>
          </cell>
          <cell r="Q1537">
            <v>0</v>
          </cell>
        </row>
        <row r="1538">
          <cell r="D1538">
            <v>0</v>
          </cell>
          <cell r="E1538">
            <v>0</v>
          </cell>
          <cell r="F1538">
            <v>0</v>
          </cell>
          <cell r="H1538">
            <v>0</v>
          </cell>
          <cell r="J1538">
            <v>0</v>
          </cell>
          <cell r="P1538">
            <v>0</v>
          </cell>
          <cell r="Q1538">
            <v>0</v>
          </cell>
        </row>
        <row r="1539">
          <cell r="D1539">
            <v>0</v>
          </cell>
          <cell r="E1539">
            <v>0</v>
          </cell>
          <cell r="F1539">
            <v>0</v>
          </cell>
          <cell r="H1539">
            <v>0</v>
          </cell>
          <cell r="J1539">
            <v>0</v>
          </cell>
          <cell r="P1539">
            <v>0</v>
          </cell>
          <cell r="Q1539">
            <v>0</v>
          </cell>
        </row>
        <row r="1540">
          <cell r="D1540">
            <v>0</v>
          </cell>
          <cell r="E1540">
            <v>0</v>
          </cell>
          <cell r="F1540">
            <v>0</v>
          </cell>
          <cell r="H1540">
            <v>0</v>
          </cell>
          <cell r="J1540">
            <v>0</v>
          </cell>
          <cell r="P1540">
            <v>0</v>
          </cell>
          <cell r="Q1540">
            <v>0</v>
          </cell>
        </row>
        <row r="1541">
          <cell r="D1541">
            <v>0</v>
          </cell>
          <cell r="E1541">
            <v>0</v>
          </cell>
          <cell r="F1541">
            <v>0</v>
          </cell>
          <cell r="H1541">
            <v>0</v>
          </cell>
          <cell r="J1541">
            <v>0</v>
          </cell>
          <cell r="P1541">
            <v>0</v>
          </cell>
          <cell r="Q1541">
            <v>0</v>
          </cell>
        </row>
        <row r="1542">
          <cell r="D1542">
            <v>0</v>
          </cell>
          <cell r="E1542">
            <v>0</v>
          </cell>
          <cell r="F1542">
            <v>0</v>
          </cell>
          <cell r="H1542">
            <v>0</v>
          </cell>
          <cell r="J1542">
            <v>0</v>
          </cell>
          <cell r="P1542">
            <v>0</v>
          </cell>
          <cell r="Q1542">
            <v>0</v>
          </cell>
        </row>
        <row r="1543">
          <cell r="D1543">
            <v>0</v>
          </cell>
          <cell r="E1543">
            <v>0</v>
          </cell>
          <cell r="F1543">
            <v>0</v>
          </cell>
          <cell r="H1543">
            <v>0</v>
          </cell>
          <cell r="J1543">
            <v>0</v>
          </cell>
          <cell r="P1543">
            <v>0</v>
          </cell>
          <cell r="Q1543">
            <v>0</v>
          </cell>
        </row>
        <row r="1544">
          <cell r="D1544">
            <v>0</v>
          </cell>
          <cell r="E1544">
            <v>0</v>
          </cell>
          <cell r="F1544">
            <v>0</v>
          </cell>
          <cell r="H1544">
            <v>0</v>
          </cell>
          <cell r="J1544">
            <v>0</v>
          </cell>
          <cell r="P1544">
            <v>0</v>
          </cell>
          <cell r="Q1544">
            <v>0</v>
          </cell>
        </row>
        <row r="1545">
          <cell r="D1545">
            <v>0</v>
          </cell>
          <cell r="E1545">
            <v>0</v>
          </cell>
          <cell r="F1545">
            <v>0</v>
          </cell>
          <cell r="H1545">
            <v>0</v>
          </cell>
          <cell r="J1545">
            <v>0</v>
          </cell>
          <cell r="P1545">
            <v>0</v>
          </cell>
          <cell r="Q1545">
            <v>0</v>
          </cell>
        </row>
        <row r="1546">
          <cell r="D1546">
            <v>0</v>
          </cell>
          <cell r="E1546">
            <v>0</v>
          </cell>
          <cell r="F1546">
            <v>0</v>
          </cell>
          <cell r="H1546">
            <v>0</v>
          </cell>
          <cell r="J1546">
            <v>0</v>
          </cell>
          <cell r="P1546">
            <v>0</v>
          </cell>
          <cell r="Q1546">
            <v>0</v>
          </cell>
        </row>
        <row r="1547">
          <cell r="D1547">
            <v>0</v>
          </cell>
          <cell r="E1547">
            <v>0</v>
          </cell>
          <cell r="F1547">
            <v>0</v>
          </cell>
          <cell r="H1547">
            <v>0</v>
          </cell>
          <cell r="J1547">
            <v>0</v>
          </cell>
          <cell r="P1547">
            <v>0</v>
          </cell>
          <cell r="Q1547">
            <v>0</v>
          </cell>
        </row>
        <row r="1548">
          <cell r="D1548">
            <v>0</v>
          </cell>
          <cell r="E1548">
            <v>0</v>
          </cell>
          <cell r="F1548">
            <v>0</v>
          </cell>
          <cell r="H1548">
            <v>0</v>
          </cell>
          <cell r="J1548">
            <v>0</v>
          </cell>
          <cell r="P1548">
            <v>0</v>
          </cell>
          <cell r="Q1548">
            <v>0</v>
          </cell>
        </row>
        <row r="1549">
          <cell r="D1549">
            <v>0</v>
          </cell>
          <cell r="E1549">
            <v>0</v>
          </cell>
          <cell r="F1549">
            <v>0</v>
          </cell>
          <cell r="H1549">
            <v>0</v>
          </cell>
          <cell r="J1549">
            <v>0</v>
          </cell>
          <cell r="P1549">
            <v>0</v>
          </cell>
          <cell r="Q1549">
            <v>0</v>
          </cell>
        </row>
        <row r="1550">
          <cell r="D1550">
            <v>0</v>
          </cell>
          <cell r="E1550">
            <v>0</v>
          </cell>
          <cell r="F1550">
            <v>0</v>
          </cell>
          <cell r="H1550">
            <v>0</v>
          </cell>
          <cell r="J1550">
            <v>0</v>
          </cell>
          <cell r="P1550">
            <v>0</v>
          </cell>
          <cell r="Q1550">
            <v>0</v>
          </cell>
        </row>
        <row r="1551">
          <cell r="D1551">
            <v>0</v>
          </cell>
          <cell r="E1551">
            <v>0</v>
          </cell>
          <cell r="F1551">
            <v>0</v>
          </cell>
          <cell r="H1551">
            <v>0</v>
          </cell>
          <cell r="J1551">
            <v>0</v>
          </cell>
          <cell r="P1551">
            <v>0</v>
          </cell>
          <cell r="Q1551">
            <v>0</v>
          </cell>
        </row>
        <row r="1552">
          <cell r="D1552">
            <v>0</v>
          </cell>
          <cell r="E1552">
            <v>0</v>
          </cell>
          <cell r="F1552">
            <v>0</v>
          </cell>
          <cell r="H1552">
            <v>0</v>
          </cell>
          <cell r="J1552">
            <v>0</v>
          </cell>
          <cell r="P1552">
            <v>0</v>
          </cell>
          <cell r="Q1552">
            <v>0</v>
          </cell>
        </row>
        <row r="1553">
          <cell r="D1553">
            <v>0</v>
          </cell>
          <cell r="E1553">
            <v>0</v>
          </cell>
          <cell r="F1553">
            <v>0</v>
          </cell>
          <cell r="H1553">
            <v>0</v>
          </cell>
          <cell r="J1553">
            <v>0</v>
          </cell>
          <cell r="P1553">
            <v>0</v>
          </cell>
          <cell r="Q1553">
            <v>0</v>
          </cell>
        </row>
        <row r="1554">
          <cell r="D1554">
            <v>0</v>
          </cell>
          <cell r="E1554">
            <v>0</v>
          </cell>
          <cell r="F1554">
            <v>0</v>
          </cell>
          <cell r="H1554">
            <v>0</v>
          </cell>
          <cell r="J1554">
            <v>0</v>
          </cell>
          <cell r="P1554">
            <v>0</v>
          </cell>
          <cell r="Q1554">
            <v>0</v>
          </cell>
        </row>
        <row r="1555">
          <cell r="D1555">
            <v>0</v>
          </cell>
          <cell r="E1555">
            <v>0</v>
          </cell>
          <cell r="F1555">
            <v>0</v>
          </cell>
          <cell r="H1555">
            <v>0</v>
          </cell>
          <cell r="J1555">
            <v>0</v>
          </cell>
          <cell r="P1555">
            <v>0</v>
          </cell>
          <cell r="Q1555">
            <v>0</v>
          </cell>
        </row>
        <row r="1556">
          <cell r="D1556">
            <v>0</v>
          </cell>
          <cell r="E1556">
            <v>0</v>
          </cell>
          <cell r="F1556">
            <v>0</v>
          </cell>
          <cell r="H1556">
            <v>0</v>
          </cell>
          <cell r="J1556">
            <v>0</v>
          </cell>
          <cell r="P1556">
            <v>0</v>
          </cell>
          <cell r="Q1556">
            <v>0</v>
          </cell>
        </row>
        <row r="1557">
          <cell r="D1557">
            <v>0</v>
          </cell>
          <cell r="E1557">
            <v>0</v>
          </cell>
          <cell r="F1557">
            <v>0</v>
          </cell>
          <cell r="H1557">
            <v>0</v>
          </cell>
          <cell r="J1557">
            <v>0</v>
          </cell>
          <cell r="P1557">
            <v>0</v>
          </cell>
          <cell r="Q1557">
            <v>0</v>
          </cell>
        </row>
        <row r="1558">
          <cell r="D1558">
            <v>0</v>
          </cell>
          <cell r="E1558">
            <v>0</v>
          </cell>
          <cell r="F1558">
            <v>0</v>
          </cell>
          <cell r="H1558">
            <v>0</v>
          </cell>
          <cell r="J1558">
            <v>0</v>
          </cell>
          <cell r="P1558">
            <v>0</v>
          </cell>
          <cell r="Q1558">
            <v>0</v>
          </cell>
        </row>
        <row r="1559">
          <cell r="D1559">
            <v>0</v>
          </cell>
          <cell r="E1559">
            <v>0</v>
          </cell>
          <cell r="F1559">
            <v>0</v>
          </cell>
          <cell r="H1559">
            <v>0</v>
          </cell>
          <cell r="J1559">
            <v>0</v>
          </cell>
          <cell r="P1559">
            <v>0</v>
          </cell>
          <cell r="Q1559">
            <v>0</v>
          </cell>
        </row>
        <row r="1560">
          <cell r="D1560">
            <v>0</v>
          </cell>
          <cell r="E1560">
            <v>0</v>
          </cell>
          <cell r="F1560">
            <v>0</v>
          </cell>
          <cell r="H1560">
            <v>0</v>
          </cell>
          <cell r="J1560">
            <v>0</v>
          </cell>
          <cell r="P1560">
            <v>0</v>
          </cell>
          <cell r="Q1560">
            <v>0</v>
          </cell>
        </row>
        <row r="1561">
          <cell r="D1561">
            <v>0</v>
          </cell>
          <cell r="E1561">
            <v>0</v>
          </cell>
          <cell r="F1561">
            <v>0</v>
          </cell>
          <cell r="H1561">
            <v>0</v>
          </cell>
          <cell r="J1561">
            <v>0</v>
          </cell>
          <cell r="P1561">
            <v>0</v>
          </cell>
          <cell r="Q1561">
            <v>0</v>
          </cell>
        </row>
        <row r="1562">
          <cell r="D1562">
            <v>0</v>
          </cell>
          <cell r="E1562">
            <v>0</v>
          </cell>
          <cell r="F1562">
            <v>0</v>
          </cell>
          <cell r="H1562">
            <v>0</v>
          </cell>
          <cell r="J1562">
            <v>0</v>
          </cell>
          <cell r="P1562">
            <v>0</v>
          </cell>
          <cell r="Q1562">
            <v>0</v>
          </cell>
        </row>
        <row r="1563">
          <cell r="D1563">
            <v>0</v>
          </cell>
          <cell r="E1563">
            <v>0</v>
          </cell>
          <cell r="F1563">
            <v>0</v>
          </cell>
          <cell r="H1563">
            <v>0</v>
          </cell>
          <cell r="J1563">
            <v>0</v>
          </cell>
          <cell r="P1563">
            <v>0</v>
          </cell>
          <cell r="Q1563">
            <v>0</v>
          </cell>
        </row>
        <row r="1564">
          <cell r="D1564">
            <v>0</v>
          </cell>
          <cell r="E1564">
            <v>0</v>
          </cell>
          <cell r="F1564">
            <v>0</v>
          </cell>
          <cell r="H1564">
            <v>0</v>
          </cell>
          <cell r="J1564">
            <v>0</v>
          </cell>
          <cell r="P1564">
            <v>0</v>
          </cell>
          <cell r="Q1564">
            <v>0</v>
          </cell>
        </row>
        <row r="1565">
          <cell r="D1565">
            <v>0</v>
          </cell>
          <cell r="E1565">
            <v>0</v>
          </cell>
          <cell r="F1565">
            <v>0</v>
          </cell>
          <cell r="H1565">
            <v>0</v>
          </cell>
          <cell r="J1565">
            <v>0</v>
          </cell>
          <cell r="P1565">
            <v>0</v>
          </cell>
          <cell r="Q1565">
            <v>0</v>
          </cell>
        </row>
        <row r="1566">
          <cell r="D1566">
            <v>0</v>
          </cell>
          <cell r="E1566">
            <v>0</v>
          </cell>
          <cell r="F1566">
            <v>0</v>
          </cell>
          <cell r="H1566">
            <v>0</v>
          </cell>
          <cell r="J1566">
            <v>0</v>
          </cell>
          <cell r="P1566">
            <v>0</v>
          </cell>
          <cell r="Q1566">
            <v>0</v>
          </cell>
        </row>
        <row r="1567">
          <cell r="D1567">
            <v>0</v>
          </cell>
          <cell r="E1567">
            <v>0</v>
          </cell>
          <cell r="F1567">
            <v>0</v>
          </cell>
          <cell r="H1567">
            <v>0</v>
          </cell>
          <cell r="J1567">
            <v>0</v>
          </cell>
          <cell r="P1567">
            <v>0</v>
          </cell>
          <cell r="Q1567">
            <v>0</v>
          </cell>
        </row>
        <row r="1568">
          <cell r="D1568">
            <v>0</v>
          </cell>
          <cell r="E1568">
            <v>0</v>
          </cell>
          <cell r="F1568">
            <v>0</v>
          </cell>
          <cell r="H1568">
            <v>0</v>
          </cell>
          <cell r="J1568">
            <v>0</v>
          </cell>
          <cell r="P1568">
            <v>0</v>
          </cell>
          <cell r="Q1568">
            <v>0</v>
          </cell>
        </row>
        <row r="1569">
          <cell r="D1569">
            <v>0</v>
          </cell>
          <cell r="E1569">
            <v>0</v>
          </cell>
          <cell r="F1569">
            <v>0</v>
          </cell>
          <cell r="H1569">
            <v>0</v>
          </cell>
          <cell r="J1569">
            <v>0</v>
          </cell>
          <cell r="P1569">
            <v>0</v>
          </cell>
          <cell r="Q1569">
            <v>0</v>
          </cell>
        </row>
        <row r="1570">
          <cell r="D1570">
            <v>0</v>
          </cell>
          <cell r="E1570">
            <v>0</v>
          </cell>
          <cell r="F1570">
            <v>0</v>
          </cell>
          <cell r="H1570">
            <v>0</v>
          </cell>
          <cell r="J1570">
            <v>0</v>
          </cell>
          <cell r="P1570">
            <v>0</v>
          </cell>
          <cell r="Q1570">
            <v>0</v>
          </cell>
        </row>
        <row r="1571">
          <cell r="D1571">
            <v>0</v>
          </cell>
          <cell r="E1571">
            <v>0</v>
          </cell>
          <cell r="F1571">
            <v>0</v>
          </cell>
          <cell r="H1571">
            <v>0</v>
          </cell>
          <cell r="J1571">
            <v>0</v>
          </cell>
          <cell r="P1571">
            <v>0</v>
          </cell>
          <cell r="Q1571">
            <v>0</v>
          </cell>
        </row>
        <row r="1572">
          <cell r="D1572">
            <v>0</v>
          </cell>
          <cell r="E1572">
            <v>0</v>
          </cell>
          <cell r="F1572">
            <v>0</v>
          </cell>
          <cell r="H1572">
            <v>0</v>
          </cell>
          <cell r="J1572">
            <v>0</v>
          </cell>
          <cell r="P1572">
            <v>0</v>
          </cell>
          <cell r="Q1572">
            <v>0</v>
          </cell>
        </row>
        <row r="1573">
          <cell r="D1573">
            <v>0</v>
          </cell>
          <cell r="E1573">
            <v>0</v>
          </cell>
          <cell r="F1573">
            <v>0</v>
          </cell>
          <cell r="H1573">
            <v>0</v>
          </cell>
          <cell r="J1573">
            <v>0</v>
          </cell>
          <cell r="P1573">
            <v>0</v>
          </cell>
          <cell r="Q1573">
            <v>0</v>
          </cell>
        </row>
        <row r="1574">
          <cell r="D1574">
            <v>0</v>
          </cell>
          <cell r="E1574">
            <v>0</v>
          </cell>
          <cell r="F1574">
            <v>0</v>
          </cell>
          <cell r="H1574">
            <v>0</v>
          </cell>
          <cell r="J1574">
            <v>0</v>
          </cell>
          <cell r="P1574">
            <v>0</v>
          </cell>
          <cell r="Q1574">
            <v>0</v>
          </cell>
        </row>
        <row r="1575">
          <cell r="D1575">
            <v>0</v>
          </cell>
          <cell r="E1575">
            <v>0</v>
          </cell>
          <cell r="F1575">
            <v>0</v>
          </cell>
          <cell r="H1575">
            <v>0</v>
          </cell>
          <cell r="J1575">
            <v>0</v>
          </cell>
          <cell r="P1575">
            <v>0</v>
          </cell>
          <cell r="Q1575">
            <v>0</v>
          </cell>
        </row>
        <row r="1576">
          <cell r="D1576">
            <v>0</v>
          </cell>
          <cell r="E1576">
            <v>0</v>
          </cell>
          <cell r="F1576">
            <v>0</v>
          </cell>
          <cell r="H1576">
            <v>0</v>
          </cell>
          <cell r="J1576">
            <v>0</v>
          </cell>
          <cell r="P1576">
            <v>0</v>
          </cell>
          <cell r="Q1576">
            <v>0</v>
          </cell>
        </row>
        <row r="1577">
          <cell r="D1577">
            <v>0</v>
          </cell>
          <cell r="E1577">
            <v>0</v>
          </cell>
          <cell r="F1577">
            <v>0</v>
          </cell>
          <cell r="H1577">
            <v>0</v>
          </cell>
          <cell r="J1577">
            <v>0</v>
          </cell>
          <cell r="P1577">
            <v>0</v>
          </cell>
          <cell r="Q1577">
            <v>0</v>
          </cell>
        </row>
        <row r="1578">
          <cell r="D1578">
            <v>0</v>
          </cell>
          <cell r="E1578">
            <v>0</v>
          </cell>
          <cell r="F1578">
            <v>0</v>
          </cell>
          <cell r="H1578">
            <v>0</v>
          </cell>
          <cell r="J1578">
            <v>0</v>
          </cell>
          <cell r="P1578">
            <v>0</v>
          </cell>
          <cell r="Q1578">
            <v>0</v>
          </cell>
        </row>
        <row r="1579">
          <cell r="D1579">
            <v>0</v>
          </cell>
          <cell r="E1579">
            <v>0</v>
          </cell>
          <cell r="F1579">
            <v>0</v>
          </cell>
          <cell r="H1579">
            <v>0</v>
          </cell>
          <cell r="J1579">
            <v>0</v>
          </cell>
          <cell r="P1579">
            <v>0</v>
          </cell>
          <cell r="Q1579">
            <v>0</v>
          </cell>
        </row>
        <row r="1580">
          <cell r="D1580">
            <v>0</v>
          </cell>
          <cell r="E1580">
            <v>0</v>
          </cell>
          <cell r="F1580">
            <v>0</v>
          </cell>
          <cell r="H1580">
            <v>0</v>
          </cell>
          <cell r="J1580">
            <v>0</v>
          </cell>
          <cell r="P1580">
            <v>0</v>
          </cell>
          <cell r="Q1580">
            <v>0</v>
          </cell>
        </row>
        <row r="1581">
          <cell r="D1581">
            <v>0</v>
          </cell>
          <cell r="E1581">
            <v>0</v>
          </cell>
          <cell r="F1581">
            <v>0</v>
          </cell>
          <cell r="H1581">
            <v>0</v>
          </cell>
          <cell r="J1581">
            <v>0</v>
          </cell>
          <cell r="P1581">
            <v>0</v>
          </cell>
          <cell r="Q1581">
            <v>0</v>
          </cell>
        </row>
        <row r="1582">
          <cell r="D1582">
            <v>0</v>
          </cell>
          <cell r="E1582">
            <v>0</v>
          </cell>
          <cell r="F1582">
            <v>0</v>
          </cell>
          <cell r="H1582">
            <v>0</v>
          </cell>
          <cell r="J1582">
            <v>0</v>
          </cell>
          <cell r="P1582">
            <v>0</v>
          </cell>
          <cell r="Q1582">
            <v>0</v>
          </cell>
        </row>
        <row r="1583">
          <cell r="D1583">
            <v>0</v>
          </cell>
          <cell r="E1583">
            <v>0</v>
          </cell>
          <cell r="F1583">
            <v>0</v>
          </cell>
          <cell r="H1583">
            <v>0</v>
          </cell>
          <cell r="J1583">
            <v>0</v>
          </cell>
          <cell r="P1583">
            <v>0</v>
          </cell>
          <cell r="Q1583">
            <v>0</v>
          </cell>
        </row>
        <row r="1584">
          <cell r="D1584">
            <v>0</v>
          </cell>
          <cell r="E1584">
            <v>0</v>
          </cell>
          <cell r="F1584">
            <v>0</v>
          </cell>
          <cell r="H1584">
            <v>0</v>
          </cell>
          <cell r="J1584">
            <v>0</v>
          </cell>
          <cell r="P1584">
            <v>0</v>
          </cell>
          <cell r="Q1584">
            <v>0</v>
          </cell>
        </row>
        <row r="1585">
          <cell r="D1585">
            <v>0</v>
          </cell>
          <cell r="E1585">
            <v>0</v>
          </cell>
          <cell r="F1585">
            <v>0</v>
          </cell>
          <cell r="H1585">
            <v>0</v>
          </cell>
          <cell r="J1585">
            <v>0</v>
          </cell>
          <cell r="P1585">
            <v>0</v>
          </cell>
          <cell r="Q1585">
            <v>0</v>
          </cell>
        </row>
        <row r="1586">
          <cell r="D1586">
            <v>0</v>
          </cell>
          <cell r="E1586">
            <v>0</v>
          </cell>
          <cell r="F1586">
            <v>0</v>
          </cell>
          <cell r="H1586">
            <v>0</v>
          </cell>
          <cell r="J1586">
            <v>0</v>
          </cell>
          <cell r="P1586">
            <v>0</v>
          </cell>
          <cell r="Q1586">
            <v>0</v>
          </cell>
        </row>
        <row r="1587">
          <cell r="D1587">
            <v>0</v>
          </cell>
          <cell r="E1587">
            <v>0</v>
          </cell>
          <cell r="F1587">
            <v>0</v>
          </cell>
          <cell r="H1587">
            <v>0</v>
          </cell>
          <cell r="J1587">
            <v>0</v>
          </cell>
          <cell r="P1587">
            <v>0</v>
          </cell>
          <cell r="Q1587">
            <v>0</v>
          </cell>
        </row>
        <row r="1588">
          <cell r="D1588">
            <v>0</v>
          </cell>
          <cell r="E1588">
            <v>0</v>
          </cell>
          <cell r="F1588">
            <v>0</v>
          </cell>
          <cell r="H1588">
            <v>0</v>
          </cell>
          <cell r="J1588">
            <v>0</v>
          </cell>
          <cell r="P1588">
            <v>0</v>
          </cell>
          <cell r="Q1588">
            <v>0</v>
          </cell>
        </row>
        <row r="1589">
          <cell r="D1589">
            <v>0</v>
          </cell>
          <cell r="E1589">
            <v>0</v>
          </cell>
          <cell r="F1589">
            <v>0</v>
          </cell>
          <cell r="H1589">
            <v>0</v>
          </cell>
          <cell r="J1589">
            <v>0</v>
          </cell>
          <cell r="P1589">
            <v>0</v>
          </cell>
          <cell r="Q1589">
            <v>0</v>
          </cell>
        </row>
        <row r="1590">
          <cell r="D1590">
            <v>0</v>
          </cell>
          <cell r="E1590">
            <v>0</v>
          </cell>
          <cell r="F1590">
            <v>0</v>
          </cell>
          <cell r="H1590">
            <v>0</v>
          </cell>
          <cell r="J1590">
            <v>0</v>
          </cell>
          <cell r="P1590">
            <v>0</v>
          </cell>
          <cell r="Q1590">
            <v>0</v>
          </cell>
        </row>
        <row r="1591">
          <cell r="D1591">
            <v>0</v>
          </cell>
          <cell r="E1591">
            <v>0</v>
          </cell>
          <cell r="F1591">
            <v>0</v>
          </cell>
          <cell r="H1591">
            <v>0</v>
          </cell>
          <cell r="J1591">
            <v>0</v>
          </cell>
          <cell r="P1591">
            <v>0</v>
          </cell>
          <cell r="Q1591">
            <v>0</v>
          </cell>
        </row>
        <row r="1592">
          <cell r="D1592">
            <v>0</v>
          </cell>
          <cell r="E1592">
            <v>0</v>
          </cell>
          <cell r="F1592">
            <v>0</v>
          </cell>
          <cell r="H1592">
            <v>0</v>
          </cell>
          <cell r="J1592">
            <v>0</v>
          </cell>
          <cell r="P1592">
            <v>0</v>
          </cell>
          <cell r="Q1592">
            <v>0</v>
          </cell>
        </row>
        <row r="1593">
          <cell r="D1593">
            <v>0</v>
          </cell>
          <cell r="E1593">
            <v>0</v>
          </cell>
          <cell r="F1593">
            <v>0</v>
          </cell>
          <cell r="H1593">
            <v>0</v>
          </cell>
          <cell r="J1593">
            <v>0</v>
          </cell>
          <cell r="P1593">
            <v>0</v>
          </cell>
          <cell r="Q1593">
            <v>0</v>
          </cell>
        </row>
        <row r="1594">
          <cell r="D1594">
            <v>0</v>
          </cell>
          <cell r="E1594">
            <v>0</v>
          </cell>
          <cell r="F1594">
            <v>0</v>
          </cell>
          <cell r="H1594">
            <v>0</v>
          </cell>
          <cell r="J1594">
            <v>0</v>
          </cell>
          <cell r="P1594">
            <v>0</v>
          </cell>
          <cell r="Q1594">
            <v>0</v>
          </cell>
        </row>
        <row r="1595">
          <cell r="D1595">
            <v>0</v>
          </cell>
          <cell r="E1595">
            <v>0</v>
          </cell>
          <cell r="F1595">
            <v>0</v>
          </cell>
          <cell r="H1595">
            <v>0</v>
          </cell>
          <cell r="J1595">
            <v>0</v>
          </cell>
          <cell r="P1595">
            <v>0</v>
          </cell>
          <cell r="Q1595">
            <v>0</v>
          </cell>
        </row>
        <row r="1596">
          <cell r="D1596">
            <v>0</v>
          </cell>
          <cell r="E1596">
            <v>0</v>
          </cell>
          <cell r="F1596">
            <v>0</v>
          </cell>
          <cell r="H1596">
            <v>0</v>
          </cell>
          <cell r="J1596">
            <v>0</v>
          </cell>
          <cell r="P1596">
            <v>0</v>
          </cell>
          <cell r="Q1596">
            <v>0</v>
          </cell>
        </row>
        <row r="1597">
          <cell r="D1597">
            <v>0</v>
          </cell>
          <cell r="E1597">
            <v>0</v>
          </cell>
          <cell r="F1597">
            <v>0</v>
          </cell>
          <cell r="H1597">
            <v>0</v>
          </cell>
          <cell r="J1597">
            <v>0</v>
          </cell>
          <cell r="P1597">
            <v>0</v>
          </cell>
          <cell r="Q1597">
            <v>0</v>
          </cell>
        </row>
        <row r="1598">
          <cell r="D1598">
            <v>0</v>
          </cell>
          <cell r="E1598">
            <v>0</v>
          </cell>
          <cell r="F1598">
            <v>0</v>
          </cell>
          <cell r="H1598">
            <v>0</v>
          </cell>
          <cell r="J1598">
            <v>0</v>
          </cell>
          <cell r="P1598">
            <v>0</v>
          </cell>
          <cell r="Q1598">
            <v>0</v>
          </cell>
        </row>
        <row r="1599">
          <cell r="D1599">
            <v>0</v>
          </cell>
          <cell r="E1599">
            <v>0</v>
          </cell>
          <cell r="F1599">
            <v>0</v>
          </cell>
          <cell r="H1599">
            <v>0</v>
          </cell>
          <cell r="J1599">
            <v>0</v>
          </cell>
          <cell r="P1599">
            <v>0</v>
          </cell>
          <cell r="Q1599">
            <v>0</v>
          </cell>
        </row>
        <row r="1600">
          <cell r="D1600">
            <v>0</v>
          </cell>
          <cell r="E1600">
            <v>0</v>
          </cell>
          <cell r="F1600">
            <v>0</v>
          </cell>
          <cell r="H1600">
            <v>0</v>
          </cell>
          <cell r="J1600">
            <v>0</v>
          </cell>
          <cell r="P1600">
            <v>0</v>
          </cell>
          <cell r="Q1600">
            <v>0</v>
          </cell>
        </row>
        <row r="1601">
          <cell r="D1601">
            <v>0</v>
          </cell>
          <cell r="E1601">
            <v>0</v>
          </cell>
          <cell r="F1601">
            <v>0</v>
          </cell>
          <cell r="H1601">
            <v>0</v>
          </cell>
          <cell r="J1601">
            <v>0</v>
          </cell>
          <cell r="P1601">
            <v>0</v>
          </cell>
          <cell r="Q1601">
            <v>0</v>
          </cell>
        </row>
        <row r="1602">
          <cell r="D1602">
            <v>0</v>
          </cell>
          <cell r="E1602">
            <v>0</v>
          </cell>
          <cell r="F1602">
            <v>0</v>
          </cell>
          <cell r="H1602">
            <v>0</v>
          </cell>
          <cell r="J1602">
            <v>0</v>
          </cell>
          <cell r="P1602">
            <v>0</v>
          </cell>
          <cell r="Q1602">
            <v>0</v>
          </cell>
        </row>
        <row r="1603">
          <cell r="D1603">
            <v>0</v>
          </cell>
          <cell r="E1603">
            <v>0</v>
          </cell>
          <cell r="F1603">
            <v>0</v>
          </cell>
          <cell r="H1603">
            <v>0</v>
          </cell>
          <cell r="J1603">
            <v>0</v>
          </cell>
          <cell r="P1603">
            <v>0</v>
          </cell>
          <cell r="Q1603">
            <v>0</v>
          </cell>
        </row>
        <row r="1604">
          <cell r="D1604">
            <v>0</v>
          </cell>
          <cell r="E1604">
            <v>0</v>
          </cell>
          <cell r="F1604">
            <v>0</v>
          </cell>
          <cell r="H1604">
            <v>0</v>
          </cell>
          <cell r="J1604">
            <v>0</v>
          </cell>
          <cell r="P1604">
            <v>0</v>
          </cell>
          <cell r="Q1604">
            <v>0</v>
          </cell>
        </row>
        <row r="1605">
          <cell r="D1605">
            <v>0</v>
          </cell>
          <cell r="E1605">
            <v>0</v>
          </cell>
          <cell r="F1605">
            <v>0</v>
          </cell>
          <cell r="H1605">
            <v>0</v>
          </cell>
          <cell r="J1605">
            <v>0</v>
          </cell>
          <cell r="P1605">
            <v>0</v>
          </cell>
          <cell r="Q1605">
            <v>0</v>
          </cell>
        </row>
        <row r="1606">
          <cell r="D1606">
            <v>0</v>
          </cell>
          <cell r="E1606">
            <v>0</v>
          </cell>
          <cell r="F1606">
            <v>0</v>
          </cell>
          <cell r="H1606">
            <v>0</v>
          </cell>
          <cell r="J1606">
            <v>0</v>
          </cell>
          <cell r="P1606">
            <v>0</v>
          </cell>
          <cell r="Q1606">
            <v>0</v>
          </cell>
        </row>
        <row r="1607">
          <cell r="D1607">
            <v>0</v>
          </cell>
          <cell r="E1607">
            <v>0</v>
          </cell>
          <cell r="F1607">
            <v>0</v>
          </cell>
          <cell r="H1607">
            <v>0</v>
          </cell>
          <cell r="J1607">
            <v>0</v>
          </cell>
          <cell r="P1607">
            <v>0</v>
          </cell>
          <cell r="Q1607">
            <v>0</v>
          </cell>
        </row>
        <row r="1608">
          <cell r="D1608">
            <v>0</v>
          </cell>
          <cell r="E1608">
            <v>0</v>
          </cell>
          <cell r="F1608">
            <v>0</v>
          </cell>
          <cell r="H1608">
            <v>0</v>
          </cell>
          <cell r="J1608">
            <v>0</v>
          </cell>
          <cell r="P1608">
            <v>0</v>
          </cell>
          <cell r="Q1608">
            <v>0</v>
          </cell>
        </row>
        <row r="1609">
          <cell r="D1609">
            <v>0</v>
          </cell>
          <cell r="E1609">
            <v>0</v>
          </cell>
          <cell r="F1609">
            <v>0</v>
          </cell>
          <cell r="H1609">
            <v>0</v>
          </cell>
          <cell r="J1609">
            <v>0</v>
          </cell>
          <cell r="P1609">
            <v>0</v>
          </cell>
          <cell r="Q1609">
            <v>0</v>
          </cell>
        </row>
        <row r="1610">
          <cell r="D1610">
            <v>0</v>
          </cell>
          <cell r="E1610">
            <v>0</v>
          </cell>
          <cell r="F1610">
            <v>0</v>
          </cell>
          <cell r="H1610">
            <v>0</v>
          </cell>
          <cell r="J1610">
            <v>0</v>
          </cell>
          <cell r="P1610">
            <v>0</v>
          </cell>
          <cell r="Q1610">
            <v>0</v>
          </cell>
        </row>
        <row r="1611">
          <cell r="D1611">
            <v>0</v>
          </cell>
          <cell r="E1611">
            <v>0</v>
          </cell>
          <cell r="F1611">
            <v>0</v>
          </cell>
          <cell r="H1611">
            <v>0</v>
          </cell>
          <cell r="J1611">
            <v>0</v>
          </cell>
          <cell r="P1611">
            <v>0</v>
          </cell>
          <cell r="Q1611">
            <v>0</v>
          </cell>
        </row>
        <row r="1612">
          <cell r="D1612">
            <v>0</v>
          </cell>
          <cell r="E1612">
            <v>0</v>
          </cell>
          <cell r="F1612">
            <v>0</v>
          </cell>
          <cell r="H1612">
            <v>0</v>
          </cell>
          <cell r="J1612">
            <v>0</v>
          </cell>
          <cell r="P1612">
            <v>0</v>
          </cell>
          <cell r="Q1612">
            <v>0</v>
          </cell>
        </row>
        <row r="1613">
          <cell r="D1613">
            <v>0</v>
          </cell>
          <cell r="E1613">
            <v>0</v>
          </cell>
          <cell r="F1613">
            <v>0</v>
          </cell>
          <cell r="H1613">
            <v>0</v>
          </cell>
          <cell r="J1613">
            <v>0</v>
          </cell>
          <cell r="P1613">
            <v>0</v>
          </cell>
          <cell r="Q1613">
            <v>0</v>
          </cell>
        </row>
        <row r="1614">
          <cell r="D1614">
            <v>0</v>
          </cell>
          <cell r="E1614">
            <v>0</v>
          </cell>
          <cell r="F1614">
            <v>0</v>
          </cell>
          <cell r="H1614">
            <v>0</v>
          </cell>
          <cell r="J1614">
            <v>0</v>
          </cell>
          <cell r="P1614">
            <v>0</v>
          </cell>
          <cell r="Q1614">
            <v>0</v>
          </cell>
        </row>
        <row r="1615">
          <cell r="D1615">
            <v>0</v>
          </cell>
          <cell r="E1615">
            <v>0</v>
          </cell>
          <cell r="F1615">
            <v>0</v>
          </cell>
          <cell r="H1615">
            <v>0</v>
          </cell>
          <cell r="J1615">
            <v>0</v>
          </cell>
          <cell r="P1615">
            <v>0</v>
          </cell>
          <cell r="Q1615">
            <v>0</v>
          </cell>
        </row>
        <row r="1616">
          <cell r="D1616">
            <v>0</v>
          </cell>
          <cell r="E1616">
            <v>0</v>
          </cell>
          <cell r="F1616">
            <v>0</v>
          </cell>
          <cell r="H1616">
            <v>0</v>
          </cell>
          <cell r="J1616">
            <v>0</v>
          </cell>
          <cell r="P1616">
            <v>0</v>
          </cell>
          <cell r="Q1616">
            <v>0</v>
          </cell>
        </row>
        <row r="1617">
          <cell r="D1617">
            <v>0</v>
          </cell>
          <cell r="E1617">
            <v>0</v>
          </cell>
          <cell r="F1617">
            <v>0</v>
          </cell>
          <cell r="H1617">
            <v>0</v>
          </cell>
          <cell r="J1617">
            <v>0</v>
          </cell>
          <cell r="P1617">
            <v>0</v>
          </cell>
          <cell r="Q1617">
            <v>0</v>
          </cell>
        </row>
        <row r="1618">
          <cell r="D1618">
            <v>0</v>
          </cell>
          <cell r="E1618">
            <v>0</v>
          </cell>
          <cell r="F1618">
            <v>0</v>
          </cell>
          <cell r="H1618">
            <v>0</v>
          </cell>
          <cell r="J1618">
            <v>0</v>
          </cell>
          <cell r="P1618">
            <v>0</v>
          </cell>
          <cell r="Q1618">
            <v>0</v>
          </cell>
        </row>
        <row r="1619">
          <cell r="D1619">
            <v>0</v>
          </cell>
          <cell r="E1619">
            <v>0</v>
          </cell>
          <cell r="F1619">
            <v>0</v>
          </cell>
          <cell r="H1619">
            <v>0</v>
          </cell>
          <cell r="J1619">
            <v>0</v>
          </cell>
          <cell r="P1619">
            <v>0</v>
          </cell>
          <cell r="Q1619">
            <v>0</v>
          </cell>
        </row>
        <row r="1620">
          <cell r="D1620">
            <v>0</v>
          </cell>
          <cell r="E1620">
            <v>0</v>
          </cell>
          <cell r="F1620">
            <v>0</v>
          </cell>
          <cell r="H1620">
            <v>0</v>
          </cell>
          <cell r="J1620">
            <v>0</v>
          </cell>
          <cell r="P1620">
            <v>0</v>
          </cell>
          <cell r="Q1620">
            <v>0</v>
          </cell>
        </row>
        <row r="1621">
          <cell r="D1621">
            <v>0</v>
          </cell>
          <cell r="E1621">
            <v>0</v>
          </cell>
          <cell r="F1621">
            <v>0</v>
          </cell>
          <cell r="H1621">
            <v>0</v>
          </cell>
          <cell r="J1621">
            <v>0</v>
          </cell>
          <cell r="P1621">
            <v>0</v>
          </cell>
          <cell r="Q1621">
            <v>0</v>
          </cell>
        </row>
        <row r="1622">
          <cell r="D1622">
            <v>0</v>
          </cell>
          <cell r="E1622">
            <v>0</v>
          </cell>
          <cell r="F1622">
            <v>0</v>
          </cell>
          <cell r="H1622">
            <v>0</v>
          </cell>
          <cell r="J1622">
            <v>0</v>
          </cell>
          <cell r="P1622">
            <v>0</v>
          </cell>
          <cell r="Q1622">
            <v>0</v>
          </cell>
        </row>
        <row r="1623">
          <cell r="D1623">
            <v>0</v>
          </cell>
          <cell r="E1623">
            <v>0</v>
          </cell>
          <cell r="F1623">
            <v>0</v>
          </cell>
          <cell r="H1623">
            <v>0</v>
          </cell>
          <cell r="J1623">
            <v>0</v>
          </cell>
          <cell r="P1623">
            <v>0</v>
          </cell>
          <cell r="Q1623">
            <v>0</v>
          </cell>
        </row>
        <row r="1624">
          <cell r="D1624">
            <v>0</v>
          </cell>
          <cell r="E1624">
            <v>0</v>
          </cell>
          <cell r="F1624">
            <v>0</v>
          </cell>
          <cell r="H1624">
            <v>0</v>
          </cell>
          <cell r="J1624">
            <v>0</v>
          </cell>
          <cell r="P1624">
            <v>0</v>
          </cell>
          <cell r="Q1624">
            <v>0</v>
          </cell>
        </row>
        <row r="1625">
          <cell r="D1625">
            <v>0</v>
          </cell>
          <cell r="E1625">
            <v>0</v>
          </cell>
          <cell r="F1625">
            <v>0</v>
          </cell>
          <cell r="H1625">
            <v>0</v>
          </cell>
          <cell r="J1625">
            <v>0</v>
          </cell>
          <cell r="P1625">
            <v>0</v>
          </cell>
          <cell r="Q1625">
            <v>0</v>
          </cell>
        </row>
        <row r="1626">
          <cell r="D1626">
            <v>0</v>
          </cell>
          <cell r="E1626">
            <v>0</v>
          </cell>
          <cell r="F1626">
            <v>0</v>
          </cell>
          <cell r="H1626">
            <v>0</v>
          </cell>
          <cell r="J1626">
            <v>0</v>
          </cell>
          <cell r="P1626">
            <v>0</v>
          </cell>
          <cell r="Q1626">
            <v>0</v>
          </cell>
        </row>
        <row r="1627">
          <cell r="D1627">
            <v>0</v>
          </cell>
          <cell r="E1627">
            <v>0</v>
          </cell>
          <cell r="F1627">
            <v>0</v>
          </cell>
          <cell r="H1627">
            <v>0</v>
          </cell>
          <cell r="J1627">
            <v>0</v>
          </cell>
          <cell r="P1627">
            <v>0</v>
          </cell>
          <cell r="Q1627">
            <v>0</v>
          </cell>
        </row>
        <row r="1628">
          <cell r="D1628">
            <v>0</v>
          </cell>
          <cell r="E1628">
            <v>0</v>
          </cell>
          <cell r="F1628">
            <v>0</v>
          </cell>
          <cell r="H1628">
            <v>0</v>
          </cell>
          <cell r="J1628">
            <v>0</v>
          </cell>
          <cell r="P1628">
            <v>0</v>
          </cell>
          <cell r="Q1628">
            <v>0</v>
          </cell>
        </row>
        <row r="1629">
          <cell r="D1629">
            <v>0</v>
          </cell>
          <cell r="E1629">
            <v>0</v>
          </cell>
          <cell r="F1629">
            <v>0</v>
          </cell>
          <cell r="H1629">
            <v>0</v>
          </cell>
          <cell r="J1629">
            <v>0</v>
          </cell>
          <cell r="P1629">
            <v>0</v>
          </cell>
          <cell r="Q1629">
            <v>0</v>
          </cell>
        </row>
        <row r="1630">
          <cell r="D1630">
            <v>0</v>
          </cell>
          <cell r="E1630">
            <v>0</v>
          </cell>
          <cell r="F1630">
            <v>0</v>
          </cell>
          <cell r="H1630">
            <v>0</v>
          </cell>
          <cell r="J1630">
            <v>0</v>
          </cell>
          <cell r="P1630">
            <v>0</v>
          </cell>
          <cell r="Q1630">
            <v>0</v>
          </cell>
        </row>
        <row r="1631">
          <cell r="D1631">
            <v>0</v>
          </cell>
          <cell r="E1631">
            <v>0</v>
          </cell>
          <cell r="F1631">
            <v>0</v>
          </cell>
          <cell r="H1631">
            <v>0</v>
          </cell>
          <cell r="J1631">
            <v>0</v>
          </cell>
          <cell r="P1631">
            <v>0</v>
          </cell>
          <cell r="Q1631">
            <v>0</v>
          </cell>
        </row>
        <row r="1632">
          <cell r="D1632">
            <v>0</v>
          </cell>
          <cell r="E1632">
            <v>0</v>
          </cell>
          <cell r="F1632">
            <v>0</v>
          </cell>
          <cell r="H1632">
            <v>0</v>
          </cell>
          <cell r="J1632">
            <v>0</v>
          </cell>
          <cell r="P1632">
            <v>0</v>
          </cell>
          <cell r="Q1632">
            <v>0</v>
          </cell>
        </row>
        <row r="1633">
          <cell r="D1633">
            <v>0</v>
          </cell>
          <cell r="E1633">
            <v>0</v>
          </cell>
          <cell r="F1633">
            <v>0</v>
          </cell>
          <cell r="H1633">
            <v>0</v>
          </cell>
          <cell r="J1633">
            <v>0</v>
          </cell>
          <cell r="P1633">
            <v>0</v>
          </cell>
          <cell r="Q1633">
            <v>0</v>
          </cell>
        </row>
        <row r="1634">
          <cell r="D1634">
            <v>0</v>
          </cell>
          <cell r="E1634">
            <v>0</v>
          </cell>
          <cell r="F1634">
            <v>0</v>
          </cell>
          <cell r="H1634">
            <v>0</v>
          </cell>
          <cell r="J1634">
            <v>0</v>
          </cell>
          <cell r="P1634">
            <v>0</v>
          </cell>
          <cell r="Q1634">
            <v>0</v>
          </cell>
        </row>
        <row r="1635">
          <cell r="D1635">
            <v>0</v>
          </cell>
          <cell r="E1635">
            <v>0</v>
          </cell>
          <cell r="F1635">
            <v>0</v>
          </cell>
          <cell r="H1635">
            <v>0</v>
          </cell>
          <cell r="J1635">
            <v>0</v>
          </cell>
          <cell r="P1635">
            <v>0</v>
          </cell>
          <cell r="Q1635">
            <v>0</v>
          </cell>
        </row>
        <row r="1636">
          <cell r="D1636">
            <v>0</v>
          </cell>
          <cell r="E1636">
            <v>0</v>
          </cell>
          <cell r="F1636">
            <v>0</v>
          </cell>
          <cell r="H1636">
            <v>0</v>
          </cell>
          <cell r="J1636">
            <v>0</v>
          </cell>
          <cell r="P1636">
            <v>0</v>
          </cell>
          <cell r="Q1636">
            <v>0</v>
          </cell>
        </row>
        <row r="1637">
          <cell r="D1637">
            <v>0</v>
          </cell>
          <cell r="E1637">
            <v>0</v>
          </cell>
          <cell r="F1637">
            <v>0</v>
          </cell>
          <cell r="H1637">
            <v>0</v>
          </cell>
          <cell r="J1637">
            <v>0</v>
          </cell>
          <cell r="P1637">
            <v>0</v>
          </cell>
          <cell r="Q1637">
            <v>0</v>
          </cell>
        </row>
        <row r="1638">
          <cell r="D1638">
            <v>0</v>
          </cell>
          <cell r="E1638">
            <v>0</v>
          </cell>
          <cell r="F1638">
            <v>0</v>
          </cell>
          <cell r="H1638">
            <v>0</v>
          </cell>
          <cell r="J1638">
            <v>0</v>
          </cell>
          <cell r="P1638">
            <v>0</v>
          </cell>
          <cell r="Q1638">
            <v>0</v>
          </cell>
        </row>
        <row r="1639">
          <cell r="D1639">
            <v>0</v>
          </cell>
          <cell r="E1639">
            <v>0</v>
          </cell>
          <cell r="F1639">
            <v>0</v>
          </cell>
          <cell r="H1639">
            <v>0</v>
          </cell>
          <cell r="J1639">
            <v>0</v>
          </cell>
          <cell r="P1639">
            <v>0</v>
          </cell>
          <cell r="Q1639">
            <v>0</v>
          </cell>
        </row>
        <row r="1640">
          <cell r="D1640">
            <v>0</v>
          </cell>
          <cell r="E1640">
            <v>0</v>
          </cell>
          <cell r="F1640">
            <v>0</v>
          </cell>
          <cell r="H1640">
            <v>0</v>
          </cell>
          <cell r="J1640">
            <v>0</v>
          </cell>
          <cell r="P1640">
            <v>0</v>
          </cell>
          <cell r="Q1640">
            <v>0</v>
          </cell>
        </row>
        <row r="1641">
          <cell r="D1641">
            <v>0</v>
          </cell>
          <cell r="E1641">
            <v>0</v>
          </cell>
          <cell r="F1641">
            <v>0</v>
          </cell>
          <cell r="H1641">
            <v>0</v>
          </cell>
          <cell r="J1641">
            <v>0</v>
          </cell>
          <cell r="P1641">
            <v>0</v>
          </cell>
          <cell r="Q1641">
            <v>0</v>
          </cell>
        </row>
        <row r="1642">
          <cell r="D1642">
            <v>0</v>
          </cell>
          <cell r="E1642">
            <v>0</v>
          </cell>
          <cell r="F1642">
            <v>0</v>
          </cell>
          <cell r="H1642">
            <v>0</v>
          </cell>
          <cell r="J1642">
            <v>0</v>
          </cell>
          <cell r="P1642">
            <v>0</v>
          </cell>
          <cell r="Q1642">
            <v>0</v>
          </cell>
        </row>
        <row r="1643">
          <cell r="D1643">
            <v>0</v>
          </cell>
          <cell r="E1643">
            <v>0</v>
          </cell>
          <cell r="F1643">
            <v>0</v>
          </cell>
          <cell r="H1643">
            <v>0</v>
          </cell>
          <cell r="J1643">
            <v>0</v>
          </cell>
          <cell r="P1643">
            <v>0</v>
          </cell>
          <cell r="Q1643">
            <v>0</v>
          </cell>
        </row>
        <row r="1644">
          <cell r="D1644">
            <v>0</v>
          </cell>
          <cell r="E1644">
            <v>0</v>
          </cell>
          <cell r="F1644">
            <v>0</v>
          </cell>
          <cell r="H1644">
            <v>0</v>
          </cell>
          <cell r="J1644">
            <v>0</v>
          </cell>
          <cell r="P1644">
            <v>0</v>
          </cell>
          <cell r="Q1644">
            <v>0</v>
          </cell>
        </row>
        <row r="1645">
          <cell r="D1645">
            <v>0</v>
          </cell>
          <cell r="E1645">
            <v>0</v>
          </cell>
          <cell r="F1645">
            <v>0</v>
          </cell>
          <cell r="H1645">
            <v>0</v>
          </cell>
          <cell r="J1645">
            <v>0</v>
          </cell>
          <cell r="P1645">
            <v>0</v>
          </cell>
          <cell r="Q1645">
            <v>0</v>
          </cell>
        </row>
        <row r="1646">
          <cell r="D1646">
            <v>0</v>
          </cell>
          <cell r="E1646">
            <v>0</v>
          </cell>
          <cell r="F1646">
            <v>0</v>
          </cell>
          <cell r="H1646">
            <v>0</v>
          </cell>
          <cell r="J1646">
            <v>0</v>
          </cell>
          <cell r="P1646">
            <v>0</v>
          </cell>
          <cell r="Q1646">
            <v>0</v>
          </cell>
        </row>
        <row r="1647">
          <cell r="D1647">
            <v>0</v>
          </cell>
          <cell r="E1647">
            <v>0</v>
          </cell>
          <cell r="F1647">
            <v>0</v>
          </cell>
          <cell r="H1647">
            <v>0</v>
          </cell>
          <cell r="J1647">
            <v>0</v>
          </cell>
          <cell r="P1647">
            <v>0</v>
          </cell>
          <cell r="Q1647">
            <v>0</v>
          </cell>
        </row>
        <row r="1648">
          <cell r="D1648">
            <v>0</v>
          </cell>
          <cell r="E1648">
            <v>0</v>
          </cell>
          <cell r="F1648">
            <v>0</v>
          </cell>
          <cell r="H1648">
            <v>0</v>
          </cell>
          <cell r="J1648">
            <v>0</v>
          </cell>
          <cell r="P1648">
            <v>0</v>
          </cell>
          <cell r="Q1648">
            <v>0</v>
          </cell>
        </row>
        <row r="1649">
          <cell r="D1649">
            <v>0</v>
          </cell>
          <cell r="E1649">
            <v>0</v>
          </cell>
          <cell r="F1649">
            <v>0</v>
          </cell>
          <cell r="H1649">
            <v>0</v>
          </cell>
          <cell r="J1649">
            <v>0</v>
          </cell>
          <cell r="P1649">
            <v>0</v>
          </cell>
          <cell r="Q1649">
            <v>0</v>
          </cell>
        </row>
        <row r="1650">
          <cell r="D1650">
            <v>0</v>
          </cell>
          <cell r="E1650">
            <v>0</v>
          </cell>
          <cell r="F1650">
            <v>0</v>
          </cell>
          <cell r="H1650">
            <v>0</v>
          </cell>
          <cell r="J1650">
            <v>0</v>
          </cell>
          <cell r="P1650">
            <v>0</v>
          </cell>
          <cell r="Q1650">
            <v>0</v>
          </cell>
        </row>
        <row r="1651">
          <cell r="D1651">
            <v>0</v>
          </cell>
          <cell r="E1651">
            <v>0</v>
          </cell>
          <cell r="F1651">
            <v>0</v>
          </cell>
          <cell r="H1651">
            <v>0</v>
          </cell>
          <cell r="J1651">
            <v>0</v>
          </cell>
          <cell r="P1651">
            <v>0</v>
          </cell>
          <cell r="Q1651">
            <v>0</v>
          </cell>
        </row>
        <row r="1652">
          <cell r="D1652">
            <v>0</v>
          </cell>
          <cell r="E1652">
            <v>0</v>
          </cell>
          <cell r="F1652">
            <v>0</v>
          </cell>
          <cell r="H1652">
            <v>0</v>
          </cell>
          <cell r="J1652">
            <v>0</v>
          </cell>
          <cell r="P1652">
            <v>0</v>
          </cell>
          <cell r="Q1652">
            <v>0</v>
          </cell>
        </row>
        <row r="1653">
          <cell r="D1653">
            <v>0</v>
          </cell>
          <cell r="E1653">
            <v>0</v>
          </cell>
          <cell r="F1653">
            <v>0</v>
          </cell>
          <cell r="H1653">
            <v>0</v>
          </cell>
          <cell r="J1653">
            <v>0</v>
          </cell>
          <cell r="P1653">
            <v>0</v>
          </cell>
          <cell r="Q1653">
            <v>0</v>
          </cell>
        </row>
        <row r="1654">
          <cell r="D1654">
            <v>0</v>
          </cell>
          <cell r="E1654">
            <v>0</v>
          </cell>
          <cell r="F1654">
            <v>0</v>
          </cell>
          <cell r="H1654">
            <v>0</v>
          </cell>
          <cell r="J1654">
            <v>0</v>
          </cell>
          <cell r="P1654">
            <v>0</v>
          </cell>
          <cell r="Q1654">
            <v>0</v>
          </cell>
        </row>
        <row r="1655">
          <cell r="D1655">
            <v>0</v>
          </cell>
          <cell r="E1655">
            <v>0</v>
          </cell>
          <cell r="F1655">
            <v>0</v>
          </cell>
          <cell r="H1655">
            <v>0</v>
          </cell>
          <cell r="J1655">
            <v>0</v>
          </cell>
          <cell r="P1655">
            <v>0</v>
          </cell>
          <cell r="Q1655">
            <v>0</v>
          </cell>
        </row>
        <row r="1656">
          <cell r="D1656">
            <v>0</v>
          </cell>
          <cell r="E1656">
            <v>0</v>
          </cell>
          <cell r="F1656">
            <v>0</v>
          </cell>
          <cell r="H1656">
            <v>0</v>
          </cell>
          <cell r="J1656">
            <v>0</v>
          </cell>
          <cell r="P1656">
            <v>0</v>
          </cell>
          <cell r="Q1656">
            <v>0</v>
          </cell>
        </row>
        <row r="1657">
          <cell r="D1657">
            <v>0</v>
          </cell>
          <cell r="E1657">
            <v>0</v>
          </cell>
          <cell r="F1657">
            <v>0</v>
          </cell>
          <cell r="H1657">
            <v>0</v>
          </cell>
          <cell r="J1657">
            <v>0</v>
          </cell>
          <cell r="P1657">
            <v>0</v>
          </cell>
          <cell r="Q1657">
            <v>0</v>
          </cell>
        </row>
        <row r="1658">
          <cell r="D1658">
            <v>0</v>
          </cell>
          <cell r="E1658">
            <v>0</v>
          </cell>
          <cell r="F1658">
            <v>0</v>
          </cell>
          <cell r="H1658">
            <v>0</v>
          </cell>
          <cell r="J1658">
            <v>0</v>
          </cell>
          <cell r="P1658">
            <v>0</v>
          </cell>
          <cell r="Q1658">
            <v>0</v>
          </cell>
        </row>
        <row r="1659">
          <cell r="D1659">
            <v>0</v>
          </cell>
          <cell r="E1659">
            <v>0</v>
          </cell>
          <cell r="F1659">
            <v>0</v>
          </cell>
          <cell r="H1659">
            <v>0</v>
          </cell>
          <cell r="J1659">
            <v>0</v>
          </cell>
          <cell r="P1659">
            <v>0</v>
          </cell>
          <cell r="Q1659">
            <v>0</v>
          </cell>
        </row>
        <row r="1660">
          <cell r="D1660">
            <v>0</v>
          </cell>
          <cell r="E1660">
            <v>0</v>
          </cell>
          <cell r="F1660">
            <v>0</v>
          </cell>
          <cell r="H1660">
            <v>0</v>
          </cell>
          <cell r="J1660">
            <v>0</v>
          </cell>
          <cell r="P1660">
            <v>0</v>
          </cell>
          <cell r="Q1660">
            <v>0</v>
          </cell>
        </row>
        <row r="1661">
          <cell r="D1661">
            <v>0</v>
          </cell>
          <cell r="E1661">
            <v>0</v>
          </cell>
          <cell r="F1661">
            <v>0</v>
          </cell>
          <cell r="H1661">
            <v>0</v>
          </cell>
          <cell r="J1661">
            <v>0</v>
          </cell>
          <cell r="P1661">
            <v>0</v>
          </cell>
          <cell r="Q1661">
            <v>0</v>
          </cell>
        </row>
        <row r="1662">
          <cell r="D1662">
            <v>0</v>
          </cell>
          <cell r="E1662">
            <v>0</v>
          </cell>
          <cell r="F1662">
            <v>0</v>
          </cell>
          <cell r="H1662">
            <v>0</v>
          </cell>
          <cell r="J1662">
            <v>0</v>
          </cell>
          <cell r="P1662">
            <v>0</v>
          </cell>
          <cell r="Q1662">
            <v>0</v>
          </cell>
        </row>
        <row r="1663">
          <cell r="D1663">
            <v>0</v>
          </cell>
          <cell r="E1663">
            <v>0</v>
          </cell>
          <cell r="F1663">
            <v>0</v>
          </cell>
          <cell r="H1663">
            <v>0</v>
          </cell>
          <cell r="J1663">
            <v>0</v>
          </cell>
          <cell r="P1663">
            <v>0</v>
          </cell>
          <cell r="Q1663">
            <v>0</v>
          </cell>
        </row>
        <row r="1664">
          <cell r="D1664">
            <v>0</v>
          </cell>
          <cell r="E1664">
            <v>0</v>
          </cell>
          <cell r="F1664">
            <v>0</v>
          </cell>
          <cell r="H1664">
            <v>0</v>
          </cell>
          <cell r="J1664">
            <v>0</v>
          </cell>
          <cell r="P1664">
            <v>0</v>
          </cell>
          <cell r="Q1664">
            <v>0</v>
          </cell>
        </row>
        <row r="1665">
          <cell r="D1665">
            <v>0</v>
          </cell>
          <cell r="E1665">
            <v>0</v>
          </cell>
          <cell r="F1665">
            <v>0</v>
          </cell>
          <cell r="H1665">
            <v>0</v>
          </cell>
          <cell r="J1665">
            <v>0</v>
          </cell>
          <cell r="P1665">
            <v>0</v>
          </cell>
          <cell r="Q1665">
            <v>0</v>
          </cell>
        </row>
        <row r="1666">
          <cell r="D1666">
            <v>0</v>
          </cell>
          <cell r="E1666">
            <v>0</v>
          </cell>
          <cell r="F1666">
            <v>0</v>
          </cell>
          <cell r="H1666">
            <v>0</v>
          </cell>
          <cell r="J1666">
            <v>0</v>
          </cell>
          <cell r="P1666">
            <v>0</v>
          </cell>
          <cell r="Q1666">
            <v>0</v>
          </cell>
        </row>
        <row r="1667">
          <cell r="D1667">
            <v>0</v>
          </cell>
          <cell r="E1667">
            <v>0</v>
          </cell>
          <cell r="F1667">
            <v>0</v>
          </cell>
          <cell r="H1667">
            <v>0</v>
          </cell>
          <cell r="J1667">
            <v>0</v>
          </cell>
          <cell r="P1667">
            <v>0</v>
          </cell>
          <cell r="Q1667">
            <v>0</v>
          </cell>
        </row>
        <row r="1668">
          <cell r="D1668">
            <v>0</v>
          </cell>
          <cell r="E1668">
            <v>0</v>
          </cell>
          <cell r="F1668">
            <v>0</v>
          </cell>
          <cell r="H1668">
            <v>0</v>
          </cell>
          <cell r="J1668">
            <v>0</v>
          </cell>
          <cell r="P1668">
            <v>0</v>
          </cell>
          <cell r="Q1668">
            <v>0</v>
          </cell>
        </row>
        <row r="1669">
          <cell r="D1669">
            <v>0</v>
          </cell>
          <cell r="E1669">
            <v>0</v>
          </cell>
          <cell r="F1669">
            <v>0</v>
          </cell>
          <cell r="H1669">
            <v>0</v>
          </cell>
          <cell r="J1669">
            <v>0</v>
          </cell>
          <cell r="P1669">
            <v>0</v>
          </cell>
          <cell r="Q1669">
            <v>0</v>
          </cell>
        </row>
        <row r="1670">
          <cell r="D1670">
            <v>0</v>
          </cell>
          <cell r="E1670">
            <v>0</v>
          </cell>
          <cell r="F1670">
            <v>0</v>
          </cell>
          <cell r="H1670">
            <v>0</v>
          </cell>
          <cell r="J1670">
            <v>0</v>
          </cell>
          <cell r="P1670">
            <v>0</v>
          </cell>
          <cell r="Q1670">
            <v>0</v>
          </cell>
        </row>
        <row r="1671">
          <cell r="D1671">
            <v>0</v>
          </cell>
          <cell r="E1671">
            <v>0</v>
          </cell>
          <cell r="F1671">
            <v>0</v>
          </cell>
          <cell r="H1671">
            <v>0</v>
          </cell>
          <cell r="J1671">
            <v>0</v>
          </cell>
          <cell r="P1671">
            <v>0</v>
          </cell>
          <cell r="Q1671">
            <v>0</v>
          </cell>
        </row>
        <row r="1672">
          <cell r="D1672">
            <v>0</v>
          </cell>
          <cell r="E1672">
            <v>0</v>
          </cell>
          <cell r="F1672">
            <v>0</v>
          </cell>
          <cell r="H1672">
            <v>0</v>
          </cell>
          <cell r="J1672">
            <v>0</v>
          </cell>
          <cell r="P1672">
            <v>0</v>
          </cell>
          <cell r="Q1672">
            <v>0</v>
          </cell>
        </row>
        <row r="1673">
          <cell r="D1673">
            <v>0</v>
          </cell>
          <cell r="E1673">
            <v>0</v>
          </cell>
          <cell r="F1673">
            <v>0</v>
          </cell>
          <cell r="H1673">
            <v>0</v>
          </cell>
          <cell r="J1673">
            <v>0</v>
          </cell>
          <cell r="P1673">
            <v>0</v>
          </cell>
          <cell r="Q1673">
            <v>0</v>
          </cell>
        </row>
        <row r="1674">
          <cell r="D1674">
            <v>0</v>
          </cell>
          <cell r="E1674">
            <v>0</v>
          </cell>
          <cell r="F1674">
            <v>0</v>
          </cell>
          <cell r="H1674">
            <v>0</v>
          </cell>
          <cell r="J1674">
            <v>0</v>
          </cell>
          <cell r="P1674">
            <v>0</v>
          </cell>
          <cell r="Q1674">
            <v>0</v>
          </cell>
        </row>
        <row r="1675">
          <cell r="D1675">
            <v>0</v>
          </cell>
          <cell r="E1675">
            <v>0</v>
          </cell>
          <cell r="F1675">
            <v>0</v>
          </cell>
          <cell r="H1675">
            <v>0</v>
          </cell>
          <cell r="J1675">
            <v>0</v>
          </cell>
          <cell r="P1675">
            <v>0</v>
          </cell>
          <cell r="Q1675">
            <v>0</v>
          </cell>
        </row>
        <row r="1676">
          <cell r="D1676">
            <v>0</v>
          </cell>
          <cell r="E1676">
            <v>0</v>
          </cell>
          <cell r="F1676">
            <v>0</v>
          </cell>
          <cell r="H1676">
            <v>0</v>
          </cell>
          <cell r="J1676">
            <v>0</v>
          </cell>
          <cell r="P1676">
            <v>0</v>
          </cell>
          <cell r="Q1676">
            <v>0</v>
          </cell>
        </row>
        <row r="1677">
          <cell r="D1677">
            <v>0</v>
          </cell>
          <cell r="E1677">
            <v>0</v>
          </cell>
          <cell r="F1677">
            <v>0</v>
          </cell>
          <cell r="H1677">
            <v>0</v>
          </cell>
          <cell r="J1677">
            <v>0</v>
          </cell>
          <cell r="P1677">
            <v>0</v>
          </cell>
          <cell r="Q1677">
            <v>0</v>
          </cell>
        </row>
        <row r="1678">
          <cell r="D1678">
            <v>0</v>
          </cell>
          <cell r="E1678">
            <v>0</v>
          </cell>
          <cell r="F1678">
            <v>0</v>
          </cell>
          <cell r="H1678">
            <v>0</v>
          </cell>
          <cell r="J1678">
            <v>0</v>
          </cell>
          <cell r="P1678">
            <v>0</v>
          </cell>
          <cell r="Q1678">
            <v>0</v>
          </cell>
        </row>
        <row r="1679">
          <cell r="D1679">
            <v>0</v>
          </cell>
          <cell r="E1679">
            <v>0</v>
          </cell>
          <cell r="F1679">
            <v>0</v>
          </cell>
          <cell r="H1679">
            <v>0</v>
          </cell>
          <cell r="J1679">
            <v>0</v>
          </cell>
          <cell r="P1679">
            <v>0</v>
          </cell>
          <cell r="Q1679">
            <v>0</v>
          </cell>
        </row>
        <row r="1680">
          <cell r="D1680">
            <v>0</v>
          </cell>
          <cell r="E1680">
            <v>0</v>
          </cell>
          <cell r="F1680">
            <v>0</v>
          </cell>
          <cell r="H1680">
            <v>0</v>
          </cell>
          <cell r="J1680">
            <v>0</v>
          </cell>
          <cell r="P1680">
            <v>0</v>
          </cell>
          <cell r="Q1680">
            <v>0</v>
          </cell>
        </row>
        <row r="1681">
          <cell r="D1681">
            <v>0</v>
          </cell>
          <cell r="E1681">
            <v>0</v>
          </cell>
          <cell r="F1681">
            <v>0</v>
          </cell>
          <cell r="H1681">
            <v>0</v>
          </cell>
          <cell r="J1681">
            <v>0</v>
          </cell>
          <cell r="P1681">
            <v>0</v>
          </cell>
          <cell r="Q1681">
            <v>0</v>
          </cell>
        </row>
        <row r="1682">
          <cell r="D1682">
            <v>0</v>
          </cell>
          <cell r="E1682">
            <v>0</v>
          </cell>
          <cell r="F1682">
            <v>0</v>
          </cell>
          <cell r="H1682">
            <v>0</v>
          </cell>
          <cell r="J1682">
            <v>0</v>
          </cell>
          <cell r="P1682">
            <v>0</v>
          </cell>
          <cell r="Q1682">
            <v>0</v>
          </cell>
        </row>
        <row r="1683">
          <cell r="D1683">
            <v>0</v>
          </cell>
          <cell r="E1683">
            <v>0</v>
          </cell>
          <cell r="F1683">
            <v>0</v>
          </cell>
          <cell r="H1683">
            <v>0</v>
          </cell>
          <cell r="J1683">
            <v>0</v>
          </cell>
          <cell r="P1683">
            <v>0</v>
          </cell>
          <cell r="Q1683">
            <v>0</v>
          </cell>
        </row>
        <row r="1684">
          <cell r="D1684">
            <v>0</v>
          </cell>
          <cell r="E1684">
            <v>0</v>
          </cell>
          <cell r="F1684">
            <v>0</v>
          </cell>
          <cell r="H1684">
            <v>0</v>
          </cell>
          <cell r="J1684">
            <v>0</v>
          </cell>
          <cell r="P1684">
            <v>0</v>
          </cell>
          <cell r="Q1684">
            <v>0</v>
          </cell>
        </row>
        <row r="1685">
          <cell r="D1685">
            <v>0</v>
          </cell>
          <cell r="E1685">
            <v>0</v>
          </cell>
          <cell r="F1685">
            <v>0</v>
          </cell>
          <cell r="H1685">
            <v>0</v>
          </cell>
          <cell r="J1685">
            <v>0</v>
          </cell>
          <cell r="P1685">
            <v>0</v>
          </cell>
          <cell r="Q1685">
            <v>0</v>
          </cell>
        </row>
        <row r="1686">
          <cell r="D1686">
            <v>0</v>
          </cell>
          <cell r="E1686">
            <v>0</v>
          </cell>
          <cell r="F1686">
            <v>0</v>
          </cell>
          <cell r="H1686">
            <v>0</v>
          </cell>
          <cell r="J1686">
            <v>0</v>
          </cell>
          <cell r="P1686">
            <v>0</v>
          </cell>
          <cell r="Q1686">
            <v>0</v>
          </cell>
        </row>
        <row r="1687">
          <cell r="D1687">
            <v>0</v>
          </cell>
          <cell r="E1687">
            <v>0</v>
          </cell>
          <cell r="F1687">
            <v>0</v>
          </cell>
          <cell r="H1687">
            <v>0</v>
          </cell>
          <cell r="J1687">
            <v>0</v>
          </cell>
          <cell r="P1687">
            <v>0</v>
          </cell>
          <cell r="Q1687">
            <v>0</v>
          </cell>
        </row>
        <row r="1688">
          <cell r="D1688">
            <v>0</v>
          </cell>
          <cell r="E1688">
            <v>0</v>
          </cell>
          <cell r="F1688">
            <v>0</v>
          </cell>
          <cell r="H1688">
            <v>0</v>
          </cell>
          <cell r="J1688">
            <v>0</v>
          </cell>
          <cell r="P1688">
            <v>0</v>
          </cell>
          <cell r="Q1688">
            <v>0</v>
          </cell>
        </row>
        <row r="1689">
          <cell r="D1689">
            <v>0</v>
          </cell>
          <cell r="E1689">
            <v>0</v>
          </cell>
          <cell r="F1689">
            <v>0</v>
          </cell>
          <cell r="H1689">
            <v>0</v>
          </cell>
          <cell r="J1689">
            <v>0</v>
          </cell>
          <cell r="P1689">
            <v>0</v>
          </cell>
          <cell r="Q1689">
            <v>0</v>
          </cell>
        </row>
        <row r="1690">
          <cell r="D1690">
            <v>0</v>
          </cell>
          <cell r="E1690">
            <v>0</v>
          </cell>
          <cell r="F1690">
            <v>0</v>
          </cell>
          <cell r="H1690">
            <v>0</v>
          </cell>
          <cell r="J1690">
            <v>0</v>
          </cell>
          <cell r="P1690">
            <v>0</v>
          </cell>
          <cell r="Q1690">
            <v>0</v>
          </cell>
        </row>
        <row r="1691">
          <cell r="D1691">
            <v>0</v>
          </cell>
          <cell r="E1691">
            <v>0</v>
          </cell>
          <cell r="F1691">
            <v>0</v>
          </cell>
          <cell r="H1691">
            <v>0</v>
          </cell>
          <cell r="J1691">
            <v>0</v>
          </cell>
          <cell r="P1691">
            <v>0</v>
          </cell>
          <cell r="Q1691">
            <v>0</v>
          </cell>
        </row>
        <row r="1692">
          <cell r="D1692">
            <v>0</v>
          </cell>
          <cell r="E1692">
            <v>0</v>
          </cell>
          <cell r="F1692">
            <v>0</v>
          </cell>
          <cell r="H1692">
            <v>0</v>
          </cell>
          <cell r="J1692">
            <v>0</v>
          </cell>
          <cell r="P1692">
            <v>0</v>
          </cell>
          <cell r="Q1692">
            <v>0</v>
          </cell>
        </row>
        <row r="1693">
          <cell r="D1693">
            <v>0</v>
          </cell>
          <cell r="E1693">
            <v>0</v>
          </cell>
          <cell r="F1693">
            <v>0</v>
          </cell>
          <cell r="H1693">
            <v>0</v>
          </cell>
          <cell r="J1693">
            <v>0</v>
          </cell>
          <cell r="P1693">
            <v>0</v>
          </cell>
          <cell r="Q1693">
            <v>0</v>
          </cell>
        </row>
        <row r="1694">
          <cell r="D1694">
            <v>0</v>
          </cell>
          <cell r="E1694">
            <v>0</v>
          </cell>
          <cell r="F1694">
            <v>0</v>
          </cell>
          <cell r="H1694">
            <v>0</v>
          </cell>
          <cell r="J1694">
            <v>0</v>
          </cell>
          <cell r="P1694">
            <v>0</v>
          </cell>
          <cell r="Q1694">
            <v>0</v>
          </cell>
        </row>
        <row r="1695">
          <cell r="D1695">
            <v>0</v>
          </cell>
          <cell r="E1695">
            <v>0</v>
          </cell>
          <cell r="F1695">
            <v>0</v>
          </cell>
          <cell r="H1695">
            <v>0</v>
          </cell>
          <cell r="J1695">
            <v>0</v>
          </cell>
          <cell r="P1695">
            <v>0</v>
          </cell>
          <cell r="Q1695">
            <v>0</v>
          </cell>
        </row>
        <row r="1696">
          <cell r="D1696">
            <v>0</v>
          </cell>
          <cell r="E1696">
            <v>0</v>
          </cell>
          <cell r="F1696">
            <v>0</v>
          </cell>
          <cell r="H1696">
            <v>0</v>
          </cell>
          <cell r="J1696">
            <v>0</v>
          </cell>
          <cell r="P1696">
            <v>0</v>
          </cell>
          <cell r="Q1696">
            <v>0</v>
          </cell>
        </row>
        <row r="1697">
          <cell r="D1697">
            <v>0</v>
          </cell>
          <cell r="E1697">
            <v>0</v>
          </cell>
          <cell r="F1697">
            <v>0</v>
          </cell>
          <cell r="H1697">
            <v>0</v>
          </cell>
          <cell r="J1697">
            <v>0</v>
          </cell>
          <cell r="P1697">
            <v>0</v>
          </cell>
          <cell r="Q1697">
            <v>0</v>
          </cell>
        </row>
        <row r="1698">
          <cell r="D1698">
            <v>0</v>
          </cell>
          <cell r="E1698">
            <v>0</v>
          </cell>
          <cell r="F1698">
            <v>0</v>
          </cell>
          <cell r="H1698">
            <v>0</v>
          </cell>
          <cell r="J1698">
            <v>0</v>
          </cell>
          <cell r="P1698">
            <v>0</v>
          </cell>
          <cell r="Q1698">
            <v>0</v>
          </cell>
        </row>
        <row r="1699">
          <cell r="D1699">
            <v>0</v>
          </cell>
          <cell r="E1699">
            <v>0</v>
          </cell>
          <cell r="F1699">
            <v>0</v>
          </cell>
          <cell r="H1699">
            <v>0</v>
          </cell>
          <cell r="J1699">
            <v>0</v>
          </cell>
          <cell r="P1699">
            <v>0</v>
          </cell>
          <cell r="Q1699">
            <v>0</v>
          </cell>
        </row>
        <row r="1700">
          <cell r="D1700">
            <v>0</v>
          </cell>
          <cell r="E1700">
            <v>0</v>
          </cell>
          <cell r="F1700">
            <v>0</v>
          </cell>
          <cell r="H1700">
            <v>0</v>
          </cell>
          <cell r="J1700">
            <v>0</v>
          </cell>
          <cell r="P1700">
            <v>0</v>
          </cell>
          <cell r="Q1700">
            <v>0</v>
          </cell>
        </row>
        <row r="1701">
          <cell r="D1701">
            <v>0</v>
          </cell>
          <cell r="E1701">
            <v>0</v>
          </cell>
          <cell r="F1701">
            <v>0</v>
          </cell>
          <cell r="H1701">
            <v>0</v>
          </cell>
          <cell r="J1701">
            <v>0</v>
          </cell>
          <cell r="P1701">
            <v>0</v>
          </cell>
          <cell r="Q1701">
            <v>0</v>
          </cell>
        </row>
        <row r="1702">
          <cell r="D1702">
            <v>0</v>
          </cell>
          <cell r="E1702">
            <v>0</v>
          </cell>
          <cell r="F1702">
            <v>0</v>
          </cell>
          <cell r="H1702">
            <v>0</v>
          </cell>
          <cell r="J1702">
            <v>0</v>
          </cell>
          <cell r="P1702">
            <v>0</v>
          </cell>
          <cell r="Q1702">
            <v>0</v>
          </cell>
        </row>
        <row r="1703">
          <cell r="D1703">
            <v>0</v>
          </cell>
          <cell r="E1703">
            <v>0</v>
          </cell>
          <cell r="F1703">
            <v>0</v>
          </cell>
          <cell r="H1703">
            <v>0</v>
          </cell>
          <cell r="J1703">
            <v>0</v>
          </cell>
          <cell r="P1703">
            <v>0</v>
          </cell>
          <cell r="Q1703">
            <v>0</v>
          </cell>
        </row>
        <row r="1704">
          <cell r="D1704">
            <v>0</v>
          </cell>
          <cell r="E1704">
            <v>0</v>
          </cell>
          <cell r="F1704">
            <v>0</v>
          </cell>
          <cell r="H1704">
            <v>0</v>
          </cell>
          <cell r="J1704">
            <v>0</v>
          </cell>
          <cell r="P1704">
            <v>0</v>
          </cell>
          <cell r="Q1704">
            <v>0</v>
          </cell>
        </row>
        <row r="1705">
          <cell r="D1705">
            <v>0</v>
          </cell>
          <cell r="E1705">
            <v>0</v>
          </cell>
          <cell r="F1705">
            <v>0</v>
          </cell>
          <cell r="H1705">
            <v>0</v>
          </cell>
          <cell r="J1705">
            <v>0</v>
          </cell>
          <cell r="P1705">
            <v>0</v>
          </cell>
          <cell r="Q1705">
            <v>0</v>
          </cell>
        </row>
        <row r="1706">
          <cell r="D1706">
            <v>0</v>
          </cell>
          <cell r="E1706">
            <v>0</v>
          </cell>
          <cell r="F1706">
            <v>0</v>
          </cell>
          <cell r="H1706">
            <v>0</v>
          </cell>
          <cell r="J1706">
            <v>0</v>
          </cell>
          <cell r="P1706">
            <v>0</v>
          </cell>
          <cell r="Q1706">
            <v>0</v>
          </cell>
        </row>
        <row r="1707">
          <cell r="D1707">
            <v>0</v>
          </cell>
          <cell r="E1707">
            <v>0</v>
          </cell>
          <cell r="F1707">
            <v>0</v>
          </cell>
          <cell r="H1707">
            <v>0</v>
          </cell>
          <cell r="J1707">
            <v>0</v>
          </cell>
          <cell r="P1707">
            <v>0</v>
          </cell>
          <cell r="Q1707">
            <v>0</v>
          </cell>
        </row>
        <row r="1708">
          <cell r="D1708">
            <v>0</v>
          </cell>
          <cell r="E1708">
            <v>0</v>
          </cell>
          <cell r="F1708">
            <v>0</v>
          </cell>
          <cell r="H1708">
            <v>0</v>
          </cell>
          <cell r="J1708">
            <v>0</v>
          </cell>
          <cell r="P1708">
            <v>0</v>
          </cell>
          <cell r="Q1708">
            <v>0</v>
          </cell>
        </row>
        <row r="1709">
          <cell r="D1709">
            <v>0</v>
          </cell>
          <cell r="E1709">
            <v>0</v>
          </cell>
          <cell r="F1709">
            <v>0</v>
          </cell>
          <cell r="H1709">
            <v>0</v>
          </cell>
          <cell r="J1709">
            <v>0</v>
          </cell>
          <cell r="P1709">
            <v>0</v>
          </cell>
          <cell r="Q1709">
            <v>0</v>
          </cell>
        </row>
        <row r="1710">
          <cell r="D1710">
            <v>0</v>
          </cell>
          <cell r="E1710">
            <v>0</v>
          </cell>
          <cell r="F1710">
            <v>0</v>
          </cell>
          <cell r="H1710">
            <v>0</v>
          </cell>
          <cell r="J1710">
            <v>0</v>
          </cell>
          <cell r="P1710">
            <v>0</v>
          </cell>
          <cell r="Q1710">
            <v>0</v>
          </cell>
        </row>
        <row r="1711">
          <cell r="D1711">
            <v>0</v>
          </cell>
          <cell r="E1711">
            <v>0</v>
          </cell>
          <cell r="F1711">
            <v>0</v>
          </cell>
          <cell r="H1711">
            <v>0</v>
          </cell>
          <cell r="J1711">
            <v>0</v>
          </cell>
          <cell r="P1711">
            <v>0</v>
          </cell>
          <cell r="Q1711">
            <v>0</v>
          </cell>
        </row>
        <row r="1712">
          <cell r="D1712">
            <v>0</v>
          </cell>
          <cell r="E1712">
            <v>0</v>
          </cell>
          <cell r="F1712">
            <v>0</v>
          </cell>
          <cell r="H1712">
            <v>0</v>
          </cell>
          <cell r="J1712">
            <v>0</v>
          </cell>
          <cell r="P1712">
            <v>0</v>
          </cell>
          <cell r="Q1712">
            <v>0</v>
          </cell>
        </row>
        <row r="1713">
          <cell r="D1713">
            <v>0</v>
          </cell>
          <cell r="E1713">
            <v>0</v>
          </cell>
          <cell r="F1713">
            <v>0</v>
          </cell>
          <cell r="H1713">
            <v>0</v>
          </cell>
          <cell r="J1713">
            <v>0</v>
          </cell>
          <cell r="P1713">
            <v>0</v>
          </cell>
          <cell r="Q1713">
            <v>0</v>
          </cell>
        </row>
        <row r="1714">
          <cell r="D1714">
            <v>0</v>
          </cell>
          <cell r="E1714">
            <v>0</v>
          </cell>
          <cell r="F1714">
            <v>0</v>
          </cell>
          <cell r="H1714">
            <v>0</v>
          </cell>
          <cell r="J1714">
            <v>0</v>
          </cell>
          <cell r="P1714">
            <v>0</v>
          </cell>
          <cell r="Q1714">
            <v>0</v>
          </cell>
        </row>
        <row r="1715">
          <cell r="D1715">
            <v>0</v>
          </cell>
          <cell r="E1715">
            <v>0</v>
          </cell>
          <cell r="F1715">
            <v>0</v>
          </cell>
          <cell r="H1715">
            <v>0</v>
          </cell>
          <cell r="J1715">
            <v>0</v>
          </cell>
          <cell r="P1715">
            <v>0</v>
          </cell>
          <cell r="Q1715">
            <v>0</v>
          </cell>
        </row>
        <row r="1716">
          <cell r="D1716">
            <v>0</v>
          </cell>
          <cell r="E1716">
            <v>0</v>
          </cell>
          <cell r="F1716">
            <v>0</v>
          </cell>
          <cell r="H1716">
            <v>0</v>
          </cell>
          <cell r="J1716">
            <v>0</v>
          </cell>
          <cell r="P1716">
            <v>0</v>
          </cell>
          <cell r="Q1716">
            <v>0</v>
          </cell>
        </row>
        <row r="1717">
          <cell r="D1717">
            <v>0</v>
          </cell>
          <cell r="E1717">
            <v>0</v>
          </cell>
          <cell r="F1717">
            <v>0</v>
          </cell>
          <cell r="H1717">
            <v>0</v>
          </cell>
          <cell r="J1717">
            <v>0</v>
          </cell>
          <cell r="P1717">
            <v>0</v>
          </cell>
          <cell r="Q1717">
            <v>0</v>
          </cell>
        </row>
        <row r="1718">
          <cell r="D1718">
            <v>0</v>
          </cell>
          <cell r="E1718">
            <v>0</v>
          </cell>
          <cell r="F1718">
            <v>0</v>
          </cell>
          <cell r="H1718">
            <v>0</v>
          </cell>
          <cell r="J1718">
            <v>0</v>
          </cell>
          <cell r="P1718">
            <v>0</v>
          </cell>
          <cell r="Q1718">
            <v>0</v>
          </cell>
        </row>
        <row r="1719">
          <cell r="D1719">
            <v>0</v>
          </cell>
          <cell r="E1719">
            <v>0</v>
          </cell>
          <cell r="F1719">
            <v>0</v>
          </cell>
          <cell r="H1719">
            <v>0</v>
          </cell>
          <cell r="J1719">
            <v>0</v>
          </cell>
          <cell r="P1719">
            <v>0</v>
          </cell>
          <cell r="Q1719">
            <v>0</v>
          </cell>
        </row>
        <row r="1720">
          <cell r="D1720">
            <v>0</v>
          </cell>
          <cell r="E1720">
            <v>0</v>
          </cell>
          <cell r="F1720">
            <v>0</v>
          </cell>
          <cell r="H1720">
            <v>0</v>
          </cell>
          <cell r="J1720">
            <v>0</v>
          </cell>
          <cell r="P1720">
            <v>0</v>
          </cell>
          <cell r="Q1720">
            <v>0</v>
          </cell>
        </row>
        <row r="1721">
          <cell r="D1721">
            <v>0</v>
          </cell>
          <cell r="E1721">
            <v>0</v>
          </cell>
          <cell r="F1721">
            <v>0</v>
          </cell>
          <cell r="H1721">
            <v>0</v>
          </cell>
          <cell r="J1721">
            <v>0</v>
          </cell>
          <cell r="P1721">
            <v>0</v>
          </cell>
          <cell r="Q1721">
            <v>0</v>
          </cell>
        </row>
        <row r="1722">
          <cell r="D1722">
            <v>0</v>
          </cell>
          <cell r="E1722">
            <v>0</v>
          </cell>
          <cell r="F1722">
            <v>0</v>
          </cell>
          <cell r="H1722">
            <v>0</v>
          </cell>
          <cell r="J1722">
            <v>0</v>
          </cell>
          <cell r="P1722">
            <v>0</v>
          </cell>
          <cell r="Q1722">
            <v>0</v>
          </cell>
        </row>
        <row r="1723">
          <cell r="D1723">
            <v>0</v>
          </cell>
          <cell r="E1723">
            <v>0</v>
          </cell>
          <cell r="F1723">
            <v>0</v>
          </cell>
          <cell r="H1723">
            <v>0</v>
          </cell>
          <cell r="J1723">
            <v>0</v>
          </cell>
          <cell r="P1723">
            <v>0</v>
          </cell>
          <cell r="Q1723">
            <v>0</v>
          </cell>
        </row>
        <row r="1724">
          <cell r="D1724">
            <v>0</v>
          </cell>
          <cell r="E1724">
            <v>0</v>
          </cell>
          <cell r="F1724">
            <v>0</v>
          </cell>
          <cell r="H1724">
            <v>0</v>
          </cell>
          <cell r="J1724">
            <v>0</v>
          </cell>
          <cell r="P1724">
            <v>0</v>
          </cell>
          <cell r="Q1724">
            <v>0</v>
          </cell>
        </row>
        <row r="1725">
          <cell r="D1725">
            <v>0</v>
          </cell>
          <cell r="E1725">
            <v>0</v>
          </cell>
          <cell r="F1725">
            <v>0</v>
          </cell>
          <cell r="H1725">
            <v>0</v>
          </cell>
          <cell r="J1725">
            <v>0</v>
          </cell>
          <cell r="P1725">
            <v>0</v>
          </cell>
          <cell r="Q1725">
            <v>0</v>
          </cell>
        </row>
        <row r="1726">
          <cell r="D1726">
            <v>0</v>
          </cell>
          <cell r="E1726">
            <v>0</v>
          </cell>
          <cell r="F1726">
            <v>0</v>
          </cell>
          <cell r="H1726">
            <v>0</v>
          </cell>
          <cell r="J1726">
            <v>0</v>
          </cell>
          <cell r="P1726">
            <v>0</v>
          </cell>
          <cell r="Q1726">
            <v>0</v>
          </cell>
        </row>
        <row r="1727">
          <cell r="D1727">
            <v>0</v>
          </cell>
          <cell r="E1727">
            <v>0</v>
          </cell>
          <cell r="F1727">
            <v>0</v>
          </cell>
          <cell r="H1727">
            <v>0</v>
          </cell>
          <cell r="J1727">
            <v>0</v>
          </cell>
          <cell r="P1727">
            <v>0</v>
          </cell>
          <cell r="Q1727">
            <v>0</v>
          </cell>
        </row>
        <row r="1728">
          <cell r="D1728">
            <v>0</v>
          </cell>
          <cell r="E1728">
            <v>0</v>
          </cell>
          <cell r="F1728">
            <v>0</v>
          </cell>
          <cell r="H1728">
            <v>0</v>
          </cell>
          <cell r="J1728">
            <v>0</v>
          </cell>
          <cell r="P1728">
            <v>0</v>
          </cell>
          <cell r="Q1728">
            <v>0</v>
          </cell>
        </row>
        <row r="1729">
          <cell r="D1729">
            <v>0</v>
          </cell>
          <cell r="E1729">
            <v>0</v>
          </cell>
          <cell r="F1729">
            <v>0</v>
          </cell>
          <cell r="H1729">
            <v>0</v>
          </cell>
          <cell r="J1729">
            <v>0</v>
          </cell>
          <cell r="P1729">
            <v>0</v>
          </cell>
          <cell r="Q1729">
            <v>0</v>
          </cell>
        </row>
        <row r="1730">
          <cell r="D1730">
            <v>0</v>
          </cell>
          <cell r="E1730">
            <v>0</v>
          </cell>
          <cell r="F1730">
            <v>0</v>
          </cell>
          <cell r="H1730">
            <v>0</v>
          </cell>
          <cell r="J1730">
            <v>0</v>
          </cell>
          <cell r="P1730">
            <v>0</v>
          </cell>
          <cell r="Q1730">
            <v>0</v>
          </cell>
        </row>
        <row r="1731">
          <cell r="D1731">
            <v>0</v>
          </cell>
          <cell r="E1731">
            <v>0</v>
          </cell>
          <cell r="F1731">
            <v>0</v>
          </cell>
          <cell r="H1731">
            <v>0</v>
          </cell>
          <cell r="J1731">
            <v>0</v>
          </cell>
          <cell r="P1731">
            <v>0</v>
          </cell>
          <cell r="Q1731">
            <v>0</v>
          </cell>
        </row>
        <row r="1732">
          <cell r="D1732">
            <v>0</v>
          </cell>
          <cell r="E1732">
            <v>0</v>
          </cell>
          <cell r="F1732">
            <v>0</v>
          </cell>
          <cell r="H1732">
            <v>0</v>
          </cell>
          <cell r="J1732">
            <v>0</v>
          </cell>
          <cell r="P1732">
            <v>0</v>
          </cell>
          <cell r="Q1732">
            <v>0</v>
          </cell>
        </row>
        <row r="1733">
          <cell r="D1733">
            <v>0</v>
          </cell>
          <cell r="E1733">
            <v>0</v>
          </cell>
          <cell r="F1733">
            <v>0</v>
          </cell>
          <cell r="H1733">
            <v>0</v>
          </cell>
          <cell r="J1733">
            <v>0</v>
          </cell>
          <cell r="P1733">
            <v>0</v>
          </cell>
          <cell r="Q1733">
            <v>0</v>
          </cell>
        </row>
        <row r="1734">
          <cell r="D1734">
            <v>0</v>
          </cell>
          <cell r="E1734">
            <v>0</v>
          </cell>
          <cell r="F1734">
            <v>0</v>
          </cell>
          <cell r="H1734">
            <v>0</v>
          </cell>
          <cell r="J1734">
            <v>0</v>
          </cell>
          <cell r="P1734">
            <v>0</v>
          </cell>
          <cell r="Q1734">
            <v>0</v>
          </cell>
        </row>
        <row r="1735">
          <cell r="D1735">
            <v>0</v>
          </cell>
          <cell r="E1735">
            <v>0</v>
          </cell>
          <cell r="F1735">
            <v>0</v>
          </cell>
          <cell r="H1735">
            <v>0</v>
          </cell>
          <cell r="J1735">
            <v>0</v>
          </cell>
          <cell r="P1735">
            <v>0</v>
          </cell>
          <cell r="Q1735">
            <v>0</v>
          </cell>
        </row>
        <row r="1736">
          <cell r="D1736">
            <v>0</v>
          </cell>
          <cell r="E1736">
            <v>0</v>
          </cell>
          <cell r="F1736">
            <v>0</v>
          </cell>
          <cell r="H1736">
            <v>0</v>
          </cell>
          <cell r="J1736">
            <v>0</v>
          </cell>
          <cell r="P1736">
            <v>0</v>
          </cell>
          <cell r="Q1736">
            <v>0</v>
          </cell>
        </row>
        <row r="1737">
          <cell r="D1737">
            <v>0</v>
          </cell>
          <cell r="E1737">
            <v>0</v>
          </cell>
          <cell r="F1737">
            <v>0</v>
          </cell>
          <cell r="H1737">
            <v>0</v>
          </cell>
          <cell r="J1737">
            <v>0</v>
          </cell>
          <cell r="P1737">
            <v>0</v>
          </cell>
          <cell r="Q1737">
            <v>0</v>
          </cell>
        </row>
        <row r="1738">
          <cell r="D1738">
            <v>0</v>
          </cell>
          <cell r="E1738">
            <v>0</v>
          </cell>
          <cell r="F1738">
            <v>0</v>
          </cell>
          <cell r="H1738">
            <v>0</v>
          </cell>
          <cell r="J1738">
            <v>0</v>
          </cell>
          <cell r="P1738">
            <v>0</v>
          </cell>
          <cell r="Q1738">
            <v>0</v>
          </cell>
        </row>
        <row r="1739">
          <cell r="D1739">
            <v>0</v>
          </cell>
          <cell r="E1739">
            <v>0</v>
          </cell>
          <cell r="F1739">
            <v>0</v>
          </cell>
          <cell r="H1739">
            <v>0</v>
          </cell>
          <cell r="J1739">
            <v>0</v>
          </cell>
          <cell r="P1739">
            <v>0</v>
          </cell>
          <cell r="Q1739">
            <v>0</v>
          </cell>
        </row>
        <row r="1740">
          <cell r="D1740">
            <v>0</v>
          </cell>
          <cell r="E1740">
            <v>0</v>
          </cell>
          <cell r="F1740">
            <v>0</v>
          </cell>
          <cell r="H1740">
            <v>0</v>
          </cell>
          <cell r="J1740">
            <v>0</v>
          </cell>
          <cell r="P1740">
            <v>0</v>
          </cell>
          <cell r="Q1740">
            <v>0</v>
          </cell>
        </row>
        <row r="1741">
          <cell r="D1741">
            <v>0</v>
          </cell>
          <cell r="E1741">
            <v>0</v>
          </cell>
          <cell r="F1741">
            <v>0</v>
          </cell>
          <cell r="H1741">
            <v>0</v>
          </cell>
          <cell r="J1741">
            <v>0</v>
          </cell>
          <cell r="P1741">
            <v>0</v>
          </cell>
          <cell r="Q1741">
            <v>0</v>
          </cell>
        </row>
        <row r="1742">
          <cell r="D1742">
            <v>0</v>
          </cell>
          <cell r="E1742">
            <v>0</v>
          </cell>
          <cell r="F1742">
            <v>0</v>
          </cell>
          <cell r="H1742">
            <v>0</v>
          </cell>
          <cell r="J1742">
            <v>0</v>
          </cell>
          <cell r="P1742">
            <v>0</v>
          </cell>
          <cell r="Q1742">
            <v>0</v>
          </cell>
        </row>
        <row r="1743">
          <cell r="D1743">
            <v>0</v>
          </cell>
          <cell r="E1743">
            <v>0</v>
          </cell>
          <cell r="F1743">
            <v>0</v>
          </cell>
          <cell r="H1743">
            <v>0</v>
          </cell>
          <cell r="J1743">
            <v>0</v>
          </cell>
          <cell r="P1743">
            <v>0</v>
          </cell>
          <cell r="Q1743">
            <v>0</v>
          </cell>
        </row>
        <row r="1744">
          <cell r="D1744">
            <v>0</v>
          </cell>
          <cell r="E1744">
            <v>0</v>
          </cell>
          <cell r="F1744">
            <v>0</v>
          </cell>
          <cell r="H1744">
            <v>0</v>
          </cell>
          <cell r="J1744">
            <v>0</v>
          </cell>
          <cell r="P1744">
            <v>0</v>
          </cell>
          <cell r="Q1744">
            <v>0</v>
          </cell>
        </row>
        <row r="1745">
          <cell r="D1745">
            <v>0</v>
          </cell>
          <cell r="E1745">
            <v>0</v>
          </cell>
          <cell r="F1745">
            <v>0</v>
          </cell>
          <cell r="H1745">
            <v>0</v>
          </cell>
          <cell r="J1745">
            <v>0</v>
          </cell>
          <cell r="P1745">
            <v>0</v>
          </cell>
          <cell r="Q1745">
            <v>0</v>
          </cell>
        </row>
        <row r="1746">
          <cell r="D1746">
            <v>0</v>
          </cell>
          <cell r="E1746">
            <v>0</v>
          </cell>
          <cell r="F1746">
            <v>0</v>
          </cell>
          <cell r="H1746">
            <v>0</v>
          </cell>
          <cell r="J1746">
            <v>0</v>
          </cell>
          <cell r="P1746">
            <v>0</v>
          </cell>
          <cell r="Q1746">
            <v>0</v>
          </cell>
        </row>
        <row r="1747">
          <cell r="D1747">
            <v>0</v>
          </cell>
          <cell r="E1747">
            <v>0</v>
          </cell>
          <cell r="F1747">
            <v>0</v>
          </cell>
          <cell r="H1747">
            <v>0</v>
          </cell>
          <cell r="J1747">
            <v>0</v>
          </cell>
          <cell r="P1747">
            <v>0</v>
          </cell>
          <cell r="Q1747">
            <v>0</v>
          </cell>
        </row>
        <row r="1748">
          <cell r="D1748">
            <v>0</v>
          </cell>
          <cell r="E1748">
            <v>0</v>
          </cell>
          <cell r="F1748">
            <v>0</v>
          </cell>
          <cell r="H1748">
            <v>0</v>
          </cell>
          <cell r="J1748">
            <v>0</v>
          </cell>
          <cell r="P1748">
            <v>0</v>
          </cell>
          <cell r="Q1748">
            <v>0</v>
          </cell>
        </row>
        <row r="1749">
          <cell r="D1749">
            <v>0</v>
          </cell>
          <cell r="E1749">
            <v>0</v>
          </cell>
          <cell r="F1749">
            <v>0</v>
          </cell>
          <cell r="H1749">
            <v>0</v>
          </cell>
          <cell r="J1749">
            <v>0</v>
          </cell>
          <cell r="P1749">
            <v>0</v>
          </cell>
          <cell r="Q1749">
            <v>0</v>
          </cell>
        </row>
        <row r="1750">
          <cell r="D1750">
            <v>0</v>
          </cell>
          <cell r="E1750">
            <v>0</v>
          </cell>
          <cell r="F1750">
            <v>0</v>
          </cell>
          <cell r="H1750">
            <v>0</v>
          </cell>
          <cell r="J1750">
            <v>0</v>
          </cell>
          <cell r="P1750">
            <v>0</v>
          </cell>
          <cell r="Q1750">
            <v>0</v>
          </cell>
        </row>
        <row r="1751">
          <cell r="D1751">
            <v>0</v>
          </cell>
          <cell r="E1751">
            <v>0</v>
          </cell>
          <cell r="F1751">
            <v>0</v>
          </cell>
          <cell r="H1751">
            <v>0</v>
          </cell>
          <cell r="J1751">
            <v>0</v>
          </cell>
          <cell r="P1751">
            <v>0</v>
          </cell>
          <cell r="Q1751">
            <v>0</v>
          </cell>
        </row>
        <row r="1752">
          <cell r="D1752">
            <v>0</v>
          </cell>
          <cell r="E1752">
            <v>0</v>
          </cell>
          <cell r="F1752">
            <v>0</v>
          </cell>
          <cell r="H1752">
            <v>0</v>
          </cell>
          <cell r="J1752">
            <v>0</v>
          </cell>
          <cell r="P1752">
            <v>0</v>
          </cell>
          <cell r="Q1752">
            <v>0</v>
          </cell>
        </row>
        <row r="1753">
          <cell r="D1753">
            <v>0</v>
          </cell>
          <cell r="E1753">
            <v>0</v>
          </cell>
          <cell r="F1753">
            <v>0</v>
          </cell>
          <cell r="H1753">
            <v>0</v>
          </cell>
          <cell r="J1753">
            <v>0</v>
          </cell>
          <cell r="P1753">
            <v>0</v>
          </cell>
          <cell r="Q1753">
            <v>0</v>
          </cell>
        </row>
        <row r="1754">
          <cell r="D1754">
            <v>0</v>
          </cell>
          <cell r="E1754">
            <v>0</v>
          </cell>
          <cell r="F1754">
            <v>0</v>
          </cell>
          <cell r="H1754">
            <v>0</v>
          </cell>
          <cell r="J1754">
            <v>0</v>
          </cell>
          <cell r="P1754">
            <v>0</v>
          </cell>
          <cell r="Q1754">
            <v>0</v>
          </cell>
        </row>
        <row r="1755">
          <cell r="D1755">
            <v>0</v>
          </cell>
          <cell r="E1755">
            <v>0</v>
          </cell>
          <cell r="F1755">
            <v>0</v>
          </cell>
          <cell r="H1755">
            <v>0</v>
          </cell>
          <cell r="J1755">
            <v>0</v>
          </cell>
          <cell r="P1755">
            <v>0</v>
          </cell>
          <cell r="Q1755">
            <v>0</v>
          </cell>
        </row>
        <row r="1756">
          <cell r="D1756">
            <v>0</v>
          </cell>
          <cell r="E1756">
            <v>0</v>
          </cell>
          <cell r="F1756">
            <v>0</v>
          </cell>
          <cell r="H1756">
            <v>0</v>
          </cell>
          <cell r="J1756">
            <v>0</v>
          </cell>
          <cell r="P1756">
            <v>0</v>
          </cell>
          <cell r="Q1756">
            <v>0</v>
          </cell>
        </row>
        <row r="1757">
          <cell r="D1757">
            <v>0</v>
          </cell>
          <cell r="E1757">
            <v>0</v>
          </cell>
          <cell r="F1757">
            <v>0</v>
          </cell>
          <cell r="H1757">
            <v>0</v>
          </cell>
          <cell r="J1757">
            <v>0</v>
          </cell>
          <cell r="P1757">
            <v>0</v>
          </cell>
          <cell r="Q1757">
            <v>0</v>
          </cell>
        </row>
        <row r="1758">
          <cell r="D1758">
            <v>0</v>
          </cell>
          <cell r="E1758">
            <v>0</v>
          </cell>
          <cell r="F1758">
            <v>0</v>
          </cell>
          <cell r="H1758">
            <v>0</v>
          </cell>
          <cell r="J1758">
            <v>0</v>
          </cell>
          <cell r="P1758">
            <v>0</v>
          </cell>
          <cell r="Q1758">
            <v>0</v>
          </cell>
        </row>
        <row r="1759">
          <cell r="D1759">
            <v>0</v>
          </cell>
          <cell r="E1759">
            <v>0</v>
          </cell>
          <cell r="F1759">
            <v>0</v>
          </cell>
          <cell r="H1759">
            <v>0</v>
          </cell>
          <cell r="J1759">
            <v>0</v>
          </cell>
          <cell r="P1759">
            <v>0</v>
          </cell>
          <cell r="Q1759">
            <v>0</v>
          </cell>
        </row>
        <row r="1760">
          <cell r="D1760">
            <v>0</v>
          </cell>
          <cell r="E1760">
            <v>0</v>
          </cell>
          <cell r="F1760">
            <v>0</v>
          </cell>
          <cell r="H1760">
            <v>0</v>
          </cell>
          <cell r="J1760">
            <v>0</v>
          </cell>
          <cell r="P1760">
            <v>0</v>
          </cell>
          <cell r="Q1760">
            <v>0</v>
          </cell>
        </row>
        <row r="1761">
          <cell r="D1761">
            <v>0</v>
          </cell>
          <cell r="E1761">
            <v>0</v>
          </cell>
          <cell r="F1761">
            <v>0</v>
          </cell>
          <cell r="H1761">
            <v>0</v>
          </cell>
          <cell r="J1761">
            <v>0</v>
          </cell>
          <cell r="P1761">
            <v>0</v>
          </cell>
          <cell r="Q1761">
            <v>0</v>
          </cell>
        </row>
        <row r="1762">
          <cell r="D1762">
            <v>0</v>
          </cell>
          <cell r="E1762">
            <v>0</v>
          </cell>
          <cell r="F1762">
            <v>0</v>
          </cell>
          <cell r="H1762">
            <v>0</v>
          </cell>
          <cell r="J1762">
            <v>0</v>
          </cell>
          <cell r="P1762">
            <v>0</v>
          </cell>
          <cell r="Q1762">
            <v>0</v>
          </cell>
        </row>
        <row r="1763">
          <cell r="D1763">
            <v>0</v>
          </cell>
          <cell r="E1763">
            <v>0</v>
          </cell>
          <cell r="F1763">
            <v>0</v>
          </cell>
          <cell r="H1763">
            <v>0</v>
          </cell>
          <cell r="J1763">
            <v>0</v>
          </cell>
          <cell r="P1763">
            <v>0</v>
          </cell>
          <cell r="Q1763">
            <v>0</v>
          </cell>
        </row>
        <row r="1764">
          <cell r="D1764">
            <v>0</v>
          </cell>
          <cell r="E1764">
            <v>0</v>
          </cell>
          <cell r="F1764">
            <v>0</v>
          </cell>
          <cell r="H1764">
            <v>0</v>
          </cell>
          <cell r="J1764">
            <v>0</v>
          </cell>
          <cell r="P1764">
            <v>0</v>
          </cell>
          <cell r="Q1764">
            <v>0</v>
          </cell>
        </row>
        <row r="1765">
          <cell r="D1765">
            <v>0</v>
          </cell>
          <cell r="E1765">
            <v>0</v>
          </cell>
          <cell r="F1765">
            <v>0</v>
          </cell>
          <cell r="H1765">
            <v>0</v>
          </cell>
          <cell r="J1765">
            <v>0</v>
          </cell>
          <cell r="P1765">
            <v>0</v>
          </cell>
          <cell r="Q1765">
            <v>0</v>
          </cell>
        </row>
        <row r="1766">
          <cell r="D1766">
            <v>0</v>
          </cell>
          <cell r="E1766">
            <v>0</v>
          </cell>
          <cell r="F1766">
            <v>0</v>
          </cell>
          <cell r="H1766">
            <v>0</v>
          </cell>
          <cell r="J1766">
            <v>0</v>
          </cell>
          <cell r="P1766">
            <v>0</v>
          </cell>
          <cell r="Q1766">
            <v>0</v>
          </cell>
        </row>
        <row r="1767">
          <cell r="D1767">
            <v>0</v>
          </cell>
          <cell r="E1767">
            <v>0</v>
          </cell>
          <cell r="F1767">
            <v>0</v>
          </cell>
          <cell r="H1767">
            <v>0</v>
          </cell>
          <cell r="J1767">
            <v>0</v>
          </cell>
          <cell r="P1767">
            <v>0</v>
          </cell>
          <cell r="Q1767">
            <v>0</v>
          </cell>
        </row>
        <row r="1768">
          <cell r="D1768">
            <v>0</v>
          </cell>
          <cell r="E1768">
            <v>0</v>
          </cell>
          <cell r="F1768">
            <v>0</v>
          </cell>
          <cell r="H1768">
            <v>0</v>
          </cell>
          <cell r="J1768">
            <v>0</v>
          </cell>
          <cell r="P1768">
            <v>0</v>
          </cell>
          <cell r="Q1768">
            <v>0</v>
          </cell>
        </row>
        <row r="1769">
          <cell r="D1769">
            <v>0</v>
          </cell>
          <cell r="E1769">
            <v>0</v>
          </cell>
          <cell r="F1769">
            <v>0</v>
          </cell>
          <cell r="H1769">
            <v>0</v>
          </cell>
          <cell r="J1769">
            <v>0</v>
          </cell>
          <cell r="P1769">
            <v>0</v>
          </cell>
          <cell r="Q1769">
            <v>0</v>
          </cell>
        </row>
        <row r="1770">
          <cell r="D1770">
            <v>0</v>
          </cell>
          <cell r="E1770">
            <v>0</v>
          </cell>
          <cell r="F1770">
            <v>0</v>
          </cell>
          <cell r="H1770">
            <v>0</v>
          </cell>
          <cell r="J1770">
            <v>0</v>
          </cell>
          <cell r="P1770">
            <v>0</v>
          </cell>
          <cell r="Q1770">
            <v>0</v>
          </cell>
        </row>
        <row r="1771">
          <cell r="D1771">
            <v>0</v>
          </cell>
          <cell r="E1771">
            <v>0</v>
          </cell>
          <cell r="F1771">
            <v>0</v>
          </cell>
          <cell r="H1771">
            <v>0</v>
          </cell>
          <cell r="J1771">
            <v>0</v>
          </cell>
          <cell r="P1771">
            <v>0</v>
          </cell>
          <cell r="Q1771">
            <v>0</v>
          </cell>
        </row>
        <row r="1772">
          <cell r="D1772">
            <v>0</v>
          </cell>
          <cell r="E1772">
            <v>0</v>
          </cell>
          <cell r="F1772">
            <v>0</v>
          </cell>
          <cell r="H1772">
            <v>0</v>
          </cell>
          <cell r="J1772">
            <v>0</v>
          </cell>
          <cell r="P1772">
            <v>0</v>
          </cell>
          <cell r="Q1772">
            <v>0</v>
          </cell>
        </row>
        <row r="1773">
          <cell r="D1773">
            <v>0</v>
          </cell>
          <cell r="E1773">
            <v>0</v>
          </cell>
          <cell r="F1773">
            <v>0</v>
          </cell>
          <cell r="H1773">
            <v>0</v>
          </cell>
          <cell r="J1773">
            <v>0</v>
          </cell>
          <cell r="P1773">
            <v>0</v>
          </cell>
          <cell r="Q1773">
            <v>0</v>
          </cell>
        </row>
        <row r="1774">
          <cell r="D1774">
            <v>0</v>
          </cell>
          <cell r="E1774">
            <v>0</v>
          </cell>
          <cell r="F1774">
            <v>0</v>
          </cell>
          <cell r="H1774">
            <v>0</v>
          </cell>
          <cell r="J1774">
            <v>0</v>
          </cell>
          <cell r="P1774">
            <v>0</v>
          </cell>
          <cell r="Q1774">
            <v>0</v>
          </cell>
        </row>
        <row r="1775">
          <cell r="D1775">
            <v>0</v>
          </cell>
          <cell r="E1775">
            <v>0</v>
          </cell>
          <cell r="F1775">
            <v>0</v>
          </cell>
          <cell r="H1775">
            <v>0</v>
          </cell>
          <cell r="J1775">
            <v>0</v>
          </cell>
          <cell r="P1775">
            <v>0</v>
          </cell>
          <cell r="Q1775">
            <v>0</v>
          </cell>
        </row>
        <row r="1776">
          <cell r="D1776">
            <v>0</v>
          </cell>
          <cell r="E1776">
            <v>0</v>
          </cell>
          <cell r="F1776">
            <v>0</v>
          </cell>
          <cell r="H1776">
            <v>0</v>
          </cell>
          <cell r="J1776">
            <v>0</v>
          </cell>
          <cell r="P1776">
            <v>0</v>
          </cell>
          <cell r="Q1776">
            <v>0</v>
          </cell>
        </row>
        <row r="1777">
          <cell r="D1777">
            <v>0</v>
          </cell>
          <cell r="E1777">
            <v>0</v>
          </cell>
          <cell r="F1777">
            <v>0</v>
          </cell>
          <cell r="H1777">
            <v>0</v>
          </cell>
          <cell r="J1777">
            <v>0</v>
          </cell>
          <cell r="P1777">
            <v>0</v>
          </cell>
          <cell r="Q1777">
            <v>0</v>
          </cell>
        </row>
        <row r="1778">
          <cell r="D1778">
            <v>0</v>
          </cell>
          <cell r="E1778">
            <v>0</v>
          </cell>
          <cell r="F1778">
            <v>0</v>
          </cell>
          <cell r="H1778">
            <v>0</v>
          </cell>
          <cell r="J1778">
            <v>0</v>
          </cell>
          <cell r="P1778">
            <v>0</v>
          </cell>
          <cell r="Q1778">
            <v>0</v>
          </cell>
        </row>
        <row r="1779">
          <cell r="D1779">
            <v>0</v>
          </cell>
          <cell r="E1779">
            <v>0</v>
          </cell>
          <cell r="F1779">
            <v>0</v>
          </cell>
          <cell r="H1779">
            <v>0</v>
          </cell>
          <cell r="J1779">
            <v>0</v>
          </cell>
          <cell r="P1779">
            <v>0</v>
          </cell>
          <cell r="Q1779">
            <v>0</v>
          </cell>
        </row>
        <row r="1780">
          <cell r="D1780">
            <v>0</v>
          </cell>
          <cell r="E1780">
            <v>0</v>
          </cell>
          <cell r="F1780">
            <v>0</v>
          </cell>
          <cell r="H1780">
            <v>0</v>
          </cell>
          <cell r="J1780">
            <v>0</v>
          </cell>
          <cell r="P1780">
            <v>0</v>
          </cell>
          <cell r="Q1780">
            <v>0</v>
          </cell>
        </row>
        <row r="1781">
          <cell r="D1781">
            <v>0</v>
          </cell>
          <cell r="E1781">
            <v>0</v>
          </cell>
          <cell r="F1781">
            <v>0</v>
          </cell>
          <cell r="H1781">
            <v>0</v>
          </cell>
          <cell r="J1781">
            <v>0</v>
          </cell>
          <cell r="P1781">
            <v>0</v>
          </cell>
          <cell r="Q1781">
            <v>0</v>
          </cell>
        </row>
        <row r="1782">
          <cell r="D1782">
            <v>0</v>
          </cell>
          <cell r="E1782">
            <v>0</v>
          </cell>
          <cell r="F1782">
            <v>0</v>
          </cell>
          <cell r="H1782">
            <v>0</v>
          </cell>
          <cell r="J1782">
            <v>0</v>
          </cell>
          <cell r="P1782">
            <v>0</v>
          </cell>
          <cell r="Q1782">
            <v>0</v>
          </cell>
        </row>
        <row r="1783">
          <cell r="D1783">
            <v>0</v>
          </cell>
          <cell r="E1783">
            <v>0</v>
          </cell>
          <cell r="F1783">
            <v>0</v>
          </cell>
          <cell r="H1783">
            <v>0</v>
          </cell>
          <cell r="J1783">
            <v>0</v>
          </cell>
          <cell r="P1783">
            <v>0</v>
          </cell>
          <cell r="Q1783">
            <v>0</v>
          </cell>
        </row>
        <row r="1784">
          <cell r="D1784">
            <v>0</v>
          </cell>
          <cell r="E1784">
            <v>0</v>
          </cell>
          <cell r="F1784">
            <v>0</v>
          </cell>
          <cell r="H1784">
            <v>0</v>
          </cell>
          <cell r="J1784">
            <v>0</v>
          </cell>
          <cell r="P1784">
            <v>0</v>
          </cell>
          <cell r="Q1784">
            <v>0</v>
          </cell>
        </row>
        <row r="1785">
          <cell r="D1785">
            <v>0</v>
          </cell>
          <cell r="E1785">
            <v>0</v>
          </cell>
          <cell r="F1785">
            <v>0</v>
          </cell>
          <cell r="H1785">
            <v>0</v>
          </cell>
          <cell r="J1785">
            <v>0</v>
          </cell>
          <cell r="P1785">
            <v>0</v>
          </cell>
          <cell r="Q1785">
            <v>0</v>
          </cell>
        </row>
        <row r="1786">
          <cell r="D1786">
            <v>0</v>
          </cell>
          <cell r="E1786">
            <v>0</v>
          </cell>
          <cell r="F1786">
            <v>0</v>
          </cell>
          <cell r="H1786">
            <v>0</v>
          </cell>
          <cell r="J1786">
            <v>0</v>
          </cell>
          <cell r="P1786">
            <v>0</v>
          </cell>
          <cell r="Q1786">
            <v>0</v>
          </cell>
        </row>
        <row r="1787">
          <cell r="D1787">
            <v>0</v>
          </cell>
          <cell r="E1787">
            <v>0</v>
          </cell>
          <cell r="F1787">
            <v>0</v>
          </cell>
          <cell r="H1787">
            <v>0</v>
          </cell>
          <cell r="J1787">
            <v>0</v>
          </cell>
          <cell r="P1787">
            <v>0</v>
          </cell>
          <cell r="Q1787">
            <v>0</v>
          </cell>
        </row>
        <row r="1788">
          <cell r="D1788">
            <v>0</v>
          </cell>
          <cell r="E1788">
            <v>0</v>
          </cell>
          <cell r="F1788">
            <v>0</v>
          </cell>
          <cell r="H1788">
            <v>0</v>
          </cell>
          <cell r="J1788">
            <v>0</v>
          </cell>
          <cell r="P1788">
            <v>0</v>
          </cell>
          <cell r="Q1788">
            <v>0</v>
          </cell>
        </row>
        <row r="1789">
          <cell r="D1789">
            <v>0</v>
          </cell>
          <cell r="E1789">
            <v>0</v>
          </cell>
          <cell r="F1789">
            <v>0</v>
          </cell>
          <cell r="H1789">
            <v>0</v>
          </cell>
          <cell r="J1789">
            <v>0</v>
          </cell>
          <cell r="P1789">
            <v>0</v>
          </cell>
          <cell r="Q1789">
            <v>0</v>
          </cell>
        </row>
        <row r="1790">
          <cell r="D1790">
            <v>0</v>
          </cell>
          <cell r="E1790">
            <v>0</v>
          </cell>
          <cell r="F1790">
            <v>0</v>
          </cell>
          <cell r="H1790">
            <v>0</v>
          </cell>
          <cell r="J1790">
            <v>0</v>
          </cell>
          <cell r="P1790">
            <v>0</v>
          </cell>
          <cell r="Q1790">
            <v>0</v>
          </cell>
        </row>
        <row r="1791">
          <cell r="D1791">
            <v>0</v>
          </cell>
          <cell r="E1791">
            <v>0</v>
          </cell>
          <cell r="F1791">
            <v>0</v>
          </cell>
          <cell r="H1791">
            <v>0</v>
          </cell>
          <cell r="J1791">
            <v>0</v>
          </cell>
          <cell r="P1791">
            <v>0</v>
          </cell>
          <cell r="Q1791">
            <v>0</v>
          </cell>
        </row>
        <row r="1792">
          <cell r="D1792">
            <v>0</v>
          </cell>
          <cell r="E1792">
            <v>0</v>
          </cell>
          <cell r="F1792">
            <v>0</v>
          </cell>
          <cell r="H1792">
            <v>0</v>
          </cell>
          <cell r="J1792">
            <v>0</v>
          </cell>
          <cell r="P1792">
            <v>0</v>
          </cell>
          <cell r="Q1792">
            <v>0</v>
          </cell>
        </row>
        <row r="1793">
          <cell r="D1793">
            <v>0</v>
          </cell>
          <cell r="E1793">
            <v>0</v>
          </cell>
          <cell r="F1793">
            <v>0</v>
          </cell>
          <cell r="H1793">
            <v>0</v>
          </cell>
          <cell r="J1793">
            <v>0</v>
          </cell>
          <cell r="P1793">
            <v>0</v>
          </cell>
          <cell r="Q1793">
            <v>0</v>
          </cell>
        </row>
        <row r="1794">
          <cell r="D1794">
            <v>0</v>
          </cell>
          <cell r="E1794">
            <v>0</v>
          </cell>
          <cell r="F1794">
            <v>0</v>
          </cell>
          <cell r="H1794">
            <v>0</v>
          </cell>
          <cell r="J1794">
            <v>0</v>
          </cell>
          <cell r="P1794">
            <v>0</v>
          </cell>
          <cell r="Q1794">
            <v>0</v>
          </cell>
        </row>
        <row r="1795">
          <cell r="D1795">
            <v>0</v>
          </cell>
          <cell r="E1795">
            <v>0</v>
          </cell>
          <cell r="F1795">
            <v>0</v>
          </cell>
          <cell r="H1795">
            <v>0</v>
          </cell>
          <cell r="J1795">
            <v>0</v>
          </cell>
          <cell r="P1795">
            <v>0</v>
          </cell>
          <cell r="Q1795">
            <v>0</v>
          </cell>
        </row>
        <row r="1796">
          <cell r="D1796">
            <v>0</v>
          </cell>
          <cell r="E1796">
            <v>0</v>
          </cell>
          <cell r="F1796">
            <v>0</v>
          </cell>
          <cell r="H1796">
            <v>0</v>
          </cell>
          <cell r="J1796">
            <v>0</v>
          </cell>
          <cell r="P1796">
            <v>0</v>
          </cell>
          <cell r="Q1796">
            <v>0</v>
          </cell>
        </row>
        <row r="1797">
          <cell r="D1797">
            <v>0</v>
          </cell>
          <cell r="E1797">
            <v>0</v>
          </cell>
          <cell r="F1797">
            <v>0</v>
          </cell>
          <cell r="H1797">
            <v>0</v>
          </cell>
          <cell r="J1797">
            <v>0</v>
          </cell>
          <cell r="P1797">
            <v>0</v>
          </cell>
          <cell r="Q1797">
            <v>0</v>
          </cell>
        </row>
        <row r="1798">
          <cell r="D1798">
            <v>0</v>
          </cell>
          <cell r="E1798">
            <v>0</v>
          </cell>
          <cell r="F1798">
            <v>0</v>
          </cell>
          <cell r="H1798">
            <v>0</v>
          </cell>
          <cell r="J1798">
            <v>0</v>
          </cell>
          <cell r="P1798">
            <v>0</v>
          </cell>
          <cell r="Q1798">
            <v>0</v>
          </cell>
        </row>
        <row r="1799">
          <cell r="D1799">
            <v>0</v>
          </cell>
          <cell r="E1799">
            <v>0</v>
          </cell>
          <cell r="F1799">
            <v>0</v>
          </cell>
          <cell r="H1799">
            <v>0</v>
          </cell>
          <cell r="J1799">
            <v>0</v>
          </cell>
          <cell r="P1799">
            <v>0</v>
          </cell>
          <cell r="Q1799">
            <v>0</v>
          </cell>
        </row>
        <row r="1800">
          <cell r="D1800">
            <v>0</v>
          </cell>
          <cell r="E1800">
            <v>0</v>
          </cell>
          <cell r="F1800">
            <v>0</v>
          </cell>
          <cell r="H1800">
            <v>0</v>
          </cell>
          <cell r="J1800">
            <v>0</v>
          </cell>
          <cell r="P1800">
            <v>0</v>
          </cell>
          <cell r="Q1800">
            <v>0</v>
          </cell>
        </row>
        <row r="1801">
          <cell r="D1801">
            <v>0</v>
          </cell>
          <cell r="E1801">
            <v>0</v>
          </cell>
          <cell r="F1801">
            <v>0</v>
          </cell>
          <cell r="H1801">
            <v>0</v>
          </cell>
          <cell r="J1801">
            <v>0</v>
          </cell>
          <cell r="P1801">
            <v>0</v>
          </cell>
          <cell r="Q1801">
            <v>0</v>
          </cell>
        </row>
        <row r="1802">
          <cell r="D1802">
            <v>0</v>
          </cell>
          <cell r="E1802">
            <v>0</v>
          </cell>
          <cell r="F1802">
            <v>0</v>
          </cell>
          <cell r="H1802">
            <v>0</v>
          </cell>
          <cell r="J1802">
            <v>0</v>
          </cell>
          <cell r="P1802">
            <v>0</v>
          </cell>
          <cell r="Q1802">
            <v>0</v>
          </cell>
        </row>
        <row r="1803">
          <cell r="D1803">
            <v>0</v>
          </cell>
          <cell r="E1803">
            <v>0</v>
          </cell>
          <cell r="F1803">
            <v>0</v>
          </cell>
          <cell r="H1803">
            <v>0</v>
          </cell>
          <cell r="J1803">
            <v>0</v>
          </cell>
          <cell r="P1803">
            <v>0</v>
          </cell>
          <cell r="Q1803">
            <v>0</v>
          </cell>
        </row>
        <row r="1804">
          <cell r="D1804">
            <v>0</v>
          </cell>
          <cell r="E1804">
            <v>0</v>
          </cell>
          <cell r="F1804">
            <v>0</v>
          </cell>
          <cell r="H1804">
            <v>0</v>
          </cell>
          <cell r="J1804">
            <v>0</v>
          </cell>
          <cell r="P1804">
            <v>0</v>
          </cell>
          <cell r="Q1804">
            <v>0</v>
          </cell>
        </row>
        <row r="1805">
          <cell r="D1805">
            <v>0</v>
          </cell>
          <cell r="E1805">
            <v>0</v>
          </cell>
          <cell r="F1805">
            <v>0</v>
          </cell>
          <cell r="H1805">
            <v>0</v>
          </cell>
          <cell r="J1805">
            <v>0</v>
          </cell>
          <cell r="P1805">
            <v>0</v>
          </cell>
          <cell r="Q1805">
            <v>0</v>
          </cell>
        </row>
        <row r="1806">
          <cell r="D1806">
            <v>0</v>
          </cell>
          <cell r="E1806">
            <v>0</v>
          </cell>
          <cell r="F1806">
            <v>0</v>
          </cell>
          <cell r="H1806">
            <v>0</v>
          </cell>
          <cell r="J1806">
            <v>0</v>
          </cell>
          <cell r="P1806">
            <v>0</v>
          </cell>
          <cell r="Q1806">
            <v>0</v>
          </cell>
        </row>
        <row r="1807">
          <cell r="D1807">
            <v>0</v>
          </cell>
          <cell r="E1807">
            <v>0</v>
          </cell>
          <cell r="F1807">
            <v>0</v>
          </cell>
          <cell r="H1807">
            <v>0</v>
          </cell>
          <cell r="J1807">
            <v>0</v>
          </cell>
          <cell r="P1807">
            <v>0</v>
          </cell>
          <cell r="Q1807">
            <v>0</v>
          </cell>
        </row>
        <row r="1808">
          <cell r="D1808">
            <v>0</v>
          </cell>
          <cell r="E1808">
            <v>0</v>
          </cell>
          <cell r="F1808">
            <v>0</v>
          </cell>
          <cell r="H1808">
            <v>0</v>
          </cell>
          <cell r="J1808">
            <v>0</v>
          </cell>
          <cell r="P1808">
            <v>0</v>
          </cell>
          <cell r="Q1808">
            <v>0</v>
          </cell>
        </row>
        <row r="1809">
          <cell r="D1809">
            <v>0</v>
          </cell>
          <cell r="E1809">
            <v>0</v>
          </cell>
          <cell r="F1809">
            <v>0</v>
          </cell>
          <cell r="H1809">
            <v>0</v>
          </cell>
          <cell r="J1809">
            <v>0</v>
          </cell>
          <cell r="P1809">
            <v>0</v>
          </cell>
          <cell r="Q1809">
            <v>0</v>
          </cell>
        </row>
        <row r="1810">
          <cell r="D1810">
            <v>0</v>
          </cell>
          <cell r="E1810">
            <v>0</v>
          </cell>
          <cell r="F1810">
            <v>0</v>
          </cell>
          <cell r="H1810">
            <v>0</v>
          </cell>
          <cell r="J1810">
            <v>0</v>
          </cell>
          <cell r="P1810">
            <v>0</v>
          </cell>
          <cell r="Q1810">
            <v>0</v>
          </cell>
        </row>
        <row r="1811">
          <cell r="D1811">
            <v>0</v>
          </cell>
          <cell r="E1811">
            <v>0</v>
          </cell>
          <cell r="F1811">
            <v>0</v>
          </cell>
          <cell r="H1811">
            <v>0</v>
          </cell>
          <cell r="J1811">
            <v>0</v>
          </cell>
          <cell r="P1811">
            <v>0</v>
          </cell>
          <cell r="Q1811">
            <v>0</v>
          </cell>
        </row>
        <row r="1812">
          <cell r="D1812">
            <v>0</v>
          </cell>
          <cell r="E1812">
            <v>0</v>
          </cell>
          <cell r="F1812">
            <v>0</v>
          </cell>
          <cell r="H1812">
            <v>0</v>
          </cell>
          <cell r="J1812">
            <v>0</v>
          </cell>
          <cell r="P1812">
            <v>0</v>
          </cell>
          <cell r="Q1812">
            <v>0</v>
          </cell>
        </row>
        <row r="1813">
          <cell r="D1813">
            <v>0</v>
          </cell>
          <cell r="E1813">
            <v>0</v>
          </cell>
          <cell r="F1813">
            <v>0</v>
          </cell>
          <cell r="H1813">
            <v>0</v>
          </cell>
          <cell r="J1813">
            <v>0</v>
          </cell>
          <cell r="P1813">
            <v>0</v>
          </cell>
          <cell r="Q1813">
            <v>0</v>
          </cell>
        </row>
        <row r="1814">
          <cell r="D1814">
            <v>0</v>
          </cell>
          <cell r="E1814">
            <v>0</v>
          </cell>
          <cell r="F1814">
            <v>0</v>
          </cell>
          <cell r="H1814">
            <v>0</v>
          </cell>
          <cell r="J1814">
            <v>0</v>
          </cell>
          <cell r="P1814">
            <v>0</v>
          </cell>
          <cell r="Q1814">
            <v>0</v>
          </cell>
        </row>
        <row r="1815">
          <cell r="D1815">
            <v>0</v>
          </cell>
          <cell r="E1815">
            <v>0</v>
          </cell>
          <cell r="F1815">
            <v>0</v>
          </cell>
          <cell r="H1815">
            <v>0</v>
          </cell>
          <cell r="J1815">
            <v>0</v>
          </cell>
          <cell r="P1815">
            <v>0</v>
          </cell>
          <cell r="Q1815">
            <v>0</v>
          </cell>
        </row>
        <row r="1816">
          <cell r="D1816">
            <v>0</v>
          </cell>
          <cell r="E1816">
            <v>0</v>
          </cell>
          <cell r="F1816">
            <v>0</v>
          </cell>
          <cell r="H1816">
            <v>0</v>
          </cell>
          <cell r="J1816">
            <v>0</v>
          </cell>
          <cell r="P1816">
            <v>0</v>
          </cell>
          <cell r="Q1816">
            <v>0</v>
          </cell>
        </row>
        <row r="1817">
          <cell r="D1817">
            <v>0</v>
          </cell>
          <cell r="E1817">
            <v>0</v>
          </cell>
          <cell r="F1817">
            <v>0</v>
          </cell>
          <cell r="H1817">
            <v>0</v>
          </cell>
          <cell r="J1817">
            <v>0</v>
          </cell>
          <cell r="P1817">
            <v>0</v>
          </cell>
          <cell r="Q1817">
            <v>0</v>
          </cell>
        </row>
        <row r="1818">
          <cell r="D1818">
            <v>0</v>
          </cell>
          <cell r="E1818">
            <v>0</v>
          </cell>
          <cell r="F1818">
            <v>0</v>
          </cell>
          <cell r="H1818">
            <v>0</v>
          </cell>
          <cell r="J1818">
            <v>0</v>
          </cell>
          <cell r="P1818">
            <v>0</v>
          </cell>
          <cell r="Q1818">
            <v>0</v>
          </cell>
        </row>
        <row r="1819">
          <cell r="D1819">
            <v>0</v>
          </cell>
          <cell r="E1819">
            <v>0</v>
          </cell>
          <cell r="F1819">
            <v>0</v>
          </cell>
          <cell r="H1819">
            <v>0</v>
          </cell>
          <cell r="J1819">
            <v>0</v>
          </cell>
          <cell r="P1819">
            <v>0</v>
          </cell>
          <cell r="Q1819">
            <v>0</v>
          </cell>
        </row>
        <row r="1820">
          <cell r="D1820">
            <v>0</v>
          </cell>
          <cell r="E1820">
            <v>0</v>
          </cell>
          <cell r="F1820">
            <v>0</v>
          </cell>
          <cell r="H1820">
            <v>0</v>
          </cell>
          <cell r="J1820">
            <v>0</v>
          </cell>
          <cell r="P1820">
            <v>0</v>
          </cell>
          <cell r="Q1820">
            <v>0</v>
          </cell>
        </row>
        <row r="1821">
          <cell r="D1821">
            <v>0</v>
          </cell>
          <cell r="E1821">
            <v>0</v>
          </cell>
          <cell r="F1821">
            <v>0</v>
          </cell>
          <cell r="H1821">
            <v>0</v>
          </cell>
          <cell r="J1821">
            <v>0</v>
          </cell>
          <cell r="P1821">
            <v>0</v>
          </cell>
          <cell r="Q1821">
            <v>0</v>
          </cell>
        </row>
        <row r="1822">
          <cell r="D1822">
            <v>0</v>
          </cell>
          <cell r="E1822">
            <v>0</v>
          </cell>
          <cell r="F1822">
            <v>0</v>
          </cell>
          <cell r="H1822">
            <v>0</v>
          </cell>
          <cell r="J1822">
            <v>0</v>
          </cell>
          <cell r="P1822">
            <v>0</v>
          </cell>
          <cell r="Q1822">
            <v>0</v>
          </cell>
        </row>
        <row r="1823">
          <cell r="D1823">
            <v>0</v>
          </cell>
          <cell r="E1823">
            <v>0</v>
          </cell>
          <cell r="F1823">
            <v>0</v>
          </cell>
          <cell r="H1823">
            <v>0</v>
          </cell>
          <cell r="J1823">
            <v>0</v>
          </cell>
          <cell r="P1823">
            <v>0</v>
          </cell>
          <cell r="Q1823">
            <v>0</v>
          </cell>
        </row>
        <row r="1824">
          <cell r="D1824">
            <v>0</v>
          </cell>
          <cell r="E1824">
            <v>0</v>
          </cell>
          <cell r="F1824">
            <v>0</v>
          </cell>
          <cell r="H1824">
            <v>0</v>
          </cell>
          <cell r="J1824">
            <v>0</v>
          </cell>
          <cell r="P1824">
            <v>0</v>
          </cell>
          <cell r="Q1824">
            <v>0</v>
          </cell>
        </row>
        <row r="1825">
          <cell r="D1825">
            <v>0</v>
          </cell>
          <cell r="E1825">
            <v>0</v>
          </cell>
          <cell r="F1825">
            <v>0</v>
          </cell>
          <cell r="H1825">
            <v>0</v>
          </cell>
          <cell r="J1825">
            <v>0</v>
          </cell>
          <cell r="P1825">
            <v>0</v>
          </cell>
          <cell r="Q1825">
            <v>0</v>
          </cell>
        </row>
        <row r="1826">
          <cell r="D1826">
            <v>0</v>
          </cell>
          <cell r="E1826">
            <v>0</v>
          </cell>
          <cell r="F1826">
            <v>0</v>
          </cell>
          <cell r="H1826">
            <v>0</v>
          </cell>
          <cell r="J1826">
            <v>0</v>
          </cell>
          <cell r="P1826">
            <v>0</v>
          </cell>
          <cell r="Q1826">
            <v>0</v>
          </cell>
        </row>
        <row r="1827">
          <cell r="D1827">
            <v>0</v>
          </cell>
          <cell r="E1827">
            <v>0</v>
          </cell>
          <cell r="F1827">
            <v>0</v>
          </cell>
          <cell r="H1827">
            <v>0</v>
          </cell>
          <cell r="J1827">
            <v>0</v>
          </cell>
          <cell r="P1827">
            <v>0</v>
          </cell>
          <cell r="Q1827">
            <v>0</v>
          </cell>
        </row>
        <row r="1828">
          <cell r="D1828">
            <v>0</v>
          </cell>
          <cell r="E1828">
            <v>0</v>
          </cell>
          <cell r="F1828">
            <v>0</v>
          </cell>
          <cell r="H1828">
            <v>0</v>
          </cell>
          <cell r="J1828">
            <v>0</v>
          </cell>
          <cell r="P1828">
            <v>0</v>
          </cell>
          <cell r="Q1828">
            <v>0</v>
          </cell>
        </row>
        <row r="1829">
          <cell r="D1829">
            <v>0</v>
          </cell>
          <cell r="E1829">
            <v>0</v>
          </cell>
          <cell r="F1829">
            <v>0</v>
          </cell>
          <cell r="H1829">
            <v>0</v>
          </cell>
          <cell r="J1829">
            <v>0</v>
          </cell>
          <cell r="P1829">
            <v>0</v>
          </cell>
          <cell r="Q1829">
            <v>0</v>
          </cell>
        </row>
        <row r="1830">
          <cell r="D1830">
            <v>0</v>
          </cell>
          <cell r="E1830">
            <v>0</v>
          </cell>
          <cell r="F1830">
            <v>0</v>
          </cell>
          <cell r="H1830">
            <v>0</v>
          </cell>
          <cell r="J1830">
            <v>0</v>
          </cell>
          <cell r="P1830">
            <v>0</v>
          </cell>
          <cell r="Q1830">
            <v>0</v>
          </cell>
        </row>
        <row r="1831">
          <cell r="D1831">
            <v>0</v>
          </cell>
          <cell r="E1831">
            <v>0</v>
          </cell>
          <cell r="F1831">
            <v>0</v>
          </cell>
          <cell r="H1831">
            <v>0</v>
          </cell>
          <cell r="J1831">
            <v>0</v>
          </cell>
          <cell r="P1831">
            <v>0</v>
          </cell>
          <cell r="Q1831">
            <v>0</v>
          </cell>
        </row>
        <row r="1832">
          <cell r="D1832">
            <v>0</v>
          </cell>
          <cell r="E1832">
            <v>0</v>
          </cell>
          <cell r="F1832">
            <v>0</v>
          </cell>
          <cell r="H1832">
            <v>0</v>
          </cell>
          <cell r="J1832">
            <v>0</v>
          </cell>
          <cell r="P1832">
            <v>0</v>
          </cell>
          <cell r="Q1832">
            <v>0</v>
          </cell>
        </row>
        <row r="1833">
          <cell r="D1833">
            <v>0</v>
          </cell>
          <cell r="E1833">
            <v>0</v>
          </cell>
          <cell r="F1833">
            <v>0</v>
          </cell>
          <cell r="H1833">
            <v>0</v>
          </cell>
          <cell r="J1833">
            <v>0</v>
          </cell>
          <cell r="P1833">
            <v>0</v>
          </cell>
          <cell r="Q1833">
            <v>0</v>
          </cell>
        </row>
        <row r="1834">
          <cell r="D1834">
            <v>0</v>
          </cell>
          <cell r="E1834">
            <v>0</v>
          </cell>
          <cell r="F1834">
            <v>0</v>
          </cell>
          <cell r="H1834">
            <v>0</v>
          </cell>
          <cell r="J1834">
            <v>0</v>
          </cell>
          <cell r="P1834">
            <v>0</v>
          </cell>
          <cell r="Q1834">
            <v>0</v>
          </cell>
        </row>
        <row r="1835">
          <cell r="D1835">
            <v>0</v>
          </cell>
          <cell r="E1835">
            <v>0</v>
          </cell>
          <cell r="F1835">
            <v>0</v>
          </cell>
          <cell r="H1835">
            <v>0</v>
          </cell>
          <cell r="J1835">
            <v>0</v>
          </cell>
          <cell r="P1835">
            <v>0</v>
          </cell>
          <cell r="Q1835">
            <v>0</v>
          </cell>
        </row>
        <row r="1836">
          <cell r="D1836">
            <v>0</v>
          </cell>
          <cell r="E1836">
            <v>0</v>
          </cell>
          <cell r="F1836">
            <v>0</v>
          </cell>
          <cell r="H1836">
            <v>0</v>
          </cell>
          <cell r="J1836">
            <v>0</v>
          </cell>
          <cell r="P1836">
            <v>0</v>
          </cell>
          <cell r="Q1836">
            <v>0</v>
          </cell>
        </row>
        <row r="1837">
          <cell r="D1837">
            <v>0</v>
          </cell>
          <cell r="E1837">
            <v>0</v>
          </cell>
          <cell r="F1837">
            <v>0</v>
          </cell>
          <cell r="H1837">
            <v>0</v>
          </cell>
          <cell r="J1837">
            <v>0</v>
          </cell>
          <cell r="P1837">
            <v>0</v>
          </cell>
          <cell r="Q1837">
            <v>0</v>
          </cell>
        </row>
        <row r="1838">
          <cell r="D1838">
            <v>0</v>
          </cell>
          <cell r="E1838">
            <v>0</v>
          </cell>
          <cell r="F1838">
            <v>0</v>
          </cell>
          <cell r="H1838">
            <v>0</v>
          </cell>
          <cell r="J1838">
            <v>0</v>
          </cell>
          <cell r="P1838">
            <v>0</v>
          </cell>
          <cell r="Q1838">
            <v>0</v>
          </cell>
        </row>
        <row r="1839">
          <cell r="D1839">
            <v>0</v>
          </cell>
          <cell r="E1839">
            <v>0</v>
          </cell>
          <cell r="F1839">
            <v>0</v>
          </cell>
          <cell r="H1839">
            <v>0</v>
          </cell>
          <cell r="J1839">
            <v>0</v>
          </cell>
          <cell r="P1839">
            <v>0</v>
          </cell>
          <cell r="Q1839">
            <v>0</v>
          </cell>
        </row>
        <row r="1840">
          <cell r="D1840">
            <v>0</v>
          </cell>
          <cell r="E1840">
            <v>0</v>
          </cell>
          <cell r="F1840">
            <v>0</v>
          </cell>
          <cell r="H1840">
            <v>0</v>
          </cell>
          <cell r="J1840">
            <v>0</v>
          </cell>
          <cell r="P1840">
            <v>0</v>
          </cell>
          <cell r="Q1840">
            <v>0</v>
          </cell>
        </row>
        <row r="1841">
          <cell r="D1841">
            <v>0</v>
          </cell>
          <cell r="E1841">
            <v>0</v>
          </cell>
          <cell r="F1841">
            <v>0</v>
          </cell>
          <cell r="H1841">
            <v>0</v>
          </cell>
          <cell r="J1841">
            <v>0</v>
          </cell>
          <cell r="P1841">
            <v>0</v>
          </cell>
          <cell r="Q1841">
            <v>0</v>
          </cell>
        </row>
        <row r="1842">
          <cell r="D1842">
            <v>0</v>
          </cell>
          <cell r="E1842">
            <v>0</v>
          </cell>
          <cell r="F1842">
            <v>0</v>
          </cell>
          <cell r="H1842">
            <v>0</v>
          </cell>
          <cell r="J1842">
            <v>0</v>
          </cell>
          <cell r="P1842">
            <v>0</v>
          </cell>
          <cell r="Q1842">
            <v>0</v>
          </cell>
        </row>
        <row r="1843">
          <cell r="D1843">
            <v>0</v>
          </cell>
          <cell r="E1843">
            <v>0</v>
          </cell>
          <cell r="F1843">
            <v>0</v>
          </cell>
          <cell r="H1843">
            <v>0</v>
          </cell>
          <cell r="J1843">
            <v>0</v>
          </cell>
          <cell r="P1843">
            <v>0</v>
          </cell>
          <cell r="Q1843">
            <v>0</v>
          </cell>
        </row>
        <row r="1844">
          <cell r="D1844">
            <v>0</v>
          </cell>
          <cell r="E1844">
            <v>0</v>
          </cell>
          <cell r="F1844">
            <v>0</v>
          </cell>
          <cell r="H1844">
            <v>0</v>
          </cell>
          <cell r="J1844">
            <v>0</v>
          </cell>
          <cell r="P1844">
            <v>0</v>
          </cell>
          <cell r="Q1844">
            <v>0</v>
          </cell>
        </row>
        <row r="1845">
          <cell r="D1845">
            <v>0</v>
          </cell>
          <cell r="E1845">
            <v>0</v>
          </cell>
          <cell r="F1845">
            <v>0</v>
          </cell>
          <cell r="H1845">
            <v>0</v>
          </cell>
          <cell r="J1845">
            <v>0</v>
          </cell>
          <cell r="P1845">
            <v>0</v>
          </cell>
          <cell r="Q1845">
            <v>0</v>
          </cell>
        </row>
        <row r="1846">
          <cell r="D1846">
            <v>0</v>
          </cell>
          <cell r="E1846">
            <v>0</v>
          </cell>
          <cell r="F1846">
            <v>0</v>
          </cell>
          <cell r="H1846">
            <v>0</v>
          </cell>
          <cell r="J1846">
            <v>0</v>
          </cell>
          <cell r="P1846">
            <v>0</v>
          </cell>
          <cell r="Q1846">
            <v>0</v>
          </cell>
        </row>
        <row r="1847">
          <cell r="D1847">
            <v>0</v>
          </cell>
          <cell r="E1847">
            <v>0</v>
          </cell>
          <cell r="F1847">
            <v>0</v>
          </cell>
          <cell r="H1847">
            <v>0</v>
          </cell>
          <cell r="J1847">
            <v>0</v>
          </cell>
          <cell r="P1847">
            <v>0</v>
          </cell>
          <cell r="Q1847">
            <v>0</v>
          </cell>
        </row>
        <row r="1848">
          <cell r="D1848">
            <v>0</v>
          </cell>
          <cell r="E1848">
            <v>0</v>
          </cell>
          <cell r="F1848">
            <v>0</v>
          </cell>
          <cell r="H1848">
            <v>0</v>
          </cell>
          <cell r="J1848">
            <v>0</v>
          </cell>
          <cell r="P1848">
            <v>0</v>
          </cell>
          <cell r="Q1848">
            <v>0</v>
          </cell>
        </row>
        <row r="1849">
          <cell r="D1849">
            <v>0</v>
          </cell>
          <cell r="E1849">
            <v>0</v>
          </cell>
          <cell r="F1849">
            <v>0</v>
          </cell>
          <cell r="H1849">
            <v>0</v>
          </cell>
          <cell r="J1849">
            <v>0</v>
          </cell>
          <cell r="P1849">
            <v>0</v>
          </cell>
          <cell r="Q1849">
            <v>0</v>
          </cell>
        </row>
        <row r="1850">
          <cell r="D1850">
            <v>0</v>
          </cell>
          <cell r="E1850">
            <v>0</v>
          </cell>
          <cell r="F1850">
            <v>0</v>
          </cell>
          <cell r="H1850">
            <v>0</v>
          </cell>
          <cell r="J1850">
            <v>0</v>
          </cell>
          <cell r="P1850">
            <v>0</v>
          </cell>
          <cell r="Q1850">
            <v>0</v>
          </cell>
        </row>
        <row r="1851">
          <cell r="D1851">
            <v>0</v>
          </cell>
          <cell r="E1851">
            <v>0</v>
          </cell>
          <cell r="F1851">
            <v>0</v>
          </cell>
          <cell r="H1851">
            <v>0</v>
          </cell>
          <cell r="J1851">
            <v>0</v>
          </cell>
          <cell r="P1851">
            <v>0</v>
          </cell>
          <cell r="Q1851">
            <v>0</v>
          </cell>
        </row>
        <row r="1852">
          <cell r="D1852">
            <v>0</v>
          </cell>
          <cell r="E1852">
            <v>0</v>
          </cell>
          <cell r="F1852">
            <v>0</v>
          </cell>
          <cell r="H1852">
            <v>0</v>
          </cell>
          <cell r="J1852">
            <v>0</v>
          </cell>
          <cell r="P1852">
            <v>0</v>
          </cell>
          <cell r="Q1852">
            <v>0</v>
          </cell>
        </row>
        <row r="1853">
          <cell r="D1853">
            <v>0</v>
          </cell>
          <cell r="E1853">
            <v>0</v>
          </cell>
          <cell r="F1853">
            <v>0</v>
          </cell>
          <cell r="H1853">
            <v>0</v>
          </cell>
          <cell r="J1853">
            <v>0</v>
          </cell>
          <cell r="P1853">
            <v>0</v>
          </cell>
          <cell r="Q1853">
            <v>0</v>
          </cell>
        </row>
        <row r="1854">
          <cell r="D1854">
            <v>0</v>
          </cell>
          <cell r="E1854">
            <v>0</v>
          </cell>
          <cell r="F1854">
            <v>0</v>
          </cell>
          <cell r="H1854">
            <v>0</v>
          </cell>
          <cell r="J1854">
            <v>0</v>
          </cell>
          <cell r="P1854">
            <v>0</v>
          </cell>
          <cell r="Q1854">
            <v>0</v>
          </cell>
        </row>
        <row r="1855">
          <cell r="D1855">
            <v>0</v>
          </cell>
          <cell r="E1855">
            <v>0</v>
          </cell>
          <cell r="F1855">
            <v>0</v>
          </cell>
          <cell r="H1855">
            <v>0</v>
          </cell>
          <cell r="J1855">
            <v>0</v>
          </cell>
          <cell r="P1855">
            <v>0</v>
          </cell>
          <cell r="Q1855">
            <v>0</v>
          </cell>
        </row>
        <row r="1856">
          <cell r="D1856">
            <v>0</v>
          </cell>
          <cell r="E1856">
            <v>0</v>
          </cell>
          <cell r="F1856">
            <v>0</v>
          </cell>
          <cell r="H1856">
            <v>0</v>
          </cell>
          <cell r="J1856">
            <v>0</v>
          </cell>
          <cell r="P1856">
            <v>0</v>
          </cell>
          <cell r="Q1856">
            <v>0</v>
          </cell>
        </row>
        <row r="1857">
          <cell r="D1857">
            <v>0</v>
          </cell>
          <cell r="E1857">
            <v>0</v>
          </cell>
          <cell r="F1857">
            <v>0</v>
          </cell>
          <cell r="H1857">
            <v>0</v>
          </cell>
          <cell r="J1857">
            <v>0</v>
          </cell>
          <cell r="P1857">
            <v>0</v>
          </cell>
          <cell r="Q1857">
            <v>0</v>
          </cell>
        </row>
        <row r="1858">
          <cell r="D1858">
            <v>0</v>
          </cell>
          <cell r="E1858">
            <v>0</v>
          </cell>
          <cell r="F1858">
            <v>0</v>
          </cell>
          <cell r="H1858">
            <v>0</v>
          </cell>
          <cell r="J1858">
            <v>0</v>
          </cell>
          <cell r="P1858">
            <v>0</v>
          </cell>
          <cell r="Q1858">
            <v>0</v>
          </cell>
        </row>
        <row r="1859">
          <cell r="D1859">
            <v>0</v>
          </cell>
          <cell r="E1859">
            <v>0</v>
          </cell>
          <cell r="F1859">
            <v>0</v>
          </cell>
          <cell r="H1859">
            <v>0</v>
          </cell>
          <cell r="J1859">
            <v>0</v>
          </cell>
          <cell r="P1859">
            <v>0</v>
          </cell>
          <cell r="Q1859">
            <v>0</v>
          </cell>
        </row>
        <row r="1860">
          <cell r="D1860">
            <v>0</v>
          </cell>
          <cell r="E1860">
            <v>0</v>
          </cell>
          <cell r="F1860">
            <v>0</v>
          </cell>
          <cell r="H1860">
            <v>0</v>
          </cell>
          <cell r="J1860">
            <v>0</v>
          </cell>
          <cell r="P1860">
            <v>0</v>
          </cell>
          <cell r="Q1860">
            <v>0</v>
          </cell>
        </row>
        <row r="1861">
          <cell r="D1861">
            <v>0</v>
          </cell>
          <cell r="E1861">
            <v>0</v>
          </cell>
          <cell r="F1861">
            <v>0</v>
          </cell>
          <cell r="H1861">
            <v>0</v>
          </cell>
          <cell r="J1861">
            <v>0</v>
          </cell>
          <cell r="P1861">
            <v>0</v>
          </cell>
          <cell r="Q1861">
            <v>0</v>
          </cell>
        </row>
        <row r="1862">
          <cell r="D1862">
            <v>0</v>
          </cell>
          <cell r="E1862">
            <v>0</v>
          </cell>
          <cell r="F1862">
            <v>0</v>
          </cell>
          <cell r="H1862">
            <v>0</v>
          </cell>
          <cell r="J1862">
            <v>0</v>
          </cell>
          <cell r="P1862">
            <v>0</v>
          </cell>
          <cell r="Q1862">
            <v>0</v>
          </cell>
        </row>
        <row r="1863">
          <cell r="D1863">
            <v>0</v>
          </cell>
          <cell r="E1863">
            <v>0</v>
          </cell>
          <cell r="F1863">
            <v>0</v>
          </cell>
          <cell r="H1863">
            <v>0</v>
          </cell>
          <cell r="J1863">
            <v>0</v>
          </cell>
          <cell r="P1863">
            <v>0</v>
          </cell>
          <cell r="Q1863">
            <v>0</v>
          </cell>
        </row>
        <row r="1864">
          <cell r="D1864">
            <v>0</v>
          </cell>
          <cell r="E1864">
            <v>0</v>
          </cell>
          <cell r="F1864">
            <v>0</v>
          </cell>
          <cell r="H1864">
            <v>0</v>
          </cell>
          <cell r="J1864">
            <v>0</v>
          </cell>
          <cell r="P1864">
            <v>0</v>
          </cell>
          <cell r="Q1864">
            <v>0</v>
          </cell>
        </row>
        <row r="1865">
          <cell r="D1865">
            <v>0</v>
          </cell>
          <cell r="E1865">
            <v>0</v>
          </cell>
          <cell r="F1865">
            <v>0</v>
          </cell>
          <cell r="H1865">
            <v>0</v>
          </cell>
          <cell r="J1865">
            <v>0</v>
          </cell>
          <cell r="P1865">
            <v>0</v>
          </cell>
          <cell r="Q1865">
            <v>0</v>
          </cell>
        </row>
        <row r="1866">
          <cell r="D1866">
            <v>0</v>
          </cell>
          <cell r="E1866">
            <v>0</v>
          </cell>
          <cell r="F1866">
            <v>0</v>
          </cell>
          <cell r="H1866">
            <v>0</v>
          </cell>
          <cell r="J1866">
            <v>0</v>
          </cell>
          <cell r="P1866">
            <v>0</v>
          </cell>
          <cell r="Q1866">
            <v>0</v>
          </cell>
        </row>
        <row r="1867">
          <cell r="D1867">
            <v>0</v>
          </cell>
          <cell r="E1867">
            <v>0</v>
          </cell>
          <cell r="F1867">
            <v>0</v>
          </cell>
          <cell r="H1867">
            <v>0</v>
          </cell>
          <cell r="J1867">
            <v>0</v>
          </cell>
          <cell r="P1867">
            <v>0</v>
          </cell>
          <cell r="Q1867">
            <v>0</v>
          </cell>
        </row>
        <row r="1868">
          <cell r="D1868">
            <v>0</v>
          </cell>
          <cell r="E1868">
            <v>0</v>
          </cell>
          <cell r="F1868">
            <v>0</v>
          </cell>
          <cell r="H1868">
            <v>0</v>
          </cell>
          <cell r="J1868">
            <v>0</v>
          </cell>
          <cell r="P1868">
            <v>0</v>
          </cell>
          <cell r="Q1868">
            <v>0</v>
          </cell>
        </row>
        <row r="1869">
          <cell r="D1869">
            <v>0</v>
          </cell>
          <cell r="E1869">
            <v>0</v>
          </cell>
          <cell r="F1869">
            <v>0</v>
          </cell>
          <cell r="H1869">
            <v>0</v>
          </cell>
          <cell r="J1869">
            <v>0</v>
          </cell>
          <cell r="P1869">
            <v>0</v>
          </cell>
          <cell r="Q1869">
            <v>0</v>
          </cell>
        </row>
        <row r="1870">
          <cell r="D1870">
            <v>0</v>
          </cell>
          <cell r="E1870">
            <v>0</v>
          </cell>
          <cell r="F1870">
            <v>0</v>
          </cell>
          <cell r="H1870">
            <v>0</v>
          </cell>
          <cell r="J1870">
            <v>0</v>
          </cell>
          <cell r="P1870">
            <v>0</v>
          </cell>
          <cell r="Q1870">
            <v>0</v>
          </cell>
        </row>
        <row r="1871">
          <cell r="D1871">
            <v>0</v>
          </cell>
          <cell r="E1871">
            <v>0</v>
          </cell>
          <cell r="F1871">
            <v>0</v>
          </cell>
          <cell r="H1871">
            <v>0</v>
          </cell>
          <cell r="J1871">
            <v>0</v>
          </cell>
          <cell r="P1871">
            <v>0</v>
          </cell>
          <cell r="Q1871">
            <v>0</v>
          </cell>
        </row>
        <row r="1872">
          <cell r="D1872">
            <v>0</v>
          </cell>
          <cell r="E1872">
            <v>0</v>
          </cell>
          <cell r="F1872">
            <v>0</v>
          </cell>
          <cell r="H1872">
            <v>0</v>
          </cell>
          <cell r="J1872">
            <v>0</v>
          </cell>
          <cell r="P1872">
            <v>0</v>
          </cell>
          <cell r="Q1872">
            <v>0</v>
          </cell>
        </row>
        <row r="1873">
          <cell r="D1873">
            <v>0</v>
          </cell>
          <cell r="E1873">
            <v>0</v>
          </cell>
          <cell r="F1873">
            <v>0</v>
          </cell>
          <cell r="H1873">
            <v>0</v>
          </cell>
          <cell r="J1873">
            <v>0</v>
          </cell>
          <cell r="P1873">
            <v>0</v>
          </cell>
          <cell r="Q1873">
            <v>0</v>
          </cell>
        </row>
        <row r="1874">
          <cell r="D1874">
            <v>0</v>
          </cell>
          <cell r="E1874">
            <v>0</v>
          </cell>
          <cell r="F1874">
            <v>0</v>
          </cell>
          <cell r="H1874">
            <v>0</v>
          </cell>
          <cell r="J1874">
            <v>0</v>
          </cell>
          <cell r="P1874">
            <v>0</v>
          </cell>
          <cell r="Q1874">
            <v>0</v>
          </cell>
        </row>
        <row r="1875">
          <cell r="D1875">
            <v>0</v>
          </cell>
          <cell r="E1875">
            <v>0</v>
          </cell>
          <cell r="F1875">
            <v>0</v>
          </cell>
          <cell r="H1875">
            <v>0</v>
          </cell>
          <cell r="J1875">
            <v>0</v>
          </cell>
          <cell r="P1875">
            <v>0</v>
          </cell>
          <cell r="Q1875">
            <v>0</v>
          </cell>
        </row>
        <row r="1876">
          <cell r="D1876">
            <v>0</v>
          </cell>
          <cell r="E1876">
            <v>0</v>
          </cell>
          <cell r="F1876">
            <v>0</v>
          </cell>
          <cell r="H1876">
            <v>0</v>
          </cell>
          <cell r="J1876">
            <v>0</v>
          </cell>
          <cell r="P1876">
            <v>0</v>
          </cell>
          <cell r="Q1876">
            <v>0</v>
          </cell>
        </row>
        <row r="1877">
          <cell r="D1877">
            <v>0</v>
          </cell>
          <cell r="E1877">
            <v>0</v>
          </cell>
          <cell r="F1877">
            <v>0</v>
          </cell>
          <cell r="H1877">
            <v>0</v>
          </cell>
          <cell r="J1877">
            <v>0</v>
          </cell>
          <cell r="P1877">
            <v>0</v>
          </cell>
          <cell r="Q1877">
            <v>0</v>
          </cell>
        </row>
        <row r="1878">
          <cell r="D1878">
            <v>0</v>
          </cell>
          <cell r="E1878">
            <v>0</v>
          </cell>
          <cell r="F1878">
            <v>0</v>
          </cell>
          <cell r="H1878">
            <v>0</v>
          </cell>
          <cell r="J1878">
            <v>0</v>
          </cell>
          <cell r="P1878">
            <v>0</v>
          </cell>
          <cell r="Q1878">
            <v>0</v>
          </cell>
        </row>
        <row r="1879">
          <cell r="D1879">
            <v>0</v>
          </cell>
          <cell r="E1879">
            <v>0</v>
          </cell>
          <cell r="F1879">
            <v>0</v>
          </cell>
          <cell r="H1879">
            <v>0</v>
          </cell>
          <cell r="J1879">
            <v>0</v>
          </cell>
          <cell r="P1879">
            <v>0</v>
          </cell>
          <cell r="Q1879">
            <v>0</v>
          </cell>
        </row>
        <row r="1880">
          <cell r="D1880">
            <v>0</v>
          </cell>
          <cell r="E1880">
            <v>0</v>
          </cell>
          <cell r="F1880">
            <v>0</v>
          </cell>
          <cell r="H1880">
            <v>0</v>
          </cell>
          <cell r="J1880">
            <v>0</v>
          </cell>
          <cell r="P1880">
            <v>0</v>
          </cell>
          <cell r="Q1880">
            <v>0</v>
          </cell>
        </row>
        <row r="1881">
          <cell r="D1881">
            <v>0</v>
          </cell>
          <cell r="E1881">
            <v>0</v>
          </cell>
          <cell r="F1881">
            <v>0</v>
          </cell>
          <cell r="H1881">
            <v>0</v>
          </cell>
          <cell r="J1881">
            <v>0</v>
          </cell>
          <cell r="P1881">
            <v>0</v>
          </cell>
          <cell r="Q1881">
            <v>0</v>
          </cell>
        </row>
        <row r="1882">
          <cell r="D1882">
            <v>0</v>
          </cell>
          <cell r="E1882">
            <v>0</v>
          </cell>
          <cell r="F1882">
            <v>0</v>
          </cell>
          <cell r="H1882">
            <v>0</v>
          </cell>
          <cell r="J1882">
            <v>0</v>
          </cell>
          <cell r="P1882">
            <v>0</v>
          </cell>
          <cell r="Q1882">
            <v>0</v>
          </cell>
        </row>
        <row r="1883">
          <cell r="D1883">
            <v>0</v>
          </cell>
          <cell r="E1883">
            <v>0</v>
          </cell>
          <cell r="F1883">
            <v>0</v>
          </cell>
          <cell r="H1883">
            <v>0</v>
          </cell>
          <cell r="J1883">
            <v>0</v>
          </cell>
          <cell r="P1883">
            <v>0</v>
          </cell>
          <cell r="Q1883">
            <v>0</v>
          </cell>
        </row>
        <row r="1884">
          <cell r="D1884">
            <v>0</v>
          </cell>
          <cell r="E1884">
            <v>0</v>
          </cell>
          <cell r="F1884">
            <v>0</v>
          </cell>
          <cell r="H1884">
            <v>0</v>
          </cell>
          <cell r="J1884">
            <v>0</v>
          </cell>
          <cell r="P1884">
            <v>0</v>
          </cell>
          <cell r="Q1884">
            <v>0</v>
          </cell>
        </row>
        <row r="1885">
          <cell r="D1885">
            <v>0</v>
          </cell>
          <cell r="E1885">
            <v>0</v>
          </cell>
          <cell r="F1885">
            <v>0</v>
          </cell>
          <cell r="H1885">
            <v>0</v>
          </cell>
          <cell r="J1885">
            <v>0</v>
          </cell>
          <cell r="P1885">
            <v>0</v>
          </cell>
          <cell r="Q1885">
            <v>0</v>
          </cell>
        </row>
        <row r="1886">
          <cell r="D1886">
            <v>0</v>
          </cell>
          <cell r="E1886">
            <v>0</v>
          </cell>
          <cell r="F1886">
            <v>0</v>
          </cell>
          <cell r="H1886">
            <v>0</v>
          </cell>
          <cell r="J1886">
            <v>0</v>
          </cell>
          <cell r="P1886">
            <v>0</v>
          </cell>
          <cell r="Q1886">
            <v>0</v>
          </cell>
        </row>
        <row r="1887">
          <cell r="D1887">
            <v>0</v>
          </cell>
          <cell r="E1887">
            <v>0</v>
          </cell>
          <cell r="F1887">
            <v>0</v>
          </cell>
          <cell r="H1887">
            <v>0</v>
          </cell>
          <cell r="J1887">
            <v>0</v>
          </cell>
          <cell r="P1887">
            <v>0</v>
          </cell>
          <cell r="Q1887">
            <v>0</v>
          </cell>
        </row>
        <row r="1888">
          <cell r="D1888">
            <v>0</v>
          </cell>
          <cell r="E1888">
            <v>0</v>
          </cell>
          <cell r="F1888">
            <v>0</v>
          </cell>
          <cell r="H1888">
            <v>0</v>
          </cell>
          <cell r="J1888">
            <v>0</v>
          </cell>
          <cell r="P1888">
            <v>0</v>
          </cell>
          <cell r="Q1888">
            <v>0</v>
          </cell>
        </row>
        <row r="1889">
          <cell r="D1889">
            <v>0</v>
          </cell>
          <cell r="E1889">
            <v>0</v>
          </cell>
          <cell r="F1889">
            <v>0</v>
          </cell>
          <cell r="H1889">
            <v>0</v>
          </cell>
          <cell r="J1889">
            <v>0</v>
          </cell>
          <cell r="P1889">
            <v>0</v>
          </cell>
          <cell r="Q1889">
            <v>0</v>
          </cell>
        </row>
        <row r="1890">
          <cell r="D1890">
            <v>0</v>
          </cell>
          <cell r="E1890">
            <v>0</v>
          </cell>
          <cell r="F1890">
            <v>0</v>
          </cell>
          <cell r="H1890">
            <v>0</v>
          </cell>
          <cell r="J1890">
            <v>0</v>
          </cell>
          <cell r="P1890">
            <v>0</v>
          </cell>
          <cell r="Q1890">
            <v>0</v>
          </cell>
        </row>
        <row r="1891">
          <cell r="D1891">
            <v>0</v>
          </cell>
          <cell r="E1891">
            <v>0</v>
          </cell>
          <cell r="F1891">
            <v>0</v>
          </cell>
          <cell r="H1891">
            <v>0</v>
          </cell>
          <cell r="J1891">
            <v>0</v>
          </cell>
          <cell r="P1891">
            <v>0</v>
          </cell>
          <cell r="Q1891">
            <v>0</v>
          </cell>
        </row>
        <row r="1892">
          <cell r="D1892">
            <v>0</v>
          </cell>
          <cell r="E1892">
            <v>0</v>
          </cell>
          <cell r="F1892">
            <v>0</v>
          </cell>
          <cell r="H1892">
            <v>0</v>
          </cell>
          <cell r="J1892">
            <v>0</v>
          </cell>
          <cell r="P1892">
            <v>0</v>
          </cell>
          <cell r="Q1892">
            <v>0</v>
          </cell>
        </row>
        <row r="1893">
          <cell r="D1893">
            <v>0</v>
          </cell>
          <cell r="E1893">
            <v>0</v>
          </cell>
          <cell r="F1893">
            <v>0</v>
          </cell>
          <cell r="H1893">
            <v>0</v>
          </cell>
          <cell r="J1893">
            <v>0</v>
          </cell>
          <cell r="P1893">
            <v>0</v>
          </cell>
          <cell r="Q1893">
            <v>0</v>
          </cell>
        </row>
        <row r="1894">
          <cell r="D1894">
            <v>0</v>
          </cell>
          <cell r="E1894">
            <v>0</v>
          </cell>
          <cell r="F1894">
            <v>0</v>
          </cell>
          <cell r="H1894">
            <v>0</v>
          </cell>
          <cell r="J1894">
            <v>0</v>
          </cell>
          <cell r="P1894">
            <v>0</v>
          </cell>
          <cell r="Q1894">
            <v>0</v>
          </cell>
        </row>
        <row r="1895">
          <cell r="D1895">
            <v>0</v>
          </cell>
          <cell r="E1895">
            <v>0</v>
          </cell>
          <cell r="F1895">
            <v>0</v>
          </cell>
          <cell r="H1895">
            <v>0</v>
          </cell>
          <cell r="J1895">
            <v>0</v>
          </cell>
          <cell r="P1895">
            <v>0</v>
          </cell>
          <cell r="Q1895">
            <v>0</v>
          </cell>
        </row>
        <row r="1896">
          <cell r="D1896">
            <v>0</v>
          </cell>
          <cell r="E1896">
            <v>0</v>
          </cell>
          <cell r="F1896">
            <v>0</v>
          </cell>
          <cell r="H1896">
            <v>0</v>
          </cell>
          <cell r="J1896">
            <v>0</v>
          </cell>
          <cell r="P1896">
            <v>0</v>
          </cell>
          <cell r="Q1896">
            <v>0</v>
          </cell>
        </row>
        <row r="1897">
          <cell r="D1897">
            <v>0</v>
          </cell>
          <cell r="E1897">
            <v>0</v>
          </cell>
          <cell r="F1897">
            <v>0</v>
          </cell>
          <cell r="H1897">
            <v>0</v>
          </cell>
          <cell r="J1897">
            <v>0</v>
          </cell>
          <cell r="P1897">
            <v>0</v>
          </cell>
          <cell r="Q1897">
            <v>0</v>
          </cell>
        </row>
        <row r="1898">
          <cell r="D1898">
            <v>0</v>
          </cell>
          <cell r="E1898">
            <v>0</v>
          </cell>
          <cell r="F1898">
            <v>0</v>
          </cell>
          <cell r="H1898">
            <v>0</v>
          </cell>
          <cell r="J1898">
            <v>0</v>
          </cell>
          <cell r="P1898">
            <v>0</v>
          </cell>
          <cell r="Q1898">
            <v>0</v>
          </cell>
        </row>
        <row r="1899">
          <cell r="D1899">
            <v>0</v>
          </cell>
          <cell r="E1899">
            <v>0</v>
          </cell>
          <cell r="F1899">
            <v>0</v>
          </cell>
          <cell r="H1899">
            <v>0</v>
          </cell>
          <cell r="J1899">
            <v>0</v>
          </cell>
          <cell r="P1899">
            <v>0</v>
          </cell>
          <cell r="Q1899">
            <v>0</v>
          </cell>
        </row>
        <row r="1900">
          <cell r="D1900">
            <v>0</v>
          </cell>
          <cell r="E1900">
            <v>0</v>
          </cell>
          <cell r="F1900">
            <v>0</v>
          </cell>
          <cell r="H1900">
            <v>0</v>
          </cell>
          <cell r="J1900">
            <v>0</v>
          </cell>
          <cell r="P1900">
            <v>0</v>
          </cell>
          <cell r="Q1900">
            <v>0</v>
          </cell>
        </row>
        <row r="1901">
          <cell r="D1901">
            <v>0</v>
          </cell>
          <cell r="E1901">
            <v>0</v>
          </cell>
          <cell r="F1901">
            <v>0</v>
          </cell>
          <cell r="H1901">
            <v>0</v>
          </cell>
          <cell r="J1901">
            <v>0</v>
          </cell>
          <cell r="P1901">
            <v>0</v>
          </cell>
          <cell r="Q1901">
            <v>0</v>
          </cell>
        </row>
        <row r="1902">
          <cell r="D1902">
            <v>0</v>
          </cell>
          <cell r="E1902">
            <v>0</v>
          </cell>
          <cell r="F1902">
            <v>0</v>
          </cell>
          <cell r="H1902">
            <v>0</v>
          </cell>
          <cell r="J1902">
            <v>0</v>
          </cell>
          <cell r="P1902">
            <v>0</v>
          </cell>
          <cell r="Q1902">
            <v>0</v>
          </cell>
        </row>
        <row r="1903">
          <cell r="D1903">
            <v>0</v>
          </cell>
          <cell r="E1903">
            <v>0</v>
          </cell>
          <cell r="F1903">
            <v>0</v>
          </cell>
          <cell r="H1903">
            <v>0</v>
          </cell>
          <cell r="J1903">
            <v>0</v>
          </cell>
          <cell r="P1903">
            <v>0</v>
          </cell>
          <cell r="Q1903">
            <v>0</v>
          </cell>
        </row>
        <row r="1904">
          <cell r="D1904">
            <v>0</v>
          </cell>
          <cell r="E1904">
            <v>0</v>
          </cell>
          <cell r="F1904">
            <v>0</v>
          </cell>
          <cell r="H1904">
            <v>0</v>
          </cell>
          <cell r="J1904">
            <v>0</v>
          </cell>
          <cell r="P1904">
            <v>0</v>
          </cell>
          <cell r="Q1904">
            <v>0</v>
          </cell>
        </row>
        <row r="1905">
          <cell r="D1905">
            <v>0</v>
          </cell>
          <cell r="E1905">
            <v>0</v>
          </cell>
          <cell r="F1905">
            <v>0</v>
          </cell>
          <cell r="H1905">
            <v>0</v>
          </cell>
          <cell r="J1905">
            <v>0</v>
          </cell>
          <cell r="P1905">
            <v>0</v>
          </cell>
          <cell r="Q1905">
            <v>0</v>
          </cell>
        </row>
        <row r="1906">
          <cell r="D1906">
            <v>0</v>
          </cell>
          <cell r="E1906">
            <v>0</v>
          </cell>
          <cell r="F1906">
            <v>0</v>
          </cell>
          <cell r="H1906">
            <v>0</v>
          </cell>
          <cell r="J1906">
            <v>0</v>
          </cell>
          <cell r="P1906">
            <v>0</v>
          </cell>
          <cell r="Q1906">
            <v>0</v>
          </cell>
        </row>
        <row r="1907">
          <cell r="D1907">
            <v>0</v>
          </cell>
          <cell r="E1907">
            <v>0</v>
          </cell>
          <cell r="F1907">
            <v>0</v>
          </cell>
          <cell r="H1907">
            <v>0</v>
          </cell>
          <cell r="J1907">
            <v>0</v>
          </cell>
          <cell r="P1907">
            <v>0</v>
          </cell>
          <cell r="Q1907">
            <v>0</v>
          </cell>
        </row>
        <row r="1908">
          <cell r="D1908">
            <v>0</v>
          </cell>
          <cell r="E1908">
            <v>0</v>
          </cell>
          <cell r="F1908">
            <v>0</v>
          </cell>
          <cell r="H1908">
            <v>0</v>
          </cell>
          <cell r="J1908">
            <v>0</v>
          </cell>
          <cell r="P1908">
            <v>0</v>
          </cell>
          <cell r="Q1908">
            <v>0</v>
          </cell>
        </row>
        <row r="1909">
          <cell r="D1909">
            <v>0</v>
          </cell>
          <cell r="E1909">
            <v>0</v>
          </cell>
          <cell r="F1909">
            <v>0</v>
          </cell>
          <cell r="H1909">
            <v>0</v>
          </cell>
          <cell r="J1909">
            <v>0</v>
          </cell>
          <cell r="P1909">
            <v>0</v>
          </cell>
          <cell r="Q1909">
            <v>0</v>
          </cell>
        </row>
        <row r="1910">
          <cell r="D1910">
            <v>0</v>
          </cell>
          <cell r="E1910">
            <v>0</v>
          </cell>
          <cell r="F1910">
            <v>0</v>
          </cell>
          <cell r="H1910">
            <v>0</v>
          </cell>
          <cell r="J1910">
            <v>0</v>
          </cell>
          <cell r="P1910">
            <v>0</v>
          </cell>
          <cell r="Q1910">
            <v>0</v>
          </cell>
        </row>
        <row r="1911">
          <cell r="D1911">
            <v>0</v>
          </cell>
          <cell r="E1911">
            <v>0</v>
          </cell>
          <cell r="F1911">
            <v>0</v>
          </cell>
          <cell r="H1911">
            <v>0</v>
          </cell>
          <cell r="J1911">
            <v>0</v>
          </cell>
          <cell r="P1911">
            <v>0</v>
          </cell>
          <cell r="Q1911">
            <v>0</v>
          </cell>
        </row>
        <row r="1912">
          <cell r="D1912">
            <v>0</v>
          </cell>
          <cell r="E1912">
            <v>0</v>
          </cell>
          <cell r="F1912">
            <v>0</v>
          </cell>
          <cell r="H1912">
            <v>0</v>
          </cell>
          <cell r="J1912">
            <v>0</v>
          </cell>
          <cell r="P1912">
            <v>0</v>
          </cell>
          <cell r="Q1912">
            <v>0</v>
          </cell>
        </row>
        <row r="1913">
          <cell r="D1913">
            <v>0</v>
          </cell>
          <cell r="E1913">
            <v>0</v>
          </cell>
          <cell r="F1913">
            <v>0</v>
          </cell>
          <cell r="H1913">
            <v>0</v>
          </cell>
          <cell r="J1913">
            <v>0</v>
          </cell>
          <cell r="P1913">
            <v>0</v>
          </cell>
          <cell r="Q1913">
            <v>0</v>
          </cell>
        </row>
        <row r="1914">
          <cell r="D1914">
            <v>0</v>
          </cell>
          <cell r="E1914">
            <v>0</v>
          </cell>
          <cell r="F1914">
            <v>0</v>
          </cell>
          <cell r="H1914">
            <v>0</v>
          </cell>
          <cell r="J1914">
            <v>0</v>
          </cell>
          <cell r="P1914">
            <v>0</v>
          </cell>
          <cell r="Q1914">
            <v>0</v>
          </cell>
        </row>
        <row r="1915">
          <cell r="D1915">
            <v>0</v>
          </cell>
          <cell r="E1915">
            <v>0</v>
          </cell>
          <cell r="F1915">
            <v>0</v>
          </cell>
          <cell r="H1915">
            <v>0</v>
          </cell>
          <cell r="J1915">
            <v>0</v>
          </cell>
          <cell r="P1915">
            <v>0</v>
          </cell>
          <cell r="Q1915">
            <v>0</v>
          </cell>
        </row>
        <row r="1916">
          <cell r="D1916">
            <v>0</v>
          </cell>
          <cell r="E1916">
            <v>0</v>
          </cell>
          <cell r="F1916">
            <v>0</v>
          </cell>
          <cell r="H1916">
            <v>0</v>
          </cell>
          <cell r="J1916">
            <v>0</v>
          </cell>
          <cell r="P1916">
            <v>0</v>
          </cell>
          <cell r="Q1916">
            <v>0</v>
          </cell>
        </row>
        <row r="1917">
          <cell r="D1917">
            <v>0</v>
          </cell>
          <cell r="E1917">
            <v>0</v>
          </cell>
          <cell r="F1917">
            <v>0</v>
          </cell>
          <cell r="H1917">
            <v>0</v>
          </cell>
          <cell r="J1917">
            <v>0</v>
          </cell>
          <cell r="P1917">
            <v>0</v>
          </cell>
          <cell r="Q1917">
            <v>0</v>
          </cell>
        </row>
        <row r="1918">
          <cell r="D1918">
            <v>0</v>
          </cell>
          <cell r="E1918">
            <v>0</v>
          </cell>
          <cell r="F1918">
            <v>0</v>
          </cell>
          <cell r="H1918">
            <v>0</v>
          </cell>
          <cell r="J1918">
            <v>0</v>
          </cell>
          <cell r="P1918">
            <v>0</v>
          </cell>
          <cell r="Q1918">
            <v>0</v>
          </cell>
        </row>
        <row r="1919">
          <cell r="D1919">
            <v>0</v>
          </cell>
          <cell r="E1919">
            <v>0</v>
          </cell>
          <cell r="F1919">
            <v>0</v>
          </cell>
          <cell r="H1919">
            <v>0</v>
          </cell>
          <cell r="J1919">
            <v>0</v>
          </cell>
          <cell r="P1919">
            <v>0</v>
          </cell>
          <cell r="Q1919">
            <v>0</v>
          </cell>
        </row>
        <row r="1920">
          <cell r="D1920">
            <v>0</v>
          </cell>
          <cell r="E1920">
            <v>0</v>
          </cell>
          <cell r="F1920">
            <v>0</v>
          </cell>
          <cell r="H1920">
            <v>0</v>
          </cell>
          <cell r="J1920">
            <v>0</v>
          </cell>
          <cell r="P1920">
            <v>0</v>
          </cell>
          <cell r="Q1920">
            <v>0</v>
          </cell>
        </row>
        <row r="1921">
          <cell r="D1921">
            <v>0</v>
          </cell>
          <cell r="E1921">
            <v>0</v>
          </cell>
          <cell r="F1921">
            <v>0</v>
          </cell>
          <cell r="H1921">
            <v>0</v>
          </cell>
          <cell r="J1921">
            <v>0</v>
          </cell>
          <cell r="P1921">
            <v>0</v>
          </cell>
          <cell r="Q1921">
            <v>0</v>
          </cell>
        </row>
        <row r="1922">
          <cell r="D1922">
            <v>0</v>
          </cell>
          <cell r="E1922">
            <v>0</v>
          </cell>
          <cell r="F1922">
            <v>0</v>
          </cell>
          <cell r="H1922">
            <v>0</v>
          </cell>
          <cell r="J1922">
            <v>0</v>
          </cell>
          <cell r="P1922">
            <v>0</v>
          </cell>
          <cell r="Q1922">
            <v>0</v>
          </cell>
        </row>
        <row r="1923">
          <cell r="D1923">
            <v>0</v>
          </cell>
          <cell r="E1923">
            <v>0</v>
          </cell>
          <cell r="F1923">
            <v>0</v>
          </cell>
          <cell r="H1923">
            <v>0</v>
          </cell>
          <cell r="J1923">
            <v>0</v>
          </cell>
          <cell r="P1923">
            <v>0</v>
          </cell>
          <cell r="Q1923">
            <v>0</v>
          </cell>
        </row>
        <row r="1924">
          <cell r="D1924">
            <v>0</v>
          </cell>
          <cell r="E1924">
            <v>0</v>
          </cell>
          <cell r="F1924">
            <v>0</v>
          </cell>
          <cell r="H1924">
            <v>0</v>
          </cell>
          <cell r="J1924">
            <v>0</v>
          </cell>
          <cell r="P1924">
            <v>0</v>
          </cell>
          <cell r="Q1924">
            <v>0</v>
          </cell>
        </row>
        <row r="1925">
          <cell r="D1925">
            <v>0</v>
          </cell>
          <cell r="E1925">
            <v>0</v>
          </cell>
          <cell r="F1925">
            <v>0</v>
          </cell>
          <cell r="H1925">
            <v>0</v>
          </cell>
          <cell r="J1925">
            <v>0</v>
          </cell>
          <cell r="P1925">
            <v>0</v>
          </cell>
          <cell r="Q1925">
            <v>0</v>
          </cell>
        </row>
        <row r="1926">
          <cell r="D1926">
            <v>0</v>
          </cell>
          <cell r="E1926">
            <v>0</v>
          </cell>
          <cell r="F1926">
            <v>0</v>
          </cell>
          <cell r="H1926">
            <v>0</v>
          </cell>
          <cell r="J1926">
            <v>0</v>
          </cell>
          <cell r="P1926">
            <v>0</v>
          </cell>
          <cell r="Q1926">
            <v>0</v>
          </cell>
        </row>
        <row r="1927">
          <cell r="D1927">
            <v>0</v>
          </cell>
          <cell r="E1927">
            <v>0</v>
          </cell>
          <cell r="F1927">
            <v>0</v>
          </cell>
          <cell r="H1927">
            <v>0</v>
          </cell>
          <cell r="J1927">
            <v>0</v>
          </cell>
          <cell r="P1927">
            <v>0</v>
          </cell>
          <cell r="Q1927">
            <v>0</v>
          </cell>
        </row>
        <row r="1928">
          <cell r="D1928">
            <v>0</v>
          </cell>
          <cell r="E1928">
            <v>0</v>
          </cell>
          <cell r="F1928">
            <v>0</v>
          </cell>
          <cell r="H1928">
            <v>0</v>
          </cell>
          <cell r="J1928">
            <v>0</v>
          </cell>
          <cell r="P1928">
            <v>0</v>
          </cell>
          <cell r="Q1928">
            <v>0</v>
          </cell>
        </row>
        <row r="1929">
          <cell r="D1929">
            <v>0</v>
          </cell>
          <cell r="E1929">
            <v>0</v>
          </cell>
          <cell r="F1929">
            <v>0</v>
          </cell>
          <cell r="H1929">
            <v>0</v>
          </cell>
          <cell r="J1929">
            <v>0</v>
          </cell>
          <cell r="P1929">
            <v>0</v>
          </cell>
          <cell r="Q1929">
            <v>0</v>
          </cell>
        </row>
        <row r="1930">
          <cell r="D1930">
            <v>0</v>
          </cell>
          <cell r="E1930">
            <v>0</v>
          </cell>
          <cell r="F1930">
            <v>0</v>
          </cell>
          <cell r="H1930">
            <v>0</v>
          </cell>
          <cell r="J1930">
            <v>0</v>
          </cell>
          <cell r="P1930">
            <v>0</v>
          </cell>
          <cell r="Q1930">
            <v>0</v>
          </cell>
        </row>
        <row r="1931">
          <cell r="D1931">
            <v>0</v>
          </cell>
          <cell r="E1931">
            <v>0</v>
          </cell>
          <cell r="F1931">
            <v>0</v>
          </cell>
          <cell r="H1931">
            <v>0</v>
          </cell>
          <cell r="J1931">
            <v>0</v>
          </cell>
          <cell r="P1931">
            <v>0</v>
          </cell>
          <cell r="Q1931">
            <v>0</v>
          </cell>
        </row>
        <row r="1932">
          <cell r="D1932">
            <v>0</v>
          </cell>
          <cell r="E1932">
            <v>0</v>
          </cell>
          <cell r="F1932">
            <v>0</v>
          </cell>
          <cell r="H1932">
            <v>0</v>
          </cell>
          <cell r="J1932">
            <v>0</v>
          </cell>
          <cell r="P1932">
            <v>0</v>
          </cell>
          <cell r="Q1932">
            <v>0</v>
          </cell>
        </row>
        <row r="1933">
          <cell r="D1933">
            <v>0</v>
          </cell>
          <cell r="E1933">
            <v>0</v>
          </cell>
          <cell r="F1933">
            <v>0</v>
          </cell>
          <cell r="H1933">
            <v>0</v>
          </cell>
          <cell r="J1933">
            <v>0</v>
          </cell>
          <cell r="P1933">
            <v>0</v>
          </cell>
          <cell r="Q1933">
            <v>0</v>
          </cell>
        </row>
        <row r="1934">
          <cell r="D1934">
            <v>0</v>
          </cell>
          <cell r="E1934">
            <v>0</v>
          </cell>
          <cell r="F1934">
            <v>0</v>
          </cell>
          <cell r="H1934">
            <v>0</v>
          </cell>
          <cell r="J1934">
            <v>0</v>
          </cell>
          <cell r="P1934">
            <v>0</v>
          </cell>
          <cell r="Q1934">
            <v>0</v>
          </cell>
        </row>
        <row r="1935">
          <cell r="D1935">
            <v>0</v>
          </cell>
          <cell r="E1935">
            <v>0</v>
          </cell>
          <cell r="F1935">
            <v>0</v>
          </cell>
          <cell r="H1935">
            <v>0</v>
          </cell>
          <cell r="J1935">
            <v>0</v>
          </cell>
          <cell r="P1935">
            <v>0</v>
          </cell>
          <cell r="Q1935">
            <v>0</v>
          </cell>
        </row>
        <row r="1936">
          <cell r="D1936">
            <v>0</v>
          </cell>
          <cell r="E1936">
            <v>0</v>
          </cell>
          <cell r="F1936">
            <v>0</v>
          </cell>
          <cell r="H1936">
            <v>0</v>
          </cell>
          <cell r="J1936">
            <v>0</v>
          </cell>
          <cell r="P1936">
            <v>0</v>
          </cell>
          <cell r="Q1936">
            <v>0</v>
          </cell>
        </row>
        <row r="1937">
          <cell r="D1937">
            <v>0</v>
          </cell>
          <cell r="E1937">
            <v>0</v>
          </cell>
          <cell r="F1937">
            <v>0</v>
          </cell>
          <cell r="H1937">
            <v>0</v>
          </cell>
          <cell r="J1937">
            <v>0</v>
          </cell>
          <cell r="P1937">
            <v>0</v>
          </cell>
          <cell r="Q1937">
            <v>0</v>
          </cell>
        </row>
        <row r="1938">
          <cell r="D1938">
            <v>0</v>
          </cell>
          <cell r="E1938">
            <v>0</v>
          </cell>
          <cell r="F1938">
            <v>0</v>
          </cell>
          <cell r="H1938">
            <v>0</v>
          </cell>
          <cell r="J1938">
            <v>0</v>
          </cell>
          <cell r="P1938">
            <v>0</v>
          </cell>
          <cell r="Q1938">
            <v>0</v>
          </cell>
        </row>
        <row r="1939">
          <cell r="D1939">
            <v>0</v>
          </cell>
          <cell r="E1939">
            <v>0</v>
          </cell>
          <cell r="F1939">
            <v>0</v>
          </cell>
          <cell r="H1939">
            <v>0</v>
          </cell>
          <cell r="J1939">
            <v>0</v>
          </cell>
          <cell r="P1939">
            <v>0</v>
          </cell>
          <cell r="Q1939">
            <v>0</v>
          </cell>
        </row>
        <row r="1940">
          <cell r="D1940">
            <v>0</v>
          </cell>
          <cell r="E1940">
            <v>0</v>
          </cell>
          <cell r="F1940">
            <v>0</v>
          </cell>
          <cell r="H1940">
            <v>0</v>
          </cell>
          <cell r="J1940">
            <v>0</v>
          </cell>
          <cell r="P1940">
            <v>0</v>
          </cell>
          <cell r="Q1940">
            <v>0</v>
          </cell>
        </row>
        <row r="1941">
          <cell r="D1941">
            <v>0</v>
          </cell>
          <cell r="E1941">
            <v>0</v>
          </cell>
          <cell r="F1941">
            <v>0</v>
          </cell>
          <cell r="H1941">
            <v>0</v>
          </cell>
          <cell r="J1941">
            <v>0</v>
          </cell>
          <cell r="P1941">
            <v>0</v>
          </cell>
          <cell r="Q1941">
            <v>0</v>
          </cell>
        </row>
        <row r="1942">
          <cell r="D1942">
            <v>0</v>
          </cell>
          <cell r="E1942">
            <v>0</v>
          </cell>
          <cell r="F1942">
            <v>0</v>
          </cell>
          <cell r="H1942">
            <v>0</v>
          </cell>
          <cell r="J1942">
            <v>0</v>
          </cell>
          <cell r="P1942">
            <v>0</v>
          </cell>
          <cell r="Q1942">
            <v>0</v>
          </cell>
        </row>
        <row r="1943">
          <cell r="D1943">
            <v>0</v>
          </cell>
          <cell r="E1943">
            <v>0</v>
          </cell>
          <cell r="F1943">
            <v>0</v>
          </cell>
          <cell r="H1943">
            <v>0</v>
          </cell>
          <cell r="J1943">
            <v>0</v>
          </cell>
          <cell r="P1943">
            <v>0</v>
          </cell>
          <cell r="Q1943">
            <v>0</v>
          </cell>
        </row>
        <row r="1944">
          <cell r="D1944">
            <v>0</v>
          </cell>
          <cell r="E1944">
            <v>0</v>
          </cell>
          <cell r="F1944">
            <v>0</v>
          </cell>
          <cell r="H1944">
            <v>0</v>
          </cell>
          <cell r="J1944">
            <v>0</v>
          </cell>
          <cell r="P1944">
            <v>0</v>
          </cell>
          <cell r="Q1944">
            <v>0</v>
          </cell>
        </row>
        <row r="1945">
          <cell r="D1945">
            <v>0</v>
          </cell>
          <cell r="E1945">
            <v>0</v>
          </cell>
          <cell r="F1945">
            <v>0</v>
          </cell>
          <cell r="H1945">
            <v>0</v>
          </cell>
          <cell r="J1945">
            <v>0</v>
          </cell>
          <cell r="P1945">
            <v>0</v>
          </cell>
          <cell r="Q1945">
            <v>0</v>
          </cell>
        </row>
        <row r="1946">
          <cell r="D1946">
            <v>0</v>
          </cell>
          <cell r="E1946">
            <v>0</v>
          </cell>
          <cell r="F1946">
            <v>0</v>
          </cell>
          <cell r="H1946">
            <v>0</v>
          </cell>
          <cell r="J1946">
            <v>0</v>
          </cell>
          <cell r="P1946">
            <v>0</v>
          </cell>
          <cell r="Q1946">
            <v>0</v>
          </cell>
        </row>
        <row r="1947">
          <cell r="D1947">
            <v>0</v>
          </cell>
          <cell r="E1947">
            <v>0</v>
          </cell>
          <cell r="F1947">
            <v>0</v>
          </cell>
          <cell r="H1947">
            <v>0</v>
          </cell>
          <cell r="J1947">
            <v>0</v>
          </cell>
          <cell r="P1947">
            <v>0</v>
          </cell>
          <cell r="Q1947">
            <v>0</v>
          </cell>
        </row>
        <row r="1948">
          <cell r="D1948">
            <v>0</v>
          </cell>
          <cell r="E1948">
            <v>0</v>
          </cell>
          <cell r="F1948">
            <v>0</v>
          </cell>
          <cell r="H1948">
            <v>0</v>
          </cell>
          <cell r="J1948">
            <v>0</v>
          </cell>
          <cell r="P1948">
            <v>0</v>
          </cell>
          <cell r="Q1948">
            <v>0</v>
          </cell>
        </row>
        <row r="1949">
          <cell r="D1949">
            <v>0</v>
          </cell>
          <cell r="E1949">
            <v>0</v>
          </cell>
          <cell r="F1949">
            <v>0</v>
          </cell>
          <cell r="H1949">
            <v>0</v>
          </cell>
          <cell r="J1949">
            <v>0</v>
          </cell>
          <cell r="P1949">
            <v>0</v>
          </cell>
          <cell r="Q1949">
            <v>0</v>
          </cell>
        </row>
        <row r="1950">
          <cell r="D1950">
            <v>0</v>
          </cell>
          <cell r="E1950">
            <v>0</v>
          </cell>
          <cell r="F1950">
            <v>0</v>
          </cell>
          <cell r="H1950">
            <v>0</v>
          </cell>
          <cell r="J1950">
            <v>0</v>
          </cell>
          <cell r="P1950">
            <v>0</v>
          </cell>
          <cell r="Q1950">
            <v>0</v>
          </cell>
        </row>
        <row r="1951">
          <cell r="D1951">
            <v>0</v>
          </cell>
          <cell r="E1951">
            <v>0</v>
          </cell>
          <cell r="F1951">
            <v>0</v>
          </cell>
          <cell r="H1951">
            <v>0</v>
          </cell>
          <cell r="J1951">
            <v>0</v>
          </cell>
          <cell r="P1951">
            <v>0</v>
          </cell>
          <cell r="Q1951">
            <v>0</v>
          </cell>
        </row>
        <row r="1952">
          <cell r="D1952">
            <v>0</v>
          </cell>
          <cell r="E1952">
            <v>0</v>
          </cell>
          <cell r="F1952">
            <v>0</v>
          </cell>
          <cell r="H1952">
            <v>0</v>
          </cell>
          <cell r="J1952">
            <v>0</v>
          </cell>
          <cell r="P1952">
            <v>0</v>
          </cell>
          <cell r="Q1952">
            <v>0</v>
          </cell>
        </row>
        <row r="1953">
          <cell r="D1953">
            <v>0</v>
          </cell>
          <cell r="E1953">
            <v>0</v>
          </cell>
          <cell r="F1953">
            <v>0</v>
          </cell>
          <cell r="H1953">
            <v>0</v>
          </cell>
          <cell r="J1953">
            <v>0</v>
          </cell>
          <cell r="P1953">
            <v>0</v>
          </cell>
          <cell r="Q1953">
            <v>0</v>
          </cell>
        </row>
        <row r="1954">
          <cell r="D1954">
            <v>0</v>
          </cell>
          <cell r="E1954">
            <v>0</v>
          </cell>
          <cell r="F1954">
            <v>0</v>
          </cell>
          <cell r="H1954">
            <v>0</v>
          </cell>
          <cell r="J1954">
            <v>0</v>
          </cell>
          <cell r="P1954">
            <v>0</v>
          </cell>
          <cell r="Q1954">
            <v>0</v>
          </cell>
        </row>
        <row r="1955">
          <cell r="D1955">
            <v>0</v>
          </cell>
          <cell r="E1955">
            <v>0</v>
          </cell>
          <cell r="F1955">
            <v>0</v>
          </cell>
          <cell r="H1955">
            <v>0</v>
          </cell>
          <cell r="J1955">
            <v>0</v>
          </cell>
          <cell r="P1955">
            <v>0</v>
          </cell>
          <cell r="Q1955">
            <v>0</v>
          </cell>
        </row>
        <row r="1956">
          <cell r="D1956">
            <v>0</v>
          </cell>
          <cell r="E1956">
            <v>0</v>
          </cell>
          <cell r="F1956">
            <v>0</v>
          </cell>
          <cell r="H1956">
            <v>0</v>
          </cell>
          <cell r="J1956">
            <v>0</v>
          </cell>
          <cell r="P1956">
            <v>0</v>
          </cell>
          <cell r="Q1956">
            <v>0</v>
          </cell>
        </row>
        <row r="1957">
          <cell r="D1957">
            <v>0</v>
          </cell>
          <cell r="E1957">
            <v>0</v>
          </cell>
          <cell r="F1957">
            <v>0</v>
          </cell>
          <cell r="H1957">
            <v>0</v>
          </cell>
          <cell r="J1957">
            <v>0</v>
          </cell>
          <cell r="P1957">
            <v>0</v>
          </cell>
          <cell r="Q1957">
            <v>0</v>
          </cell>
        </row>
        <row r="1958">
          <cell r="D1958">
            <v>0</v>
          </cell>
          <cell r="E1958">
            <v>0</v>
          </cell>
          <cell r="F1958">
            <v>0</v>
          </cell>
          <cell r="H1958">
            <v>0</v>
          </cell>
          <cell r="J1958">
            <v>0</v>
          </cell>
          <cell r="P1958">
            <v>0</v>
          </cell>
          <cell r="Q1958">
            <v>0</v>
          </cell>
        </row>
        <row r="1959">
          <cell r="D1959">
            <v>0</v>
          </cell>
          <cell r="E1959">
            <v>0</v>
          </cell>
          <cell r="F1959">
            <v>0</v>
          </cell>
          <cell r="H1959">
            <v>0</v>
          </cell>
          <cell r="J1959">
            <v>0</v>
          </cell>
          <cell r="P1959">
            <v>0</v>
          </cell>
          <cell r="Q1959">
            <v>0</v>
          </cell>
        </row>
        <row r="1960">
          <cell r="D1960">
            <v>0</v>
          </cell>
          <cell r="E1960">
            <v>0</v>
          </cell>
          <cell r="F1960">
            <v>0</v>
          </cell>
          <cell r="H1960">
            <v>0</v>
          </cell>
          <cell r="J1960">
            <v>0</v>
          </cell>
          <cell r="P1960">
            <v>0</v>
          </cell>
          <cell r="Q1960">
            <v>0</v>
          </cell>
        </row>
        <row r="1961">
          <cell r="D1961">
            <v>0</v>
          </cell>
          <cell r="E1961">
            <v>0</v>
          </cell>
          <cell r="F1961">
            <v>0</v>
          </cell>
          <cell r="H1961">
            <v>0</v>
          </cell>
          <cell r="J1961">
            <v>0</v>
          </cell>
          <cell r="P1961">
            <v>0</v>
          </cell>
          <cell r="Q1961">
            <v>0</v>
          </cell>
        </row>
        <row r="1962">
          <cell r="D1962">
            <v>0</v>
          </cell>
          <cell r="E1962">
            <v>0</v>
          </cell>
          <cell r="F1962">
            <v>0</v>
          </cell>
          <cell r="H1962">
            <v>0</v>
          </cell>
          <cell r="J1962">
            <v>0</v>
          </cell>
          <cell r="P1962">
            <v>0</v>
          </cell>
          <cell r="Q1962">
            <v>0</v>
          </cell>
        </row>
        <row r="1963">
          <cell r="D1963">
            <v>0</v>
          </cell>
          <cell r="E1963">
            <v>0</v>
          </cell>
          <cell r="F1963">
            <v>0</v>
          </cell>
          <cell r="H1963">
            <v>0</v>
          </cell>
          <cell r="J1963">
            <v>0</v>
          </cell>
          <cell r="P1963">
            <v>0</v>
          </cell>
          <cell r="Q1963">
            <v>0</v>
          </cell>
        </row>
        <row r="1964">
          <cell r="D1964">
            <v>0</v>
          </cell>
          <cell r="E1964">
            <v>0</v>
          </cell>
          <cell r="F1964">
            <v>0</v>
          </cell>
          <cell r="H1964">
            <v>0</v>
          </cell>
          <cell r="J1964">
            <v>0</v>
          </cell>
          <cell r="P1964">
            <v>0</v>
          </cell>
          <cell r="Q1964">
            <v>0</v>
          </cell>
        </row>
        <row r="1965">
          <cell r="D1965">
            <v>0</v>
          </cell>
          <cell r="E1965">
            <v>0</v>
          </cell>
          <cell r="F1965">
            <v>0</v>
          </cell>
          <cell r="H1965">
            <v>0</v>
          </cell>
          <cell r="J1965">
            <v>0</v>
          </cell>
          <cell r="P1965">
            <v>0</v>
          </cell>
          <cell r="Q1965">
            <v>0</v>
          </cell>
        </row>
        <row r="1966">
          <cell r="D1966">
            <v>0</v>
          </cell>
          <cell r="E1966">
            <v>0</v>
          </cell>
          <cell r="F1966">
            <v>0</v>
          </cell>
          <cell r="H1966">
            <v>0</v>
          </cell>
          <cell r="J1966">
            <v>0</v>
          </cell>
          <cell r="P1966">
            <v>0</v>
          </cell>
          <cell r="Q1966">
            <v>0</v>
          </cell>
        </row>
        <row r="1967">
          <cell r="D1967">
            <v>0</v>
          </cell>
          <cell r="E1967">
            <v>0</v>
          </cell>
          <cell r="F1967">
            <v>0</v>
          </cell>
          <cell r="H1967">
            <v>0</v>
          </cell>
          <cell r="J1967">
            <v>0</v>
          </cell>
          <cell r="P1967">
            <v>0</v>
          </cell>
          <cell r="Q1967">
            <v>0</v>
          </cell>
        </row>
        <row r="1968">
          <cell r="D1968">
            <v>0</v>
          </cell>
          <cell r="E1968">
            <v>0</v>
          </cell>
          <cell r="F1968">
            <v>0</v>
          </cell>
          <cell r="H1968">
            <v>0</v>
          </cell>
          <cell r="J1968">
            <v>0</v>
          </cell>
          <cell r="P1968">
            <v>0</v>
          </cell>
          <cell r="Q1968">
            <v>0</v>
          </cell>
        </row>
        <row r="1969">
          <cell r="D1969">
            <v>0</v>
          </cell>
          <cell r="E1969">
            <v>0</v>
          </cell>
          <cell r="F1969">
            <v>0</v>
          </cell>
          <cell r="H1969">
            <v>0</v>
          </cell>
          <cell r="J1969">
            <v>0</v>
          </cell>
          <cell r="P1969">
            <v>0</v>
          </cell>
          <cell r="Q1969">
            <v>0</v>
          </cell>
        </row>
        <row r="1970">
          <cell r="D1970">
            <v>0</v>
          </cell>
          <cell r="E1970">
            <v>0</v>
          </cell>
          <cell r="F1970">
            <v>0</v>
          </cell>
          <cell r="H1970">
            <v>0</v>
          </cell>
          <cell r="J1970">
            <v>0</v>
          </cell>
          <cell r="P1970">
            <v>0</v>
          </cell>
          <cell r="Q1970">
            <v>0</v>
          </cell>
        </row>
        <row r="1971">
          <cell r="D1971">
            <v>0</v>
          </cell>
          <cell r="E1971">
            <v>0</v>
          </cell>
          <cell r="F1971">
            <v>0</v>
          </cell>
          <cell r="H1971">
            <v>0</v>
          </cell>
          <cell r="J1971">
            <v>0</v>
          </cell>
          <cell r="P1971">
            <v>0</v>
          </cell>
          <cell r="Q1971">
            <v>0</v>
          </cell>
        </row>
        <row r="1972">
          <cell r="D1972">
            <v>0</v>
          </cell>
          <cell r="E1972">
            <v>0</v>
          </cell>
          <cell r="F1972">
            <v>0</v>
          </cell>
          <cell r="H1972">
            <v>0</v>
          </cell>
          <cell r="J1972">
            <v>0</v>
          </cell>
          <cell r="P1972">
            <v>0</v>
          </cell>
          <cell r="Q1972">
            <v>0</v>
          </cell>
        </row>
        <row r="1973">
          <cell r="D1973">
            <v>0</v>
          </cell>
          <cell r="E1973">
            <v>0</v>
          </cell>
          <cell r="F1973">
            <v>0</v>
          </cell>
          <cell r="H1973">
            <v>0</v>
          </cell>
          <cell r="J1973">
            <v>0</v>
          </cell>
          <cell r="P1973">
            <v>0</v>
          </cell>
          <cell r="Q1973">
            <v>0</v>
          </cell>
        </row>
        <row r="1974">
          <cell r="D1974">
            <v>0</v>
          </cell>
          <cell r="E1974">
            <v>0</v>
          </cell>
          <cell r="F1974">
            <v>0</v>
          </cell>
          <cell r="H1974">
            <v>0</v>
          </cell>
          <cell r="J1974">
            <v>0</v>
          </cell>
          <cell r="P1974">
            <v>0</v>
          </cell>
          <cell r="Q1974">
            <v>0</v>
          </cell>
        </row>
        <row r="1975">
          <cell r="D1975">
            <v>0</v>
          </cell>
          <cell r="E1975">
            <v>0</v>
          </cell>
          <cell r="F1975">
            <v>0</v>
          </cell>
          <cell r="H1975">
            <v>0</v>
          </cell>
          <cell r="J1975">
            <v>0</v>
          </cell>
          <cell r="P1975">
            <v>0</v>
          </cell>
          <cell r="Q1975">
            <v>0</v>
          </cell>
        </row>
        <row r="1976">
          <cell r="D1976">
            <v>0</v>
          </cell>
          <cell r="E1976">
            <v>0</v>
          </cell>
          <cell r="F1976">
            <v>0</v>
          </cell>
          <cell r="H1976">
            <v>0</v>
          </cell>
          <cell r="J1976">
            <v>0</v>
          </cell>
          <cell r="P1976">
            <v>0</v>
          </cell>
          <cell r="Q1976">
            <v>0</v>
          </cell>
        </row>
        <row r="1977">
          <cell r="D1977">
            <v>0</v>
          </cell>
          <cell r="E1977">
            <v>0</v>
          </cell>
          <cell r="F1977">
            <v>0</v>
          </cell>
          <cell r="H1977">
            <v>0</v>
          </cell>
          <cell r="J1977">
            <v>0</v>
          </cell>
          <cell r="P1977">
            <v>0</v>
          </cell>
          <cell r="Q1977">
            <v>0</v>
          </cell>
        </row>
        <row r="1978">
          <cell r="D1978">
            <v>0</v>
          </cell>
          <cell r="E1978">
            <v>0</v>
          </cell>
          <cell r="F1978">
            <v>0</v>
          </cell>
          <cell r="H1978">
            <v>0</v>
          </cell>
          <cell r="J1978">
            <v>0</v>
          </cell>
          <cell r="P1978">
            <v>0</v>
          </cell>
          <cell r="Q1978">
            <v>0</v>
          </cell>
        </row>
        <row r="1979">
          <cell r="D1979">
            <v>0</v>
          </cell>
          <cell r="E1979">
            <v>0</v>
          </cell>
          <cell r="F1979">
            <v>0</v>
          </cell>
          <cell r="H1979">
            <v>0</v>
          </cell>
          <cell r="J1979">
            <v>0</v>
          </cell>
          <cell r="P1979">
            <v>0</v>
          </cell>
          <cell r="Q1979">
            <v>0</v>
          </cell>
        </row>
        <row r="1980">
          <cell r="D1980">
            <v>0</v>
          </cell>
          <cell r="E1980">
            <v>0</v>
          </cell>
          <cell r="F1980">
            <v>0</v>
          </cell>
          <cell r="H1980">
            <v>0</v>
          </cell>
          <cell r="J1980">
            <v>0</v>
          </cell>
          <cell r="P1980">
            <v>0</v>
          </cell>
          <cell r="Q1980">
            <v>0</v>
          </cell>
        </row>
        <row r="1981">
          <cell r="D1981">
            <v>0</v>
          </cell>
          <cell r="E1981">
            <v>0</v>
          </cell>
          <cell r="F1981">
            <v>0</v>
          </cell>
          <cell r="H1981">
            <v>0</v>
          </cell>
          <cell r="J1981">
            <v>0</v>
          </cell>
          <cell r="P1981">
            <v>0</v>
          </cell>
          <cell r="Q1981">
            <v>0</v>
          </cell>
        </row>
        <row r="1982">
          <cell r="D1982">
            <v>0</v>
          </cell>
          <cell r="E1982">
            <v>0</v>
          </cell>
          <cell r="F1982">
            <v>0</v>
          </cell>
          <cell r="H1982">
            <v>0</v>
          </cell>
          <cell r="J1982">
            <v>0</v>
          </cell>
          <cell r="P1982">
            <v>0</v>
          </cell>
          <cell r="Q1982">
            <v>0</v>
          </cell>
        </row>
        <row r="1983">
          <cell r="D1983">
            <v>0</v>
          </cell>
          <cell r="E1983">
            <v>0</v>
          </cell>
          <cell r="F1983">
            <v>0</v>
          </cell>
          <cell r="H1983">
            <v>0</v>
          </cell>
          <cell r="J1983">
            <v>0</v>
          </cell>
          <cell r="P1983">
            <v>0</v>
          </cell>
          <cell r="Q1983">
            <v>0</v>
          </cell>
        </row>
        <row r="1984">
          <cell r="D1984">
            <v>0</v>
          </cell>
          <cell r="E1984">
            <v>0</v>
          </cell>
          <cell r="F1984">
            <v>0</v>
          </cell>
          <cell r="H1984">
            <v>0</v>
          </cell>
          <cell r="J1984">
            <v>0</v>
          </cell>
          <cell r="P1984">
            <v>0</v>
          </cell>
          <cell r="Q1984">
            <v>0</v>
          </cell>
        </row>
        <row r="1985">
          <cell r="D1985">
            <v>0</v>
          </cell>
          <cell r="E1985">
            <v>0</v>
          </cell>
          <cell r="F1985">
            <v>0</v>
          </cell>
          <cell r="H1985">
            <v>0</v>
          </cell>
          <cell r="J1985">
            <v>0</v>
          </cell>
          <cell r="P1985">
            <v>0</v>
          </cell>
          <cell r="Q1985">
            <v>0</v>
          </cell>
        </row>
        <row r="1986">
          <cell r="D1986">
            <v>0</v>
          </cell>
          <cell r="E1986">
            <v>0</v>
          </cell>
          <cell r="F1986">
            <v>0</v>
          </cell>
          <cell r="H1986">
            <v>0</v>
          </cell>
          <cell r="J1986">
            <v>0</v>
          </cell>
          <cell r="P1986">
            <v>0</v>
          </cell>
          <cell r="Q1986">
            <v>0</v>
          </cell>
        </row>
        <row r="1987">
          <cell r="D1987">
            <v>0</v>
          </cell>
          <cell r="E1987">
            <v>0</v>
          </cell>
          <cell r="F1987">
            <v>0</v>
          </cell>
          <cell r="H1987">
            <v>0</v>
          </cell>
          <cell r="J1987">
            <v>0</v>
          </cell>
          <cell r="P1987">
            <v>0</v>
          </cell>
          <cell r="Q1987">
            <v>0</v>
          </cell>
        </row>
        <row r="1988">
          <cell r="D1988">
            <v>0</v>
          </cell>
          <cell r="E1988">
            <v>0</v>
          </cell>
          <cell r="F1988">
            <v>0</v>
          </cell>
          <cell r="H1988">
            <v>0</v>
          </cell>
          <cell r="J1988">
            <v>0</v>
          </cell>
          <cell r="P1988">
            <v>0</v>
          </cell>
          <cell r="Q1988">
            <v>0</v>
          </cell>
        </row>
        <row r="1989">
          <cell r="D1989">
            <v>0</v>
          </cell>
          <cell r="E1989">
            <v>0</v>
          </cell>
          <cell r="F1989">
            <v>0</v>
          </cell>
          <cell r="H1989">
            <v>0</v>
          </cell>
          <cell r="J1989">
            <v>0</v>
          </cell>
          <cell r="P1989">
            <v>0</v>
          </cell>
          <cell r="Q1989">
            <v>0</v>
          </cell>
        </row>
        <row r="1990">
          <cell r="D1990">
            <v>0</v>
          </cell>
          <cell r="E1990">
            <v>0</v>
          </cell>
          <cell r="F1990">
            <v>0</v>
          </cell>
          <cell r="H1990">
            <v>0</v>
          </cell>
          <cell r="J1990">
            <v>0</v>
          </cell>
          <cell r="P1990">
            <v>0</v>
          </cell>
          <cell r="Q1990">
            <v>0</v>
          </cell>
        </row>
        <row r="1991">
          <cell r="D1991">
            <v>0</v>
          </cell>
          <cell r="E1991">
            <v>0</v>
          </cell>
          <cell r="F1991">
            <v>0</v>
          </cell>
          <cell r="H1991">
            <v>0</v>
          </cell>
          <cell r="J1991">
            <v>0</v>
          </cell>
          <cell r="P1991">
            <v>0</v>
          </cell>
          <cell r="Q1991">
            <v>0</v>
          </cell>
        </row>
        <row r="1992">
          <cell r="D1992">
            <v>0</v>
          </cell>
          <cell r="E1992">
            <v>0</v>
          </cell>
          <cell r="F1992">
            <v>0</v>
          </cell>
          <cell r="H1992">
            <v>0</v>
          </cell>
          <cell r="J1992">
            <v>0</v>
          </cell>
          <cell r="P1992">
            <v>0</v>
          </cell>
          <cell r="Q1992">
            <v>0</v>
          </cell>
        </row>
        <row r="1993">
          <cell r="D1993">
            <v>0</v>
          </cell>
          <cell r="E1993">
            <v>0</v>
          </cell>
          <cell r="F1993">
            <v>0</v>
          </cell>
          <cell r="H1993">
            <v>0</v>
          </cell>
          <cell r="J1993">
            <v>0</v>
          </cell>
          <cell r="P1993">
            <v>0</v>
          </cell>
          <cell r="Q1993">
            <v>0</v>
          </cell>
        </row>
        <row r="1994">
          <cell r="D1994">
            <v>0</v>
          </cell>
          <cell r="E1994">
            <v>0</v>
          </cell>
          <cell r="F1994">
            <v>0</v>
          </cell>
          <cell r="H1994">
            <v>0</v>
          </cell>
          <cell r="J1994">
            <v>0</v>
          </cell>
          <cell r="P1994">
            <v>0</v>
          </cell>
          <cell r="Q1994">
            <v>0</v>
          </cell>
        </row>
        <row r="1995">
          <cell r="D1995">
            <v>0</v>
          </cell>
          <cell r="E1995">
            <v>0</v>
          </cell>
          <cell r="F1995">
            <v>0</v>
          </cell>
          <cell r="H1995">
            <v>0</v>
          </cell>
          <cell r="J1995">
            <v>0</v>
          </cell>
          <cell r="P1995">
            <v>0</v>
          </cell>
          <cell r="Q1995">
            <v>0</v>
          </cell>
        </row>
        <row r="1996">
          <cell r="D1996">
            <v>0</v>
          </cell>
          <cell r="E1996">
            <v>0</v>
          </cell>
          <cell r="F1996">
            <v>0</v>
          </cell>
          <cell r="H1996">
            <v>0</v>
          </cell>
          <cell r="J1996">
            <v>0</v>
          </cell>
          <cell r="P1996">
            <v>0</v>
          </cell>
          <cell r="Q1996">
            <v>0</v>
          </cell>
        </row>
        <row r="1997">
          <cell r="D1997">
            <v>0</v>
          </cell>
          <cell r="E1997">
            <v>0</v>
          </cell>
          <cell r="F1997">
            <v>0</v>
          </cell>
          <cell r="H1997">
            <v>0</v>
          </cell>
          <cell r="J1997">
            <v>0</v>
          </cell>
          <cell r="P1997">
            <v>0</v>
          </cell>
          <cell r="Q1997">
            <v>0</v>
          </cell>
        </row>
        <row r="1998">
          <cell r="D1998">
            <v>0</v>
          </cell>
          <cell r="E1998">
            <v>0</v>
          </cell>
          <cell r="F1998">
            <v>0</v>
          </cell>
          <cell r="H1998">
            <v>0</v>
          </cell>
          <cell r="J1998">
            <v>0</v>
          </cell>
          <cell r="P1998">
            <v>0</v>
          </cell>
          <cell r="Q1998">
            <v>0</v>
          </cell>
        </row>
        <row r="1999">
          <cell r="D1999">
            <v>0</v>
          </cell>
          <cell r="E1999">
            <v>0</v>
          </cell>
          <cell r="F1999">
            <v>0</v>
          </cell>
          <cell r="H1999">
            <v>0</v>
          </cell>
          <cell r="J1999">
            <v>0</v>
          </cell>
          <cell r="P1999">
            <v>0</v>
          </cell>
          <cell r="Q1999">
            <v>0</v>
          </cell>
        </row>
        <row r="2000">
          <cell r="D2000">
            <v>0</v>
          </cell>
          <cell r="E2000">
            <v>0</v>
          </cell>
          <cell r="F2000">
            <v>0</v>
          </cell>
          <cell r="H2000">
            <v>0</v>
          </cell>
          <cell r="J2000">
            <v>0</v>
          </cell>
          <cell r="P2000">
            <v>0</v>
          </cell>
          <cell r="Q2000">
            <v>0</v>
          </cell>
        </row>
      </sheetData>
      <sheetData sheetId="1">
        <row r="6">
          <cell r="A6" t="str">
            <v>Compliance</v>
          </cell>
        </row>
        <row r="7">
          <cell r="A7" t="str">
            <v>Credit</v>
          </cell>
        </row>
        <row r="8">
          <cell r="A8" t="str">
            <v>Liquidity</v>
          </cell>
        </row>
        <row r="9">
          <cell r="A9" t="str">
            <v>Market</v>
          </cell>
        </row>
        <row r="10">
          <cell r="A10" t="str">
            <v>Model</v>
          </cell>
        </row>
        <row r="11">
          <cell r="A11" t="str">
            <v>Operational</v>
          </cell>
        </row>
        <row r="12">
          <cell r="A12" t="str">
            <v>Reputational</v>
          </cell>
        </row>
        <row r="13">
          <cell r="A13" t="str">
            <v xml:space="preserve">Strategic </v>
          </cell>
        </row>
      </sheetData>
      <sheetData sheetId="2"/>
      <sheetData sheetId="3"/>
      <sheetData sheetId="4"/>
      <sheetData sheetId="5"/>
      <sheetData sheetId="6">
        <row r="3">
          <cell r="Q3" t="str">
            <v>External Relationship Monitoring</v>
          </cell>
        </row>
        <row r="4">
          <cell r="Q4" t="str">
            <v>Information Controls</v>
          </cell>
        </row>
        <row r="5">
          <cell r="Q5" t="str">
            <v>Insurance</v>
          </cell>
        </row>
        <row r="6">
          <cell r="Q6" t="str">
            <v>Oversight Controls</v>
          </cell>
        </row>
        <row r="7">
          <cell r="Q7" t="str">
            <v>Policies and Guidance</v>
          </cell>
        </row>
        <row r="8">
          <cell r="Q8" t="str">
            <v>Process Controls</v>
          </cell>
        </row>
        <row r="9">
          <cell r="Q9" t="str">
            <v>Security Access Controls</v>
          </cell>
        </row>
        <row r="10">
          <cell r="Q10" t="str">
            <v>Staffing Controls</v>
          </cell>
        </row>
      </sheetData>
      <sheetData sheetId="7"/>
      <sheetData sheetId="8"/>
      <sheetData sheetId="9"/>
      <sheetData sheetId="10"/>
      <sheetData sheetId="11"/>
      <sheetData sheetId="12"/>
      <sheetData sheetId="13"/>
      <sheetData sheetId="14"/>
      <sheetData sheetId="15"/>
      <sheetData sheetId="16"/>
    </sheetDataSet>
  </externalBook>
</externalLink>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6.bin"/></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9.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10.bin"/></Relationships>
</file>

<file path=xl/worksheets/_rels/sheet11.xml.rels><?xml version="1.0" encoding="UTF-8" standalone="yes"?>
<Relationships xmlns="http://schemas.openxmlformats.org/package/2006/relationships"><Relationship Id="rId1" Type="http://schemas.openxmlformats.org/officeDocument/2006/relationships/printerSettings" Target="../printerSettings/printerSettings11.bin"/></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12.bin"/></Relationships>
</file>

<file path=xl/worksheets/_rels/sheet13.xml.rels><?xml version="1.0" encoding="UTF-8" standalone="yes"?>
<Relationships xmlns="http://schemas.openxmlformats.org/package/2006/relationships"><Relationship Id="rId1" Type="http://schemas.openxmlformats.org/officeDocument/2006/relationships/printerSettings" Target="../printerSettings/printerSettings13.bin"/></Relationships>
</file>

<file path=xl/worksheets/_rels/sheet14.xml.rels><?xml version="1.0" encoding="UTF-8" standalone="yes"?>
<Relationships xmlns="http://schemas.openxmlformats.org/package/2006/relationships"><Relationship Id="rId1" Type="http://schemas.openxmlformats.org/officeDocument/2006/relationships/printerSettings" Target="../printerSettings/printerSettings14.bin"/></Relationships>
</file>

<file path=xl/worksheets/_rels/sheet15.xml.rels><?xml version="1.0" encoding="UTF-8" standalone="yes"?>
<Relationships xmlns="http://schemas.openxmlformats.org/package/2006/relationships"><Relationship Id="rId1" Type="http://schemas.openxmlformats.org/officeDocument/2006/relationships/printerSettings" Target="../printerSettings/printerSettings15.bin"/></Relationships>
</file>

<file path=xl/worksheets/_rels/sheet16.xml.rels><?xml version="1.0" encoding="UTF-8" standalone="yes"?>
<Relationships xmlns="http://schemas.openxmlformats.org/package/2006/relationships"><Relationship Id="rId1" Type="http://schemas.openxmlformats.org/officeDocument/2006/relationships/printerSettings" Target="../printerSettings/printerSettings16.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17.bin"/></Relationships>
</file>

<file path=xl/worksheets/_rels/sheet18.xml.rels><?xml version="1.0" encoding="UTF-8" standalone="yes"?>
<Relationships xmlns="http://schemas.openxmlformats.org/package/2006/relationships"><Relationship Id="rId1" Type="http://schemas.openxmlformats.org/officeDocument/2006/relationships/printerSettings" Target="../printerSettings/printerSettings18.bin"/></Relationships>
</file>

<file path=xl/worksheets/_rels/sheet19.xml.rels><?xml version="1.0" encoding="UTF-8" standalone="yes"?>
<Relationships xmlns="http://schemas.openxmlformats.org/package/2006/relationships"><Relationship Id="rId1" Type="http://schemas.openxmlformats.org/officeDocument/2006/relationships/printerSettings" Target="../printerSettings/printerSettings19.bin"/></Relationships>
</file>

<file path=xl/worksheets/_rels/sheet20.xml.rels><?xml version="1.0" encoding="UTF-8" standalone="yes"?>
<Relationships xmlns="http://schemas.openxmlformats.org/package/2006/relationships"><Relationship Id="rId1" Type="http://schemas.openxmlformats.org/officeDocument/2006/relationships/printerSettings" Target="../printerSettings/printerSettings20.bin"/></Relationships>
</file>

<file path=xl/worksheets/_rels/sheet21.xml.rels><?xml version="1.0" encoding="UTF-8" standalone="yes"?>
<Relationships xmlns="http://schemas.openxmlformats.org/package/2006/relationships"><Relationship Id="rId1" Type="http://schemas.openxmlformats.org/officeDocument/2006/relationships/printerSettings" Target="../printerSettings/printerSettings21.bin"/></Relationships>
</file>

<file path=xl/worksheets/_rels/sheet22.xml.rels><?xml version="1.0" encoding="UTF-8" standalone="yes"?>
<Relationships xmlns="http://schemas.openxmlformats.org/package/2006/relationships"><Relationship Id="rId1" Type="http://schemas.openxmlformats.org/officeDocument/2006/relationships/printerSettings" Target="../printerSettings/printerSettings22.bin"/></Relationships>
</file>

<file path=xl/worksheets/_rels/sheet23.xml.rels><?xml version="1.0" encoding="UTF-8" standalone="yes"?>
<Relationships xmlns="http://schemas.openxmlformats.org/package/2006/relationships"><Relationship Id="rId1" Type="http://schemas.openxmlformats.org/officeDocument/2006/relationships/printerSettings" Target="../printerSettings/printerSettings23.bin"/></Relationships>
</file>

<file path=xl/worksheets/_rels/sheet24.xml.rels><?xml version="1.0" encoding="UTF-8" standalone="yes"?>
<Relationships xmlns="http://schemas.openxmlformats.org/package/2006/relationships"><Relationship Id="rId1" Type="http://schemas.openxmlformats.org/officeDocument/2006/relationships/printerSettings" Target="../printerSettings/printerSettings24.bin"/></Relationships>
</file>

<file path=xl/worksheets/_rels/sheet25.xml.rels><?xml version="1.0" encoding="UTF-8" standalone="yes"?>
<Relationships xmlns="http://schemas.openxmlformats.org/package/2006/relationships"><Relationship Id="rId1" Type="http://schemas.openxmlformats.org/officeDocument/2006/relationships/printerSettings" Target="../printerSettings/printerSettings25.bin"/></Relationships>
</file>

<file path=xl/worksheets/_rels/sheet26.xml.rels><?xml version="1.0" encoding="UTF-8" standalone="yes"?>
<Relationships xmlns="http://schemas.openxmlformats.org/package/2006/relationships"><Relationship Id="rId1" Type="http://schemas.openxmlformats.org/officeDocument/2006/relationships/printerSettings" Target="../printerSettings/printerSettings26.bin"/></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7.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28.bin"/></Relationships>
</file>

<file path=xl/worksheets/_rels/sheet29.xml.rels><?xml version="1.0" encoding="UTF-8" standalone="yes"?>
<Relationships xmlns="http://schemas.openxmlformats.org/package/2006/relationships"><Relationship Id="rId1" Type="http://schemas.openxmlformats.org/officeDocument/2006/relationships/printerSettings" Target="../printerSettings/printerSettings29.bin"/></Relationships>
</file>

<file path=xl/worksheets/_rels/sheet30.xml.rels><?xml version="1.0" encoding="UTF-8" standalone="yes"?>
<Relationships xmlns="http://schemas.openxmlformats.org/package/2006/relationships"><Relationship Id="rId1" Type="http://schemas.openxmlformats.org/officeDocument/2006/relationships/printerSettings" Target="../printerSettings/printerSettings30.bin"/></Relationships>
</file>

<file path=xl/worksheets/_rels/sheet31.xml.rels><?xml version="1.0" encoding="UTF-8" standalone="yes"?>
<Relationships xmlns="http://schemas.openxmlformats.org/package/2006/relationships"><Relationship Id="rId1" Type="http://schemas.openxmlformats.org/officeDocument/2006/relationships/printerSettings" Target="../printerSettings/printerSettings31.bin"/></Relationships>
</file>

<file path=xl/worksheets/_rels/sheet32.xml.rels><?xml version="1.0" encoding="UTF-8" standalone="yes"?>
<Relationships xmlns="http://schemas.openxmlformats.org/package/2006/relationships"><Relationship Id="rId1" Type="http://schemas.openxmlformats.org/officeDocument/2006/relationships/printerSettings" Target="../printerSettings/printerSettings32.bin"/></Relationships>
</file>

<file path=xl/worksheets/_rels/sheet33.xml.rels><?xml version="1.0" encoding="UTF-8" standalone="yes"?>
<Relationships xmlns="http://schemas.openxmlformats.org/package/2006/relationships"><Relationship Id="rId1" Type="http://schemas.openxmlformats.org/officeDocument/2006/relationships/printerSettings" Target="../printerSettings/printerSettings33.bin"/></Relationships>
</file>

<file path=xl/worksheets/_rels/sheet34.xml.rels><?xml version="1.0" encoding="UTF-8" standalone="yes"?>
<Relationships xmlns="http://schemas.openxmlformats.org/package/2006/relationships"><Relationship Id="rId1" Type="http://schemas.openxmlformats.org/officeDocument/2006/relationships/printerSettings" Target="../printerSettings/printerSettings34.bin"/></Relationships>
</file>

<file path=xl/worksheets/_rels/sheet35.xml.rels><?xml version="1.0" encoding="UTF-8" standalone="yes"?>
<Relationships xmlns="http://schemas.openxmlformats.org/package/2006/relationships"><Relationship Id="rId1" Type="http://schemas.openxmlformats.org/officeDocument/2006/relationships/printerSettings" Target="../printerSettings/printerSettings35.bin"/></Relationships>
</file>

<file path=xl/worksheets/_rels/sheet36.xml.rels><?xml version="1.0" encoding="UTF-8" standalone="yes"?>
<Relationships xmlns="http://schemas.openxmlformats.org/package/2006/relationships"><Relationship Id="rId1" Type="http://schemas.openxmlformats.org/officeDocument/2006/relationships/printerSettings" Target="../printerSettings/printerSettings36.bin"/></Relationships>
</file>

<file path=xl/worksheets/_rels/sheet37.xml.rels><?xml version="1.0" encoding="UTF-8" standalone="yes"?>
<Relationships xmlns="http://schemas.openxmlformats.org/package/2006/relationships"><Relationship Id="rId1" Type="http://schemas.openxmlformats.org/officeDocument/2006/relationships/printerSettings" Target="../printerSettings/printerSettings37.bin"/></Relationships>
</file>

<file path=xl/worksheets/_rels/sheet38.xml.rels><?xml version="1.0" encoding="UTF-8" standalone="yes"?>
<Relationships xmlns="http://schemas.openxmlformats.org/package/2006/relationships"><Relationship Id="rId1" Type="http://schemas.openxmlformats.org/officeDocument/2006/relationships/printerSettings" Target="../printerSettings/printerSettings38.bin"/></Relationships>
</file>

<file path=xl/worksheets/_rels/sheet39.xml.rels><?xml version="1.0" encoding="UTF-8" standalone="yes"?>
<Relationships xmlns="http://schemas.openxmlformats.org/package/2006/relationships"><Relationship Id="rId1" Type="http://schemas.openxmlformats.org/officeDocument/2006/relationships/printerSettings" Target="../printerSettings/printerSettings39.bin"/></Relationships>
</file>

<file path=xl/worksheets/_rels/sheet40.xml.rels><?xml version="1.0" encoding="UTF-8" standalone="yes"?>
<Relationships xmlns="http://schemas.openxmlformats.org/package/2006/relationships"><Relationship Id="rId1" Type="http://schemas.openxmlformats.org/officeDocument/2006/relationships/printerSettings" Target="../printerSettings/printerSettings40.bin"/></Relationships>
</file>

<file path=xl/worksheets/_rels/sheet41.xml.rels><?xml version="1.0" encoding="UTF-8" standalone="yes"?>
<Relationships xmlns="http://schemas.openxmlformats.org/package/2006/relationships"><Relationship Id="rId1" Type="http://schemas.openxmlformats.org/officeDocument/2006/relationships/printerSettings" Target="../printerSettings/printerSettings41.bin"/></Relationships>
</file>

<file path=xl/worksheets/_rels/sheet42.xml.rels><?xml version="1.0" encoding="UTF-8" standalone="yes"?>
<Relationships xmlns="http://schemas.openxmlformats.org/package/2006/relationships"><Relationship Id="rId1" Type="http://schemas.openxmlformats.org/officeDocument/2006/relationships/printerSettings" Target="../printerSettings/printerSettings42.bin"/></Relationships>
</file>

<file path=xl/worksheets/_rels/sheet43.xml.rels><?xml version="1.0" encoding="UTF-8" standalone="yes"?>
<Relationships xmlns="http://schemas.openxmlformats.org/package/2006/relationships"><Relationship Id="rId1" Type="http://schemas.openxmlformats.org/officeDocument/2006/relationships/printerSettings" Target="../printerSettings/printerSettings43.bin"/></Relationships>
</file>

<file path=xl/worksheets/_rels/sheet44.xml.rels><?xml version="1.0" encoding="UTF-8" standalone="yes"?>
<Relationships xmlns="http://schemas.openxmlformats.org/package/2006/relationships"><Relationship Id="rId1" Type="http://schemas.openxmlformats.org/officeDocument/2006/relationships/printerSettings" Target="../printerSettings/printerSettings44.bin"/></Relationships>
</file>

<file path=xl/worksheets/_rels/sheet45.xml.rels><?xml version="1.0" encoding="UTF-8" standalone="yes"?>
<Relationships xmlns="http://schemas.openxmlformats.org/package/2006/relationships"><Relationship Id="rId1" Type="http://schemas.openxmlformats.org/officeDocument/2006/relationships/printerSettings" Target="../printerSettings/printerSettings45.bin"/></Relationships>
</file>

<file path=xl/worksheets/_rels/sheet46.xml.rels><?xml version="1.0" encoding="UTF-8" standalone="yes"?>
<Relationships xmlns="http://schemas.openxmlformats.org/package/2006/relationships"><Relationship Id="rId1" Type="http://schemas.openxmlformats.org/officeDocument/2006/relationships/printerSettings" Target="../printerSettings/printerSettings46.bin"/></Relationships>
</file>

<file path=xl/worksheets/_rels/sheet47.xml.rels><?xml version="1.0" encoding="UTF-8" standalone="yes"?>
<Relationships xmlns="http://schemas.openxmlformats.org/package/2006/relationships"><Relationship Id="rId1" Type="http://schemas.openxmlformats.org/officeDocument/2006/relationships/printerSettings" Target="../printerSettings/printerSettings47.bin"/></Relationships>
</file>

<file path=xl/worksheets/_rels/sheet48.xml.rels><?xml version="1.0" encoding="UTF-8" standalone="yes"?>
<Relationships xmlns="http://schemas.openxmlformats.org/package/2006/relationships"><Relationship Id="rId1" Type="http://schemas.openxmlformats.org/officeDocument/2006/relationships/printerSettings" Target="../printerSettings/printerSettings48.bin"/></Relationships>
</file>

<file path=xl/worksheets/_rels/sheet49.xml.rels><?xml version="1.0" encoding="UTF-8" standalone="yes"?>
<Relationships xmlns="http://schemas.openxmlformats.org/package/2006/relationships"><Relationship Id="rId1" Type="http://schemas.openxmlformats.org/officeDocument/2006/relationships/printerSettings" Target="../printerSettings/printerSettings49.bin"/></Relationships>
</file>

<file path=xl/worksheets/_rels/sheet50.xml.rels><?xml version="1.0" encoding="UTF-8" standalone="yes"?>
<Relationships xmlns="http://schemas.openxmlformats.org/package/2006/relationships"><Relationship Id="rId1" Type="http://schemas.openxmlformats.org/officeDocument/2006/relationships/printerSettings" Target="../printerSettings/printerSettings50.bin"/></Relationships>
</file>

<file path=xl/worksheets/_rels/sheet51.xml.rels><?xml version="1.0" encoding="UTF-8" standalone="yes"?>
<Relationships xmlns="http://schemas.openxmlformats.org/package/2006/relationships"><Relationship Id="rId1" Type="http://schemas.openxmlformats.org/officeDocument/2006/relationships/printerSettings" Target="../printerSettings/printerSettings51.bin"/></Relationships>
</file>

<file path=xl/worksheets/_rels/sheet52.xml.rels><?xml version="1.0" encoding="UTF-8" standalone="yes"?>
<Relationships xmlns="http://schemas.openxmlformats.org/package/2006/relationships"><Relationship Id="rId1" Type="http://schemas.openxmlformats.org/officeDocument/2006/relationships/printerSettings" Target="../printerSettings/printerSettings52.bin"/></Relationships>
</file>

<file path=xl/worksheets/_rels/sheet53.xml.rels><?xml version="1.0" encoding="UTF-8" standalone="yes"?>
<Relationships xmlns="http://schemas.openxmlformats.org/package/2006/relationships"><Relationship Id="rId1" Type="http://schemas.openxmlformats.org/officeDocument/2006/relationships/printerSettings" Target="../printerSettings/printerSettings53.bin"/></Relationships>
</file>

<file path=xl/worksheets/_rels/sheet54.xml.rels><?xml version="1.0" encoding="UTF-8" standalone="yes"?>
<Relationships xmlns="http://schemas.openxmlformats.org/package/2006/relationships"><Relationship Id="rId1" Type="http://schemas.openxmlformats.org/officeDocument/2006/relationships/printerSettings" Target="../printerSettings/printerSettings54.bin"/></Relationships>
</file>

<file path=xl/worksheets/_rels/sheet55.xml.rels><?xml version="1.0" encoding="UTF-8" standalone="yes"?>
<Relationships xmlns="http://schemas.openxmlformats.org/package/2006/relationships"><Relationship Id="rId1" Type="http://schemas.openxmlformats.org/officeDocument/2006/relationships/printerSettings" Target="../printerSettings/printerSettings55.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54">
    <pageSetUpPr fitToPage="1"/>
  </sheetPr>
  <dimension ref="A1:XFC40"/>
  <sheetViews>
    <sheetView tabSelected="1" zoomScaleNormal="100" workbookViewId="0">
      <selection activeCell="A14" sqref="A14:D40"/>
    </sheetView>
  </sheetViews>
  <sheetFormatPr defaultColWidth="0" defaultRowHeight="0" customHeight="1" zeroHeight="1" x14ac:dyDescent="0.25"/>
  <cols>
    <col min="1" max="1" width="28.85546875" style="103" customWidth="1"/>
    <col min="2" max="2" width="9.140625" style="103" customWidth="1"/>
    <col min="3" max="3" width="13" style="103" customWidth="1"/>
    <col min="4" max="4" width="13.140625" style="103" customWidth="1"/>
    <col min="5" max="5" width="47.7109375" style="103" customWidth="1"/>
    <col min="6" max="6" width="17.42578125" style="43" customWidth="1"/>
    <col min="7" max="15" width="9.140625" style="43" hidden="1"/>
    <col min="16" max="16372" width="5.85546875" style="43" hidden="1"/>
    <col min="16373" max="16373" width="6.85546875" style="43" hidden="1"/>
    <col min="16374" max="16382" width="9.140625" style="43" hidden="1"/>
    <col min="16383" max="16383" width="6.85546875" style="43" hidden="1"/>
    <col min="16384" max="16384" width="47.7109375" style="43" hidden="1"/>
  </cols>
  <sheetData>
    <row r="1" spans="1:27" ht="21" x14ac:dyDescent="0.35">
      <c r="A1" s="88" t="s">
        <v>541</v>
      </c>
      <c r="B1" s="43"/>
      <c r="C1" s="43"/>
      <c r="D1" s="43"/>
      <c r="E1" s="43"/>
      <c r="AA1" s="43">
        <v>0</v>
      </c>
    </row>
    <row r="2" spans="1:27" ht="15" x14ac:dyDescent="0.25">
      <c r="A2" s="43"/>
      <c r="B2" s="43"/>
      <c r="C2" s="43"/>
      <c r="D2" s="43"/>
      <c r="E2" s="118" t="s">
        <v>550</v>
      </c>
    </row>
    <row r="3" spans="1:27" ht="15" x14ac:dyDescent="0.25">
      <c r="A3" s="39"/>
      <c r="B3" s="39"/>
      <c r="C3" s="39"/>
      <c r="D3" s="39"/>
      <c r="E3" s="121" t="s">
        <v>535</v>
      </c>
      <c r="F3" s="122"/>
    </row>
    <row r="4" spans="1:27" ht="15" x14ac:dyDescent="0.25">
      <c r="A4" s="39"/>
      <c r="B4" s="39"/>
      <c r="C4" s="39"/>
      <c r="D4" s="39"/>
      <c r="E4" s="123"/>
      <c r="F4" s="124"/>
    </row>
    <row r="5" spans="1:27" ht="4.5" customHeight="1" x14ac:dyDescent="0.25">
      <c r="A5" s="39"/>
      <c r="B5" s="39"/>
      <c r="C5" s="39"/>
      <c r="D5" s="39"/>
      <c r="E5" s="123"/>
      <c r="F5" s="124"/>
    </row>
    <row r="6" spans="1:27" ht="4.5" customHeight="1" x14ac:dyDescent="0.25">
      <c r="A6" s="39"/>
      <c r="B6" s="39"/>
      <c r="C6" s="39"/>
      <c r="D6" s="39"/>
      <c r="E6" s="123"/>
      <c r="F6" s="124"/>
    </row>
    <row r="7" spans="1:27" ht="15" x14ac:dyDescent="0.25">
      <c r="A7" s="39"/>
      <c r="B7" s="39"/>
      <c r="C7" s="39"/>
      <c r="D7" s="39"/>
      <c r="E7" s="123"/>
      <c r="F7" s="124"/>
    </row>
    <row r="8" spans="1:27" ht="15" x14ac:dyDescent="0.25">
      <c r="A8" s="39"/>
      <c r="B8" s="39"/>
      <c r="C8" s="39"/>
      <c r="D8" s="39"/>
      <c r="E8" s="123"/>
      <c r="F8" s="124"/>
    </row>
    <row r="9" spans="1:27" ht="15" x14ac:dyDescent="0.25">
      <c r="A9" s="39"/>
      <c r="B9" s="39"/>
      <c r="C9" s="39"/>
      <c r="D9" s="39"/>
      <c r="E9" s="123"/>
      <c r="F9" s="124"/>
    </row>
    <row r="10" spans="1:27" ht="15" hidden="1" customHeight="1" x14ac:dyDescent="0.25">
      <c r="A10" s="39"/>
      <c r="B10" s="39"/>
      <c r="C10" s="39"/>
      <c r="D10" s="39"/>
      <c r="E10" s="123"/>
      <c r="F10" s="124"/>
    </row>
    <row r="11" spans="1:27" ht="15" hidden="1" customHeight="1" x14ac:dyDescent="0.25">
      <c r="A11" s="39"/>
      <c r="B11" s="39"/>
      <c r="C11" s="39"/>
      <c r="D11" s="39"/>
      <c r="E11" s="123"/>
      <c r="F11" s="124"/>
    </row>
    <row r="12" spans="1:27" ht="15" hidden="1" customHeight="1" x14ac:dyDescent="0.25">
      <c r="A12" s="108"/>
      <c r="B12" s="39"/>
      <c r="C12" s="39"/>
      <c r="D12" s="39"/>
      <c r="E12" s="123"/>
      <c r="F12" s="124"/>
    </row>
    <row r="13" spans="1:27" ht="15" x14ac:dyDescent="0.25">
      <c r="A13" s="39"/>
      <c r="B13" s="39"/>
      <c r="C13" s="39"/>
      <c r="D13" s="39"/>
      <c r="E13" s="123"/>
      <c r="F13" s="124"/>
    </row>
    <row r="14" spans="1:27" ht="15" customHeight="1" x14ac:dyDescent="0.25">
      <c r="A14" s="127" t="s">
        <v>548</v>
      </c>
      <c r="B14" s="128"/>
      <c r="C14" s="129"/>
      <c r="D14" s="129"/>
      <c r="E14" s="123"/>
      <c r="F14" s="124"/>
    </row>
    <row r="15" spans="1:27" ht="15" customHeight="1" x14ac:dyDescent="0.25">
      <c r="A15" s="130"/>
      <c r="B15" s="131"/>
      <c r="C15" s="132"/>
      <c r="D15" s="132"/>
      <c r="E15" s="123"/>
      <c r="F15" s="124"/>
    </row>
    <row r="16" spans="1:27" ht="15" customHeight="1" x14ac:dyDescent="0.25">
      <c r="A16" s="130"/>
      <c r="B16" s="131"/>
      <c r="C16" s="132"/>
      <c r="D16" s="132"/>
      <c r="E16" s="123"/>
      <c r="F16" s="124"/>
    </row>
    <row r="17" spans="1:6" ht="53.25" customHeight="1" x14ac:dyDescent="0.25">
      <c r="A17" s="130"/>
      <c r="B17" s="131"/>
      <c r="C17" s="132"/>
      <c r="D17" s="132"/>
      <c r="E17" s="123"/>
      <c r="F17" s="124"/>
    </row>
    <row r="18" spans="1:6" ht="15" x14ac:dyDescent="0.25">
      <c r="A18" s="130"/>
      <c r="B18" s="131"/>
      <c r="C18" s="132"/>
      <c r="D18" s="132"/>
      <c r="E18" s="123"/>
      <c r="F18" s="124"/>
    </row>
    <row r="19" spans="1:6" ht="15" x14ac:dyDescent="0.25">
      <c r="A19" s="130"/>
      <c r="B19" s="131"/>
      <c r="C19" s="132"/>
      <c r="D19" s="132"/>
      <c r="E19" s="123"/>
      <c r="F19" s="124"/>
    </row>
    <row r="20" spans="1:6" ht="15" x14ac:dyDescent="0.25">
      <c r="A20" s="130"/>
      <c r="B20" s="131"/>
      <c r="C20" s="132"/>
      <c r="D20" s="132"/>
      <c r="E20" s="123"/>
      <c r="F20" s="124"/>
    </row>
    <row r="21" spans="1:6" ht="15" x14ac:dyDescent="0.25">
      <c r="A21" s="130"/>
      <c r="B21" s="131"/>
      <c r="C21" s="132"/>
      <c r="D21" s="132"/>
      <c r="E21" s="123"/>
      <c r="F21" s="124"/>
    </row>
    <row r="22" spans="1:6" ht="15" x14ac:dyDescent="0.25">
      <c r="A22" s="130"/>
      <c r="B22" s="131"/>
      <c r="C22" s="132"/>
      <c r="D22" s="132"/>
      <c r="E22" s="123"/>
      <c r="F22" s="124"/>
    </row>
    <row r="23" spans="1:6" ht="15" x14ac:dyDescent="0.25">
      <c r="A23" s="130"/>
      <c r="B23" s="131"/>
      <c r="C23" s="132"/>
      <c r="D23" s="132"/>
      <c r="E23" s="123"/>
      <c r="F23" s="124"/>
    </row>
    <row r="24" spans="1:6" ht="15" customHeight="1" x14ac:dyDescent="0.25">
      <c r="A24" s="130"/>
      <c r="B24" s="131"/>
      <c r="C24" s="132"/>
      <c r="D24" s="132"/>
      <c r="E24" s="123"/>
      <c r="F24" s="124"/>
    </row>
    <row r="25" spans="1:6" ht="15" customHeight="1" x14ac:dyDescent="0.25">
      <c r="A25" s="130"/>
      <c r="B25" s="131"/>
      <c r="C25" s="132"/>
      <c r="D25" s="132"/>
      <c r="E25" s="123"/>
      <c r="F25" s="124"/>
    </row>
    <row r="26" spans="1:6" ht="15" customHeight="1" x14ac:dyDescent="0.25">
      <c r="A26" s="130"/>
      <c r="B26" s="131"/>
      <c r="C26" s="132"/>
      <c r="D26" s="132"/>
      <c r="E26" s="123"/>
      <c r="F26" s="124"/>
    </row>
    <row r="27" spans="1:6" ht="36" customHeight="1" x14ac:dyDescent="0.25">
      <c r="A27" s="130"/>
      <c r="B27" s="131"/>
      <c r="C27" s="132"/>
      <c r="D27" s="132"/>
      <c r="E27" s="123"/>
      <c r="F27" s="124"/>
    </row>
    <row r="28" spans="1:6" ht="36" customHeight="1" x14ac:dyDescent="0.25">
      <c r="A28" s="130"/>
      <c r="B28" s="131"/>
      <c r="C28" s="132"/>
      <c r="D28" s="132"/>
      <c r="E28" s="123"/>
      <c r="F28" s="124"/>
    </row>
    <row r="29" spans="1:6" ht="36" customHeight="1" x14ac:dyDescent="0.25">
      <c r="A29" s="130"/>
      <c r="B29" s="131"/>
      <c r="C29" s="132"/>
      <c r="D29" s="132"/>
      <c r="E29" s="123"/>
      <c r="F29" s="124"/>
    </row>
    <row r="30" spans="1:6" ht="36" customHeight="1" x14ac:dyDescent="0.25">
      <c r="A30" s="130"/>
      <c r="B30" s="131"/>
      <c r="C30" s="132"/>
      <c r="D30" s="132"/>
      <c r="E30" s="123"/>
      <c r="F30" s="124"/>
    </row>
    <row r="31" spans="1:6" ht="36" customHeight="1" x14ac:dyDescent="0.25">
      <c r="A31" s="130"/>
      <c r="B31" s="131"/>
      <c r="C31" s="132"/>
      <c r="D31" s="132"/>
      <c r="E31" s="123"/>
      <c r="F31" s="124"/>
    </row>
    <row r="32" spans="1:6" ht="15" x14ac:dyDescent="0.25">
      <c r="A32" s="130"/>
      <c r="B32" s="131"/>
      <c r="C32" s="132"/>
      <c r="D32" s="132"/>
      <c r="E32" s="123"/>
      <c r="F32" s="124"/>
    </row>
    <row r="33" spans="1:6" ht="15" customHeight="1" x14ac:dyDescent="0.25">
      <c r="A33" s="130"/>
      <c r="B33" s="131"/>
      <c r="C33" s="132"/>
      <c r="D33" s="132"/>
      <c r="E33" s="123"/>
      <c r="F33" s="124"/>
    </row>
    <row r="34" spans="1:6" ht="15" customHeight="1" x14ac:dyDescent="0.25">
      <c r="A34" s="130"/>
      <c r="B34" s="131"/>
      <c r="C34" s="132"/>
      <c r="D34" s="132"/>
      <c r="E34" s="123"/>
      <c r="F34" s="124"/>
    </row>
    <row r="35" spans="1:6" ht="15" x14ac:dyDescent="0.25">
      <c r="A35" s="130"/>
      <c r="B35" s="131"/>
      <c r="C35" s="132"/>
      <c r="D35" s="132"/>
      <c r="E35" s="123"/>
      <c r="F35" s="124"/>
    </row>
    <row r="36" spans="1:6" ht="31.5" customHeight="1" x14ac:dyDescent="0.25">
      <c r="A36" s="130"/>
      <c r="B36" s="131"/>
      <c r="C36" s="132"/>
      <c r="D36" s="132"/>
      <c r="E36" s="123"/>
      <c r="F36" s="124"/>
    </row>
    <row r="37" spans="1:6" ht="31.5" customHeight="1" x14ac:dyDescent="0.25">
      <c r="A37" s="130"/>
      <c r="B37" s="131"/>
      <c r="C37" s="132"/>
      <c r="D37" s="132"/>
      <c r="E37" s="123"/>
      <c r="F37" s="124"/>
    </row>
    <row r="38" spans="1:6" ht="31.5" customHeight="1" x14ac:dyDescent="0.25">
      <c r="A38" s="130"/>
      <c r="B38" s="131"/>
      <c r="C38" s="132"/>
      <c r="D38" s="132"/>
      <c r="E38" s="123"/>
      <c r="F38" s="124"/>
    </row>
    <row r="39" spans="1:6" ht="31.5" customHeight="1" x14ac:dyDescent="0.25">
      <c r="A39" s="130"/>
      <c r="B39" s="131"/>
      <c r="C39" s="132"/>
      <c r="D39" s="132"/>
      <c r="E39" s="123"/>
      <c r="F39" s="124"/>
    </row>
    <row r="40" spans="1:6" ht="15" x14ac:dyDescent="0.25">
      <c r="A40" s="133"/>
      <c r="B40" s="134"/>
      <c r="C40" s="135"/>
      <c r="D40" s="135"/>
      <c r="E40" s="125"/>
      <c r="F40" s="126"/>
    </row>
  </sheetData>
  <sheetProtection password="CDE2" sheet="1" objects="1" scenarios="1" formatCells="0" formatColumns="0" formatRows="0"/>
  <mergeCells count="2">
    <mergeCell ref="E3:F40"/>
    <mergeCell ref="A14:D40"/>
  </mergeCells>
  <pageMargins left="0.25" right="0.25" top="0.75" bottom="0.75" header="0.3" footer="0.3"/>
  <pageSetup scale="78"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8193" r:id="rId4" name="Button 1">
              <controlPr defaultSize="0" print="0" autoFill="0" autoPict="0" macro="[0]!Print_All_Worksheets_With_Value_In_AA1">
                <anchor moveWithCells="1" sizeWithCells="1">
                  <from>
                    <xdr:col>0</xdr:col>
                    <xdr:colOff>371475</xdr:colOff>
                    <xdr:row>1</xdr:row>
                    <xdr:rowOff>114300</xdr:rowOff>
                  </from>
                  <to>
                    <xdr:col>3</xdr:col>
                    <xdr:colOff>790575</xdr:colOff>
                    <xdr:row>4</xdr:row>
                    <xdr:rowOff>0</xdr:rowOff>
                  </to>
                </anchor>
              </controlPr>
            </control>
          </mc:Choice>
        </mc:AlternateContent>
        <mc:AlternateContent xmlns:mc="http://schemas.openxmlformats.org/markup-compatibility/2006">
          <mc:Choice Requires="x14">
            <control shapeId="8194" r:id="rId5" name="Button 2">
              <controlPr defaultSize="0" print="0" autoFill="0" autoPict="0" macro="[0]!Print_All_Worksheets_With_Value_In_AA1_PDF">
                <anchor moveWithCells="1" sizeWithCells="1">
                  <from>
                    <xdr:col>0</xdr:col>
                    <xdr:colOff>390525</xdr:colOff>
                    <xdr:row>6</xdr:row>
                    <xdr:rowOff>19050</xdr:rowOff>
                  </from>
                  <to>
                    <xdr:col>3</xdr:col>
                    <xdr:colOff>800100</xdr:colOff>
                    <xdr:row>8</xdr:row>
                    <xdr:rowOff>9525</xdr:rowOff>
                  </to>
                </anchor>
              </controlPr>
            </control>
          </mc:Choice>
        </mc:AlternateContent>
        <mc:AlternateContent xmlns:mc="http://schemas.openxmlformats.org/markup-compatibility/2006">
          <mc:Choice Requires="x14">
            <control shapeId="8195" r:id="rId6" name="Button 3">
              <controlPr defaultSize="0" print="0" autoFill="0" autoPict="0" macro="[0]!Module4.LOB">
                <anchor moveWithCells="1" sizeWithCells="1">
                  <from>
                    <xdr:col>4</xdr:col>
                    <xdr:colOff>1895475</xdr:colOff>
                    <xdr:row>7</xdr:row>
                    <xdr:rowOff>133350</xdr:rowOff>
                  </from>
                  <to>
                    <xdr:col>5</xdr:col>
                    <xdr:colOff>695325</xdr:colOff>
                    <xdr:row>14</xdr:row>
                    <xdr:rowOff>0</xdr:rowOff>
                  </to>
                </anchor>
              </controlPr>
            </control>
          </mc:Choice>
        </mc:AlternateContent>
        <mc:AlternateContent xmlns:mc="http://schemas.openxmlformats.org/markup-compatibility/2006">
          <mc:Choice Requires="x14">
            <control shapeId="8196" r:id="rId7" name="Button 4">
              <controlPr defaultSize="0" print="0" autoFill="0" autoPict="0" macro="[0]!BS">
                <anchor moveWithCells="1" sizeWithCells="1">
                  <from>
                    <xdr:col>4</xdr:col>
                    <xdr:colOff>1914525</xdr:colOff>
                    <xdr:row>16</xdr:row>
                    <xdr:rowOff>57150</xdr:rowOff>
                  </from>
                  <to>
                    <xdr:col>5</xdr:col>
                    <xdr:colOff>723900</xdr:colOff>
                    <xdr:row>17</xdr:row>
                    <xdr:rowOff>0</xdr:rowOff>
                  </to>
                </anchor>
              </controlPr>
            </control>
          </mc:Choice>
        </mc:AlternateContent>
        <mc:AlternateContent xmlns:mc="http://schemas.openxmlformats.org/markup-compatibility/2006">
          <mc:Choice Requires="x14">
            <control shapeId="8197" r:id="rId8" name="Button 5">
              <controlPr defaultSize="0" print="0" autoFill="0" autoPict="0" macro="[0]!Entity">
                <anchor moveWithCells="1" sizeWithCells="1">
                  <from>
                    <xdr:col>4</xdr:col>
                    <xdr:colOff>1914525</xdr:colOff>
                    <xdr:row>19</xdr:row>
                    <xdr:rowOff>28575</xdr:rowOff>
                  </from>
                  <to>
                    <xdr:col>5</xdr:col>
                    <xdr:colOff>771525</xdr:colOff>
                    <xdr:row>22</xdr:row>
                    <xdr:rowOff>47625</xdr:rowOff>
                  </to>
                </anchor>
              </controlPr>
            </control>
          </mc:Choice>
        </mc:AlternateContent>
        <mc:AlternateContent xmlns:mc="http://schemas.openxmlformats.org/markup-compatibility/2006">
          <mc:Choice Requires="x14">
            <control shapeId="8198" r:id="rId9" name="Button 6">
              <controlPr defaultSize="0" print="0" autoFill="0" autoPict="0" macro="[0]!Master_List">
                <anchor moveWithCells="1" sizeWithCells="1">
                  <from>
                    <xdr:col>4</xdr:col>
                    <xdr:colOff>1933575</xdr:colOff>
                    <xdr:row>28</xdr:row>
                    <xdr:rowOff>428625</xdr:rowOff>
                  </from>
                  <to>
                    <xdr:col>5</xdr:col>
                    <xdr:colOff>895350</xdr:colOff>
                    <xdr:row>30</xdr:row>
                    <xdr:rowOff>9525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6">
    <pageSetUpPr fitToPage="1"/>
  </sheetPr>
  <dimension ref="A1:XFC40"/>
  <sheetViews>
    <sheetView view="pageLayout" zoomScaleNormal="100" zoomScaleSheetLayoutView="100" workbookViewId="0">
      <selection activeCell="K14" sqref="K14:O1048576"/>
    </sheetView>
  </sheetViews>
  <sheetFormatPr defaultColWidth="0" defaultRowHeight="15" zeroHeight="1" x14ac:dyDescent="0.25"/>
  <cols>
    <col min="1" max="8" width="9.140625" style="43" customWidth="1"/>
    <col min="9" max="10" width="7.7109375" style="43" customWidth="1"/>
    <col min="11" max="11" width="7.7109375" style="119" hidden="1" customWidth="1"/>
    <col min="12" max="15" width="3.85546875" style="119" hidden="1" customWidth="1"/>
    <col min="16" max="16384" width="0.85546875" style="43" hidden="1"/>
  </cols>
  <sheetData>
    <row r="1" spans="1:15 16383:16383" ht="21" x14ac:dyDescent="0.35">
      <c r="B1" s="88"/>
      <c r="L1" s="39"/>
      <c r="M1" s="39"/>
      <c r="N1" s="39"/>
      <c r="O1" s="39"/>
      <c r="XFC1" s="43" t="s">
        <v>513</v>
      </c>
    </row>
    <row r="2" spans="1:15 16383:16383" x14ac:dyDescent="0.25">
      <c r="K2" s="39"/>
      <c r="L2" s="39"/>
      <c r="M2" s="39"/>
      <c r="N2" s="39"/>
      <c r="O2" s="39"/>
    </row>
    <row r="3" spans="1:15 16383:16383" x14ac:dyDescent="0.25">
      <c r="K3" s="39"/>
      <c r="L3" s="39"/>
      <c r="M3" s="39"/>
      <c r="N3" s="39"/>
      <c r="O3" s="39"/>
    </row>
    <row r="4" spans="1:15 16383:16383" x14ac:dyDescent="0.25">
      <c r="K4" s="39"/>
      <c r="L4" s="39"/>
      <c r="M4" s="39"/>
      <c r="N4" s="39"/>
      <c r="O4" s="39"/>
    </row>
    <row r="5" spans="1:15 16383:16383" x14ac:dyDescent="0.25">
      <c r="K5" s="39"/>
      <c r="L5" s="39"/>
      <c r="M5" s="39"/>
      <c r="N5" s="39"/>
      <c r="O5" s="39"/>
    </row>
    <row r="6" spans="1:15 16383:16383" x14ac:dyDescent="0.25">
      <c r="K6" s="39"/>
      <c r="L6" s="39"/>
      <c r="M6" s="39"/>
      <c r="N6" s="39"/>
      <c r="O6" s="39"/>
    </row>
    <row r="7" spans="1:15 16383:16383" x14ac:dyDescent="0.25">
      <c r="K7" s="39"/>
      <c r="L7" s="39"/>
      <c r="M7" s="39"/>
      <c r="N7" s="39"/>
      <c r="O7" s="39"/>
    </row>
    <row r="8" spans="1:15 16383:16383" x14ac:dyDescent="0.25">
      <c r="K8" s="39"/>
      <c r="L8" s="39"/>
      <c r="M8" s="39"/>
      <c r="N8" s="39"/>
      <c r="O8" s="39"/>
    </row>
    <row r="9" spans="1:15 16383:16383" x14ac:dyDescent="0.25">
      <c r="K9" s="39"/>
      <c r="L9" s="39"/>
      <c r="M9" s="39"/>
      <c r="N9" s="39"/>
      <c r="O9" s="39"/>
    </row>
    <row r="10" spans="1:15 16383:16383" x14ac:dyDescent="0.25">
      <c r="K10" s="39"/>
      <c r="L10" s="39"/>
      <c r="M10" s="39"/>
      <c r="N10" s="39"/>
      <c r="O10" s="39"/>
    </row>
    <row r="11" spans="1:15 16383:16383" x14ac:dyDescent="0.25">
      <c r="K11" s="39"/>
      <c r="L11" s="39"/>
      <c r="M11" s="39"/>
      <c r="N11" s="39"/>
      <c r="O11" s="39"/>
    </row>
    <row r="12" spans="1:15 16383:16383" x14ac:dyDescent="0.25">
      <c r="K12" s="108"/>
      <c r="L12" s="36"/>
      <c r="M12" s="36"/>
      <c r="N12" s="36"/>
      <c r="O12" s="36"/>
    </row>
    <row r="13" spans="1:15 16383:16383" x14ac:dyDescent="0.25">
      <c r="K13" s="36"/>
      <c r="L13" s="36"/>
      <c r="M13" s="36"/>
      <c r="N13" s="36"/>
      <c r="O13" s="36"/>
    </row>
    <row r="14" spans="1:15 16383:16383" x14ac:dyDescent="0.25">
      <c r="A14" s="136" t="s">
        <v>322</v>
      </c>
      <c r="B14" s="137"/>
      <c r="C14" s="137"/>
      <c r="D14" s="137"/>
      <c r="E14" s="137"/>
      <c r="F14" s="137"/>
      <c r="G14" s="137"/>
      <c r="H14" s="137"/>
      <c r="I14" s="137"/>
      <c r="J14" s="137"/>
      <c r="K14" s="120"/>
    </row>
    <row r="15" spans="1:15 16383:16383" x14ac:dyDescent="0.25">
      <c r="A15" s="137"/>
      <c r="B15" s="137"/>
      <c r="C15" s="137"/>
      <c r="D15" s="137"/>
      <c r="E15" s="137"/>
      <c r="F15" s="137"/>
      <c r="G15" s="137"/>
      <c r="H15" s="137"/>
      <c r="I15" s="137"/>
      <c r="J15" s="137"/>
    </row>
    <row r="16" spans="1:15 16383:16383" x14ac:dyDescent="0.25">
      <c r="A16" s="137"/>
      <c r="B16" s="137"/>
      <c r="C16" s="137"/>
      <c r="D16" s="137"/>
      <c r="E16" s="137"/>
      <c r="F16" s="137"/>
      <c r="G16" s="137"/>
      <c r="H16" s="137"/>
      <c r="I16" s="137"/>
      <c r="J16" s="137"/>
    </row>
    <row r="17" spans="1:10" x14ac:dyDescent="0.25"/>
    <row r="18" spans="1:10" ht="18.75" customHeight="1" x14ac:dyDescent="0.25"/>
    <row r="19" spans="1:10" x14ac:dyDescent="0.25"/>
    <row r="20" spans="1:10" x14ac:dyDescent="0.25"/>
    <row r="21" spans="1:10" x14ac:dyDescent="0.25"/>
    <row r="22" spans="1:10" x14ac:dyDescent="0.25"/>
    <row r="23" spans="1:10" x14ac:dyDescent="0.25"/>
    <row r="24" spans="1:10" ht="15" customHeight="1" x14ac:dyDescent="0.25">
      <c r="A24" s="138" t="s">
        <v>495</v>
      </c>
      <c r="B24" s="139"/>
      <c r="C24" s="139"/>
      <c r="D24" s="139"/>
      <c r="E24" s="139"/>
      <c r="F24" s="139"/>
      <c r="G24" s="139"/>
      <c r="H24" s="139"/>
      <c r="I24" s="139"/>
      <c r="J24" s="139"/>
    </row>
    <row r="25" spans="1:10" x14ac:dyDescent="0.25">
      <c r="A25" s="139"/>
      <c r="B25" s="139"/>
      <c r="C25" s="139"/>
      <c r="D25" s="139"/>
      <c r="E25" s="139"/>
      <c r="F25" s="139"/>
      <c r="G25" s="139"/>
      <c r="H25" s="139"/>
      <c r="I25" s="139"/>
      <c r="J25" s="139"/>
    </row>
    <row r="26" spans="1:10" x14ac:dyDescent="0.25">
      <c r="A26" s="139"/>
      <c r="B26" s="139"/>
      <c r="C26" s="139"/>
      <c r="D26" s="139"/>
      <c r="E26" s="139"/>
      <c r="F26" s="139"/>
      <c r="G26" s="139"/>
      <c r="H26" s="139"/>
      <c r="I26" s="139"/>
      <c r="J26" s="139"/>
    </row>
    <row r="27" spans="1:10" x14ac:dyDescent="0.25">
      <c r="A27" s="140"/>
      <c r="B27" s="140"/>
      <c r="C27" s="140"/>
      <c r="D27" s="140"/>
      <c r="E27" s="140"/>
      <c r="F27" s="140"/>
      <c r="G27" s="140"/>
      <c r="H27" s="140"/>
      <c r="I27" s="140"/>
      <c r="J27" s="140"/>
    </row>
    <row r="28" spans="1:10" x14ac:dyDescent="0.25">
      <c r="A28" s="140"/>
      <c r="B28" s="140"/>
      <c r="C28" s="140"/>
      <c r="D28" s="140"/>
      <c r="E28" s="140"/>
      <c r="F28" s="140"/>
      <c r="G28" s="140"/>
      <c r="H28" s="140"/>
      <c r="I28" s="140"/>
      <c r="J28" s="140"/>
    </row>
    <row r="29" spans="1:10" x14ac:dyDescent="0.25"/>
    <row r="30" spans="1:10" x14ac:dyDescent="0.25"/>
    <row r="31" spans="1:10" x14ac:dyDescent="0.25"/>
    <row r="32" spans="1:10" x14ac:dyDescent="0.25"/>
    <row r="33" spans="1:10" x14ac:dyDescent="0.25">
      <c r="A33" s="141" t="s">
        <v>498</v>
      </c>
      <c r="B33" s="142"/>
      <c r="C33" s="142"/>
      <c r="D33" s="142"/>
      <c r="E33" s="142"/>
      <c r="F33" s="142"/>
      <c r="G33" s="142"/>
      <c r="H33" s="142"/>
      <c r="I33" s="142"/>
      <c r="J33" s="142"/>
    </row>
    <row r="34" spans="1:10" x14ac:dyDescent="0.25">
      <c r="A34" s="142"/>
      <c r="B34" s="142"/>
      <c r="C34" s="142"/>
      <c r="D34" s="142"/>
      <c r="E34" s="142"/>
      <c r="F34" s="142"/>
      <c r="G34" s="142"/>
      <c r="H34" s="142"/>
      <c r="I34" s="142"/>
      <c r="J34" s="142"/>
    </row>
    <row r="35" spans="1:10" x14ac:dyDescent="0.25"/>
    <row r="36" spans="1:10" x14ac:dyDescent="0.25"/>
    <row r="37" spans="1:10" x14ac:dyDescent="0.25"/>
    <row r="38" spans="1:10" x14ac:dyDescent="0.25"/>
    <row r="39" spans="1:10" x14ac:dyDescent="0.25"/>
    <row r="40" spans="1:10" x14ac:dyDescent="0.25"/>
  </sheetData>
  <sheetProtection formatCells="0" formatRows="0"/>
  <mergeCells count="3">
    <mergeCell ref="A14:J16"/>
    <mergeCell ref="A24:J28"/>
    <mergeCell ref="A33:J34"/>
  </mergeCells>
  <pageMargins left="0.7" right="0.90625" top="0.75" bottom="0.75" header="0.3" footer="0.3"/>
  <pageSetup scale="99" orientation="portrait" r:id="rId1"/>
  <drawing r:id="rId2"/>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7">
    <pageSetUpPr fitToPage="1"/>
  </sheetPr>
  <dimension ref="A1:XFC20"/>
  <sheetViews>
    <sheetView view="pageLayout" zoomScaleNormal="100" workbookViewId="0">
      <selection activeCell="A7" sqref="A4:XFD7"/>
    </sheetView>
  </sheetViews>
  <sheetFormatPr defaultColWidth="0" defaultRowHeight="15" zeroHeight="1" x14ac:dyDescent="0.25"/>
  <cols>
    <col min="1" max="1" width="23.7109375" style="43" customWidth="1"/>
    <col min="2" max="2" width="31.85546875" style="43" customWidth="1"/>
    <col min="3" max="3" width="61.140625" style="43" customWidth="1"/>
    <col min="4" max="26" width="1.42578125" style="43" hidden="1" customWidth="1"/>
    <col min="27" max="27" width="5" style="43" hidden="1" customWidth="1"/>
    <col min="28" max="16383" width="1.42578125" style="43" hidden="1"/>
    <col min="16384" max="16384" width="12.140625" style="43" hidden="1" customWidth="1"/>
  </cols>
  <sheetData>
    <row r="1" spans="1:27" ht="21" x14ac:dyDescent="0.25">
      <c r="A1" s="45" t="s">
        <v>258</v>
      </c>
      <c r="B1" s="45"/>
      <c r="AA1" s="43" t="s">
        <v>513</v>
      </c>
    </row>
    <row r="2" spans="1:27" ht="15.75" thickBot="1" x14ac:dyDescent="0.3"/>
    <row r="3" spans="1:27" ht="29.25" customHeight="1" thickBot="1" x14ac:dyDescent="0.3">
      <c r="A3" s="143" t="s">
        <v>259</v>
      </c>
      <c r="B3" s="144"/>
      <c r="C3" s="106"/>
    </row>
    <row r="4" spans="1:27" ht="33.75" hidden="1" customHeight="1" thickBot="1" x14ac:dyDescent="0.3">
      <c r="A4" s="143" t="s">
        <v>323</v>
      </c>
      <c r="B4" s="144"/>
      <c r="C4" s="107"/>
    </row>
    <row r="5" spans="1:27" ht="33.75" hidden="1" customHeight="1" thickBot="1" x14ac:dyDescent="0.3">
      <c r="A5" s="143" t="s">
        <v>324</v>
      </c>
      <c r="B5" s="144"/>
      <c r="C5" s="107"/>
    </row>
    <row r="6" spans="1:27" ht="33.75" hidden="1" customHeight="1" thickBot="1" x14ac:dyDescent="0.3">
      <c r="A6" s="143" t="s">
        <v>1</v>
      </c>
      <c r="B6" s="144"/>
      <c r="C6" s="107"/>
    </row>
    <row r="7" spans="1:27" ht="33.75" hidden="1" customHeight="1" thickBot="1" x14ac:dyDescent="0.3">
      <c r="A7" s="143" t="s">
        <v>260</v>
      </c>
      <c r="B7" s="144"/>
      <c r="C7" s="107"/>
    </row>
    <row r="8" spans="1:27" ht="33.75" customHeight="1" thickBot="1" x14ac:dyDescent="0.3">
      <c r="A8" s="143" t="s">
        <v>536</v>
      </c>
      <c r="B8" s="144"/>
      <c r="C8" s="107"/>
    </row>
    <row r="9" spans="1:27" ht="33.75" customHeight="1" thickBot="1" x14ac:dyDescent="0.3">
      <c r="A9" s="143" t="s">
        <v>537</v>
      </c>
      <c r="B9" s="144"/>
      <c r="C9" s="107"/>
    </row>
    <row r="10" spans="1:27" ht="33.75" customHeight="1" thickBot="1" x14ac:dyDescent="0.3">
      <c r="A10" s="143" t="s">
        <v>261</v>
      </c>
      <c r="B10" s="144"/>
      <c r="C10" s="107"/>
    </row>
    <row r="11" spans="1:27" ht="33.75" customHeight="1" thickBot="1" x14ac:dyDescent="0.3">
      <c r="A11" s="143" t="s">
        <v>262</v>
      </c>
      <c r="B11" s="144"/>
      <c r="C11" s="107"/>
    </row>
    <row r="12" spans="1:27" ht="33.75" customHeight="1" thickBot="1" x14ac:dyDescent="0.3">
      <c r="A12" s="143" t="s">
        <v>538</v>
      </c>
      <c r="B12" s="144"/>
      <c r="C12" s="107"/>
    </row>
    <row r="13" spans="1:27" ht="33.75" customHeight="1" thickBot="1" x14ac:dyDescent="0.3">
      <c r="A13" s="143" t="s">
        <v>263</v>
      </c>
      <c r="B13" s="144"/>
      <c r="C13" s="107"/>
    </row>
    <row r="14" spans="1:27" x14ac:dyDescent="0.25"/>
    <row r="15" spans="1:27" ht="15.75" thickBot="1" x14ac:dyDescent="0.3">
      <c r="A15" s="68" t="s">
        <v>507</v>
      </c>
      <c r="B15" s="145"/>
      <c r="C15" s="146"/>
    </row>
    <row r="16" spans="1:27" x14ac:dyDescent="0.25"/>
    <row r="17" spans="1:3" x14ac:dyDescent="0.25">
      <c r="A17" s="89" t="s">
        <v>539</v>
      </c>
      <c r="B17" s="47"/>
    </row>
    <row r="18" spans="1:3" x14ac:dyDescent="0.25"/>
    <row r="19" spans="1:3" x14ac:dyDescent="0.25">
      <c r="A19" s="48" t="s">
        <v>264</v>
      </c>
      <c r="B19" s="49"/>
      <c r="C19" s="50"/>
    </row>
    <row r="20" spans="1:3" ht="198.75" customHeight="1" x14ac:dyDescent="0.25">
      <c r="A20" s="147" t="s">
        <v>533</v>
      </c>
      <c r="B20" s="135"/>
      <c r="C20" s="148"/>
    </row>
  </sheetData>
  <sheetProtection password="CDE2" sheet="1" objects="1" scenarios="1" formatRows="0"/>
  <mergeCells count="13">
    <mergeCell ref="A10:B10"/>
    <mergeCell ref="A3:B3"/>
    <mergeCell ref="A4:B4"/>
    <mergeCell ref="A5:B5"/>
    <mergeCell ref="A6:B6"/>
    <mergeCell ref="A7:B7"/>
    <mergeCell ref="A8:B8"/>
    <mergeCell ref="A9:B9"/>
    <mergeCell ref="A11:B11"/>
    <mergeCell ref="A12:B12"/>
    <mergeCell ref="A13:B13"/>
    <mergeCell ref="B15:C15"/>
    <mergeCell ref="A20:C20"/>
  </mergeCells>
  <dataValidations count="1">
    <dataValidation type="list" allowBlank="1" showInputMessage="1" showErrorMessage="1" sqref="C3">
      <formula1>"2014, 2015, 2016, 2017, 2018"</formula1>
    </dataValidation>
  </dataValidations>
  <pageMargins left="0.7" right="0.7" top="0.75" bottom="0.75" header="0.3" footer="0.3"/>
  <pageSetup scale="77" fitToHeight="3"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8">
    <pageSetUpPr fitToPage="1"/>
  </sheetPr>
  <dimension ref="A1:AA12"/>
  <sheetViews>
    <sheetView view="pageLayout" zoomScaleNormal="100" zoomScaleSheetLayoutView="100" workbookViewId="0">
      <selection activeCell="A3" sqref="A3"/>
    </sheetView>
  </sheetViews>
  <sheetFormatPr defaultColWidth="0" defaultRowHeight="15" zeroHeight="1" x14ac:dyDescent="0.25"/>
  <cols>
    <col min="1" max="1" width="130.42578125" style="51" customWidth="1"/>
    <col min="2" max="16384" width="2.140625" style="43" hidden="1"/>
  </cols>
  <sheetData>
    <row r="1" spans="1:27" ht="15.75" thickBot="1" x14ac:dyDescent="0.3">
      <c r="A1" s="72" t="s">
        <v>270</v>
      </c>
      <c r="AA1" s="43" t="s">
        <v>514</v>
      </c>
    </row>
    <row r="2" spans="1:27" ht="60" x14ac:dyDescent="0.25">
      <c r="A2" s="42" t="s">
        <v>269</v>
      </c>
    </row>
    <row r="3" spans="1:27" ht="57" customHeight="1" x14ac:dyDescent="0.25">
      <c r="A3" s="98" t="s">
        <v>545</v>
      </c>
    </row>
    <row r="4" spans="1:27" ht="15.75" thickBot="1" x14ac:dyDescent="0.3">
      <c r="A4" s="72" t="s">
        <v>266</v>
      </c>
    </row>
    <row r="5" spans="1:27" ht="75" x14ac:dyDescent="0.25">
      <c r="A5" s="42" t="s">
        <v>265</v>
      </c>
    </row>
    <row r="6" spans="1:27" ht="45" x14ac:dyDescent="0.25">
      <c r="A6" s="98" t="s">
        <v>508</v>
      </c>
    </row>
    <row r="7" spans="1:27" ht="15.75" thickBot="1" x14ac:dyDescent="0.3">
      <c r="A7" s="72" t="s">
        <v>267</v>
      </c>
    </row>
    <row r="8" spans="1:27" ht="150" x14ac:dyDescent="0.25">
      <c r="A8" s="42" t="s">
        <v>493</v>
      </c>
    </row>
    <row r="9" spans="1:27" x14ac:dyDescent="0.25">
      <c r="A9" s="98" t="s">
        <v>509</v>
      </c>
    </row>
    <row r="10" spans="1:27" ht="15.75" thickBot="1" x14ac:dyDescent="0.3">
      <c r="A10" s="72" t="s">
        <v>268</v>
      </c>
    </row>
    <row r="11" spans="1:27" ht="135" x14ac:dyDescent="0.25">
      <c r="A11" s="42" t="s">
        <v>494</v>
      </c>
    </row>
    <row r="12" spans="1:27" ht="45" x14ac:dyDescent="0.25">
      <c r="A12" s="98" t="s">
        <v>510</v>
      </c>
    </row>
  </sheetData>
  <sheetProtection password="CDE2" sheet="1" objects="1" scenarios="1" formatCells="0" formatColumns="0" formatRows="0"/>
  <pageMargins left="0.25" right="0.25" top="0.75" bottom="0.75" header="0.3" footer="0.3"/>
  <pageSetup scale="78" fitToHeight="5"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9">
    <pageSetUpPr fitToPage="1"/>
  </sheetPr>
  <dimension ref="A1:SD12"/>
  <sheetViews>
    <sheetView view="pageLayout" zoomScaleNormal="100" zoomScaleSheetLayoutView="100" workbookViewId="0">
      <selection activeCell="A5" sqref="A5:E9"/>
    </sheetView>
  </sheetViews>
  <sheetFormatPr defaultColWidth="0" defaultRowHeight="15" zeroHeight="1" x14ac:dyDescent="0.25"/>
  <cols>
    <col min="1" max="1" width="34" style="43" customWidth="1"/>
    <col min="2" max="2" width="22.42578125" style="43" customWidth="1"/>
    <col min="3" max="3" width="21.7109375" style="43" customWidth="1"/>
    <col min="4" max="4" width="25.28515625" style="43" customWidth="1"/>
    <col min="5" max="5" width="26.85546875" style="43" customWidth="1"/>
    <col min="6" max="498" width="0" style="43" hidden="1" customWidth="1"/>
    <col min="499" max="16384" width="3" style="43" hidden="1"/>
  </cols>
  <sheetData>
    <row r="1" spans="1:27" ht="15.75" thickBot="1" x14ac:dyDescent="0.3">
      <c r="A1" s="57" t="s">
        <v>276</v>
      </c>
      <c r="B1" s="56"/>
      <c r="C1" s="56"/>
      <c r="D1" s="56"/>
      <c r="E1" s="56"/>
      <c r="AA1" s="43" t="s">
        <v>514</v>
      </c>
    </row>
    <row r="2" spans="1:27" x14ac:dyDescent="0.25">
      <c r="A2" s="149" t="s">
        <v>277</v>
      </c>
      <c r="B2" s="150"/>
      <c r="C2" s="150"/>
      <c r="D2" s="150"/>
      <c r="E2" s="150"/>
      <c r="F2" s="150"/>
      <c r="G2" s="55"/>
      <c r="H2" s="55"/>
      <c r="I2" s="55"/>
      <c r="J2" s="55"/>
      <c r="K2" s="55"/>
      <c r="L2" s="55"/>
      <c r="M2" s="55"/>
      <c r="N2" s="55"/>
    </row>
    <row r="3" spans="1:27" ht="15.75" thickBot="1" x14ac:dyDescent="0.3"/>
    <row r="4" spans="1:27" ht="15.75" thickBot="1" x14ac:dyDescent="0.3">
      <c r="A4" s="52" t="s">
        <v>271</v>
      </c>
      <c r="B4" s="53" t="s">
        <v>272</v>
      </c>
      <c r="C4" s="53" t="s">
        <v>273</v>
      </c>
      <c r="D4" s="53" t="s">
        <v>274</v>
      </c>
      <c r="E4" s="53" t="s">
        <v>275</v>
      </c>
    </row>
    <row r="5" spans="1:27" ht="15.75" thickBot="1" x14ac:dyDescent="0.3">
      <c r="A5" s="116"/>
      <c r="B5" s="115"/>
      <c r="C5" s="117"/>
      <c r="D5" s="115"/>
      <c r="E5" s="115"/>
    </row>
    <row r="6" spans="1:27" ht="15.75" thickBot="1" x14ac:dyDescent="0.3">
      <c r="A6" s="116"/>
      <c r="B6" s="115"/>
      <c r="C6" s="115"/>
      <c r="D6" s="115"/>
      <c r="E6" s="115"/>
    </row>
    <row r="7" spans="1:27" ht="15.75" thickBot="1" x14ac:dyDescent="0.3">
      <c r="A7" s="116"/>
      <c r="B7" s="115"/>
      <c r="C7" s="115"/>
      <c r="D7" s="115"/>
      <c r="E7" s="115"/>
    </row>
    <row r="8" spans="1:27" ht="15.75" thickBot="1" x14ac:dyDescent="0.3">
      <c r="A8" s="116"/>
      <c r="B8" s="115"/>
      <c r="C8" s="115"/>
      <c r="D8" s="115"/>
      <c r="E8" s="115"/>
    </row>
    <row r="9" spans="1:27" ht="15.75" thickBot="1" x14ac:dyDescent="0.3">
      <c r="A9" s="116"/>
      <c r="B9" s="115"/>
      <c r="C9" s="115"/>
      <c r="D9" s="115"/>
      <c r="E9" s="115"/>
    </row>
    <row r="10" spans="1:27" x14ac:dyDescent="0.25">
      <c r="A10" s="44"/>
      <c r="B10"/>
      <c r="C10"/>
      <c r="D10"/>
      <c r="E10"/>
    </row>
    <row r="11" spans="1:27" ht="48.75" customHeight="1" x14ac:dyDescent="0.25">
      <c r="A11" s="149" t="s">
        <v>278</v>
      </c>
      <c r="B11" s="151"/>
      <c r="C11" s="151"/>
      <c r="D11" s="151"/>
      <c r="E11" s="151"/>
    </row>
    <row r="12" spans="1:27" ht="61.5" customHeight="1" x14ac:dyDescent="0.25">
      <c r="A12" s="152" t="s">
        <v>511</v>
      </c>
      <c r="B12" s="153"/>
      <c r="C12" s="153"/>
      <c r="D12" s="153"/>
      <c r="E12" s="154"/>
    </row>
  </sheetData>
  <sheetProtection password="CDE2" sheet="1" objects="1" scenarios="1" formatCells="0" formatColumns="0" formatRows="0"/>
  <mergeCells count="3">
    <mergeCell ref="A2:F2"/>
    <mergeCell ref="A11:E11"/>
    <mergeCell ref="A12:E12"/>
  </mergeCells>
  <pageMargins left="0.25" right="0.25" top="0.75" bottom="0.75" header="0.3" footer="0.3"/>
  <pageSetup scale="78" fitToHeight="3"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5"/>
  <dimension ref="A1:AA12"/>
  <sheetViews>
    <sheetView view="pageLayout" zoomScaleNormal="100" workbookViewId="0">
      <selection activeCell="E3" sqref="E3:F40"/>
    </sheetView>
  </sheetViews>
  <sheetFormatPr defaultColWidth="0" defaultRowHeight="15" zeroHeight="1" x14ac:dyDescent="0.25"/>
  <cols>
    <col min="1" max="1" width="130.42578125" style="92" customWidth="1"/>
    <col min="2" max="16384" width="2.140625" style="43" hidden="1"/>
  </cols>
  <sheetData>
    <row r="1" spans="1:27" ht="21.75" customHeight="1" thickBot="1" x14ac:dyDescent="0.3">
      <c r="A1" s="72" t="s">
        <v>527</v>
      </c>
      <c r="AA1" s="43" t="s">
        <v>514</v>
      </c>
    </row>
    <row r="2" spans="1:27" ht="57" customHeight="1" x14ac:dyDescent="0.25">
      <c r="A2" s="42" t="s">
        <v>528</v>
      </c>
    </row>
    <row r="3" spans="1:27" ht="52.5" customHeight="1" x14ac:dyDescent="0.25">
      <c r="A3" s="98" t="s">
        <v>529</v>
      </c>
    </row>
    <row r="4" spans="1:27" ht="24.75" customHeight="1" x14ac:dyDescent="0.25">
      <c r="A4" s="99"/>
    </row>
    <row r="5" spans="1:27" x14ac:dyDescent="0.25">
      <c r="A5" s="100"/>
    </row>
    <row r="6" spans="1:27" x14ac:dyDescent="0.25">
      <c r="A6" s="100"/>
    </row>
    <row r="7" spans="1:27" ht="27.75" customHeight="1" x14ac:dyDescent="0.25">
      <c r="A7" s="99"/>
    </row>
    <row r="8" spans="1:27" ht="21.75" customHeight="1" x14ac:dyDescent="0.25">
      <c r="A8" s="100"/>
    </row>
    <row r="9" spans="1:27" ht="20.25" customHeight="1" x14ac:dyDescent="0.25">
      <c r="A9" s="100"/>
    </row>
    <row r="10" spans="1:27" ht="24.75" customHeight="1" x14ac:dyDescent="0.25">
      <c r="A10" s="99"/>
    </row>
    <row r="11" spans="1:27" ht="22.5" customHeight="1" x14ac:dyDescent="0.25">
      <c r="A11" s="100"/>
    </row>
    <row r="12" spans="1:27" ht="20.25" customHeight="1" x14ac:dyDescent="0.25">
      <c r="A12" s="100"/>
    </row>
  </sheetData>
  <sheetProtection sheet="1" objects="1" scenarios="1" formatCells="0" formatColumns="0" formatRows="0"/>
  <pageMargins left="0.25" right="0.25" top="0.75" bottom="0.75" header="0.3" footer="0.3"/>
  <pageSetup orientation="portrait" r:id="rId1"/>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0">
    <pageSetUpPr fitToPage="1"/>
  </sheetPr>
  <dimension ref="A1:AA29"/>
  <sheetViews>
    <sheetView view="pageLayout" topLeftCell="A12" zoomScaleNormal="100" workbookViewId="0">
      <selection activeCell="B22" sqref="B22:D22"/>
    </sheetView>
  </sheetViews>
  <sheetFormatPr defaultColWidth="0" defaultRowHeight="15" zeroHeight="1" x14ac:dyDescent="0.25"/>
  <cols>
    <col min="1" max="3" width="28.85546875" style="43" customWidth="1"/>
    <col min="4" max="4" width="43.7109375" style="43" customWidth="1"/>
    <col min="5" max="16384" width="2.5703125" style="43" hidden="1"/>
  </cols>
  <sheetData>
    <row r="1" spans="1:27" ht="15.75" thickBot="1" x14ac:dyDescent="0.3">
      <c r="A1" s="57" t="s">
        <v>515</v>
      </c>
      <c r="B1" s="56"/>
      <c r="C1" s="56"/>
      <c r="D1" s="56"/>
      <c r="AA1" s="43" t="s">
        <v>514</v>
      </c>
    </row>
    <row r="2" spans="1:27" x14ac:dyDescent="0.25">
      <c r="A2" s="168" t="s">
        <v>284</v>
      </c>
      <c r="B2" s="169"/>
      <c r="C2" s="169"/>
      <c r="D2" s="169"/>
    </row>
    <row r="3" spans="1:27" x14ac:dyDescent="0.25"/>
    <row r="4" spans="1:27" x14ac:dyDescent="0.25">
      <c r="A4" s="61" t="s">
        <v>279</v>
      </c>
      <c r="B4" s="61" t="s">
        <v>280</v>
      </c>
      <c r="C4" s="61" t="s">
        <v>281</v>
      </c>
      <c r="D4" s="61" t="s">
        <v>282</v>
      </c>
    </row>
    <row r="5" spans="1:27" x14ac:dyDescent="0.25">
      <c r="A5" s="112"/>
      <c r="B5" s="112"/>
      <c r="C5" s="112"/>
      <c r="D5" s="112"/>
    </row>
    <row r="6" spans="1:27" x14ac:dyDescent="0.25">
      <c r="A6" s="112"/>
      <c r="B6" s="112"/>
      <c r="C6" s="112"/>
      <c r="D6" s="112"/>
    </row>
    <row r="7" spans="1:27" x14ac:dyDescent="0.25">
      <c r="A7" s="113"/>
      <c r="B7" s="113"/>
      <c r="C7" s="114"/>
      <c r="D7" s="112"/>
    </row>
    <row r="8" spans="1:27" x14ac:dyDescent="0.25">
      <c r="A8" s="112"/>
      <c r="B8" s="112"/>
      <c r="C8" s="112"/>
      <c r="D8" s="112"/>
    </row>
    <row r="9" spans="1:27" x14ac:dyDescent="0.25">
      <c r="A9" s="112"/>
      <c r="B9" s="112"/>
      <c r="C9" s="112"/>
      <c r="D9" s="112"/>
    </row>
    <row r="10" spans="1:27" x14ac:dyDescent="0.25"/>
    <row r="11" spans="1:27" x14ac:dyDescent="0.25">
      <c r="A11" s="43" t="s">
        <v>283</v>
      </c>
    </row>
    <row r="12" spans="1:27" ht="39.75" customHeight="1" x14ac:dyDescent="0.25">
      <c r="A12" s="152" t="s">
        <v>543</v>
      </c>
      <c r="B12" s="166"/>
      <c r="C12" s="166"/>
      <c r="D12" s="167"/>
    </row>
    <row r="13" spans="1:27" ht="20.25" customHeight="1" x14ac:dyDescent="0.25">
      <c r="A13" s="58"/>
      <c r="B13" s="33"/>
      <c r="C13" s="33"/>
      <c r="D13" s="33"/>
    </row>
    <row r="14" spans="1:27" ht="20.25" customHeight="1" thickBot="1" x14ac:dyDescent="0.3">
      <c r="A14" s="111" t="s">
        <v>516</v>
      </c>
      <c r="B14" s="62"/>
      <c r="C14" s="62"/>
      <c r="D14" s="62"/>
    </row>
    <row r="15" spans="1:27" x14ac:dyDescent="0.25">
      <c r="A15" s="63" t="s">
        <v>517</v>
      </c>
      <c r="B15" s="64"/>
      <c r="C15" s="64"/>
      <c r="D15" s="64"/>
    </row>
    <row r="16" spans="1:27" ht="49.5" customHeight="1" x14ac:dyDescent="0.25">
      <c r="A16" s="170" t="s">
        <v>285</v>
      </c>
      <c r="B16" s="132"/>
      <c r="C16" s="132"/>
      <c r="D16" s="132"/>
    </row>
    <row r="17" spans="1:4" x14ac:dyDescent="0.25">
      <c r="A17" s="61" t="s">
        <v>3</v>
      </c>
      <c r="B17" s="171" t="s">
        <v>286</v>
      </c>
      <c r="C17" s="172"/>
      <c r="D17" s="172"/>
    </row>
    <row r="18" spans="1:4" x14ac:dyDescent="0.25">
      <c r="A18" s="60" t="s">
        <v>31</v>
      </c>
      <c r="B18" s="160"/>
      <c r="C18" s="161"/>
      <c r="D18" s="162"/>
    </row>
    <row r="19" spans="1:4" x14ac:dyDescent="0.25">
      <c r="A19" s="59" t="s">
        <v>13</v>
      </c>
      <c r="B19" s="158"/>
      <c r="C19" s="159"/>
      <c r="D19" s="159"/>
    </row>
    <row r="20" spans="1:4" x14ac:dyDescent="0.25">
      <c r="A20" s="59" t="s">
        <v>15</v>
      </c>
      <c r="B20" s="158"/>
      <c r="C20" s="159"/>
      <c r="D20" s="159"/>
    </row>
    <row r="21" spans="1:4" x14ac:dyDescent="0.25">
      <c r="A21" s="59" t="s">
        <v>11</v>
      </c>
      <c r="B21" s="158"/>
      <c r="C21" s="159"/>
      <c r="D21" s="159"/>
    </row>
    <row r="22" spans="1:4" x14ac:dyDescent="0.25">
      <c r="A22" s="59" t="s">
        <v>287</v>
      </c>
      <c r="B22" s="158"/>
      <c r="C22" s="159"/>
      <c r="D22" s="159"/>
    </row>
    <row r="23" spans="1:4" x14ac:dyDescent="0.25">
      <c r="A23" s="59" t="s">
        <v>25</v>
      </c>
      <c r="B23" s="163"/>
      <c r="C23" s="164"/>
      <c r="D23" s="165"/>
    </row>
    <row r="24" spans="1:4" x14ac:dyDescent="0.25">
      <c r="A24" s="59" t="s">
        <v>17</v>
      </c>
      <c r="B24" s="158"/>
      <c r="C24" s="159"/>
      <c r="D24" s="159"/>
    </row>
    <row r="25" spans="1:4" x14ac:dyDescent="0.25">
      <c r="A25" s="59" t="s">
        <v>9</v>
      </c>
      <c r="B25" s="158"/>
      <c r="C25" s="159"/>
      <c r="D25" s="159"/>
    </row>
    <row r="26" spans="1:4" x14ac:dyDescent="0.25"/>
    <row r="27" spans="1:4" ht="15.75" x14ac:dyDescent="0.25">
      <c r="A27" s="109" t="s">
        <v>518</v>
      </c>
    </row>
    <row r="28" spans="1:4" x14ac:dyDescent="0.25">
      <c r="A28" s="110" t="s">
        <v>288</v>
      </c>
    </row>
    <row r="29" spans="1:4" ht="66.75" customHeight="1" x14ac:dyDescent="0.25">
      <c r="A29" s="155" t="s">
        <v>512</v>
      </c>
      <c r="B29" s="156"/>
      <c r="C29" s="156"/>
      <c r="D29" s="157"/>
    </row>
  </sheetData>
  <sheetProtection password="CDE2" sheet="1" objects="1" scenarios="1" formatCells="0" formatColumns="0" formatRows="0"/>
  <mergeCells count="13">
    <mergeCell ref="B18:D18"/>
    <mergeCell ref="B23:D23"/>
    <mergeCell ref="A12:D12"/>
    <mergeCell ref="A2:D2"/>
    <mergeCell ref="A16:D16"/>
    <mergeCell ref="B17:D17"/>
    <mergeCell ref="B19:D19"/>
    <mergeCell ref="B20:D20"/>
    <mergeCell ref="A29:D29"/>
    <mergeCell ref="B21:D21"/>
    <mergeCell ref="B22:D22"/>
    <mergeCell ref="B24:D24"/>
    <mergeCell ref="B25:D25"/>
  </mergeCells>
  <pageMargins left="0.2" right="0.2" top="0.75" bottom="0.75" header="0.3" footer="0.3"/>
  <pageSetup scale="79" fitToHeight="2" orientation="portrait"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1">
    <pageSetUpPr fitToPage="1"/>
  </sheetPr>
  <dimension ref="A1:AA37"/>
  <sheetViews>
    <sheetView view="pageLayout" zoomScaleNormal="100" workbookViewId="0">
      <selection activeCell="C17" sqref="C17"/>
    </sheetView>
  </sheetViews>
  <sheetFormatPr defaultColWidth="0" defaultRowHeight="15" zeroHeight="1" x14ac:dyDescent="0.25"/>
  <cols>
    <col min="1" max="1" width="22" style="43" customWidth="1"/>
    <col min="2" max="2" width="24.140625" style="43" customWidth="1"/>
    <col min="3" max="3" width="19.140625" style="43" customWidth="1"/>
    <col min="4" max="4" width="21.7109375" style="43" customWidth="1"/>
    <col min="5" max="5" width="17.140625" style="43" customWidth="1"/>
    <col min="6" max="6" width="26" style="43" customWidth="1"/>
    <col min="7" max="16384" width="2.140625" style="43" hidden="1"/>
  </cols>
  <sheetData>
    <row r="1" spans="1:27" x14ac:dyDescent="0.25">
      <c r="AA1" s="43" t="s">
        <v>514</v>
      </c>
    </row>
    <row r="2" spans="1:27" ht="15.75" thickBot="1" x14ac:dyDescent="0.3">
      <c r="A2" s="101" t="s">
        <v>530</v>
      </c>
      <c r="B2" s="56"/>
      <c r="C2" s="56"/>
      <c r="D2" s="56"/>
      <c r="E2" s="56"/>
      <c r="F2" s="56"/>
    </row>
    <row r="3" spans="1:27" x14ac:dyDescent="0.25">
      <c r="A3" s="43" t="s">
        <v>289</v>
      </c>
    </row>
    <row r="4" spans="1:27" x14ac:dyDescent="0.25">
      <c r="A4" s="67" t="s">
        <v>290</v>
      </c>
      <c r="B4" s="67" t="s">
        <v>291</v>
      </c>
      <c r="C4" s="67" t="s">
        <v>292</v>
      </c>
      <c r="D4" s="67" t="s">
        <v>293</v>
      </c>
      <c r="E4" s="67" t="s">
        <v>294</v>
      </c>
      <c r="F4" s="67" t="s">
        <v>274</v>
      </c>
    </row>
    <row r="5" spans="1:27" x14ac:dyDescent="0.25">
      <c r="A5" s="104"/>
      <c r="B5" s="104"/>
      <c r="C5" s="104"/>
      <c r="D5" s="105"/>
      <c r="E5" s="105"/>
      <c r="F5" s="104"/>
    </row>
    <row r="6" spans="1:27" x14ac:dyDescent="0.25">
      <c r="A6" s="104"/>
      <c r="B6" s="104"/>
      <c r="C6" s="104"/>
      <c r="D6" s="105"/>
      <c r="E6" s="105"/>
      <c r="F6" s="104"/>
    </row>
    <row r="7" spans="1:27" x14ac:dyDescent="0.25">
      <c r="A7" s="104"/>
      <c r="B7" s="104"/>
      <c r="C7" s="104"/>
      <c r="D7" s="105"/>
      <c r="E7" s="105"/>
      <c r="F7" s="104"/>
    </row>
    <row r="8" spans="1:27" x14ac:dyDescent="0.25">
      <c r="A8" s="104"/>
      <c r="B8" s="104"/>
      <c r="C8" s="104"/>
      <c r="D8" s="105"/>
      <c r="E8" s="105"/>
      <c r="F8" s="104"/>
    </row>
    <row r="9" spans="1:27" x14ac:dyDescent="0.25">
      <c r="A9" s="104"/>
      <c r="B9" s="104"/>
      <c r="C9" s="104"/>
      <c r="D9" s="105"/>
      <c r="E9" s="105"/>
      <c r="F9" s="104"/>
    </row>
    <row r="10" spans="1:27" x14ac:dyDescent="0.25">
      <c r="A10" s="104"/>
      <c r="B10" s="104"/>
      <c r="C10" s="104"/>
      <c r="D10" s="105"/>
      <c r="E10" s="105"/>
      <c r="F10" s="104"/>
    </row>
    <row r="11" spans="1:27" x14ac:dyDescent="0.25">
      <c r="A11" s="93"/>
      <c r="B11" s="93"/>
      <c r="C11" s="93"/>
      <c r="D11" s="93"/>
      <c r="E11" s="93"/>
      <c r="F11" s="93"/>
    </row>
    <row r="12" spans="1:27" x14ac:dyDescent="0.25">
      <c r="A12" s="93" t="s">
        <v>544</v>
      </c>
      <c r="B12" s="93"/>
      <c r="C12" s="93"/>
      <c r="D12" s="93"/>
      <c r="E12" s="93"/>
      <c r="F12" s="93"/>
    </row>
    <row r="13" spans="1:27" x14ac:dyDescent="0.25">
      <c r="A13" s="173" t="s">
        <v>542</v>
      </c>
      <c r="B13" s="174"/>
      <c r="C13" s="174"/>
      <c r="D13" s="174"/>
      <c r="E13" s="175"/>
      <c r="F13" s="176"/>
    </row>
    <row r="14" spans="1:27" x14ac:dyDescent="0.25">
      <c r="A14" s="177"/>
      <c r="B14" s="178"/>
      <c r="C14" s="178"/>
      <c r="D14" s="178"/>
      <c r="E14" s="178"/>
      <c r="F14" s="179"/>
    </row>
    <row r="15" spans="1:27" x14ac:dyDescent="0.25">
      <c r="A15" s="93"/>
      <c r="B15" s="93"/>
      <c r="C15" s="93"/>
      <c r="D15" s="93"/>
      <c r="E15" s="93"/>
      <c r="F15" s="93"/>
    </row>
    <row r="16" spans="1:27" x14ac:dyDescent="0.25">
      <c r="A16" s="93"/>
      <c r="B16" s="93"/>
      <c r="C16" s="93"/>
      <c r="D16" s="93"/>
      <c r="E16" s="93"/>
      <c r="F16" s="93"/>
    </row>
    <row r="17" spans="1:6" x14ac:dyDescent="0.25">
      <c r="A17" s="93"/>
      <c r="B17" s="93"/>
      <c r="C17" s="93"/>
      <c r="D17" s="93"/>
      <c r="E17" s="93"/>
      <c r="F17" s="93"/>
    </row>
    <row r="18" spans="1:6" x14ac:dyDescent="0.25">
      <c r="A18" s="93"/>
      <c r="B18" s="93"/>
      <c r="C18" s="93"/>
      <c r="D18" s="93"/>
      <c r="E18" s="93"/>
      <c r="F18" s="93"/>
    </row>
    <row r="19" spans="1:6" x14ac:dyDescent="0.25">
      <c r="A19" s="93"/>
      <c r="B19" s="93"/>
      <c r="C19" s="93"/>
      <c r="D19" s="93"/>
      <c r="E19" s="93"/>
      <c r="F19" s="93"/>
    </row>
    <row r="20" spans="1:6" x14ac:dyDescent="0.25">
      <c r="A20" s="93"/>
      <c r="B20" s="93"/>
      <c r="C20" s="93"/>
      <c r="D20" s="93"/>
      <c r="E20" s="93"/>
      <c r="F20" s="93"/>
    </row>
    <row r="21" spans="1:6" x14ac:dyDescent="0.25">
      <c r="A21" s="93"/>
      <c r="B21" s="93"/>
      <c r="C21" s="93"/>
      <c r="D21" s="93"/>
      <c r="E21" s="93"/>
      <c r="F21" s="93"/>
    </row>
    <row r="22" spans="1:6" x14ac:dyDescent="0.25">
      <c r="A22" s="93"/>
      <c r="B22" s="93"/>
      <c r="C22" s="93"/>
      <c r="D22" s="93"/>
      <c r="E22" s="93"/>
      <c r="F22" s="93"/>
    </row>
    <row r="23" spans="1:6" x14ac:dyDescent="0.25">
      <c r="A23" s="93"/>
      <c r="B23" s="93"/>
      <c r="C23" s="93"/>
      <c r="D23" s="93"/>
      <c r="E23" s="93"/>
      <c r="F23" s="93"/>
    </row>
    <row r="24" spans="1:6" x14ac:dyDescent="0.25">
      <c r="A24" s="93"/>
      <c r="B24" s="93"/>
      <c r="C24" s="93"/>
      <c r="D24" s="93"/>
      <c r="E24" s="93"/>
      <c r="F24" s="93"/>
    </row>
    <row r="25" spans="1:6" x14ac:dyDescent="0.25">
      <c r="A25" s="93"/>
      <c r="B25" s="93"/>
      <c r="C25" s="93"/>
      <c r="D25" s="93"/>
      <c r="E25" s="93"/>
      <c r="F25" s="93"/>
    </row>
    <row r="26" spans="1:6" x14ac:dyDescent="0.25">
      <c r="A26" s="93"/>
      <c r="B26" s="93"/>
      <c r="C26" s="93"/>
      <c r="D26" s="93"/>
      <c r="E26" s="93"/>
      <c r="F26" s="93"/>
    </row>
    <row r="27" spans="1:6" x14ac:dyDescent="0.25">
      <c r="A27" s="93"/>
      <c r="B27" s="93"/>
      <c r="C27" s="93"/>
      <c r="D27" s="93"/>
      <c r="E27" s="93"/>
      <c r="F27" s="93"/>
    </row>
    <row r="28" spans="1:6" x14ac:dyDescent="0.25">
      <c r="A28" s="93"/>
      <c r="B28" s="93"/>
      <c r="C28" s="93"/>
      <c r="D28" s="93"/>
      <c r="E28" s="93"/>
      <c r="F28" s="93"/>
    </row>
    <row r="29" spans="1:6" x14ac:dyDescent="0.25">
      <c r="A29" s="93"/>
      <c r="B29" s="93"/>
      <c r="C29" s="93"/>
      <c r="D29" s="93"/>
      <c r="E29" s="93"/>
      <c r="F29" s="93"/>
    </row>
    <row r="30" spans="1:6" x14ac:dyDescent="0.25">
      <c r="A30" s="93"/>
      <c r="B30" s="93"/>
      <c r="C30" s="93"/>
      <c r="D30" s="93"/>
      <c r="E30" s="93"/>
      <c r="F30" s="93"/>
    </row>
    <row r="31" spans="1:6" x14ac:dyDescent="0.25">
      <c r="A31" s="93"/>
      <c r="B31" s="93"/>
      <c r="C31" s="93"/>
      <c r="D31" s="93"/>
      <c r="E31" s="93"/>
      <c r="F31" s="93"/>
    </row>
    <row r="32" spans="1:6" x14ac:dyDescent="0.25">
      <c r="A32" s="93"/>
      <c r="B32" s="93"/>
      <c r="C32" s="93"/>
      <c r="D32" s="93"/>
      <c r="E32" s="93"/>
      <c r="F32" s="93"/>
    </row>
    <row r="33" spans="1:6" x14ac:dyDescent="0.25">
      <c r="A33" s="93"/>
      <c r="B33" s="93"/>
      <c r="C33" s="93"/>
      <c r="D33" s="93"/>
      <c r="E33" s="93"/>
      <c r="F33" s="93"/>
    </row>
    <row r="34" spans="1:6" x14ac:dyDescent="0.25">
      <c r="A34" s="93"/>
      <c r="B34" s="93"/>
      <c r="C34" s="93"/>
      <c r="D34" s="93"/>
      <c r="E34" s="93"/>
      <c r="F34" s="93"/>
    </row>
    <row r="35" spans="1:6" x14ac:dyDescent="0.25">
      <c r="A35" s="93"/>
      <c r="B35" s="93"/>
      <c r="C35" s="93"/>
      <c r="D35" s="93"/>
      <c r="E35" s="93"/>
      <c r="F35" s="93"/>
    </row>
    <row r="36" spans="1:6" x14ac:dyDescent="0.25">
      <c r="A36" s="93"/>
      <c r="B36" s="93"/>
      <c r="C36" s="93"/>
      <c r="D36" s="93"/>
      <c r="E36" s="93"/>
      <c r="F36" s="93"/>
    </row>
    <row r="37" spans="1:6" x14ac:dyDescent="0.25"/>
  </sheetData>
  <sheetProtection password="CDE2" sheet="1" objects="1" scenarios="1" formatCells="0" formatColumns="0" formatRows="0"/>
  <mergeCells count="1">
    <mergeCell ref="A13:F14"/>
  </mergeCells>
  <pageMargins left="0.25" right="0.25" top="0.75" bottom="0.75" header="0.3" footer="0.3"/>
  <pageSetup scale="78" fitToHeight="2" orientation="portrait"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2">
    <pageSetUpPr fitToPage="1"/>
  </sheetPr>
  <dimension ref="A1:AA42"/>
  <sheetViews>
    <sheetView view="pageLayout" zoomScaleNormal="100" workbookViewId="0">
      <selection activeCell="A13" sqref="A13"/>
    </sheetView>
  </sheetViews>
  <sheetFormatPr defaultColWidth="0" defaultRowHeight="15" zeroHeight="1" x14ac:dyDescent="0.25"/>
  <cols>
    <col min="1" max="1" width="48.7109375" style="43" customWidth="1"/>
    <col min="2" max="2" width="35.85546875" style="43" customWidth="1"/>
    <col min="3" max="3" width="45.42578125" style="43" customWidth="1"/>
    <col min="4" max="16384" width="3.28515625" style="43" hidden="1"/>
  </cols>
  <sheetData>
    <row r="1" spans="1:27" ht="15.75" thickBot="1" x14ac:dyDescent="0.3">
      <c r="A1" s="101" t="s">
        <v>531</v>
      </c>
      <c r="B1" s="56"/>
      <c r="C1" s="56"/>
      <c r="AA1" s="43" t="s">
        <v>514</v>
      </c>
    </row>
    <row r="2" spans="1:27" x14ac:dyDescent="0.25">
      <c r="A2" s="68" t="s">
        <v>519</v>
      </c>
    </row>
    <row r="3" spans="1:27" ht="51" customHeight="1" thickBot="1" x14ac:dyDescent="0.3">
      <c r="A3" s="182" t="s">
        <v>295</v>
      </c>
      <c r="B3" s="183"/>
      <c r="C3" s="183"/>
    </row>
    <row r="4" spans="1:27" ht="15.75" thickBot="1" x14ac:dyDescent="0.3">
      <c r="A4" s="65" t="s">
        <v>3</v>
      </c>
      <c r="B4" s="66" t="s">
        <v>296</v>
      </c>
      <c r="C4" s="66" t="s">
        <v>297</v>
      </c>
    </row>
    <row r="5" spans="1:27" ht="16.5" thickBot="1" x14ac:dyDescent="0.3">
      <c r="A5" s="69" t="s">
        <v>39</v>
      </c>
      <c r="B5" s="115"/>
      <c r="C5" s="115"/>
    </row>
    <row r="6" spans="1:27" ht="16.5" thickBot="1" x14ac:dyDescent="0.3">
      <c r="A6" s="69" t="s">
        <v>38</v>
      </c>
      <c r="B6" s="115"/>
      <c r="C6" s="115"/>
    </row>
    <row r="7" spans="1:27" ht="16.5" thickBot="1" x14ac:dyDescent="0.3">
      <c r="A7" s="69" t="s">
        <v>37</v>
      </c>
      <c r="B7" s="115"/>
      <c r="C7" s="115"/>
    </row>
    <row r="8" spans="1:27" ht="16.5" thickBot="1" x14ac:dyDescent="0.3">
      <c r="A8" s="69" t="s">
        <v>34</v>
      </c>
      <c r="B8" s="115"/>
      <c r="C8" s="115"/>
    </row>
    <row r="9" spans="1:27" ht="16.5" thickBot="1" x14ac:dyDescent="0.3">
      <c r="A9" s="69" t="s">
        <v>33</v>
      </c>
      <c r="B9" s="115"/>
      <c r="C9" s="115"/>
    </row>
    <row r="10" spans="1:27" ht="16.5" thickBot="1" x14ac:dyDescent="0.3">
      <c r="A10" s="69" t="s">
        <v>32</v>
      </c>
      <c r="B10" s="115"/>
      <c r="C10" s="115"/>
    </row>
    <row r="11" spans="1:27" ht="16.5" thickBot="1" x14ac:dyDescent="0.3">
      <c r="A11" s="69" t="s">
        <v>30</v>
      </c>
      <c r="B11" s="115"/>
      <c r="C11" s="115"/>
    </row>
    <row r="12" spans="1:27" x14ac:dyDescent="0.25"/>
    <row r="13" spans="1:27" x14ac:dyDescent="0.25">
      <c r="A13" s="43" t="s">
        <v>298</v>
      </c>
    </row>
    <row r="14" spans="1:27" ht="71.25" customHeight="1" x14ac:dyDescent="0.25">
      <c r="A14" s="152" t="s">
        <v>549</v>
      </c>
      <c r="B14" s="180"/>
      <c r="C14" s="181"/>
    </row>
    <row r="15" spans="1:27" x14ac:dyDescent="0.25"/>
    <row r="16" spans="1:27" x14ac:dyDescent="0.25">
      <c r="A16" s="68" t="s">
        <v>520</v>
      </c>
    </row>
    <row r="17" spans="1:3" x14ac:dyDescent="0.25">
      <c r="A17" s="43" t="s">
        <v>299</v>
      </c>
    </row>
    <row r="18" spans="1:3" ht="50.25" customHeight="1" x14ac:dyDescent="0.25">
      <c r="A18" s="152" t="s">
        <v>300</v>
      </c>
      <c r="B18" s="180"/>
      <c r="C18" s="181"/>
    </row>
    <row r="19" spans="1:3" x14ac:dyDescent="0.25"/>
    <row r="20" spans="1:3" x14ac:dyDescent="0.25">
      <c r="A20" s="68" t="s">
        <v>521</v>
      </c>
    </row>
    <row r="21" spans="1:3" x14ac:dyDescent="0.25">
      <c r="A21" s="43" t="s">
        <v>301</v>
      </c>
    </row>
    <row r="22" spans="1:3" ht="48.75" customHeight="1" x14ac:dyDescent="0.25">
      <c r="A22" s="152" t="s">
        <v>302</v>
      </c>
      <c r="B22" s="180"/>
      <c r="C22" s="181"/>
    </row>
    <row r="23" spans="1:3" x14ac:dyDescent="0.25"/>
    <row r="24" spans="1:3" x14ac:dyDescent="0.25">
      <c r="A24" s="68" t="s">
        <v>522</v>
      </c>
    </row>
    <row r="25" spans="1:3" x14ac:dyDescent="0.25">
      <c r="A25" s="43" t="s">
        <v>299</v>
      </c>
    </row>
    <row r="26" spans="1:3" ht="44.25" customHeight="1" x14ac:dyDescent="0.25">
      <c r="A26" s="152" t="s">
        <v>303</v>
      </c>
      <c r="B26" s="180"/>
      <c r="C26" s="181"/>
    </row>
    <row r="27" spans="1:3" x14ac:dyDescent="0.25"/>
    <row r="28" spans="1:3" x14ac:dyDescent="0.25">
      <c r="A28" s="68" t="s">
        <v>523</v>
      </c>
    </row>
    <row r="29" spans="1:3" x14ac:dyDescent="0.25">
      <c r="A29" s="43" t="s">
        <v>304</v>
      </c>
    </row>
    <row r="30" spans="1:3" ht="38.25" customHeight="1" x14ac:dyDescent="0.25">
      <c r="A30" s="152" t="s">
        <v>305</v>
      </c>
      <c r="B30" s="180"/>
      <c r="C30" s="181"/>
    </row>
    <row r="31" spans="1:3" x14ac:dyDescent="0.25"/>
    <row r="32" spans="1:3" x14ac:dyDescent="0.25">
      <c r="A32" s="68" t="s">
        <v>524</v>
      </c>
    </row>
    <row r="33" spans="1:3" x14ac:dyDescent="0.25">
      <c r="A33" s="43" t="s">
        <v>306</v>
      </c>
    </row>
    <row r="34" spans="1:3" ht="42.75" customHeight="1" x14ac:dyDescent="0.25">
      <c r="A34" s="152" t="s">
        <v>307</v>
      </c>
      <c r="B34" s="180"/>
      <c r="C34" s="181"/>
    </row>
    <row r="35" spans="1:3" x14ac:dyDescent="0.25"/>
    <row r="36" spans="1:3" x14ac:dyDescent="0.25">
      <c r="A36" s="68" t="s">
        <v>525</v>
      </c>
    </row>
    <row r="37" spans="1:3" x14ac:dyDescent="0.25">
      <c r="A37" s="43" t="s">
        <v>308</v>
      </c>
    </row>
    <row r="38" spans="1:3" ht="57.75" customHeight="1" x14ac:dyDescent="0.25">
      <c r="A38" s="152" t="s">
        <v>309</v>
      </c>
      <c r="B38" s="180"/>
      <c r="C38" s="181"/>
    </row>
    <row r="39" spans="1:3" x14ac:dyDescent="0.25">
      <c r="A39" s="93"/>
      <c r="B39" s="93"/>
      <c r="C39" s="93"/>
    </row>
    <row r="40" spans="1:3" x14ac:dyDescent="0.25">
      <c r="A40" s="93"/>
      <c r="B40" s="93"/>
      <c r="C40" s="93"/>
    </row>
    <row r="41" spans="1:3" x14ac:dyDescent="0.25">
      <c r="A41" s="93"/>
      <c r="B41" s="93"/>
      <c r="C41" s="93"/>
    </row>
    <row r="42" spans="1:3" x14ac:dyDescent="0.25">
      <c r="A42" s="93"/>
      <c r="B42" s="93"/>
      <c r="C42" s="93"/>
    </row>
  </sheetData>
  <sheetProtection password="CDE2" sheet="1" objects="1" scenarios="1" formatCells="0" formatColumns="0" formatRows="0"/>
  <mergeCells count="8">
    <mergeCell ref="A34:C34"/>
    <mergeCell ref="A38:C38"/>
    <mergeCell ref="A3:C3"/>
    <mergeCell ref="A14:C14"/>
    <mergeCell ref="A18:C18"/>
    <mergeCell ref="A22:C22"/>
    <mergeCell ref="A26:C26"/>
    <mergeCell ref="A30:C30"/>
  </mergeCells>
  <pageMargins left="0.2" right="0.2" top="0.5" bottom="0.5" header="0.3" footer="0.3"/>
  <pageSetup scale="79" fitToHeight="7"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3">
    <pageSetUpPr fitToPage="1"/>
  </sheetPr>
  <dimension ref="A1:AA34"/>
  <sheetViews>
    <sheetView view="pageLayout" zoomScaleNormal="100" workbookViewId="0">
      <selection activeCell="C6" sqref="C6"/>
    </sheetView>
  </sheetViews>
  <sheetFormatPr defaultColWidth="0" defaultRowHeight="15" zeroHeight="1" x14ac:dyDescent="0.25"/>
  <cols>
    <col min="1" max="1" width="23.5703125" style="43" customWidth="1"/>
    <col min="2" max="6" width="16.140625" style="43" customWidth="1"/>
    <col min="7" max="7" width="26" style="43" customWidth="1"/>
    <col min="8" max="16384" width="2" style="43" hidden="1"/>
  </cols>
  <sheetData>
    <row r="1" spans="1:27" x14ac:dyDescent="0.25">
      <c r="AA1" s="43" t="s">
        <v>514</v>
      </c>
    </row>
    <row r="2" spans="1:27" x14ac:dyDescent="0.25">
      <c r="A2" s="102" t="s">
        <v>532</v>
      </c>
    </row>
    <row r="3" spans="1:27" ht="15.75" thickBot="1" x14ac:dyDescent="0.3">
      <c r="A3" s="43" t="s">
        <v>310</v>
      </c>
    </row>
    <row r="4" spans="1:27" ht="22.5" customHeight="1" thickBot="1" x14ac:dyDescent="0.3">
      <c r="A4" s="184" t="s">
        <v>311</v>
      </c>
      <c r="B4" s="186" t="s">
        <v>312</v>
      </c>
      <c r="C4" s="187"/>
      <c r="D4" s="187"/>
      <c r="E4" s="188"/>
      <c r="F4" s="186" t="s">
        <v>313</v>
      </c>
      <c r="G4" s="188"/>
    </row>
    <row r="5" spans="1:27" ht="15.75" thickBot="1" x14ac:dyDescent="0.3">
      <c r="A5" s="185"/>
      <c r="B5" s="97" t="s">
        <v>314</v>
      </c>
      <c r="C5" s="97" t="s">
        <v>315</v>
      </c>
      <c r="D5" s="97" t="s">
        <v>316</v>
      </c>
      <c r="E5" s="97" t="s">
        <v>317</v>
      </c>
      <c r="F5" s="97" t="s">
        <v>318</v>
      </c>
      <c r="G5" s="97" t="s">
        <v>319</v>
      </c>
    </row>
    <row r="6" spans="1:27" ht="15.75" thickBot="1" x14ac:dyDescent="0.3">
      <c r="A6" s="96"/>
      <c r="B6" s="94"/>
      <c r="C6" s="94"/>
      <c r="D6" s="94"/>
      <c r="E6" s="94"/>
      <c r="F6" s="94"/>
      <c r="G6" s="94"/>
    </row>
    <row r="7" spans="1:27" ht="15.75" thickBot="1" x14ac:dyDescent="0.3">
      <c r="A7" s="96"/>
      <c r="B7" s="94"/>
      <c r="C7" s="94"/>
      <c r="D7" s="94"/>
      <c r="E7" s="94"/>
      <c r="F7" s="94"/>
      <c r="G7" s="94"/>
    </row>
    <row r="8" spans="1:27" ht="15.75" thickBot="1" x14ac:dyDescent="0.3">
      <c r="A8" s="96"/>
      <c r="B8" s="94"/>
      <c r="C8" s="94"/>
      <c r="D8" s="94"/>
      <c r="E8" s="94"/>
      <c r="F8" s="94"/>
      <c r="G8" s="94"/>
    </row>
    <row r="9" spans="1:27" ht="15.75" thickBot="1" x14ac:dyDescent="0.3">
      <c r="A9" s="96"/>
      <c r="B9" s="94"/>
      <c r="C9" s="94"/>
      <c r="D9" s="94"/>
      <c r="E9" s="94"/>
      <c r="F9" s="94"/>
      <c r="G9" s="94"/>
    </row>
    <row r="10" spans="1:27" ht="15.75" thickBot="1" x14ac:dyDescent="0.3">
      <c r="A10" s="96"/>
      <c r="B10" s="94"/>
      <c r="C10" s="94"/>
      <c r="D10" s="94"/>
      <c r="E10" s="94"/>
      <c r="F10" s="94"/>
      <c r="G10" s="94"/>
    </row>
    <row r="11" spans="1:27" x14ac:dyDescent="0.25"/>
    <row r="12" spans="1:27" x14ac:dyDescent="0.25">
      <c r="A12" s="43" t="s">
        <v>320</v>
      </c>
    </row>
    <row r="13" spans="1:27" ht="57.75" customHeight="1" x14ac:dyDescent="0.25">
      <c r="A13" s="152" t="s">
        <v>321</v>
      </c>
      <c r="B13" s="166"/>
      <c r="C13" s="166"/>
      <c r="D13" s="166"/>
      <c r="E13" s="166"/>
      <c r="F13" s="166"/>
      <c r="G13" s="167"/>
    </row>
    <row r="14" spans="1:27" x14ac:dyDescent="0.25">
      <c r="A14" s="93"/>
      <c r="B14" s="93"/>
      <c r="C14" s="93"/>
      <c r="D14" s="93"/>
      <c r="E14" s="93"/>
      <c r="F14" s="93"/>
      <c r="G14" s="93"/>
    </row>
    <row r="15" spans="1:27" x14ac:dyDescent="0.25">
      <c r="A15" s="93"/>
      <c r="B15" s="93"/>
      <c r="C15" s="93"/>
      <c r="D15" s="93"/>
      <c r="E15" s="93"/>
      <c r="F15" s="93"/>
      <c r="G15" s="93"/>
    </row>
    <row r="16" spans="1:27" x14ac:dyDescent="0.25">
      <c r="A16" s="93"/>
      <c r="B16" s="93"/>
      <c r="C16" s="93"/>
      <c r="D16" s="93"/>
      <c r="E16" s="93"/>
      <c r="F16" s="93"/>
      <c r="G16" s="93"/>
    </row>
    <row r="17" spans="1:7" x14ac:dyDescent="0.25">
      <c r="A17" s="93"/>
      <c r="B17" s="93"/>
      <c r="C17" s="93"/>
      <c r="D17" s="93"/>
      <c r="E17" s="93"/>
      <c r="F17" s="93"/>
      <c r="G17" s="93"/>
    </row>
    <row r="18" spans="1:7" x14ac:dyDescent="0.25">
      <c r="A18" s="93"/>
      <c r="B18" s="93"/>
      <c r="C18" s="93"/>
      <c r="D18" s="95"/>
      <c r="E18" s="93"/>
      <c r="F18" s="93"/>
      <c r="G18" s="93"/>
    </row>
    <row r="19" spans="1:7" x14ac:dyDescent="0.25">
      <c r="A19" s="93"/>
      <c r="B19" s="93"/>
      <c r="C19" s="93"/>
      <c r="D19" s="93"/>
      <c r="E19" s="93"/>
      <c r="F19" s="93"/>
      <c r="G19" s="93"/>
    </row>
    <row r="20" spans="1:7" x14ac:dyDescent="0.25">
      <c r="A20" s="93"/>
      <c r="B20" s="93"/>
      <c r="C20" s="93"/>
      <c r="D20" s="93"/>
      <c r="E20" s="93"/>
      <c r="F20" s="93"/>
      <c r="G20" s="93"/>
    </row>
    <row r="21" spans="1:7" x14ac:dyDescent="0.25">
      <c r="A21" s="93"/>
      <c r="B21" s="93"/>
      <c r="C21" s="93"/>
      <c r="D21" s="93"/>
      <c r="E21" s="93"/>
      <c r="F21" s="93"/>
      <c r="G21" s="93"/>
    </row>
    <row r="22" spans="1:7" x14ac:dyDescent="0.25">
      <c r="A22" s="93"/>
      <c r="B22" s="93"/>
      <c r="C22" s="93"/>
      <c r="D22" s="93"/>
      <c r="E22" s="93"/>
      <c r="F22" s="93"/>
      <c r="G22" s="93"/>
    </row>
    <row r="23" spans="1:7" x14ac:dyDescent="0.25">
      <c r="A23" s="93"/>
      <c r="B23" s="93"/>
      <c r="C23" s="93"/>
      <c r="D23" s="93"/>
      <c r="E23" s="93"/>
      <c r="F23" s="93"/>
      <c r="G23" s="93"/>
    </row>
    <row r="24" spans="1:7" x14ac:dyDescent="0.25">
      <c r="A24" s="93"/>
      <c r="B24" s="93"/>
      <c r="C24" s="93"/>
      <c r="D24" s="93"/>
      <c r="E24" s="93"/>
      <c r="F24" s="93"/>
      <c r="G24" s="93"/>
    </row>
    <row r="25" spans="1:7" x14ac:dyDescent="0.25">
      <c r="A25" s="93"/>
      <c r="B25" s="93"/>
      <c r="C25" s="93"/>
      <c r="D25" s="93"/>
      <c r="E25" s="93"/>
      <c r="F25" s="93"/>
      <c r="G25" s="93"/>
    </row>
    <row r="26" spans="1:7" x14ac:dyDescent="0.25">
      <c r="A26" s="93"/>
      <c r="B26" s="93"/>
      <c r="C26" s="93"/>
      <c r="D26" s="93"/>
      <c r="E26" s="93"/>
      <c r="F26" s="93"/>
      <c r="G26" s="93"/>
    </row>
    <row r="27" spans="1:7" x14ac:dyDescent="0.25">
      <c r="A27" s="93"/>
      <c r="B27" s="93"/>
      <c r="C27" s="93"/>
      <c r="D27" s="93"/>
      <c r="E27" s="93"/>
      <c r="F27" s="93"/>
      <c r="G27" s="93"/>
    </row>
    <row r="28" spans="1:7" x14ac:dyDescent="0.25">
      <c r="A28" s="93"/>
      <c r="B28" s="93"/>
      <c r="C28" s="93"/>
      <c r="D28" s="93"/>
      <c r="E28" s="93"/>
      <c r="F28" s="93"/>
      <c r="G28" s="93"/>
    </row>
    <row r="29" spans="1:7" x14ac:dyDescent="0.25">
      <c r="A29" s="93"/>
      <c r="B29" s="93"/>
      <c r="C29" s="93"/>
      <c r="D29" s="93"/>
      <c r="E29" s="93"/>
      <c r="F29" s="93"/>
      <c r="G29" s="93"/>
    </row>
    <row r="30" spans="1:7" x14ac:dyDescent="0.25">
      <c r="A30" s="93"/>
      <c r="B30" s="93"/>
      <c r="C30" s="93"/>
      <c r="D30" s="93"/>
      <c r="E30" s="93"/>
      <c r="F30" s="93"/>
      <c r="G30" s="93"/>
    </row>
    <row r="31" spans="1:7" x14ac:dyDescent="0.25">
      <c r="A31" s="93"/>
      <c r="B31" s="93"/>
      <c r="C31" s="93"/>
      <c r="D31" s="93"/>
      <c r="E31" s="93"/>
      <c r="F31" s="93"/>
      <c r="G31" s="93"/>
    </row>
    <row r="32" spans="1:7" x14ac:dyDescent="0.25">
      <c r="A32" s="93"/>
      <c r="B32" s="93"/>
      <c r="C32" s="93"/>
      <c r="D32" s="93"/>
      <c r="E32" s="93"/>
      <c r="F32" s="93"/>
      <c r="G32" s="93"/>
    </row>
    <row r="33" spans="1:7" x14ac:dyDescent="0.25">
      <c r="A33" s="93"/>
      <c r="B33" s="93"/>
      <c r="C33" s="93"/>
      <c r="D33" s="93"/>
      <c r="E33" s="93"/>
      <c r="F33" s="93"/>
      <c r="G33" s="93"/>
    </row>
    <row r="34" spans="1:7" x14ac:dyDescent="0.25">
      <c r="A34" s="93"/>
      <c r="B34" s="93"/>
      <c r="C34" s="93"/>
      <c r="D34" s="93"/>
      <c r="E34" s="93"/>
      <c r="F34" s="93"/>
      <c r="G34" s="93"/>
    </row>
  </sheetData>
  <sheetProtection password="CDE2" sheet="1" objects="1" scenarios="1" formatCells="0" formatColumns="0" formatRows="0"/>
  <mergeCells count="4">
    <mergeCell ref="A4:A5"/>
    <mergeCell ref="B4:E4"/>
    <mergeCell ref="F4:G4"/>
    <mergeCell ref="A13:G13"/>
  </mergeCells>
  <pageMargins left="0.25" right="0.25" top="0.75" bottom="0.75" header="0.3" footer="0.3"/>
  <pageSetup scale="78" fitToHeight="4" orientation="portrait" r:id="rId1"/>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5">
    <tabColor rgb="FFFF0000"/>
  </sheetPr>
  <dimension ref="A1:K222"/>
  <sheetViews>
    <sheetView topLeftCell="A94" workbookViewId="0">
      <selection activeCell="A110" sqref="A110:XFD110"/>
    </sheetView>
  </sheetViews>
  <sheetFormatPr defaultRowHeight="15" x14ac:dyDescent="0.25"/>
  <cols>
    <col min="1" max="1" width="12.42578125" bestFit="1" customWidth="1"/>
    <col min="2" max="2" width="61.42578125" customWidth="1"/>
    <col min="4" max="4" width="12.42578125" bestFit="1" customWidth="1"/>
  </cols>
  <sheetData>
    <row r="1" spans="1:11" x14ac:dyDescent="0.25">
      <c r="A1" t="s">
        <v>11</v>
      </c>
      <c r="B1" s="13" t="s">
        <v>63</v>
      </c>
      <c r="C1" t="e">
        <f>B1&amp;","&amp;B2&amp;","&amp;B3&amp;","&amp;B4&amp;","&amp;B5&amp;","&amp;B6&amp;","&amp;B7&amp;","&amp;B8&amp;","&amp;B9&amp;","&amp;B10&amp;","&amp;B11&amp;","&amp;B12&amp;","&amp;B13&amp;","&amp;B14&amp;","&amp;B15&amp;","&amp;B16&amp;","&amp;B17&amp;","&amp;B18&amp;","&amp;B19&amp;","&amp;B20&amp;","&amp;B21&amp;","&amp;B22&amp;","&amp;B23&amp;","&amp;B24&amp;","&amp;B25&amp;","&amp;B26&amp;","&amp;B27&amp;","&amp;B28&amp;","&amp;#REF!&amp;","&amp;B29&amp;","&amp;B30&amp;","&amp;B31&amp;","&amp;B32&amp;","&amp;B33&amp;","&amp;B34</f>
        <v>#REF!</v>
      </c>
      <c r="D1" t="s">
        <v>11</v>
      </c>
      <c r="K1" t="s">
        <v>236</v>
      </c>
    </row>
    <row r="2" spans="1:11" x14ac:dyDescent="0.25">
      <c r="A2" t="s">
        <v>11</v>
      </c>
      <c r="B2" s="29" t="s">
        <v>127</v>
      </c>
      <c r="D2" t="s">
        <v>17</v>
      </c>
    </row>
    <row r="3" spans="1:11" ht="30" x14ac:dyDescent="0.25">
      <c r="A3" t="s">
        <v>11</v>
      </c>
      <c r="B3" s="29" t="s">
        <v>129</v>
      </c>
      <c r="D3" t="s">
        <v>15</v>
      </c>
      <c r="F3" t="s">
        <v>238</v>
      </c>
    </row>
    <row r="4" spans="1:11" x14ac:dyDescent="0.25">
      <c r="A4" t="s">
        <v>11</v>
      </c>
      <c r="B4" s="29" t="s">
        <v>124</v>
      </c>
      <c r="D4" t="s">
        <v>13</v>
      </c>
    </row>
    <row r="5" spans="1:11" x14ac:dyDescent="0.25">
      <c r="A5" t="s">
        <v>11</v>
      </c>
      <c r="B5" s="29" t="s">
        <v>125</v>
      </c>
      <c r="D5" t="s">
        <v>9</v>
      </c>
    </row>
    <row r="6" spans="1:11" x14ac:dyDescent="0.25">
      <c r="A6" t="s">
        <v>11</v>
      </c>
      <c r="B6" s="29" t="s">
        <v>126</v>
      </c>
      <c r="D6" t="s">
        <v>31</v>
      </c>
    </row>
    <row r="7" spans="1:11" x14ac:dyDescent="0.25">
      <c r="A7" t="s">
        <v>11</v>
      </c>
      <c r="B7" s="29" t="s">
        <v>131</v>
      </c>
      <c r="D7" t="s">
        <v>25</v>
      </c>
    </row>
    <row r="8" spans="1:11" x14ac:dyDescent="0.25">
      <c r="A8" t="s">
        <v>11</v>
      </c>
      <c r="B8" s="29" t="s">
        <v>132</v>
      </c>
      <c r="D8" t="s">
        <v>20</v>
      </c>
    </row>
    <row r="9" spans="1:11" x14ac:dyDescent="0.25">
      <c r="A9" t="s">
        <v>11</v>
      </c>
      <c r="B9" s="29" t="s">
        <v>130</v>
      </c>
    </row>
    <row r="10" spans="1:11" x14ac:dyDescent="0.25">
      <c r="A10" t="s">
        <v>11</v>
      </c>
      <c r="B10" s="29" t="s">
        <v>128</v>
      </c>
    </row>
    <row r="11" spans="1:11" x14ac:dyDescent="0.25">
      <c r="A11" t="s">
        <v>11</v>
      </c>
      <c r="B11" s="13" t="s">
        <v>62</v>
      </c>
    </row>
    <row r="12" spans="1:11" x14ac:dyDescent="0.25">
      <c r="A12" t="s">
        <v>11</v>
      </c>
      <c r="B12" s="29" t="s">
        <v>115</v>
      </c>
    </row>
    <row r="13" spans="1:11" x14ac:dyDescent="0.25">
      <c r="A13" t="s">
        <v>11</v>
      </c>
      <c r="B13" s="29" t="s">
        <v>123</v>
      </c>
    </row>
    <row r="14" spans="1:11" x14ac:dyDescent="0.25">
      <c r="A14" t="s">
        <v>11</v>
      </c>
      <c r="B14" s="29" t="s">
        <v>122</v>
      </c>
    </row>
    <row r="15" spans="1:11" ht="15.75" thickBot="1" x14ac:dyDescent="0.3">
      <c r="A15" t="s">
        <v>11</v>
      </c>
      <c r="B15" s="29" t="s">
        <v>117</v>
      </c>
    </row>
    <row r="16" spans="1:11" ht="15.75" thickBot="1" x14ac:dyDescent="0.3">
      <c r="A16" t="s">
        <v>11</v>
      </c>
      <c r="B16" s="28" t="s">
        <v>119</v>
      </c>
    </row>
    <row r="17" spans="1:2" ht="15.75" thickBot="1" x14ac:dyDescent="0.3">
      <c r="A17" t="s">
        <v>11</v>
      </c>
      <c r="B17" s="28" t="s">
        <v>116</v>
      </c>
    </row>
    <row r="18" spans="1:2" ht="15.75" thickBot="1" x14ac:dyDescent="0.3">
      <c r="A18" t="s">
        <v>11</v>
      </c>
      <c r="B18" s="28" t="s">
        <v>121</v>
      </c>
    </row>
    <row r="19" spans="1:2" ht="15.75" thickBot="1" x14ac:dyDescent="0.3">
      <c r="A19" t="s">
        <v>11</v>
      </c>
      <c r="B19" s="28" t="s">
        <v>120</v>
      </c>
    </row>
    <row r="20" spans="1:2" ht="15.75" thickBot="1" x14ac:dyDescent="0.3">
      <c r="A20" t="s">
        <v>11</v>
      </c>
      <c r="B20" s="28" t="s">
        <v>118</v>
      </c>
    </row>
    <row r="21" spans="1:2" ht="15.75" thickBot="1" x14ac:dyDescent="0.3">
      <c r="A21" t="s">
        <v>11</v>
      </c>
      <c r="B21" s="32" t="s">
        <v>61</v>
      </c>
    </row>
    <row r="22" spans="1:2" ht="15.75" thickBot="1" x14ac:dyDescent="0.3">
      <c r="A22" t="s">
        <v>11</v>
      </c>
      <c r="B22" s="28" t="s">
        <v>137</v>
      </c>
    </row>
    <row r="23" spans="1:2" ht="15.75" thickBot="1" x14ac:dyDescent="0.3">
      <c r="A23" t="s">
        <v>11</v>
      </c>
      <c r="B23" s="28" t="s">
        <v>136</v>
      </c>
    </row>
    <row r="24" spans="1:2" ht="15.75" thickBot="1" x14ac:dyDescent="0.3">
      <c r="A24" t="s">
        <v>11</v>
      </c>
      <c r="B24" s="30" t="s">
        <v>12</v>
      </c>
    </row>
    <row r="25" spans="1:2" ht="15.75" thickBot="1" x14ac:dyDescent="0.3">
      <c r="A25" t="s">
        <v>11</v>
      </c>
      <c r="B25" s="32" t="s">
        <v>60</v>
      </c>
    </row>
    <row r="26" spans="1:2" ht="15.75" thickBot="1" x14ac:dyDescent="0.3">
      <c r="A26" t="s">
        <v>11</v>
      </c>
      <c r="B26" s="28" t="s">
        <v>113</v>
      </c>
    </row>
    <row r="27" spans="1:2" ht="15.75" thickBot="1" x14ac:dyDescent="0.3">
      <c r="A27" t="s">
        <v>11</v>
      </c>
      <c r="B27" s="28" t="s">
        <v>114</v>
      </c>
    </row>
    <row r="28" spans="1:2" ht="15.75" thickBot="1" x14ac:dyDescent="0.3">
      <c r="A28" t="s">
        <v>11</v>
      </c>
      <c r="B28" s="28" t="s">
        <v>112</v>
      </c>
    </row>
    <row r="29" spans="1:2" ht="30.75" thickBot="1" x14ac:dyDescent="0.3">
      <c r="A29" t="s">
        <v>11</v>
      </c>
      <c r="B29" s="28" t="s">
        <v>237</v>
      </c>
    </row>
    <row r="30" spans="1:2" ht="15.75" thickBot="1" x14ac:dyDescent="0.3">
      <c r="A30" t="s">
        <v>11</v>
      </c>
      <c r="B30" s="32" t="s">
        <v>59</v>
      </c>
    </row>
    <row r="31" spans="1:2" ht="15.75" thickBot="1" x14ac:dyDescent="0.3">
      <c r="A31" t="s">
        <v>11</v>
      </c>
      <c r="B31" s="28" t="s">
        <v>133</v>
      </c>
    </row>
    <row r="32" spans="1:2" ht="15.75" thickBot="1" x14ac:dyDescent="0.3">
      <c r="A32" t="s">
        <v>11</v>
      </c>
      <c r="B32" s="28" t="s">
        <v>134</v>
      </c>
    </row>
    <row r="33" spans="1:4" ht="15.75" thickBot="1" x14ac:dyDescent="0.3">
      <c r="A33" t="s">
        <v>11</v>
      </c>
      <c r="B33" s="28" t="s">
        <v>135</v>
      </c>
    </row>
    <row r="34" spans="1:4" ht="15.75" thickBot="1" x14ac:dyDescent="0.3">
      <c r="A34" t="s">
        <v>11</v>
      </c>
      <c r="B34" s="30" t="s">
        <v>58</v>
      </c>
    </row>
    <row r="35" spans="1:4" ht="15.75" thickBot="1" x14ac:dyDescent="0.3">
      <c r="A35" s="15" t="s">
        <v>17</v>
      </c>
      <c r="B35" s="35" t="s">
        <v>18</v>
      </c>
      <c r="C35" t="str">
        <f>B35&amp;","&amp;B36&amp;","&amp;B37&amp;","&amp;B38&amp;","&amp;B39&amp;","&amp;B40&amp;","&amp;B41&amp;","&amp;B42&amp;","&amp;B43&amp;","&amp;B44&amp;","&amp;B45&amp;","&amp;B46&amp;","&amp;B47&amp;","&amp;B48</f>
        <v>Collateral,Concentration,Concentration - Geography,Concentration - Industry,Concentration - Maturity,Concentration - One obligor,Concentration - Product,Counterparty,Country,Default,Other Than Temporary Impairment (OTTI) Accounting,Rating Migration,Residual Value,Settlement</v>
      </c>
    </row>
    <row r="36" spans="1:4" ht="15.75" thickBot="1" x14ac:dyDescent="0.3">
      <c r="A36" t="s">
        <v>17</v>
      </c>
      <c r="B36" s="32" t="s">
        <v>57</v>
      </c>
    </row>
    <row r="37" spans="1:4" ht="15.75" thickBot="1" x14ac:dyDescent="0.3">
      <c r="A37" t="s">
        <v>17</v>
      </c>
      <c r="B37" s="32" t="s">
        <v>143</v>
      </c>
      <c r="D37" t="s">
        <v>239</v>
      </c>
    </row>
    <row r="38" spans="1:4" ht="15.75" thickBot="1" x14ac:dyDescent="0.3">
      <c r="A38" t="s">
        <v>17</v>
      </c>
      <c r="B38" s="32" t="s">
        <v>140</v>
      </c>
    </row>
    <row r="39" spans="1:4" ht="15.75" thickBot="1" x14ac:dyDescent="0.3">
      <c r="A39" t="s">
        <v>17</v>
      </c>
      <c r="B39" s="32" t="s">
        <v>142</v>
      </c>
    </row>
    <row r="40" spans="1:4" ht="15.75" thickBot="1" x14ac:dyDescent="0.3">
      <c r="A40" t="s">
        <v>17</v>
      </c>
      <c r="B40" s="32" t="s">
        <v>139</v>
      </c>
    </row>
    <row r="41" spans="1:4" ht="15.75" thickBot="1" x14ac:dyDescent="0.3">
      <c r="A41" t="s">
        <v>17</v>
      </c>
      <c r="B41" s="32" t="s">
        <v>141</v>
      </c>
    </row>
    <row r="42" spans="1:4" ht="15.75" thickBot="1" x14ac:dyDescent="0.3">
      <c r="A42" t="s">
        <v>17</v>
      </c>
      <c r="B42" s="32" t="s">
        <v>56</v>
      </c>
    </row>
    <row r="43" spans="1:4" ht="15.75" thickBot="1" x14ac:dyDescent="0.3">
      <c r="A43" s="15" t="s">
        <v>17</v>
      </c>
      <c r="B43" s="34" t="s">
        <v>55</v>
      </c>
    </row>
    <row r="44" spans="1:4" ht="15.75" thickBot="1" x14ac:dyDescent="0.3">
      <c r="A44" t="s">
        <v>17</v>
      </c>
      <c r="B44" s="31" t="s">
        <v>64</v>
      </c>
    </row>
    <row r="45" spans="1:4" x14ac:dyDescent="0.25">
      <c r="A45" s="15" t="s">
        <v>17</v>
      </c>
      <c r="B45" s="14" t="s">
        <v>144</v>
      </c>
    </row>
    <row r="46" spans="1:4" x14ac:dyDescent="0.25">
      <c r="A46" t="s">
        <v>17</v>
      </c>
      <c r="B46" s="13" t="s">
        <v>53</v>
      </c>
    </row>
    <row r="47" spans="1:4" x14ac:dyDescent="0.25">
      <c r="A47" t="s">
        <v>17</v>
      </c>
      <c r="B47" s="13" t="s">
        <v>138</v>
      </c>
    </row>
    <row r="48" spans="1:4" x14ac:dyDescent="0.25">
      <c r="A48" s="15" t="s">
        <v>17</v>
      </c>
      <c r="B48" s="14" t="s">
        <v>52</v>
      </c>
    </row>
    <row r="49" spans="1:4" x14ac:dyDescent="0.25">
      <c r="A49" t="s">
        <v>15</v>
      </c>
      <c r="B49" s="13" t="s">
        <v>16</v>
      </c>
      <c r="C49" t="str">
        <f>B49&amp;","&amp;B50&amp;","&amp;B51&amp;","&amp;B52&amp;","&amp;B53&amp;","&amp;B54&amp;","&amp;B55&amp;","&amp;B56&amp;","&amp;B57&amp;","&amp;B58&amp;","&amp;B59&amp;","&amp;B60&amp;","&amp;B61&amp;","&amp;B62</f>
        <v>Contingent Liquidity,Contingent Liquidity - General Contingent Liability,Contingent Liquidity - Off-balance-sheet items,Contingent Liquidity - Securitization ,Contingent Liquidity - Unsecured funding,Funding Liquidity,Funding Liquidity - Diversification,Funding Liquidity - Retail Liabilities,Funding Liquidity - Wholesale Liabilities,Market Liquidity,Market Liquidity - External Factors,Market Liquidity - General Market Liquidity,Market Liquidity - Liquid Asset-Based Factors,Market Liquidity - Strategic Factors</v>
      </c>
    </row>
    <row r="50" spans="1:4" x14ac:dyDescent="0.25">
      <c r="A50" t="s">
        <v>15</v>
      </c>
      <c r="B50" s="13" t="s">
        <v>154</v>
      </c>
    </row>
    <row r="51" spans="1:4" x14ac:dyDescent="0.25">
      <c r="A51" t="s">
        <v>15</v>
      </c>
      <c r="B51" s="13" t="s">
        <v>157</v>
      </c>
      <c r="D51" t="s">
        <v>240</v>
      </c>
    </row>
    <row r="52" spans="1:4" x14ac:dyDescent="0.25">
      <c r="A52" t="s">
        <v>15</v>
      </c>
      <c r="B52" s="13" t="s">
        <v>156</v>
      </c>
    </row>
    <row r="53" spans="1:4" x14ac:dyDescent="0.25">
      <c r="A53" t="s">
        <v>15</v>
      </c>
      <c r="B53" s="13" t="s">
        <v>155</v>
      </c>
    </row>
    <row r="54" spans="1:4" x14ac:dyDescent="0.25">
      <c r="A54" t="s">
        <v>15</v>
      </c>
      <c r="B54" s="13" t="s">
        <v>50</v>
      </c>
    </row>
    <row r="55" spans="1:4" x14ac:dyDescent="0.25">
      <c r="A55" t="s">
        <v>15</v>
      </c>
      <c r="B55" s="13" t="s">
        <v>153</v>
      </c>
    </row>
    <row r="56" spans="1:4" x14ac:dyDescent="0.25">
      <c r="A56" t="s">
        <v>15</v>
      </c>
      <c r="B56" s="13" t="s">
        <v>152</v>
      </c>
    </row>
    <row r="57" spans="1:4" x14ac:dyDescent="0.25">
      <c r="A57" t="s">
        <v>15</v>
      </c>
      <c r="B57" s="13" t="s">
        <v>151</v>
      </c>
    </row>
    <row r="58" spans="1:4" x14ac:dyDescent="0.25">
      <c r="A58" t="s">
        <v>15</v>
      </c>
      <c r="B58" s="13" t="s">
        <v>49</v>
      </c>
    </row>
    <row r="59" spans="1:4" x14ac:dyDescent="0.25">
      <c r="A59" t="s">
        <v>15</v>
      </c>
      <c r="B59" s="13" t="s">
        <v>149</v>
      </c>
    </row>
    <row r="60" spans="1:4" x14ac:dyDescent="0.25">
      <c r="A60" t="s">
        <v>15</v>
      </c>
      <c r="B60" s="13" t="s">
        <v>147</v>
      </c>
    </row>
    <row r="61" spans="1:4" x14ac:dyDescent="0.25">
      <c r="A61" t="s">
        <v>15</v>
      </c>
      <c r="B61" s="13" t="s">
        <v>150</v>
      </c>
    </row>
    <row r="62" spans="1:4" x14ac:dyDescent="0.25">
      <c r="A62" t="s">
        <v>15</v>
      </c>
      <c r="B62" s="13" t="s">
        <v>148</v>
      </c>
    </row>
    <row r="63" spans="1:4" x14ac:dyDescent="0.25">
      <c r="A63" t="s">
        <v>13</v>
      </c>
      <c r="B63" s="14" t="s">
        <v>48</v>
      </c>
      <c r="C63" t="str">
        <f>B63&amp;","&amp;B64&amp;","&amp;B65&amp;","&amp;B66&amp;","&amp;B67&amp;","&amp;B68&amp;","&amp;B69&amp;","&amp;B70&amp;","&amp;B71&amp;","&amp;B72&amp;","&amp;B73</f>
        <v>Basis Risk,Correlation Risk,Interest rates,Non Linear Risk,Non Linear Risk - Behavioral Risks,Non Linear Risk - Embedded options,Price Risk,Price Risk - Commodity Prices,Price Risk - Credit Spreads,Price Risk - Equity/Equity Indices,Price Risk - Foreign Exchange Rates</v>
      </c>
    </row>
    <row r="64" spans="1:4" x14ac:dyDescent="0.25">
      <c r="A64" t="s">
        <v>13</v>
      </c>
      <c r="B64" s="13" t="s">
        <v>163</v>
      </c>
    </row>
    <row r="65" spans="1:4" x14ac:dyDescent="0.25">
      <c r="A65" t="s">
        <v>13</v>
      </c>
      <c r="B65" s="13" t="s">
        <v>158</v>
      </c>
      <c r="D65" t="s">
        <v>241</v>
      </c>
    </row>
    <row r="66" spans="1:4" x14ac:dyDescent="0.25">
      <c r="A66" t="s">
        <v>13</v>
      </c>
      <c r="B66" s="13" t="s">
        <v>46</v>
      </c>
    </row>
    <row r="67" spans="1:4" x14ac:dyDescent="0.25">
      <c r="A67" t="s">
        <v>13</v>
      </c>
      <c r="B67" s="13" t="s">
        <v>164</v>
      </c>
    </row>
    <row r="68" spans="1:4" x14ac:dyDescent="0.25">
      <c r="A68" t="s">
        <v>13</v>
      </c>
      <c r="B68" s="13" t="s">
        <v>165</v>
      </c>
    </row>
    <row r="69" spans="1:4" x14ac:dyDescent="0.25">
      <c r="A69" t="s">
        <v>13</v>
      </c>
      <c r="B69" s="14" t="s">
        <v>45</v>
      </c>
    </row>
    <row r="70" spans="1:4" x14ac:dyDescent="0.25">
      <c r="A70" t="s">
        <v>13</v>
      </c>
      <c r="B70" s="14" t="s">
        <v>161</v>
      </c>
    </row>
    <row r="71" spans="1:4" x14ac:dyDescent="0.25">
      <c r="A71" t="s">
        <v>13</v>
      </c>
      <c r="B71" s="14" t="s">
        <v>162</v>
      </c>
    </row>
    <row r="72" spans="1:4" x14ac:dyDescent="0.25">
      <c r="A72" t="s">
        <v>13</v>
      </c>
      <c r="B72" s="14" t="s">
        <v>160</v>
      </c>
    </row>
    <row r="73" spans="1:4" x14ac:dyDescent="0.25">
      <c r="A73" t="s">
        <v>13</v>
      </c>
      <c r="B73" s="14" t="s">
        <v>159</v>
      </c>
    </row>
    <row r="74" spans="1:4" x14ac:dyDescent="0.25">
      <c r="A74" t="s">
        <v>9</v>
      </c>
      <c r="B74" s="33" t="s">
        <v>44</v>
      </c>
      <c r="C74" t="str">
        <f>B74&amp;","&amp;B75&amp;","&amp;B76&amp;","&amp;B77&amp;","&amp;B78</f>
        <v>Assumptions,Data Availability,Deterioration,Misuse,Training</v>
      </c>
    </row>
    <row r="75" spans="1:4" x14ac:dyDescent="0.25">
      <c r="A75" t="s">
        <v>9</v>
      </c>
      <c r="B75" s="33" t="s">
        <v>43</v>
      </c>
      <c r="D75" t="s">
        <v>242</v>
      </c>
    </row>
    <row r="76" spans="1:4" x14ac:dyDescent="0.25">
      <c r="A76" t="s">
        <v>9</v>
      </c>
      <c r="B76" s="33" t="s">
        <v>42</v>
      </c>
    </row>
    <row r="77" spans="1:4" x14ac:dyDescent="0.25">
      <c r="A77" t="s">
        <v>9</v>
      </c>
      <c r="B77" s="33" t="s">
        <v>41</v>
      </c>
    </row>
    <row r="78" spans="1:4" x14ac:dyDescent="0.25">
      <c r="A78" t="s">
        <v>9</v>
      </c>
      <c r="B78" s="33" t="s">
        <v>40</v>
      </c>
    </row>
    <row r="79" spans="1:4" x14ac:dyDescent="0.25">
      <c r="A79" t="s">
        <v>31</v>
      </c>
      <c r="B79" s="13" t="s">
        <v>39</v>
      </c>
      <c r="C79" t="e">
        <f>B79&amp;","&amp;B80&amp;","&amp;B81&amp;","&amp;B82&amp;","&amp;B83&amp;","&amp;B84&amp;","&amp;B85&amp;","&amp;B86&amp;","&amp;B88&amp;","&amp;B89&amp;","&amp;B90&amp;","&amp;B91&amp;","&amp;B92&amp;","&amp;B93&amp;","&amp;B94&amp;","&amp;B95&amp;","&amp;B96&amp;","&amp;B97&amp;","&amp;B98&amp;","&amp;B99&amp;","&amp;B100&amp;","&amp;B101&amp;","&amp;B102&amp;","&amp;B103&amp;","&amp;B87&amp;","&amp;B104&amp;","&amp;B105&amp;","&amp;B106&amp;","&amp;B107&amp;","&amp;B108&amp;","&amp;B109&amp;","&amp;#REF!&amp;","&amp;B110&amp;","&amp;B111&amp;","&amp;B112&amp;","&amp;B113&amp;","&amp;B114&amp;","&amp;B115&amp;","&amp;B116&amp;","&amp;B117&amp;","&amp;B118</f>
        <v>#REF!</v>
      </c>
    </row>
    <row r="80" spans="1:4" x14ac:dyDescent="0.25">
      <c r="A80" t="s">
        <v>31</v>
      </c>
      <c r="B80" s="13" t="s">
        <v>189</v>
      </c>
    </row>
    <row r="81" spans="1:4" x14ac:dyDescent="0.25">
      <c r="A81" t="s">
        <v>31</v>
      </c>
      <c r="B81" s="13" t="s">
        <v>187</v>
      </c>
      <c r="C81" s="36"/>
      <c r="D81" s="36" t="s">
        <v>243</v>
      </c>
    </row>
    <row r="82" spans="1:4" x14ac:dyDescent="0.25">
      <c r="A82" t="s">
        <v>31</v>
      </c>
      <c r="B82" s="13" t="s">
        <v>190</v>
      </c>
    </row>
    <row r="83" spans="1:4" x14ac:dyDescent="0.25">
      <c r="A83" t="s">
        <v>31</v>
      </c>
      <c r="B83" s="13" t="s">
        <v>188</v>
      </c>
    </row>
    <row r="84" spans="1:4" x14ac:dyDescent="0.25">
      <c r="A84" t="s">
        <v>31</v>
      </c>
      <c r="B84" s="13" t="s">
        <v>38</v>
      </c>
    </row>
    <row r="85" spans="1:4" x14ac:dyDescent="0.25">
      <c r="A85" t="s">
        <v>31</v>
      </c>
      <c r="B85" s="13" t="s">
        <v>177</v>
      </c>
    </row>
    <row r="86" spans="1:4" x14ac:dyDescent="0.25">
      <c r="A86" t="s">
        <v>31</v>
      </c>
      <c r="B86" s="13" t="s">
        <v>182</v>
      </c>
    </row>
    <row r="87" spans="1:4" x14ac:dyDescent="0.25">
      <c r="A87" t="s">
        <v>31</v>
      </c>
      <c r="B87" s="13" t="s">
        <v>546</v>
      </c>
    </row>
    <row r="88" spans="1:4" x14ac:dyDescent="0.25">
      <c r="A88" t="s">
        <v>31</v>
      </c>
      <c r="B88" s="13" t="s">
        <v>183</v>
      </c>
    </row>
    <row r="89" spans="1:4" x14ac:dyDescent="0.25">
      <c r="A89" t="s">
        <v>31</v>
      </c>
      <c r="B89" s="13" t="s">
        <v>547</v>
      </c>
    </row>
    <row r="90" spans="1:4" ht="15.75" thickBot="1" x14ac:dyDescent="0.3">
      <c r="A90" t="s">
        <v>31</v>
      </c>
      <c r="B90" s="13" t="s">
        <v>178</v>
      </c>
    </row>
    <row r="91" spans="1:4" ht="15.75" thickBot="1" x14ac:dyDescent="0.3">
      <c r="A91" t="s">
        <v>31</v>
      </c>
      <c r="B91" s="31" t="s">
        <v>180</v>
      </c>
    </row>
    <row r="92" spans="1:4" ht="15.75" thickBot="1" x14ac:dyDescent="0.3">
      <c r="A92" t="s">
        <v>31</v>
      </c>
      <c r="B92" s="31" t="s">
        <v>181</v>
      </c>
    </row>
    <row r="93" spans="1:4" ht="15.75" thickBot="1" x14ac:dyDescent="0.3">
      <c r="A93" t="s">
        <v>31</v>
      </c>
      <c r="B93" s="31" t="s">
        <v>179</v>
      </c>
    </row>
    <row r="94" spans="1:4" ht="15.75" thickBot="1" x14ac:dyDescent="0.3">
      <c r="A94" t="s">
        <v>31</v>
      </c>
      <c r="B94" s="31" t="s">
        <v>37</v>
      </c>
    </row>
    <row r="95" spans="1:4" ht="15.75" thickBot="1" x14ac:dyDescent="0.3">
      <c r="A95" t="s">
        <v>31</v>
      </c>
      <c r="B95" s="31" t="s">
        <v>184</v>
      </c>
    </row>
    <row r="96" spans="1:4" x14ac:dyDescent="0.25">
      <c r="A96" t="s">
        <v>31</v>
      </c>
      <c r="B96" s="13" t="s">
        <v>186</v>
      </c>
    </row>
    <row r="97" spans="1:2" x14ac:dyDescent="0.25">
      <c r="A97" t="s">
        <v>31</v>
      </c>
      <c r="B97" s="13" t="s">
        <v>185</v>
      </c>
    </row>
    <row r="98" spans="1:2" x14ac:dyDescent="0.25">
      <c r="A98" t="s">
        <v>31</v>
      </c>
      <c r="B98" s="13" t="s">
        <v>34</v>
      </c>
    </row>
    <row r="99" spans="1:2" x14ac:dyDescent="0.25">
      <c r="A99" t="s">
        <v>31</v>
      </c>
      <c r="B99" s="13" t="s">
        <v>175</v>
      </c>
    </row>
    <row r="100" spans="1:2" x14ac:dyDescent="0.25">
      <c r="A100" t="s">
        <v>31</v>
      </c>
      <c r="B100" s="13" t="s">
        <v>176</v>
      </c>
    </row>
    <row r="101" spans="1:2" x14ac:dyDescent="0.25">
      <c r="A101" t="s">
        <v>31</v>
      </c>
      <c r="B101" s="13" t="s">
        <v>174</v>
      </c>
    </row>
    <row r="102" spans="1:2" x14ac:dyDescent="0.25">
      <c r="A102" t="s">
        <v>31</v>
      </c>
      <c r="B102" s="13" t="s">
        <v>33</v>
      </c>
    </row>
    <row r="103" spans="1:2" x14ac:dyDescent="0.25">
      <c r="A103" t="s">
        <v>31</v>
      </c>
      <c r="B103" s="13" t="s">
        <v>194</v>
      </c>
    </row>
    <row r="104" spans="1:2" x14ac:dyDescent="0.25">
      <c r="A104" t="s">
        <v>31</v>
      </c>
      <c r="B104" s="13" t="s">
        <v>193</v>
      </c>
    </row>
    <row r="105" spans="1:2" x14ac:dyDescent="0.25">
      <c r="A105" t="s">
        <v>31</v>
      </c>
      <c r="B105" s="13" t="s">
        <v>196</v>
      </c>
    </row>
    <row r="106" spans="1:2" x14ac:dyDescent="0.25">
      <c r="A106" t="s">
        <v>31</v>
      </c>
      <c r="B106" s="13" t="s">
        <v>191</v>
      </c>
    </row>
    <row r="107" spans="1:2" x14ac:dyDescent="0.25">
      <c r="A107" t="s">
        <v>31</v>
      </c>
      <c r="B107" s="13" t="s">
        <v>195</v>
      </c>
    </row>
    <row r="108" spans="1:2" x14ac:dyDescent="0.25">
      <c r="A108" t="s">
        <v>31</v>
      </c>
      <c r="B108" s="13" t="s">
        <v>192</v>
      </c>
    </row>
    <row r="109" spans="1:2" x14ac:dyDescent="0.25">
      <c r="A109" t="s">
        <v>31</v>
      </c>
      <c r="B109" s="13" t="s">
        <v>32</v>
      </c>
    </row>
    <row r="110" spans="1:2" x14ac:dyDescent="0.25">
      <c r="A110" t="s">
        <v>31</v>
      </c>
      <c r="B110" s="13" t="s">
        <v>173</v>
      </c>
    </row>
    <row r="111" spans="1:2" x14ac:dyDescent="0.25">
      <c r="A111" t="s">
        <v>31</v>
      </c>
      <c r="B111" s="13" t="s">
        <v>172</v>
      </c>
    </row>
    <row r="112" spans="1:2" x14ac:dyDescent="0.25">
      <c r="A112" t="s">
        <v>31</v>
      </c>
      <c r="B112" s="13" t="s">
        <v>171</v>
      </c>
    </row>
    <row r="113" spans="1:6" x14ac:dyDescent="0.25">
      <c r="A113" t="s">
        <v>31</v>
      </c>
      <c r="B113" s="13" t="s">
        <v>30</v>
      </c>
    </row>
    <row r="114" spans="1:6" x14ac:dyDescent="0.25">
      <c r="A114" t="s">
        <v>31</v>
      </c>
      <c r="B114" s="13" t="s">
        <v>169</v>
      </c>
    </row>
    <row r="115" spans="1:6" x14ac:dyDescent="0.25">
      <c r="A115" t="s">
        <v>31</v>
      </c>
      <c r="B115" s="13" t="s">
        <v>167</v>
      </c>
    </row>
    <row r="116" spans="1:6" x14ac:dyDescent="0.25">
      <c r="A116" t="s">
        <v>31</v>
      </c>
      <c r="B116" s="13" t="s">
        <v>166</v>
      </c>
    </row>
    <row r="117" spans="1:6" x14ac:dyDescent="0.25">
      <c r="A117" t="s">
        <v>31</v>
      </c>
      <c r="B117" s="13" t="s">
        <v>170</v>
      </c>
    </row>
    <row r="118" spans="1:6" x14ac:dyDescent="0.25">
      <c r="A118" t="s">
        <v>31</v>
      </c>
      <c r="B118" s="13" t="s">
        <v>168</v>
      </c>
    </row>
    <row r="119" spans="1:6" x14ac:dyDescent="0.25">
      <c r="A119" t="s">
        <v>25</v>
      </c>
      <c r="B119" s="13" t="s">
        <v>145</v>
      </c>
      <c r="C119" t="str">
        <f>B119&amp;","&amp;B120&amp;","&amp;B121&amp;","&amp;B122&amp;","&amp;B123&amp;","&amp;B124&amp;","&amp;B125</f>
        <v>Brand Image,Brand Image - Complaints,Brand Image - Financial Stability,Brand Image - Fraud,Brand Image - Litigations,Brand Image - Product offerings,Brand Image - Regulators</v>
      </c>
    </row>
    <row r="120" spans="1:6" x14ac:dyDescent="0.25">
      <c r="A120" t="s">
        <v>25</v>
      </c>
      <c r="B120" s="13" t="s">
        <v>200</v>
      </c>
    </row>
    <row r="121" spans="1:6" x14ac:dyDescent="0.25">
      <c r="A121" t="s">
        <v>25</v>
      </c>
      <c r="B121" s="13" t="s">
        <v>197</v>
      </c>
      <c r="D121" t="s">
        <v>245</v>
      </c>
    </row>
    <row r="122" spans="1:6" x14ac:dyDescent="0.25">
      <c r="A122" t="s">
        <v>25</v>
      </c>
      <c r="B122" s="13" t="s">
        <v>199</v>
      </c>
      <c r="F122" s="13"/>
    </row>
    <row r="123" spans="1:6" x14ac:dyDescent="0.25">
      <c r="A123" t="s">
        <v>25</v>
      </c>
      <c r="B123" s="13" t="s">
        <v>201</v>
      </c>
    </row>
    <row r="124" spans="1:6" x14ac:dyDescent="0.25">
      <c r="A124" t="s">
        <v>25</v>
      </c>
      <c r="B124" s="13" t="s">
        <v>198</v>
      </c>
    </row>
    <row r="125" spans="1:6" x14ac:dyDescent="0.25">
      <c r="A125" t="s">
        <v>25</v>
      </c>
      <c r="B125" s="13" t="s">
        <v>202</v>
      </c>
    </row>
    <row r="126" spans="1:6" x14ac:dyDescent="0.25">
      <c r="A126" t="s">
        <v>20</v>
      </c>
      <c r="B126" s="13" t="s">
        <v>146</v>
      </c>
      <c r="C126" t="str">
        <f>B126&amp;","&amp;B127&amp;","&amp;B128&amp;","&amp;B129&amp;","&amp;B130&amp;","&amp;B131&amp;","&amp;B132&amp;","&amp;B133&amp;","&amp;B134&amp;","&amp;B135&amp;","&amp;B136&amp;","&amp;B137&amp;","&amp;B138&amp;","&amp;B139&amp;","&amp;B140&amp;","&amp;B141&amp;","&amp;B142&amp;","&amp;B143&amp;","&amp;B144&amp;","&amp;B145&amp;","&amp;B146&amp;","&amp;B147&amp;","&amp;B148&amp;","&amp;B149</f>
        <v>Strategic Planning,Strategic Planning - Execution Risk,Strategic Planning - Magnitude of change,Strategic Planning - Cost Control Initiatives,Strategic Planning - Diversification,Strategic Planning - Parent Influence,Strategic Planning - Resources,Expansion Risk,Expansion Risk - Product,Expansion Risk - Customers,Expansion Risk - Mergers and Acquisitions,Expansion Risk - Systems/Technology,Systems strategy and data architecture,External Factors,External Factors - Economic conditions / market performance,External Factors - Industry,External Factors - Competition,External Factors - Technology,Management and Other Personnel,Management and Other Personnel - Expertise,Management and Other Personnel - Responsiveness,Management and Other Personnel - Communication skills,Management and Other Personnel - Performance management and compensation,Corporate Governance</v>
      </c>
    </row>
    <row r="127" spans="1:6" x14ac:dyDescent="0.25">
      <c r="A127" t="s">
        <v>20</v>
      </c>
      <c r="B127" s="13" t="s">
        <v>203</v>
      </c>
    </row>
    <row r="128" spans="1:6" x14ac:dyDescent="0.25">
      <c r="A128" t="s">
        <v>20</v>
      </c>
      <c r="B128" s="13" t="s">
        <v>204</v>
      </c>
    </row>
    <row r="129" spans="1:3" x14ac:dyDescent="0.25">
      <c r="A129" t="s">
        <v>20</v>
      </c>
      <c r="B129" s="13" t="s">
        <v>205</v>
      </c>
    </row>
    <row r="130" spans="1:3" x14ac:dyDescent="0.25">
      <c r="A130" t="s">
        <v>20</v>
      </c>
      <c r="B130" s="13" t="s">
        <v>206</v>
      </c>
    </row>
    <row r="131" spans="1:3" x14ac:dyDescent="0.25">
      <c r="A131" t="s">
        <v>20</v>
      </c>
      <c r="B131" s="13" t="s">
        <v>207</v>
      </c>
      <c r="C131" t="s">
        <v>244</v>
      </c>
    </row>
    <row r="132" spans="1:3" x14ac:dyDescent="0.25">
      <c r="A132" t="s">
        <v>20</v>
      </c>
      <c r="B132" s="13" t="s">
        <v>208</v>
      </c>
    </row>
    <row r="133" spans="1:3" x14ac:dyDescent="0.25">
      <c r="A133" t="s">
        <v>20</v>
      </c>
      <c r="B133" t="s">
        <v>23</v>
      </c>
    </row>
    <row r="134" spans="1:3" x14ac:dyDescent="0.25">
      <c r="A134" t="s">
        <v>20</v>
      </c>
      <c r="B134" t="s">
        <v>209</v>
      </c>
    </row>
    <row r="135" spans="1:3" x14ac:dyDescent="0.25">
      <c r="A135" t="s">
        <v>20</v>
      </c>
      <c r="B135" t="s">
        <v>210</v>
      </c>
    </row>
    <row r="136" spans="1:3" x14ac:dyDescent="0.25">
      <c r="A136" t="s">
        <v>20</v>
      </c>
      <c r="B136" t="s">
        <v>211</v>
      </c>
    </row>
    <row r="137" spans="1:3" x14ac:dyDescent="0.25">
      <c r="A137" t="s">
        <v>20</v>
      </c>
      <c r="B137" t="s">
        <v>212</v>
      </c>
    </row>
    <row r="138" spans="1:3" x14ac:dyDescent="0.25">
      <c r="A138" t="s">
        <v>20</v>
      </c>
      <c r="B138" t="s">
        <v>213</v>
      </c>
    </row>
    <row r="139" spans="1:3" x14ac:dyDescent="0.25">
      <c r="A139" t="s">
        <v>20</v>
      </c>
      <c r="B139" t="s">
        <v>10</v>
      </c>
    </row>
    <row r="140" spans="1:3" x14ac:dyDescent="0.25">
      <c r="A140" t="s">
        <v>20</v>
      </c>
      <c r="B140" t="s">
        <v>214</v>
      </c>
    </row>
    <row r="141" spans="1:3" x14ac:dyDescent="0.25">
      <c r="A141" t="s">
        <v>20</v>
      </c>
      <c r="B141" t="s">
        <v>215</v>
      </c>
    </row>
    <row r="142" spans="1:3" x14ac:dyDescent="0.25">
      <c r="A142" t="s">
        <v>20</v>
      </c>
      <c r="B142" t="s">
        <v>216</v>
      </c>
    </row>
    <row r="143" spans="1:3" x14ac:dyDescent="0.25">
      <c r="A143" t="s">
        <v>20</v>
      </c>
      <c r="B143" t="s">
        <v>217</v>
      </c>
    </row>
    <row r="144" spans="1:3" x14ac:dyDescent="0.25">
      <c r="A144" t="s">
        <v>20</v>
      </c>
      <c r="B144" t="s">
        <v>22</v>
      </c>
    </row>
    <row r="145" spans="1:2" x14ac:dyDescent="0.25">
      <c r="A145" t="s">
        <v>20</v>
      </c>
      <c r="B145" t="s">
        <v>218</v>
      </c>
    </row>
    <row r="146" spans="1:2" x14ac:dyDescent="0.25">
      <c r="A146" t="s">
        <v>20</v>
      </c>
      <c r="B146" t="s">
        <v>219</v>
      </c>
    </row>
    <row r="147" spans="1:2" x14ac:dyDescent="0.25">
      <c r="A147" t="s">
        <v>20</v>
      </c>
      <c r="B147" t="s">
        <v>220</v>
      </c>
    </row>
    <row r="148" spans="1:2" x14ac:dyDescent="0.25">
      <c r="A148" t="s">
        <v>20</v>
      </c>
      <c r="B148" t="s">
        <v>221</v>
      </c>
    </row>
    <row r="149" spans="1:2" x14ac:dyDescent="0.25">
      <c r="A149" t="s">
        <v>20</v>
      </c>
      <c r="B149" t="s">
        <v>222</v>
      </c>
    </row>
    <row r="154" spans="1:2" x14ac:dyDescent="0.25">
      <c r="A154" s="16"/>
    </row>
    <row r="155" spans="1:2" x14ac:dyDescent="0.25">
      <c r="A155" s="16"/>
    </row>
    <row r="156" spans="1:2" x14ac:dyDescent="0.25">
      <c r="A156" s="16"/>
    </row>
    <row r="157" spans="1:2" x14ac:dyDescent="0.25">
      <c r="A157" s="16"/>
    </row>
    <row r="158" spans="1:2" x14ac:dyDescent="0.25">
      <c r="A158" s="16"/>
    </row>
    <row r="159" spans="1:2" x14ac:dyDescent="0.25">
      <c r="A159" s="16"/>
    </row>
    <row r="160" spans="1:2" x14ac:dyDescent="0.25">
      <c r="A160" s="16"/>
    </row>
    <row r="161" spans="1:2" x14ac:dyDescent="0.25">
      <c r="A161" s="16"/>
    </row>
    <row r="162" spans="1:2" x14ac:dyDescent="0.25">
      <c r="A162" s="17"/>
      <c r="B162" s="13"/>
    </row>
    <row r="163" spans="1:2" x14ac:dyDescent="0.25">
      <c r="A163" s="16"/>
    </row>
    <row r="170" spans="1:2" x14ac:dyDescent="0.25">
      <c r="A170" t="s">
        <v>11</v>
      </c>
      <c r="B170" t="s">
        <v>63</v>
      </c>
    </row>
    <row r="171" spans="1:2" x14ac:dyDescent="0.25">
      <c r="A171" t="s">
        <v>11</v>
      </c>
      <c r="B171" t="s">
        <v>62</v>
      </c>
    </row>
    <row r="172" spans="1:2" x14ac:dyDescent="0.25">
      <c r="A172" t="s">
        <v>11</v>
      </c>
      <c r="B172" t="s">
        <v>61</v>
      </c>
    </row>
    <row r="173" spans="1:2" x14ac:dyDescent="0.25">
      <c r="A173" t="s">
        <v>11</v>
      </c>
      <c r="B173" t="s">
        <v>12</v>
      </c>
    </row>
    <row r="174" spans="1:2" x14ac:dyDescent="0.25">
      <c r="A174" t="s">
        <v>11</v>
      </c>
      <c r="B174" t="s">
        <v>60</v>
      </c>
    </row>
    <row r="175" spans="1:2" x14ac:dyDescent="0.25">
      <c r="A175" t="s">
        <v>11</v>
      </c>
      <c r="B175" t="s">
        <v>59</v>
      </c>
    </row>
    <row r="176" spans="1:2" x14ac:dyDescent="0.25">
      <c r="A176" t="s">
        <v>11</v>
      </c>
      <c r="B176" t="s">
        <v>58</v>
      </c>
    </row>
    <row r="177" spans="1:2" x14ac:dyDescent="0.25">
      <c r="A177" t="s">
        <v>11</v>
      </c>
      <c r="B177" t="s">
        <v>40</v>
      </c>
    </row>
    <row r="178" spans="1:2" x14ac:dyDescent="0.25">
      <c r="A178" t="s">
        <v>17</v>
      </c>
      <c r="B178" t="s">
        <v>18</v>
      </c>
    </row>
    <row r="179" spans="1:2" x14ac:dyDescent="0.25">
      <c r="A179" t="s">
        <v>17</v>
      </c>
      <c r="B179" t="s">
        <v>57</v>
      </c>
    </row>
    <row r="180" spans="1:2" x14ac:dyDescent="0.25">
      <c r="A180" t="s">
        <v>17</v>
      </c>
      <c r="B180" t="s">
        <v>56</v>
      </c>
    </row>
    <row r="181" spans="1:2" x14ac:dyDescent="0.25">
      <c r="A181" t="s">
        <v>17</v>
      </c>
      <c r="B181" t="s">
        <v>55</v>
      </c>
    </row>
    <row r="182" spans="1:2" x14ac:dyDescent="0.25">
      <c r="A182" t="s">
        <v>17</v>
      </c>
      <c r="B182" s="13" t="s">
        <v>10</v>
      </c>
    </row>
    <row r="183" spans="1:2" x14ac:dyDescent="0.25">
      <c r="A183" t="s">
        <v>17</v>
      </c>
      <c r="B183" t="s">
        <v>54</v>
      </c>
    </row>
    <row r="184" spans="1:2" x14ac:dyDescent="0.25">
      <c r="A184" t="s">
        <v>17</v>
      </c>
      <c r="B184" t="s">
        <v>53</v>
      </c>
    </row>
    <row r="185" spans="1:2" x14ac:dyDescent="0.25">
      <c r="A185" t="s">
        <v>17</v>
      </c>
      <c r="B185" t="s">
        <v>52</v>
      </c>
    </row>
    <row r="186" spans="1:2" x14ac:dyDescent="0.25">
      <c r="A186" t="s">
        <v>17</v>
      </c>
      <c r="B186" t="s">
        <v>51</v>
      </c>
    </row>
    <row r="187" spans="1:2" x14ac:dyDescent="0.25">
      <c r="A187" t="s">
        <v>15</v>
      </c>
      <c r="B187" t="s">
        <v>16</v>
      </c>
    </row>
    <row r="188" spans="1:2" x14ac:dyDescent="0.25">
      <c r="A188" t="s">
        <v>15</v>
      </c>
      <c r="B188" t="s">
        <v>50</v>
      </c>
    </row>
    <row r="189" spans="1:2" x14ac:dyDescent="0.25">
      <c r="A189" t="s">
        <v>15</v>
      </c>
      <c r="B189" t="s">
        <v>49</v>
      </c>
    </row>
    <row r="190" spans="1:2" x14ac:dyDescent="0.25">
      <c r="A190" t="s">
        <v>13</v>
      </c>
      <c r="B190" s="15" t="s">
        <v>48</v>
      </c>
    </row>
    <row r="191" spans="1:2" x14ac:dyDescent="0.25">
      <c r="A191" t="s">
        <v>13</v>
      </c>
      <c r="B191" s="15" t="s">
        <v>47</v>
      </c>
    </row>
    <row r="192" spans="1:2" x14ac:dyDescent="0.25">
      <c r="A192" t="s">
        <v>13</v>
      </c>
      <c r="B192" s="14" t="s">
        <v>14</v>
      </c>
    </row>
    <row r="193" spans="1:2" x14ac:dyDescent="0.25">
      <c r="A193" t="s">
        <v>13</v>
      </c>
      <c r="B193" s="15" t="s">
        <v>46</v>
      </c>
    </row>
    <row r="194" spans="1:2" x14ac:dyDescent="0.25">
      <c r="A194" t="s">
        <v>13</v>
      </c>
      <c r="B194" s="15" t="s">
        <v>45</v>
      </c>
    </row>
    <row r="195" spans="1:2" x14ac:dyDescent="0.25">
      <c r="A195" t="s">
        <v>9</v>
      </c>
      <c r="B195" t="s">
        <v>44</v>
      </c>
    </row>
    <row r="196" spans="1:2" x14ac:dyDescent="0.25">
      <c r="A196" t="s">
        <v>9</v>
      </c>
      <c r="B196" t="s">
        <v>43</v>
      </c>
    </row>
    <row r="197" spans="1:2" x14ac:dyDescent="0.25">
      <c r="A197" t="s">
        <v>9</v>
      </c>
      <c r="B197" t="s">
        <v>42</v>
      </c>
    </row>
    <row r="198" spans="1:2" x14ac:dyDescent="0.25">
      <c r="A198" t="s">
        <v>9</v>
      </c>
      <c r="B198" t="s">
        <v>41</v>
      </c>
    </row>
    <row r="199" spans="1:2" x14ac:dyDescent="0.25">
      <c r="A199" t="s">
        <v>9</v>
      </c>
      <c r="B199" t="s">
        <v>40</v>
      </c>
    </row>
    <row r="200" spans="1:2" x14ac:dyDescent="0.25">
      <c r="A200" t="s">
        <v>31</v>
      </c>
      <c r="B200" t="s">
        <v>39</v>
      </c>
    </row>
    <row r="201" spans="1:2" x14ac:dyDescent="0.25">
      <c r="A201" t="s">
        <v>31</v>
      </c>
      <c r="B201" t="s">
        <v>38</v>
      </c>
    </row>
    <row r="202" spans="1:2" x14ac:dyDescent="0.25">
      <c r="A202" t="s">
        <v>31</v>
      </c>
      <c r="B202" t="s">
        <v>37</v>
      </c>
    </row>
    <row r="203" spans="1:2" x14ac:dyDescent="0.25">
      <c r="A203" t="s">
        <v>31</v>
      </c>
      <c r="B203" t="s">
        <v>36</v>
      </c>
    </row>
    <row r="204" spans="1:2" x14ac:dyDescent="0.25">
      <c r="A204" t="s">
        <v>31</v>
      </c>
      <c r="B204" t="s">
        <v>35</v>
      </c>
    </row>
    <row r="205" spans="1:2" x14ac:dyDescent="0.25">
      <c r="A205" t="s">
        <v>31</v>
      </c>
      <c r="B205" t="s">
        <v>34</v>
      </c>
    </row>
    <row r="206" spans="1:2" x14ac:dyDescent="0.25">
      <c r="A206" t="s">
        <v>31</v>
      </c>
      <c r="B206" t="s">
        <v>33</v>
      </c>
    </row>
    <row r="207" spans="1:2" x14ac:dyDescent="0.25">
      <c r="A207" t="s">
        <v>31</v>
      </c>
      <c r="B207" t="s">
        <v>32</v>
      </c>
    </row>
    <row r="208" spans="1:2" x14ac:dyDescent="0.25">
      <c r="A208" t="s">
        <v>31</v>
      </c>
      <c r="B208" t="s">
        <v>30</v>
      </c>
    </row>
    <row r="209" spans="1:2" x14ac:dyDescent="0.25">
      <c r="A209" t="s">
        <v>25</v>
      </c>
      <c r="B209" t="s">
        <v>29</v>
      </c>
    </row>
    <row r="210" spans="1:2" x14ac:dyDescent="0.25">
      <c r="A210" t="s">
        <v>25</v>
      </c>
      <c r="B210" t="s">
        <v>28</v>
      </c>
    </row>
    <row r="211" spans="1:2" x14ac:dyDescent="0.25">
      <c r="A211" t="s">
        <v>25</v>
      </c>
      <c r="B211" t="s">
        <v>27</v>
      </c>
    </row>
    <row r="212" spans="1:2" x14ac:dyDescent="0.25">
      <c r="A212" t="s">
        <v>25</v>
      </c>
      <c r="B212" s="13" t="s">
        <v>23</v>
      </c>
    </row>
    <row r="213" spans="1:2" x14ac:dyDescent="0.25">
      <c r="A213" t="s">
        <v>25</v>
      </c>
      <c r="B213" s="13" t="s">
        <v>10</v>
      </c>
    </row>
    <row r="214" spans="1:2" x14ac:dyDescent="0.25">
      <c r="A214" t="s">
        <v>25</v>
      </c>
      <c r="B214" t="s">
        <v>26</v>
      </c>
    </row>
    <row r="215" spans="1:2" x14ac:dyDescent="0.25">
      <c r="A215" t="s">
        <v>25</v>
      </c>
      <c r="B215" s="13" t="s">
        <v>22</v>
      </c>
    </row>
    <row r="216" spans="1:2" x14ac:dyDescent="0.25">
      <c r="A216" t="s">
        <v>25</v>
      </c>
      <c r="B216" s="13" t="s">
        <v>21</v>
      </c>
    </row>
    <row r="217" spans="1:2" x14ac:dyDescent="0.25">
      <c r="A217" t="s">
        <v>25</v>
      </c>
      <c r="B217" t="s">
        <v>24</v>
      </c>
    </row>
    <row r="218" spans="1:2" x14ac:dyDescent="0.25">
      <c r="A218" t="s">
        <v>20</v>
      </c>
      <c r="B218" s="13" t="s">
        <v>23</v>
      </c>
    </row>
    <row r="219" spans="1:2" x14ac:dyDescent="0.25">
      <c r="A219" t="s">
        <v>20</v>
      </c>
      <c r="B219" s="13" t="s">
        <v>10</v>
      </c>
    </row>
    <row r="220" spans="1:2" x14ac:dyDescent="0.25">
      <c r="A220" t="s">
        <v>20</v>
      </c>
      <c r="B220" s="13" t="s">
        <v>22</v>
      </c>
    </row>
    <row r="221" spans="1:2" x14ac:dyDescent="0.25">
      <c r="A221" t="s">
        <v>20</v>
      </c>
      <c r="B221" s="13" t="s">
        <v>21</v>
      </c>
    </row>
    <row r="222" spans="1:2" x14ac:dyDescent="0.25">
      <c r="A222" t="s">
        <v>20</v>
      </c>
      <c r="B222" t="s">
        <v>19</v>
      </c>
    </row>
  </sheetData>
  <sortState ref="A1:B171">
    <sortCondition ref="A1:A171"/>
    <sortCondition ref="B1:B171"/>
  </sortState>
  <pageMargins left="0.7" right="0.7" top="0.75" bottom="0.75" header="0.3" footer="0.3"/>
  <pageSetup orientation="portrait" r:id="rId1"/>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FF0000"/>
  </sheetPr>
  <dimension ref="A1:AM31"/>
  <sheetViews>
    <sheetView showGridLines="0" workbookViewId="0">
      <selection activeCell="D2" sqref="D2:D6"/>
    </sheetView>
  </sheetViews>
  <sheetFormatPr defaultRowHeight="15" x14ac:dyDescent="0.25"/>
  <cols>
    <col min="1" max="1" width="20.7109375" customWidth="1"/>
    <col min="2" max="2" width="32.42578125" customWidth="1"/>
    <col min="3" max="3" width="30.42578125" bestFit="1" customWidth="1"/>
    <col min="4" max="4" width="32.42578125" customWidth="1"/>
    <col min="34" max="34" width="23.85546875" customWidth="1"/>
  </cols>
  <sheetData>
    <row r="1" spans="1:39" x14ac:dyDescent="0.25">
      <c r="A1" s="22" t="s">
        <v>105</v>
      </c>
      <c r="B1" s="23" t="s">
        <v>65</v>
      </c>
      <c r="C1" s="22" t="s">
        <v>75</v>
      </c>
      <c r="D1" s="22" t="s">
        <v>106</v>
      </c>
    </row>
    <row r="2" spans="1:39" x14ac:dyDescent="0.25">
      <c r="A2" s="27" t="s">
        <v>232</v>
      </c>
      <c r="B2" s="24" t="s">
        <v>78</v>
      </c>
      <c r="C2" t="s">
        <v>73</v>
      </c>
      <c r="D2" t="s">
        <v>74</v>
      </c>
    </row>
    <row r="3" spans="1:39" x14ac:dyDescent="0.25">
      <c r="A3" s="27" t="s">
        <v>233</v>
      </c>
      <c r="B3" s="24" t="s">
        <v>79</v>
      </c>
      <c r="C3" t="s">
        <v>72</v>
      </c>
      <c r="D3" t="s">
        <v>107</v>
      </c>
    </row>
    <row r="4" spans="1:39" x14ac:dyDescent="0.25">
      <c r="A4" s="27" t="s">
        <v>71</v>
      </c>
      <c r="B4" s="24" t="s">
        <v>80</v>
      </c>
      <c r="C4" t="s">
        <v>8</v>
      </c>
      <c r="D4" t="s">
        <v>108</v>
      </c>
    </row>
    <row r="5" spans="1:39" x14ac:dyDescent="0.25">
      <c r="A5" s="27" t="s">
        <v>234</v>
      </c>
      <c r="B5" s="24" t="s">
        <v>81</v>
      </c>
      <c r="C5" t="s">
        <v>70</v>
      </c>
      <c r="D5" t="s">
        <v>69</v>
      </c>
    </row>
    <row r="6" spans="1:39" x14ac:dyDescent="0.25">
      <c r="A6" s="27" t="s">
        <v>235</v>
      </c>
      <c r="B6" s="24" t="s">
        <v>82</v>
      </c>
      <c r="C6" t="s">
        <v>68</v>
      </c>
      <c r="D6" t="s">
        <v>109</v>
      </c>
    </row>
    <row r="7" spans="1:39" ht="15" customHeight="1" x14ac:dyDescent="0.25">
      <c r="A7" s="27"/>
      <c r="B7" s="24" t="s">
        <v>83</v>
      </c>
      <c r="AG7" s="21" t="s">
        <v>67</v>
      </c>
    </row>
    <row r="8" spans="1:39" x14ac:dyDescent="0.25">
      <c r="A8" s="27"/>
      <c r="B8" s="24" t="s">
        <v>84</v>
      </c>
    </row>
    <row r="9" spans="1:39" x14ac:dyDescent="0.25">
      <c r="A9" s="27"/>
      <c r="B9" s="24" t="s">
        <v>85</v>
      </c>
      <c r="AL9">
        <v>2.25</v>
      </c>
    </row>
    <row r="10" spans="1:39" x14ac:dyDescent="0.25">
      <c r="A10" s="27"/>
      <c r="B10" s="24" t="s">
        <v>86</v>
      </c>
    </row>
    <row r="11" spans="1:39" x14ac:dyDescent="0.25">
      <c r="A11" s="27"/>
      <c r="B11" s="24" t="s">
        <v>87</v>
      </c>
      <c r="AK11">
        <v>12</v>
      </c>
      <c r="AL11">
        <f t="shared" ref="AL11:AL19" si="0">AK11*$AL$9</f>
        <v>27</v>
      </c>
      <c r="AM11">
        <f t="shared" ref="AM11:AM19" si="1">1-0.5^AL11</f>
        <v>0.9999999925494194</v>
      </c>
    </row>
    <row r="12" spans="1:39" x14ac:dyDescent="0.25">
      <c r="A12" s="27"/>
      <c r="B12" s="24" t="s">
        <v>88</v>
      </c>
      <c r="AK12">
        <v>2</v>
      </c>
      <c r="AL12">
        <f t="shared" si="0"/>
        <v>4.5</v>
      </c>
      <c r="AM12">
        <f t="shared" si="1"/>
        <v>0.95580582617584076</v>
      </c>
    </row>
    <row r="13" spans="1:39" x14ac:dyDescent="0.25">
      <c r="A13" s="27"/>
      <c r="B13" s="24" t="s">
        <v>89</v>
      </c>
      <c r="AJ13">
        <v>1</v>
      </c>
      <c r="AK13">
        <f t="shared" ref="AK13:AK19" si="2">1/AJ13</f>
        <v>1</v>
      </c>
      <c r="AL13">
        <f t="shared" si="0"/>
        <v>2.25</v>
      </c>
      <c r="AM13">
        <f t="shared" si="1"/>
        <v>0.78977589618657129</v>
      </c>
    </row>
    <row r="14" spans="1:39" x14ac:dyDescent="0.25">
      <c r="A14" s="27"/>
      <c r="B14" s="24" t="s">
        <v>90</v>
      </c>
      <c r="AJ14">
        <v>2</v>
      </c>
      <c r="AK14">
        <f t="shared" si="2"/>
        <v>0.5</v>
      </c>
      <c r="AL14">
        <f t="shared" si="0"/>
        <v>1.125</v>
      </c>
      <c r="AM14">
        <f t="shared" si="1"/>
        <v>0.54149797839766434</v>
      </c>
    </row>
    <row r="15" spans="1:39" x14ac:dyDescent="0.25">
      <c r="A15" s="27"/>
      <c r="B15" s="24" t="s">
        <v>91</v>
      </c>
      <c r="AJ15">
        <v>3</v>
      </c>
      <c r="AK15">
        <f t="shared" si="2"/>
        <v>0.33333333333333331</v>
      </c>
      <c r="AL15">
        <f t="shared" si="0"/>
        <v>0.75</v>
      </c>
      <c r="AM15">
        <f t="shared" si="1"/>
        <v>0.40539644249863949</v>
      </c>
    </row>
    <row r="16" spans="1:39" x14ac:dyDescent="0.25">
      <c r="A16" s="27"/>
      <c r="B16" s="24" t="s">
        <v>92</v>
      </c>
      <c r="AJ16">
        <v>5</v>
      </c>
      <c r="AK16">
        <f t="shared" si="2"/>
        <v>0.2</v>
      </c>
      <c r="AL16">
        <f t="shared" si="0"/>
        <v>0.45</v>
      </c>
      <c r="AM16">
        <f t="shared" si="1"/>
        <v>0.26795715202718728</v>
      </c>
    </row>
    <row r="17" spans="1:39" x14ac:dyDescent="0.25">
      <c r="A17" s="27"/>
      <c r="B17" s="24" t="s">
        <v>93</v>
      </c>
      <c r="AJ17">
        <v>6</v>
      </c>
      <c r="AK17">
        <f t="shared" si="2"/>
        <v>0.16666666666666666</v>
      </c>
      <c r="AL17">
        <f t="shared" si="0"/>
        <v>0.375</v>
      </c>
      <c r="AM17">
        <f t="shared" si="1"/>
        <v>0.22889458729602952</v>
      </c>
    </row>
    <row r="18" spans="1:39" x14ac:dyDescent="0.25">
      <c r="A18" s="27"/>
      <c r="B18" s="24" t="s">
        <v>94</v>
      </c>
      <c r="AJ18">
        <v>7</v>
      </c>
      <c r="AK18">
        <f t="shared" si="2"/>
        <v>0.14285714285714285</v>
      </c>
      <c r="AL18">
        <f t="shared" si="0"/>
        <v>0.3214285714285714</v>
      </c>
      <c r="AM18">
        <f t="shared" si="1"/>
        <v>0.19972295741903456</v>
      </c>
    </row>
    <row r="19" spans="1:39" x14ac:dyDescent="0.25">
      <c r="A19" s="27"/>
      <c r="B19" s="24" t="s">
        <v>95</v>
      </c>
      <c r="C19" s="20"/>
      <c r="AJ19">
        <v>8</v>
      </c>
      <c r="AK19">
        <f t="shared" si="2"/>
        <v>0.125</v>
      </c>
      <c r="AL19">
        <f t="shared" si="0"/>
        <v>0.28125</v>
      </c>
      <c r="AM19">
        <f t="shared" si="1"/>
        <v>0.17712226092301753</v>
      </c>
    </row>
    <row r="20" spans="1:39" x14ac:dyDescent="0.25">
      <c r="A20" s="27"/>
      <c r="B20" s="24" t="s">
        <v>96</v>
      </c>
      <c r="C20" s="20"/>
    </row>
    <row r="21" spans="1:39" x14ac:dyDescent="0.25">
      <c r="A21" s="27"/>
      <c r="B21" s="24" t="s">
        <v>97</v>
      </c>
      <c r="C21" s="20"/>
    </row>
    <row r="22" spans="1:39" x14ac:dyDescent="0.25">
      <c r="A22" s="27"/>
      <c r="B22" s="24" t="s">
        <v>98</v>
      </c>
      <c r="C22" s="19"/>
    </row>
    <row r="23" spans="1:39" x14ac:dyDescent="0.25">
      <c r="B23" s="24" t="s">
        <v>99</v>
      </c>
      <c r="C23" s="19"/>
    </row>
    <row r="24" spans="1:39" x14ac:dyDescent="0.25">
      <c r="B24" s="24" t="s">
        <v>100</v>
      </c>
      <c r="C24" s="19"/>
    </row>
    <row r="25" spans="1:39" x14ac:dyDescent="0.25">
      <c r="B25" s="24" t="s">
        <v>101</v>
      </c>
      <c r="C25" s="19"/>
    </row>
    <row r="26" spans="1:39" x14ac:dyDescent="0.25">
      <c r="B26" s="24" t="s">
        <v>102</v>
      </c>
      <c r="C26" s="19"/>
    </row>
    <row r="27" spans="1:39" x14ac:dyDescent="0.25">
      <c r="B27" s="24" t="s">
        <v>103</v>
      </c>
      <c r="C27" s="18"/>
    </row>
    <row r="28" spans="1:39" x14ac:dyDescent="0.25">
      <c r="B28" s="24" t="s">
        <v>104</v>
      </c>
      <c r="C28" s="18"/>
    </row>
    <row r="31" spans="1:39" x14ac:dyDescent="0.25">
      <c r="B31" s="26" t="s">
        <v>77</v>
      </c>
    </row>
  </sheetData>
  <sheetProtection password="CDE2" sheet="1" objects="1" scenarios="1"/>
  <pageMargins left="0.7" right="0.7" top="0.75" bottom="0.75" header="0.3" footer="0.3"/>
  <pageSetup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4">
    <pageSetUpPr fitToPage="1"/>
  </sheetPr>
  <dimension ref="A1:P982"/>
  <sheetViews>
    <sheetView zoomScale="90" zoomScaleNormal="90" workbookViewId="0">
      <selection activeCell="E3" sqref="E3"/>
    </sheetView>
  </sheetViews>
  <sheetFormatPr defaultColWidth="0" defaultRowHeight="15" zeroHeight="1" x14ac:dyDescent="0.25"/>
  <cols>
    <col min="1" max="1" width="22.5703125" customWidth="1"/>
    <col min="2" max="2" width="21.140625" customWidth="1"/>
    <col min="3" max="3" width="19.85546875" bestFit="1" customWidth="1"/>
    <col min="4" max="4" width="8.7109375" bestFit="1" customWidth="1"/>
    <col min="5" max="5" width="18.140625" customWidth="1"/>
    <col min="6" max="6" width="65.42578125" customWidth="1"/>
    <col min="7" max="7" width="22" customWidth="1"/>
    <col min="8" max="8" width="61.42578125" customWidth="1"/>
    <col min="9" max="9" width="29.85546875" customWidth="1"/>
    <col min="10" max="10" width="62.7109375" customWidth="1"/>
    <col min="11" max="11" width="26.7109375" customWidth="1"/>
    <col min="12" max="12" width="33.140625" customWidth="1"/>
    <col min="13" max="13" width="57.7109375" customWidth="1"/>
    <col min="14" max="14" width="16.28515625" hidden="1" customWidth="1"/>
    <col min="15" max="15" width="53.28515625" customWidth="1"/>
    <col min="16" max="16" width="0" hidden="1" customWidth="1"/>
    <col min="17" max="16384" width="9.140625" hidden="1"/>
  </cols>
  <sheetData>
    <row r="1" spans="1:15" ht="31.5" x14ac:dyDescent="0.25">
      <c r="A1" s="1" t="s">
        <v>0</v>
      </c>
      <c r="B1" s="1" t="s">
        <v>323</v>
      </c>
      <c r="C1" s="1" t="s">
        <v>1</v>
      </c>
      <c r="D1" s="2" t="s">
        <v>2</v>
      </c>
      <c r="E1" s="3" t="s">
        <v>3</v>
      </c>
      <c r="F1" s="2" t="s">
        <v>226</v>
      </c>
      <c r="G1" s="2" t="s">
        <v>76</v>
      </c>
      <c r="H1" s="4" t="s">
        <v>6</v>
      </c>
      <c r="I1" s="2" t="s">
        <v>65</v>
      </c>
      <c r="J1" s="1" t="s">
        <v>4</v>
      </c>
      <c r="K1" s="4" t="s">
        <v>224</v>
      </c>
      <c r="L1" s="4" t="s">
        <v>110</v>
      </c>
      <c r="M1" s="1" t="s">
        <v>5</v>
      </c>
      <c r="N1" s="4" t="s">
        <v>526</v>
      </c>
      <c r="O1" s="4" t="s">
        <v>496</v>
      </c>
    </row>
    <row r="2" spans="1:15" ht="105.75" customHeight="1" x14ac:dyDescent="0.25">
      <c r="A2" s="5" t="s">
        <v>0</v>
      </c>
      <c r="B2" s="5" t="s">
        <v>540</v>
      </c>
      <c r="C2" s="5" t="s">
        <v>66</v>
      </c>
      <c r="D2" s="5" t="s">
        <v>7</v>
      </c>
      <c r="E2" s="6" t="s">
        <v>229</v>
      </c>
      <c r="F2" s="5" t="s">
        <v>228</v>
      </c>
      <c r="G2" s="5" t="s">
        <v>230</v>
      </c>
      <c r="H2" s="25" t="s">
        <v>223</v>
      </c>
      <c r="I2" s="5" t="s">
        <v>111</v>
      </c>
      <c r="J2" s="25" t="s">
        <v>231</v>
      </c>
      <c r="K2" s="5" t="s">
        <v>225</v>
      </c>
      <c r="L2" s="5" t="s">
        <v>227</v>
      </c>
      <c r="M2" s="5" t="s">
        <v>250</v>
      </c>
      <c r="N2" s="37" t="s">
        <v>534</v>
      </c>
      <c r="O2" s="37" t="s">
        <v>497</v>
      </c>
    </row>
    <row r="3" spans="1:15" x14ac:dyDescent="0.25">
      <c r="A3" s="7"/>
      <c r="B3" s="7"/>
      <c r="C3" s="7"/>
      <c r="D3" s="7">
        <v>1</v>
      </c>
      <c r="E3" s="8"/>
      <c r="F3" s="8"/>
      <c r="G3" s="9"/>
      <c r="H3" s="10"/>
      <c r="I3" s="9"/>
      <c r="J3" s="10"/>
      <c r="K3" s="8"/>
      <c r="L3" s="8"/>
      <c r="M3" s="10"/>
      <c r="N3" s="10"/>
      <c r="O3" s="10"/>
    </row>
    <row r="4" spans="1:15" x14ac:dyDescent="0.25">
      <c r="A4" s="7"/>
      <c r="B4" s="7"/>
      <c r="C4" s="7"/>
      <c r="D4" s="11">
        <v>2</v>
      </c>
      <c r="E4" s="8"/>
      <c r="F4" s="8"/>
      <c r="G4" s="9"/>
      <c r="H4" s="9"/>
      <c r="I4" s="9"/>
      <c r="J4" s="10"/>
      <c r="K4" s="8"/>
      <c r="L4" s="8"/>
      <c r="M4" s="10"/>
      <c r="N4" s="10"/>
      <c r="O4" s="10"/>
    </row>
    <row r="5" spans="1:15" x14ac:dyDescent="0.25">
      <c r="A5" s="7"/>
      <c r="B5" s="7"/>
      <c r="C5" s="7"/>
      <c r="D5" s="11">
        <v>3</v>
      </c>
      <c r="E5" s="8"/>
      <c r="F5" s="8"/>
      <c r="G5" s="9"/>
      <c r="H5" s="10"/>
      <c r="I5" s="9"/>
      <c r="J5" s="10"/>
      <c r="K5" s="8"/>
      <c r="L5" s="8"/>
      <c r="M5" s="10"/>
      <c r="N5" s="10"/>
      <c r="O5" s="10"/>
    </row>
    <row r="6" spans="1:15" x14ac:dyDescent="0.25">
      <c r="A6" s="7"/>
      <c r="B6" s="7"/>
      <c r="C6" s="7"/>
      <c r="D6" s="7">
        <v>4</v>
      </c>
      <c r="E6" s="8"/>
      <c r="F6" s="8"/>
      <c r="G6" s="9"/>
      <c r="H6" s="9"/>
      <c r="I6" s="9"/>
      <c r="J6" s="10"/>
      <c r="K6" s="8"/>
      <c r="L6" s="8"/>
      <c r="M6" s="10"/>
      <c r="N6" s="10"/>
      <c r="O6" s="10"/>
    </row>
    <row r="7" spans="1:15" x14ac:dyDescent="0.25">
      <c r="A7" s="7"/>
      <c r="B7" s="7"/>
      <c r="C7" s="7"/>
      <c r="D7" s="11">
        <v>5</v>
      </c>
      <c r="E7" s="8"/>
      <c r="F7" s="8"/>
      <c r="G7" s="9"/>
      <c r="H7" s="9"/>
      <c r="I7" s="9"/>
      <c r="J7" s="10"/>
      <c r="K7" s="8"/>
      <c r="L7" s="8"/>
      <c r="M7" s="10"/>
      <c r="N7" s="10"/>
      <c r="O7" s="10"/>
    </row>
    <row r="8" spans="1:15" x14ac:dyDescent="0.25">
      <c r="A8" s="7"/>
      <c r="B8" s="7"/>
      <c r="C8" s="7"/>
      <c r="D8" s="11">
        <v>6</v>
      </c>
      <c r="E8" s="8"/>
      <c r="F8" s="8"/>
      <c r="G8" s="9"/>
      <c r="H8" s="9"/>
      <c r="I8" s="9"/>
      <c r="J8" s="10"/>
      <c r="K8" s="8"/>
      <c r="L8" s="8"/>
      <c r="M8" s="10"/>
      <c r="N8" s="10"/>
      <c r="O8" s="10"/>
    </row>
    <row r="9" spans="1:15" x14ac:dyDescent="0.25">
      <c r="A9" s="7"/>
      <c r="B9" s="7"/>
      <c r="C9" s="7"/>
      <c r="D9" s="11">
        <v>7</v>
      </c>
      <c r="E9" s="8"/>
      <c r="F9" s="8"/>
      <c r="G9" s="9"/>
      <c r="H9" s="9"/>
      <c r="I9" s="9"/>
      <c r="J9" s="10"/>
      <c r="K9" s="8"/>
      <c r="L9" s="8"/>
      <c r="M9" s="10"/>
      <c r="N9" s="10"/>
      <c r="O9" s="10"/>
    </row>
    <row r="10" spans="1:15" x14ac:dyDescent="0.25">
      <c r="A10" s="7"/>
      <c r="B10" s="7"/>
      <c r="C10" s="7"/>
      <c r="D10" s="11">
        <v>8</v>
      </c>
      <c r="E10" s="8"/>
      <c r="F10" s="8"/>
      <c r="G10" s="9"/>
      <c r="H10" s="10"/>
      <c r="I10" s="9"/>
      <c r="J10" s="10"/>
      <c r="K10" s="8"/>
      <c r="L10" s="8"/>
      <c r="M10" s="10"/>
      <c r="N10" s="10"/>
      <c r="O10" s="10"/>
    </row>
    <row r="11" spans="1:15" x14ac:dyDescent="0.25">
      <c r="A11" s="7"/>
      <c r="B11" s="7"/>
      <c r="C11" s="7"/>
      <c r="D11" s="11">
        <v>9</v>
      </c>
      <c r="E11" s="8"/>
      <c r="F11" s="8"/>
      <c r="G11" s="9"/>
      <c r="H11" s="9"/>
      <c r="I11" s="9"/>
      <c r="J11" s="9"/>
      <c r="K11" s="8"/>
      <c r="L11" s="8"/>
      <c r="M11" s="10"/>
      <c r="N11" s="10"/>
      <c r="O11" s="10"/>
    </row>
    <row r="12" spans="1:15" x14ac:dyDescent="0.25">
      <c r="A12" s="7"/>
      <c r="B12" s="7"/>
      <c r="C12" s="7"/>
      <c r="D12" s="11">
        <v>10</v>
      </c>
      <c r="E12" s="8"/>
      <c r="F12" s="8"/>
      <c r="G12" s="9"/>
      <c r="H12" s="10"/>
      <c r="I12" s="9"/>
      <c r="J12" s="10"/>
      <c r="K12" s="8"/>
      <c r="L12" s="8"/>
      <c r="M12" s="10"/>
      <c r="N12" s="10"/>
      <c r="O12" s="10"/>
    </row>
    <row r="13" spans="1:15" x14ac:dyDescent="0.25">
      <c r="A13" s="7"/>
      <c r="B13" s="7"/>
      <c r="C13" s="7"/>
      <c r="D13" s="11">
        <v>11</v>
      </c>
      <c r="E13" s="8"/>
      <c r="F13" s="8"/>
      <c r="G13" s="12"/>
      <c r="H13" s="10"/>
      <c r="I13" s="9"/>
      <c r="J13" s="10"/>
      <c r="K13" s="8"/>
      <c r="L13" s="8"/>
      <c r="M13" s="10"/>
      <c r="N13" s="10"/>
      <c r="O13" s="10"/>
    </row>
    <row r="14" spans="1:15" x14ac:dyDescent="0.25">
      <c r="A14" s="7"/>
      <c r="B14" s="7"/>
      <c r="C14" s="7"/>
      <c r="D14" s="11">
        <v>12</v>
      </c>
      <c r="E14" s="8"/>
      <c r="F14" s="8"/>
      <c r="G14" s="12"/>
      <c r="H14" s="10"/>
      <c r="I14" s="9"/>
      <c r="J14" s="10"/>
      <c r="K14" s="8"/>
      <c r="L14" s="8"/>
      <c r="M14" s="10"/>
      <c r="N14" s="10"/>
      <c r="O14" s="10"/>
    </row>
    <row r="15" spans="1:15" x14ac:dyDescent="0.25">
      <c r="A15" s="7"/>
      <c r="B15" s="7"/>
      <c r="C15" s="7"/>
      <c r="D15" s="11">
        <v>13</v>
      </c>
      <c r="E15" s="8"/>
      <c r="F15" s="8"/>
      <c r="G15" s="9"/>
      <c r="H15" s="9"/>
      <c r="I15" s="9"/>
      <c r="J15" s="10"/>
      <c r="K15" s="8"/>
      <c r="L15" s="8"/>
      <c r="M15" s="10"/>
      <c r="N15" s="10"/>
      <c r="O15" s="10"/>
    </row>
    <row r="16" spans="1:15" x14ac:dyDescent="0.25">
      <c r="A16" s="7"/>
      <c r="B16" s="7"/>
      <c r="C16" s="7"/>
      <c r="D16" s="11">
        <v>14</v>
      </c>
      <c r="E16" s="8"/>
      <c r="F16" s="8"/>
      <c r="G16" s="9"/>
      <c r="H16" s="10"/>
      <c r="I16" s="9"/>
      <c r="J16" s="10"/>
      <c r="K16" s="8"/>
      <c r="L16" s="8"/>
      <c r="M16" s="10"/>
      <c r="N16" s="10"/>
      <c r="O16" s="10"/>
    </row>
    <row r="17" spans="1:15" x14ac:dyDescent="0.25">
      <c r="A17" s="7"/>
      <c r="B17" s="7"/>
      <c r="C17" s="7"/>
      <c r="D17" s="11">
        <v>15</v>
      </c>
      <c r="E17" s="8"/>
      <c r="F17" s="8"/>
      <c r="G17" s="9"/>
      <c r="H17" s="10"/>
      <c r="I17" s="9"/>
      <c r="J17" s="10"/>
      <c r="K17" s="8"/>
      <c r="L17" s="8"/>
      <c r="M17" s="10"/>
      <c r="N17" s="10"/>
      <c r="O17" s="10"/>
    </row>
    <row r="18" spans="1:15" x14ac:dyDescent="0.25">
      <c r="A18" s="7"/>
      <c r="B18" s="7"/>
      <c r="C18" s="7"/>
      <c r="D18" s="11">
        <v>16</v>
      </c>
      <c r="E18" s="8"/>
      <c r="F18" s="8"/>
      <c r="G18" s="9"/>
      <c r="H18" s="10"/>
      <c r="I18" s="9"/>
      <c r="J18" s="10"/>
      <c r="K18" s="8"/>
      <c r="L18" s="8"/>
      <c r="M18" s="10"/>
      <c r="N18" s="10"/>
      <c r="O18" s="10"/>
    </row>
    <row r="19" spans="1:15" x14ac:dyDescent="0.25">
      <c r="A19" s="7"/>
      <c r="B19" s="7"/>
      <c r="C19" s="7"/>
      <c r="D19" s="11">
        <v>17</v>
      </c>
      <c r="E19" s="8"/>
      <c r="F19" s="8"/>
      <c r="G19" s="9"/>
      <c r="H19" s="10"/>
      <c r="I19" s="9"/>
      <c r="J19" s="10"/>
      <c r="K19" s="8"/>
      <c r="L19" s="8"/>
      <c r="M19" s="10"/>
      <c r="N19" s="10"/>
      <c r="O19" s="10"/>
    </row>
    <row r="20" spans="1:15" x14ac:dyDescent="0.25">
      <c r="A20" s="7"/>
      <c r="B20" s="7"/>
      <c r="C20" s="7"/>
      <c r="D20" s="11">
        <v>18</v>
      </c>
      <c r="E20" s="8"/>
      <c r="F20" s="8"/>
      <c r="G20" s="10"/>
      <c r="H20" s="10"/>
      <c r="I20" s="9"/>
      <c r="J20" s="10"/>
      <c r="K20" s="8"/>
      <c r="L20" s="8"/>
      <c r="M20" s="10"/>
      <c r="N20" s="10"/>
      <c r="O20" s="10"/>
    </row>
    <row r="21" spans="1:15" x14ac:dyDescent="0.25">
      <c r="A21" s="7"/>
      <c r="B21" s="7"/>
      <c r="C21" s="7"/>
      <c r="D21" s="11">
        <v>19</v>
      </c>
      <c r="E21" s="8"/>
      <c r="F21" s="8"/>
      <c r="G21" s="9"/>
      <c r="H21" s="10"/>
      <c r="I21" s="9"/>
      <c r="J21" s="10"/>
      <c r="K21" s="8"/>
      <c r="L21" s="8"/>
      <c r="M21" s="10"/>
      <c r="N21" s="10"/>
      <c r="O21" s="10"/>
    </row>
    <row r="22" spans="1:15" x14ac:dyDescent="0.25">
      <c r="A22" s="7"/>
      <c r="B22" s="7"/>
      <c r="C22" s="7"/>
      <c r="D22" s="11">
        <v>20</v>
      </c>
      <c r="E22" s="8"/>
      <c r="F22" s="8"/>
      <c r="G22" s="9"/>
      <c r="H22" s="10"/>
      <c r="I22" s="9"/>
      <c r="J22" s="10"/>
      <c r="K22" s="8"/>
      <c r="L22" s="8"/>
      <c r="M22" s="10"/>
      <c r="N22" s="10"/>
      <c r="O22" s="10"/>
    </row>
    <row r="23" spans="1:15" x14ac:dyDescent="0.25">
      <c r="A23" s="7"/>
      <c r="B23" s="7"/>
      <c r="C23" s="7"/>
      <c r="D23" s="11">
        <v>21</v>
      </c>
      <c r="E23" s="8"/>
      <c r="F23" s="8"/>
      <c r="G23" s="9"/>
      <c r="H23" s="10"/>
      <c r="I23" s="9"/>
      <c r="J23" s="10"/>
      <c r="K23" s="8"/>
      <c r="L23" s="8"/>
      <c r="M23" s="10"/>
      <c r="N23" s="10"/>
      <c r="O23" s="10"/>
    </row>
    <row r="24" spans="1:15" x14ac:dyDescent="0.25">
      <c r="A24" s="7"/>
      <c r="B24" s="7"/>
      <c r="C24" s="7"/>
      <c r="D24" s="11">
        <v>22</v>
      </c>
      <c r="E24" s="8"/>
      <c r="F24" s="8"/>
      <c r="G24" s="9"/>
      <c r="H24" s="10"/>
      <c r="I24" s="9"/>
      <c r="J24" s="10"/>
      <c r="K24" s="8"/>
      <c r="L24" s="8"/>
      <c r="M24" s="10"/>
      <c r="N24" s="10"/>
      <c r="O24" s="10"/>
    </row>
    <row r="25" spans="1:15" x14ac:dyDescent="0.25">
      <c r="A25" s="7"/>
      <c r="B25" s="7"/>
      <c r="C25" s="7"/>
      <c r="D25" s="11">
        <v>23</v>
      </c>
      <c r="E25" s="8"/>
      <c r="F25" s="8"/>
      <c r="G25" s="9"/>
      <c r="H25" s="10"/>
      <c r="I25" s="9"/>
      <c r="J25" s="10"/>
      <c r="K25" s="8"/>
      <c r="L25" s="8"/>
      <c r="M25" s="10"/>
      <c r="N25" s="10"/>
      <c r="O25" s="10"/>
    </row>
    <row r="26" spans="1:15" x14ac:dyDescent="0.25">
      <c r="A26" s="7"/>
      <c r="B26" s="7"/>
      <c r="C26" s="7"/>
      <c r="D26" s="11">
        <v>24</v>
      </c>
      <c r="E26" s="8"/>
      <c r="F26" s="8"/>
      <c r="G26" s="9"/>
      <c r="H26" s="10"/>
      <c r="I26" s="9"/>
      <c r="J26" s="10"/>
      <c r="K26" s="8"/>
      <c r="L26" s="8"/>
      <c r="M26" s="10"/>
      <c r="N26" s="10"/>
      <c r="O26" s="10"/>
    </row>
    <row r="27" spans="1:15" x14ac:dyDescent="0.25">
      <c r="A27" s="7"/>
      <c r="B27" s="7"/>
      <c r="C27" s="7"/>
      <c r="D27" s="11">
        <v>25</v>
      </c>
      <c r="E27" s="8"/>
      <c r="F27" s="8"/>
      <c r="G27" s="9"/>
      <c r="H27" s="10"/>
      <c r="I27" s="9"/>
      <c r="J27" s="10"/>
      <c r="K27" s="8"/>
      <c r="L27" s="8"/>
      <c r="M27" s="10"/>
      <c r="N27" s="10"/>
      <c r="O27" s="10"/>
    </row>
    <row r="28" spans="1:15" x14ac:dyDescent="0.25">
      <c r="A28" s="7"/>
      <c r="B28" s="7"/>
      <c r="C28" s="7"/>
      <c r="D28" s="11">
        <v>26</v>
      </c>
      <c r="E28" s="8"/>
      <c r="F28" s="8"/>
      <c r="G28" s="9"/>
      <c r="H28" s="10"/>
      <c r="I28" s="9"/>
      <c r="J28" s="10"/>
      <c r="K28" s="8"/>
      <c r="L28" s="8"/>
      <c r="M28" s="10"/>
      <c r="N28" s="10"/>
      <c r="O28" s="10"/>
    </row>
    <row r="29" spans="1:15" x14ac:dyDescent="0.25">
      <c r="A29" s="7"/>
      <c r="B29" s="7"/>
      <c r="C29" s="7"/>
      <c r="D29" s="11">
        <v>27</v>
      </c>
      <c r="E29" s="8"/>
      <c r="F29" s="8"/>
      <c r="G29" s="9"/>
      <c r="H29" s="10"/>
      <c r="I29" s="9"/>
      <c r="J29" s="10"/>
      <c r="K29" s="8"/>
      <c r="L29" s="8"/>
      <c r="M29" s="10"/>
      <c r="N29" s="10"/>
      <c r="O29" s="10"/>
    </row>
    <row r="30" spans="1:15" x14ac:dyDescent="0.25">
      <c r="A30" s="7"/>
      <c r="B30" s="7"/>
      <c r="C30" s="7"/>
      <c r="D30" s="11">
        <v>28</v>
      </c>
      <c r="E30" s="8"/>
      <c r="F30" s="8"/>
      <c r="G30" s="9"/>
      <c r="H30" s="10"/>
      <c r="I30" s="9"/>
      <c r="J30" s="10"/>
      <c r="K30" s="8"/>
      <c r="L30" s="8"/>
      <c r="M30" s="10"/>
      <c r="N30" s="10"/>
      <c r="O30" s="10"/>
    </row>
    <row r="31" spans="1:15" x14ac:dyDescent="0.25">
      <c r="A31" s="7"/>
      <c r="B31" s="7"/>
      <c r="C31" s="7"/>
      <c r="D31" s="11">
        <v>29</v>
      </c>
      <c r="E31" s="8"/>
      <c r="F31" s="8"/>
      <c r="G31" s="9"/>
      <c r="H31" s="10"/>
      <c r="I31" s="9"/>
      <c r="J31" s="10"/>
      <c r="K31" s="8"/>
      <c r="L31" s="8"/>
      <c r="M31" s="10"/>
      <c r="N31" s="10"/>
      <c r="O31" s="10"/>
    </row>
    <row r="32" spans="1:15" x14ac:dyDescent="0.25">
      <c r="A32" s="7"/>
      <c r="B32" s="7"/>
      <c r="C32" s="7"/>
      <c r="D32" s="11">
        <v>30</v>
      </c>
      <c r="E32" s="8"/>
      <c r="F32" s="8"/>
      <c r="G32" s="9"/>
      <c r="H32" s="10"/>
      <c r="I32" s="9"/>
      <c r="J32" s="10"/>
      <c r="K32" s="8"/>
      <c r="L32" s="8"/>
      <c r="M32" s="10"/>
      <c r="N32" s="10"/>
      <c r="O32" s="10"/>
    </row>
    <row r="33" spans="1:15" x14ac:dyDescent="0.25">
      <c r="A33" s="7"/>
      <c r="B33" s="7"/>
      <c r="C33" s="7"/>
      <c r="D33" s="11">
        <v>31</v>
      </c>
      <c r="E33" s="8"/>
      <c r="F33" s="8"/>
      <c r="G33" s="9"/>
      <c r="H33" s="10"/>
      <c r="I33" s="9"/>
      <c r="J33" s="10"/>
      <c r="K33" s="8"/>
      <c r="L33" s="8"/>
      <c r="M33" s="10"/>
      <c r="N33" s="10"/>
      <c r="O33" s="10"/>
    </row>
    <row r="34" spans="1:15" x14ac:dyDescent="0.25">
      <c r="A34" s="7"/>
      <c r="B34" s="7"/>
      <c r="C34" s="7"/>
      <c r="D34" s="11">
        <v>32</v>
      </c>
      <c r="E34" s="8"/>
      <c r="F34" s="8"/>
      <c r="G34" s="9"/>
      <c r="H34" s="10"/>
      <c r="I34" s="9"/>
      <c r="J34" s="10"/>
      <c r="K34" s="8"/>
      <c r="L34" s="8"/>
      <c r="M34" s="10"/>
      <c r="N34" s="10"/>
      <c r="O34" s="10"/>
    </row>
    <row r="35" spans="1:15" x14ac:dyDescent="0.25">
      <c r="A35" s="7"/>
      <c r="B35" s="7"/>
      <c r="C35" s="7"/>
      <c r="D35" s="11">
        <v>33</v>
      </c>
      <c r="E35" s="8"/>
      <c r="F35" s="8"/>
      <c r="G35" s="9"/>
      <c r="H35" s="10"/>
      <c r="I35" s="9"/>
      <c r="J35" s="10"/>
      <c r="K35" s="8"/>
      <c r="L35" s="8"/>
      <c r="M35" s="10"/>
      <c r="N35" s="10"/>
      <c r="O35" s="10"/>
    </row>
    <row r="36" spans="1:15" x14ac:dyDescent="0.25">
      <c r="A36" s="7"/>
      <c r="B36" s="7"/>
      <c r="C36" s="7"/>
      <c r="D36" s="11">
        <v>34</v>
      </c>
      <c r="E36" s="8"/>
      <c r="F36" s="8"/>
      <c r="G36" s="9"/>
      <c r="H36" s="10"/>
      <c r="I36" s="9"/>
      <c r="J36" s="10"/>
      <c r="K36" s="8"/>
      <c r="L36" s="8"/>
      <c r="M36" s="10"/>
      <c r="N36" s="10"/>
      <c r="O36" s="10"/>
    </row>
    <row r="37" spans="1:15" x14ac:dyDescent="0.25">
      <c r="A37" s="7"/>
      <c r="B37" s="7"/>
      <c r="C37" s="7"/>
      <c r="D37" s="11">
        <v>35</v>
      </c>
      <c r="E37" s="8"/>
      <c r="F37" s="8"/>
      <c r="G37" s="9"/>
      <c r="H37" s="10"/>
      <c r="I37" s="9"/>
      <c r="J37" s="10"/>
      <c r="K37" s="8"/>
      <c r="L37" s="8"/>
      <c r="M37" s="10"/>
      <c r="N37" s="10"/>
      <c r="O37" s="10"/>
    </row>
    <row r="38" spans="1:15" x14ac:dyDescent="0.25">
      <c r="A38" s="7"/>
      <c r="B38" s="7"/>
      <c r="C38" s="7"/>
      <c r="D38" s="11">
        <v>36</v>
      </c>
      <c r="E38" s="8"/>
      <c r="F38" s="8"/>
      <c r="G38" s="9"/>
      <c r="H38" s="10"/>
      <c r="I38" s="9"/>
      <c r="J38" s="10"/>
      <c r="K38" s="8"/>
      <c r="L38" s="8"/>
      <c r="M38" s="10"/>
      <c r="N38" s="10"/>
      <c r="O38" s="10"/>
    </row>
    <row r="39" spans="1:15" x14ac:dyDescent="0.25">
      <c r="A39" s="7"/>
      <c r="B39" s="7"/>
      <c r="C39" s="7"/>
      <c r="D39" s="11">
        <v>37</v>
      </c>
      <c r="E39" s="8"/>
      <c r="F39" s="8"/>
      <c r="G39" s="9"/>
      <c r="H39" s="10"/>
      <c r="I39" s="9"/>
      <c r="J39" s="10"/>
      <c r="K39" s="8"/>
      <c r="L39" s="8"/>
      <c r="M39" s="10"/>
      <c r="N39" s="10"/>
      <c r="O39" s="10"/>
    </row>
    <row r="40" spans="1:15" x14ac:dyDescent="0.25">
      <c r="A40" s="7"/>
      <c r="B40" s="7"/>
      <c r="C40" s="7"/>
      <c r="D40" s="11">
        <v>38</v>
      </c>
      <c r="E40" s="8"/>
      <c r="F40" s="8"/>
      <c r="G40" s="9"/>
      <c r="H40" s="10"/>
      <c r="I40" s="9"/>
      <c r="J40" s="10"/>
      <c r="K40" s="8"/>
      <c r="L40" s="8"/>
      <c r="M40" s="10"/>
      <c r="N40" s="10"/>
      <c r="O40" s="10"/>
    </row>
    <row r="41" spans="1:15" x14ac:dyDescent="0.25">
      <c r="A41" s="7"/>
      <c r="B41" s="7"/>
      <c r="C41" s="7"/>
      <c r="D41" s="11">
        <v>39</v>
      </c>
      <c r="E41" s="8"/>
      <c r="F41" s="8"/>
      <c r="G41" s="9"/>
      <c r="H41" s="10"/>
      <c r="I41" s="9"/>
      <c r="J41" s="10"/>
      <c r="K41" s="8"/>
      <c r="L41" s="8"/>
      <c r="M41" s="10"/>
      <c r="N41" s="10"/>
      <c r="O41" s="10"/>
    </row>
    <row r="42" spans="1:15" x14ac:dyDescent="0.25">
      <c r="A42" s="7"/>
      <c r="B42" s="7"/>
      <c r="C42" s="7"/>
      <c r="D42" s="11">
        <v>40</v>
      </c>
      <c r="E42" s="8"/>
      <c r="F42" s="8"/>
      <c r="G42" s="9"/>
      <c r="H42" s="10"/>
      <c r="I42" s="9"/>
      <c r="J42" s="10"/>
      <c r="K42" s="8"/>
      <c r="L42" s="8"/>
      <c r="M42" s="10"/>
      <c r="N42" s="10"/>
      <c r="O42" s="10"/>
    </row>
    <row r="43" spans="1:15" x14ac:dyDescent="0.25">
      <c r="A43" s="7"/>
      <c r="B43" s="7"/>
      <c r="C43" s="7"/>
      <c r="D43" s="11">
        <v>41</v>
      </c>
      <c r="E43" s="8"/>
      <c r="F43" s="8"/>
      <c r="G43" s="9"/>
      <c r="H43" s="10"/>
      <c r="I43" s="9"/>
      <c r="J43" s="10"/>
      <c r="K43" s="8"/>
      <c r="L43" s="8"/>
      <c r="M43" s="10"/>
      <c r="N43" s="10"/>
      <c r="O43" s="10"/>
    </row>
    <row r="44" spans="1:15" x14ac:dyDescent="0.25">
      <c r="A44" s="7"/>
      <c r="B44" s="7"/>
      <c r="C44" s="7"/>
      <c r="D44" s="11">
        <v>42</v>
      </c>
      <c r="E44" s="8"/>
      <c r="F44" s="8"/>
      <c r="G44" s="9"/>
      <c r="H44" s="10"/>
      <c r="I44" s="9"/>
      <c r="J44" s="10"/>
      <c r="K44" s="8"/>
      <c r="L44" s="8"/>
      <c r="M44" s="10"/>
      <c r="N44" s="10"/>
      <c r="O44" s="10"/>
    </row>
    <row r="45" spans="1:15" x14ac:dyDescent="0.25">
      <c r="A45" s="7"/>
      <c r="B45" s="7"/>
      <c r="C45" s="7"/>
      <c r="D45" s="11">
        <v>43</v>
      </c>
      <c r="E45" s="8"/>
      <c r="F45" s="8"/>
      <c r="G45" s="9"/>
      <c r="H45" s="10"/>
      <c r="I45" s="9"/>
      <c r="J45" s="10"/>
      <c r="K45" s="8"/>
      <c r="L45" s="8"/>
      <c r="M45" s="10"/>
      <c r="N45" s="10"/>
      <c r="O45" s="10"/>
    </row>
    <row r="46" spans="1:15" x14ac:dyDescent="0.25">
      <c r="A46" s="7"/>
      <c r="B46" s="7"/>
      <c r="C46" s="7"/>
      <c r="D46" s="11">
        <v>44</v>
      </c>
      <c r="E46" s="8"/>
      <c r="F46" s="8"/>
      <c r="G46" s="9"/>
      <c r="H46" s="10"/>
      <c r="I46" s="9"/>
      <c r="J46" s="10"/>
      <c r="K46" s="8"/>
      <c r="L46" s="8"/>
      <c r="M46" s="10"/>
      <c r="N46" s="10"/>
      <c r="O46" s="10"/>
    </row>
    <row r="47" spans="1:15" x14ac:dyDescent="0.25">
      <c r="A47" s="7"/>
      <c r="B47" s="7"/>
      <c r="C47" s="7"/>
      <c r="D47" s="11">
        <v>45</v>
      </c>
      <c r="E47" s="8"/>
      <c r="F47" s="8"/>
      <c r="G47" s="9"/>
      <c r="H47" s="10"/>
      <c r="I47" s="9"/>
      <c r="J47" s="10"/>
      <c r="K47" s="8"/>
      <c r="L47" s="8"/>
      <c r="M47" s="10"/>
      <c r="N47" s="10"/>
      <c r="O47" s="10"/>
    </row>
    <row r="48" spans="1:15" x14ac:dyDescent="0.25">
      <c r="A48" s="7"/>
      <c r="B48" s="7"/>
      <c r="C48" s="7"/>
      <c r="D48" s="11">
        <v>46</v>
      </c>
      <c r="E48" s="8"/>
      <c r="F48" s="8"/>
      <c r="G48" s="9"/>
      <c r="H48" s="10"/>
      <c r="I48" s="9"/>
      <c r="J48" s="10"/>
      <c r="K48" s="8"/>
      <c r="L48" s="8"/>
      <c r="M48" s="10"/>
      <c r="N48" s="10"/>
      <c r="O48" s="10"/>
    </row>
    <row r="49" spans="1:15" x14ac:dyDescent="0.25">
      <c r="A49" s="7"/>
      <c r="B49" s="7"/>
      <c r="C49" s="7"/>
      <c r="D49" s="11">
        <v>47</v>
      </c>
      <c r="E49" s="8"/>
      <c r="F49" s="8"/>
      <c r="G49" s="9"/>
      <c r="H49" s="10"/>
      <c r="I49" s="9"/>
      <c r="J49" s="10"/>
      <c r="K49" s="8"/>
      <c r="L49" s="8"/>
      <c r="M49" s="10"/>
      <c r="N49" s="10"/>
      <c r="O49" s="10"/>
    </row>
    <row r="50" spans="1:15" x14ac:dyDescent="0.25">
      <c r="A50" s="7"/>
      <c r="B50" s="7"/>
      <c r="C50" s="7"/>
      <c r="D50" s="11">
        <v>48</v>
      </c>
      <c r="E50" s="8"/>
      <c r="F50" s="8"/>
      <c r="G50" s="9"/>
      <c r="H50" s="10"/>
      <c r="I50" s="9"/>
      <c r="J50" s="10"/>
      <c r="K50" s="8"/>
      <c r="L50" s="8"/>
      <c r="M50" s="10"/>
      <c r="N50" s="10"/>
      <c r="O50" s="10"/>
    </row>
    <row r="51" spans="1:15" x14ac:dyDescent="0.25">
      <c r="A51" s="7"/>
      <c r="B51" s="7"/>
      <c r="C51" s="7"/>
      <c r="D51" s="11">
        <v>49</v>
      </c>
      <c r="E51" s="8"/>
      <c r="F51" s="8"/>
      <c r="G51" s="9"/>
      <c r="H51" s="10"/>
      <c r="I51" s="9"/>
      <c r="J51" s="10"/>
      <c r="K51" s="8"/>
      <c r="L51" s="8"/>
      <c r="M51" s="10"/>
      <c r="N51" s="10"/>
      <c r="O51" s="10"/>
    </row>
    <row r="52" spans="1:15" x14ac:dyDescent="0.25">
      <c r="A52" s="7"/>
      <c r="B52" s="7"/>
      <c r="C52" s="7"/>
      <c r="D52" s="11">
        <v>50</v>
      </c>
      <c r="E52" s="8"/>
      <c r="F52" s="8"/>
      <c r="G52" s="9"/>
      <c r="H52" s="10"/>
      <c r="I52" s="9"/>
      <c r="J52" s="10"/>
      <c r="K52" s="8"/>
      <c r="L52" s="8"/>
      <c r="M52" s="10"/>
      <c r="N52" s="10"/>
      <c r="O52" s="10"/>
    </row>
    <row r="53" spans="1:15" x14ac:dyDescent="0.25">
      <c r="A53" s="7"/>
      <c r="B53" s="7"/>
      <c r="C53" s="7"/>
      <c r="D53" s="11">
        <v>51</v>
      </c>
      <c r="E53" s="8"/>
      <c r="F53" s="8"/>
      <c r="G53" s="9"/>
      <c r="H53" s="10"/>
      <c r="I53" s="9"/>
      <c r="J53" s="10"/>
      <c r="K53" s="8"/>
      <c r="L53" s="8"/>
      <c r="M53" s="10"/>
      <c r="N53" s="10"/>
      <c r="O53" s="10"/>
    </row>
    <row r="54" spans="1:15" x14ac:dyDescent="0.25">
      <c r="A54" s="7"/>
      <c r="B54" s="7"/>
      <c r="C54" s="7"/>
      <c r="D54" s="11">
        <v>52</v>
      </c>
      <c r="E54" s="8"/>
      <c r="F54" s="8"/>
      <c r="G54" s="9"/>
      <c r="H54" s="10"/>
      <c r="I54" s="9"/>
      <c r="J54" s="10"/>
      <c r="K54" s="8"/>
      <c r="L54" s="8"/>
      <c r="M54" s="10"/>
      <c r="N54" s="10"/>
      <c r="O54" s="10"/>
    </row>
    <row r="55" spans="1:15" x14ac:dyDescent="0.25">
      <c r="A55" s="7"/>
      <c r="B55" s="7"/>
      <c r="C55" s="7"/>
      <c r="D55" s="11">
        <v>53</v>
      </c>
      <c r="E55" s="8"/>
      <c r="F55" s="8"/>
      <c r="G55" s="9"/>
      <c r="H55" s="10"/>
      <c r="I55" s="9"/>
      <c r="J55" s="10"/>
      <c r="K55" s="8"/>
      <c r="L55" s="8"/>
      <c r="M55" s="10"/>
      <c r="N55" s="10"/>
      <c r="O55" s="10"/>
    </row>
    <row r="56" spans="1:15" x14ac:dyDescent="0.25">
      <c r="A56" s="7"/>
      <c r="B56" s="7"/>
      <c r="C56" s="7"/>
      <c r="D56" s="11">
        <v>54</v>
      </c>
      <c r="E56" s="8"/>
      <c r="F56" s="8"/>
      <c r="G56" s="9"/>
      <c r="H56" s="10"/>
      <c r="I56" s="9"/>
      <c r="J56" s="10"/>
      <c r="K56" s="8"/>
      <c r="L56" s="8"/>
      <c r="M56" s="10"/>
      <c r="N56" s="10"/>
      <c r="O56" s="10"/>
    </row>
    <row r="57" spans="1:15" x14ac:dyDescent="0.25">
      <c r="A57" s="7"/>
      <c r="B57" s="7"/>
      <c r="C57" s="7"/>
      <c r="D57" s="11">
        <v>55</v>
      </c>
      <c r="E57" s="8"/>
      <c r="F57" s="8"/>
      <c r="G57" s="9"/>
      <c r="H57" s="10"/>
      <c r="I57" s="9"/>
      <c r="J57" s="10"/>
      <c r="K57" s="8"/>
      <c r="L57" s="8"/>
      <c r="M57" s="10"/>
      <c r="N57" s="10"/>
      <c r="O57" s="10"/>
    </row>
    <row r="58" spans="1:15" x14ac:dyDescent="0.25">
      <c r="A58" s="7"/>
      <c r="B58" s="7"/>
      <c r="C58" s="7"/>
      <c r="D58" s="11">
        <v>56</v>
      </c>
      <c r="E58" s="8"/>
      <c r="F58" s="8"/>
      <c r="G58" s="9"/>
      <c r="H58" s="10"/>
      <c r="I58" s="9"/>
      <c r="J58" s="10"/>
      <c r="K58" s="8"/>
      <c r="L58" s="8"/>
      <c r="M58" s="10"/>
      <c r="N58" s="10"/>
      <c r="O58" s="10"/>
    </row>
    <row r="59" spans="1:15" x14ac:dyDescent="0.25">
      <c r="A59" s="7"/>
      <c r="B59" s="7"/>
      <c r="C59" s="7"/>
      <c r="D59" s="11">
        <v>57</v>
      </c>
      <c r="E59" s="8"/>
      <c r="F59" s="8"/>
      <c r="G59" s="9"/>
      <c r="H59" s="10"/>
      <c r="I59" s="9"/>
      <c r="J59" s="10"/>
      <c r="K59" s="8"/>
      <c r="L59" s="8"/>
      <c r="M59" s="10"/>
      <c r="N59" s="10"/>
      <c r="O59" s="10"/>
    </row>
    <row r="60" spans="1:15" x14ac:dyDescent="0.25">
      <c r="A60" s="7"/>
      <c r="B60" s="7"/>
      <c r="C60" s="7"/>
      <c r="D60" s="11">
        <v>58</v>
      </c>
      <c r="E60" s="8"/>
      <c r="F60" s="8"/>
      <c r="G60" s="9"/>
      <c r="H60" s="10"/>
      <c r="I60" s="9"/>
      <c r="J60" s="10"/>
      <c r="K60" s="8"/>
      <c r="L60" s="8"/>
      <c r="M60" s="10"/>
      <c r="N60" s="10"/>
      <c r="O60" s="10"/>
    </row>
    <row r="61" spans="1:15" x14ac:dyDescent="0.25">
      <c r="A61" s="7"/>
      <c r="B61" s="7"/>
      <c r="C61" s="7"/>
      <c r="D61" s="11">
        <v>59</v>
      </c>
      <c r="E61" s="8"/>
      <c r="F61" s="8"/>
      <c r="G61" s="9"/>
      <c r="H61" s="10"/>
      <c r="I61" s="9"/>
      <c r="J61" s="10"/>
      <c r="K61" s="8"/>
      <c r="L61" s="8"/>
      <c r="M61" s="10"/>
      <c r="N61" s="10"/>
      <c r="O61" s="10"/>
    </row>
    <row r="62" spans="1:15" x14ac:dyDescent="0.25">
      <c r="A62" s="7"/>
      <c r="B62" s="7"/>
      <c r="C62" s="7"/>
      <c r="D62" s="11">
        <v>60</v>
      </c>
      <c r="E62" s="8"/>
      <c r="F62" s="8"/>
      <c r="G62" s="9"/>
      <c r="H62" s="10"/>
      <c r="I62" s="9"/>
      <c r="J62" s="10"/>
      <c r="K62" s="8"/>
      <c r="L62" s="8"/>
      <c r="M62" s="10"/>
      <c r="N62" s="10"/>
      <c r="O62" s="10"/>
    </row>
    <row r="63" spans="1:15" x14ac:dyDescent="0.25">
      <c r="A63" s="7"/>
      <c r="B63" s="7"/>
      <c r="C63" s="7"/>
      <c r="D63" s="11">
        <v>61</v>
      </c>
      <c r="E63" s="8"/>
      <c r="F63" s="8"/>
      <c r="G63" s="9"/>
      <c r="H63" s="10"/>
      <c r="I63" s="9"/>
      <c r="J63" s="10"/>
      <c r="K63" s="8"/>
      <c r="L63" s="8"/>
      <c r="M63" s="10"/>
      <c r="N63" s="10"/>
      <c r="O63" s="10"/>
    </row>
    <row r="64" spans="1:15" x14ac:dyDescent="0.25">
      <c r="A64" s="7"/>
      <c r="B64" s="7"/>
      <c r="C64" s="7"/>
      <c r="D64" s="11">
        <v>62</v>
      </c>
      <c r="E64" s="8"/>
      <c r="F64" s="8"/>
      <c r="G64" s="9"/>
      <c r="H64" s="10"/>
      <c r="I64" s="9"/>
      <c r="J64" s="10"/>
      <c r="K64" s="8"/>
      <c r="L64" s="8"/>
      <c r="M64" s="10"/>
      <c r="N64" s="10"/>
      <c r="O64" s="10"/>
    </row>
    <row r="65" spans="1:15" x14ac:dyDescent="0.25">
      <c r="A65" s="7"/>
      <c r="B65" s="7"/>
      <c r="C65" s="7"/>
      <c r="D65" s="11">
        <v>63</v>
      </c>
      <c r="E65" s="8"/>
      <c r="F65" s="8"/>
      <c r="G65" s="9"/>
      <c r="H65" s="10"/>
      <c r="I65" s="9"/>
      <c r="J65" s="10"/>
      <c r="K65" s="8"/>
      <c r="L65" s="8"/>
      <c r="M65" s="10"/>
      <c r="N65" s="10"/>
      <c r="O65" s="10"/>
    </row>
    <row r="66" spans="1:15" x14ac:dyDescent="0.25">
      <c r="A66" s="7"/>
      <c r="B66" s="7"/>
      <c r="C66" s="7"/>
      <c r="D66" s="11">
        <v>64</v>
      </c>
      <c r="E66" s="8"/>
      <c r="F66" s="8"/>
      <c r="G66" s="9"/>
      <c r="H66" s="10"/>
      <c r="I66" s="9"/>
      <c r="J66" s="10"/>
      <c r="K66" s="8"/>
      <c r="L66" s="8"/>
      <c r="M66" s="10"/>
      <c r="N66" s="10"/>
      <c r="O66" s="10"/>
    </row>
    <row r="67" spans="1:15" x14ac:dyDescent="0.25">
      <c r="A67" s="7"/>
      <c r="B67" s="7"/>
      <c r="C67" s="7"/>
      <c r="D67" s="11">
        <v>65</v>
      </c>
      <c r="E67" s="8"/>
      <c r="F67" s="8"/>
      <c r="G67" s="9"/>
      <c r="H67" s="10"/>
      <c r="I67" s="9"/>
      <c r="J67" s="10"/>
      <c r="K67" s="8"/>
      <c r="L67" s="8"/>
      <c r="M67" s="10"/>
      <c r="N67" s="10"/>
      <c r="O67" s="10"/>
    </row>
    <row r="68" spans="1:15" x14ac:dyDescent="0.25">
      <c r="A68" s="7"/>
      <c r="B68" s="7"/>
      <c r="C68" s="7"/>
      <c r="D68" s="11">
        <v>66</v>
      </c>
      <c r="E68" s="8"/>
      <c r="F68" s="8"/>
      <c r="G68" s="9"/>
      <c r="H68" s="10"/>
      <c r="I68" s="9"/>
      <c r="J68" s="10"/>
      <c r="K68" s="8"/>
      <c r="L68" s="8"/>
      <c r="M68" s="10"/>
      <c r="N68" s="10"/>
      <c r="O68" s="10"/>
    </row>
    <row r="69" spans="1:15" x14ac:dyDescent="0.25">
      <c r="A69" s="7"/>
      <c r="B69" s="7"/>
      <c r="C69" s="7"/>
      <c r="D69" s="11">
        <v>67</v>
      </c>
      <c r="E69" s="8"/>
      <c r="F69" s="8"/>
      <c r="G69" s="9"/>
      <c r="H69" s="10"/>
      <c r="I69" s="9"/>
      <c r="J69" s="10"/>
      <c r="K69" s="8"/>
      <c r="L69" s="8"/>
      <c r="M69" s="10"/>
      <c r="N69" s="10"/>
      <c r="O69" s="10"/>
    </row>
    <row r="70" spans="1:15" x14ac:dyDescent="0.25">
      <c r="A70" s="7"/>
      <c r="B70" s="7"/>
      <c r="C70" s="7"/>
      <c r="D70" s="11">
        <v>68</v>
      </c>
      <c r="E70" s="8"/>
      <c r="F70" s="8"/>
      <c r="G70" s="9"/>
      <c r="H70" s="10"/>
      <c r="I70" s="9"/>
      <c r="J70" s="10"/>
      <c r="K70" s="8"/>
      <c r="L70" s="8"/>
      <c r="M70" s="10"/>
      <c r="N70" s="10"/>
      <c r="O70" s="10"/>
    </row>
    <row r="71" spans="1:15" x14ac:dyDescent="0.25">
      <c r="A71" s="7"/>
      <c r="B71" s="7"/>
      <c r="C71" s="7"/>
      <c r="D71" s="11">
        <v>69</v>
      </c>
      <c r="E71" s="8"/>
      <c r="F71" s="8"/>
      <c r="G71" s="9"/>
      <c r="H71" s="10"/>
      <c r="I71" s="9"/>
      <c r="J71" s="10"/>
      <c r="K71" s="8"/>
      <c r="L71" s="8"/>
      <c r="M71" s="10"/>
      <c r="N71" s="10"/>
      <c r="O71" s="10"/>
    </row>
    <row r="72" spans="1:15" x14ac:dyDescent="0.25">
      <c r="A72" s="7"/>
      <c r="B72" s="7"/>
      <c r="C72" s="7"/>
      <c r="D72" s="11">
        <v>70</v>
      </c>
      <c r="E72" s="8"/>
      <c r="F72" s="8"/>
      <c r="G72" s="9"/>
      <c r="H72" s="10"/>
      <c r="I72" s="9"/>
      <c r="J72" s="10"/>
      <c r="K72" s="8"/>
      <c r="L72" s="8"/>
      <c r="M72" s="10"/>
      <c r="N72" s="10"/>
      <c r="O72" s="10"/>
    </row>
    <row r="73" spans="1:15" x14ac:dyDescent="0.25">
      <c r="A73" s="7"/>
      <c r="B73" s="7"/>
      <c r="C73" s="7"/>
      <c r="D73" s="11">
        <v>71</v>
      </c>
      <c r="E73" s="8"/>
      <c r="F73" s="8"/>
      <c r="G73" s="9"/>
      <c r="H73" s="10"/>
      <c r="I73" s="9"/>
      <c r="J73" s="10"/>
      <c r="K73" s="8"/>
      <c r="L73" s="8"/>
      <c r="M73" s="10"/>
      <c r="N73" s="10"/>
      <c r="O73" s="10"/>
    </row>
    <row r="74" spans="1:15" x14ac:dyDescent="0.25">
      <c r="A74" s="7"/>
      <c r="B74" s="7"/>
      <c r="C74" s="7"/>
      <c r="D74" s="11">
        <v>72</v>
      </c>
      <c r="E74" s="8"/>
      <c r="F74" s="8"/>
      <c r="G74" s="9"/>
      <c r="H74" s="10"/>
      <c r="I74" s="9"/>
      <c r="J74" s="10"/>
      <c r="K74" s="8"/>
      <c r="L74" s="8"/>
      <c r="M74" s="10"/>
      <c r="N74" s="10"/>
      <c r="O74" s="10"/>
    </row>
    <row r="75" spans="1:15" x14ac:dyDescent="0.25">
      <c r="A75" s="7"/>
      <c r="B75" s="7"/>
      <c r="C75" s="7"/>
      <c r="D75" s="11">
        <v>73</v>
      </c>
      <c r="E75" s="8"/>
      <c r="F75" s="8"/>
      <c r="G75" s="9"/>
      <c r="H75" s="10"/>
      <c r="I75" s="9"/>
      <c r="J75" s="10"/>
      <c r="K75" s="8"/>
      <c r="L75" s="8"/>
      <c r="M75" s="10"/>
      <c r="N75" s="10"/>
      <c r="O75" s="10"/>
    </row>
    <row r="76" spans="1:15" x14ac:dyDescent="0.25">
      <c r="A76" s="7"/>
      <c r="B76" s="7"/>
      <c r="C76" s="7"/>
      <c r="D76" s="11">
        <v>74</v>
      </c>
      <c r="E76" s="8"/>
      <c r="F76" s="8"/>
      <c r="G76" s="9"/>
      <c r="H76" s="10"/>
      <c r="I76" s="9"/>
      <c r="J76" s="10"/>
      <c r="K76" s="8"/>
      <c r="L76" s="8"/>
      <c r="M76" s="10"/>
      <c r="N76" s="10"/>
      <c r="O76" s="10"/>
    </row>
    <row r="77" spans="1:15" x14ac:dyDescent="0.25">
      <c r="A77" s="7"/>
      <c r="B77" s="7"/>
      <c r="C77" s="7"/>
      <c r="D77" s="11">
        <v>75</v>
      </c>
      <c r="E77" s="8"/>
      <c r="F77" s="8"/>
      <c r="G77" s="9"/>
      <c r="H77" s="10"/>
      <c r="I77" s="9"/>
      <c r="J77" s="10"/>
      <c r="K77" s="8"/>
      <c r="L77" s="8"/>
      <c r="M77" s="10"/>
      <c r="N77" s="10"/>
      <c r="O77" s="10"/>
    </row>
    <row r="78" spans="1:15" x14ac:dyDescent="0.25">
      <c r="A78" s="7"/>
      <c r="B78" s="7"/>
      <c r="C78" s="7"/>
      <c r="D78" s="11">
        <v>76</v>
      </c>
      <c r="E78" s="8"/>
      <c r="F78" s="8"/>
      <c r="G78" s="9"/>
      <c r="H78" s="10"/>
      <c r="I78" s="9"/>
      <c r="J78" s="10"/>
      <c r="K78" s="8"/>
      <c r="L78" s="8"/>
      <c r="M78" s="10"/>
      <c r="N78" s="10"/>
      <c r="O78" s="10"/>
    </row>
    <row r="79" spans="1:15" x14ac:dyDescent="0.25">
      <c r="A79" s="7"/>
      <c r="B79" s="7"/>
      <c r="C79" s="7"/>
      <c r="D79" s="11">
        <v>77</v>
      </c>
      <c r="E79" s="8"/>
      <c r="F79" s="8"/>
      <c r="G79" s="9"/>
      <c r="H79" s="10"/>
      <c r="I79" s="9"/>
      <c r="J79" s="10"/>
      <c r="K79" s="8"/>
      <c r="L79" s="8"/>
      <c r="M79" s="10"/>
      <c r="N79" s="10"/>
      <c r="O79" s="10"/>
    </row>
    <row r="80" spans="1:15" x14ac:dyDescent="0.25">
      <c r="A80" s="7"/>
      <c r="B80" s="7"/>
      <c r="C80" s="7"/>
      <c r="D80" s="11">
        <v>78</v>
      </c>
      <c r="E80" s="8"/>
      <c r="F80" s="8"/>
      <c r="G80" s="9"/>
      <c r="H80" s="10"/>
      <c r="I80" s="9"/>
      <c r="J80" s="10"/>
      <c r="K80" s="8"/>
      <c r="L80" s="8"/>
      <c r="M80" s="10"/>
      <c r="N80" s="10"/>
      <c r="O80" s="10"/>
    </row>
    <row r="81" spans="1:15" x14ac:dyDescent="0.25">
      <c r="A81" s="7"/>
      <c r="B81" s="7"/>
      <c r="C81" s="7"/>
      <c r="D81" s="11">
        <v>79</v>
      </c>
      <c r="E81" s="8"/>
      <c r="F81" s="8"/>
      <c r="G81" s="9"/>
      <c r="H81" s="10"/>
      <c r="I81" s="9"/>
      <c r="J81" s="10"/>
      <c r="K81" s="8"/>
      <c r="L81" s="8"/>
      <c r="M81" s="10"/>
      <c r="N81" s="10"/>
      <c r="O81" s="10"/>
    </row>
    <row r="82" spans="1:15" x14ac:dyDescent="0.25">
      <c r="A82" s="7"/>
      <c r="B82" s="7"/>
      <c r="C82" s="7"/>
      <c r="D82" s="11">
        <v>80</v>
      </c>
      <c r="E82" s="8"/>
      <c r="F82" s="8"/>
      <c r="G82" s="9"/>
      <c r="H82" s="10"/>
      <c r="I82" s="9"/>
      <c r="J82" s="10"/>
      <c r="K82" s="8"/>
      <c r="L82" s="8"/>
      <c r="M82" s="10"/>
      <c r="N82" s="10"/>
      <c r="O82" s="10"/>
    </row>
    <row r="83" spans="1:15" x14ac:dyDescent="0.25">
      <c r="A83" s="7"/>
      <c r="B83" s="7"/>
      <c r="C83" s="7"/>
      <c r="D83" s="11">
        <v>81</v>
      </c>
      <c r="E83" s="8"/>
      <c r="F83" s="8"/>
      <c r="G83" s="9"/>
      <c r="H83" s="10"/>
      <c r="I83" s="9"/>
      <c r="J83" s="10"/>
      <c r="K83" s="8"/>
      <c r="L83" s="8"/>
      <c r="M83" s="10"/>
      <c r="N83" s="10"/>
      <c r="O83" s="10"/>
    </row>
    <row r="84" spans="1:15" x14ac:dyDescent="0.25">
      <c r="A84" s="7"/>
      <c r="B84" s="7"/>
      <c r="C84" s="7"/>
      <c r="D84" s="11">
        <v>82</v>
      </c>
      <c r="E84" s="8"/>
      <c r="F84" s="8"/>
      <c r="G84" s="9"/>
      <c r="H84" s="10"/>
      <c r="I84" s="9"/>
      <c r="J84" s="10"/>
      <c r="K84" s="8"/>
      <c r="L84" s="8"/>
      <c r="M84" s="10"/>
      <c r="N84" s="10"/>
      <c r="O84" s="10"/>
    </row>
    <row r="85" spans="1:15" x14ac:dyDescent="0.25">
      <c r="A85" s="7"/>
      <c r="B85" s="7"/>
      <c r="C85" s="7"/>
      <c r="D85" s="11">
        <v>83</v>
      </c>
      <c r="E85" s="8"/>
      <c r="F85" s="8"/>
      <c r="G85" s="9"/>
      <c r="H85" s="10"/>
      <c r="I85" s="9"/>
      <c r="J85" s="10"/>
      <c r="K85" s="8"/>
      <c r="L85" s="8"/>
      <c r="M85" s="10"/>
      <c r="N85" s="10"/>
      <c r="O85" s="10"/>
    </row>
    <row r="86" spans="1:15" x14ac:dyDescent="0.25">
      <c r="A86" s="7"/>
      <c r="B86" s="7"/>
      <c r="C86" s="7"/>
      <c r="D86" s="11">
        <v>84</v>
      </c>
      <c r="E86" s="8"/>
      <c r="F86" s="8"/>
      <c r="G86" s="9"/>
      <c r="H86" s="10"/>
      <c r="I86" s="9"/>
      <c r="J86" s="10"/>
      <c r="K86" s="8"/>
      <c r="L86" s="8"/>
      <c r="M86" s="10"/>
      <c r="N86" s="10"/>
      <c r="O86" s="10"/>
    </row>
    <row r="87" spans="1:15" x14ac:dyDescent="0.25">
      <c r="A87" s="7"/>
      <c r="B87" s="7"/>
      <c r="C87" s="7"/>
      <c r="D87" s="11">
        <v>85</v>
      </c>
      <c r="E87" s="8"/>
      <c r="F87" s="8"/>
      <c r="G87" s="9"/>
      <c r="H87" s="10"/>
      <c r="I87" s="9"/>
      <c r="J87" s="10"/>
      <c r="K87" s="8"/>
      <c r="L87" s="8"/>
      <c r="M87" s="10"/>
      <c r="N87" s="10"/>
      <c r="O87" s="10"/>
    </row>
    <row r="88" spans="1:15" x14ac:dyDescent="0.25">
      <c r="A88" s="7"/>
      <c r="B88" s="7"/>
      <c r="C88" s="7"/>
      <c r="D88" s="11">
        <v>86</v>
      </c>
      <c r="E88" s="8"/>
      <c r="F88" s="8"/>
      <c r="G88" s="9"/>
      <c r="H88" s="10"/>
      <c r="I88" s="9"/>
      <c r="J88" s="10"/>
      <c r="K88" s="8"/>
      <c r="L88" s="8"/>
      <c r="M88" s="10"/>
      <c r="N88" s="10"/>
      <c r="O88" s="10"/>
    </row>
    <row r="89" spans="1:15" x14ac:dyDescent="0.25">
      <c r="A89" s="7"/>
      <c r="B89" s="7"/>
      <c r="C89" s="7"/>
      <c r="D89" s="11">
        <v>87</v>
      </c>
      <c r="E89" s="8"/>
      <c r="F89" s="8"/>
      <c r="G89" s="9"/>
      <c r="H89" s="10"/>
      <c r="I89" s="9"/>
      <c r="J89" s="10"/>
      <c r="K89" s="8"/>
      <c r="L89" s="8"/>
      <c r="M89" s="10"/>
      <c r="N89" s="10"/>
      <c r="O89" s="10"/>
    </row>
    <row r="90" spans="1:15" x14ac:dyDescent="0.25">
      <c r="A90" s="7"/>
      <c r="B90" s="7"/>
      <c r="C90" s="7"/>
      <c r="D90" s="11">
        <v>88</v>
      </c>
      <c r="E90" s="8"/>
      <c r="F90" s="8"/>
      <c r="G90" s="9"/>
      <c r="H90" s="10"/>
      <c r="I90" s="9"/>
      <c r="J90" s="10"/>
      <c r="K90" s="8"/>
      <c r="L90" s="8"/>
      <c r="M90" s="10"/>
      <c r="N90" s="10"/>
      <c r="O90" s="10"/>
    </row>
    <row r="91" spans="1:15" x14ac:dyDescent="0.25">
      <c r="A91" s="7"/>
      <c r="B91" s="7"/>
      <c r="C91" s="7"/>
      <c r="D91" s="11">
        <v>89</v>
      </c>
      <c r="E91" s="8"/>
      <c r="F91" s="8"/>
      <c r="G91" s="9"/>
      <c r="H91" s="10"/>
      <c r="I91" s="9"/>
      <c r="J91" s="10"/>
      <c r="K91" s="8"/>
      <c r="L91" s="8"/>
      <c r="M91" s="10"/>
      <c r="N91" s="10"/>
      <c r="O91" s="10"/>
    </row>
    <row r="92" spans="1:15" x14ac:dyDescent="0.25">
      <c r="A92" s="7"/>
      <c r="B92" s="7"/>
      <c r="C92" s="7"/>
      <c r="D92" s="11">
        <v>90</v>
      </c>
      <c r="E92" s="8"/>
      <c r="F92" s="8"/>
      <c r="G92" s="9"/>
      <c r="H92" s="10"/>
      <c r="I92" s="9"/>
      <c r="J92" s="10"/>
      <c r="K92" s="8"/>
      <c r="L92" s="8"/>
      <c r="M92" s="10"/>
      <c r="N92" s="10"/>
      <c r="O92" s="10"/>
    </row>
    <row r="93" spans="1:15" x14ac:dyDescent="0.25">
      <c r="A93" s="7"/>
      <c r="B93" s="7"/>
      <c r="C93" s="7"/>
      <c r="D93" s="11">
        <v>91</v>
      </c>
      <c r="E93" s="8"/>
      <c r="F93" s="8"/>
      <c r="G93" s="9"/>
      <c r="H93" s="10"/>
      <c r="I93" s="9"/>
      <c r="J93" s="10"/>
      <c r="K93" s="8"/>
      <c r="L93" s="8"/>
      <c r="M93" s="10"/>
      <c r="N93" s="10"/>
      <c r="O93" s="10"/>
    </row>
    <row r="94" spans="1:15" x14ac:dyDescent="0.25">
      <c r="A94" s="7"/>
      <c r="B94" s="7"/>
      <c r="C94" s="7"/>
      <c r="D94" s="11">
        <v>92</v>
      </c>
      <c r="E94" s="8"/>
      <c r="F94" s="8"/>
      <c r="G94" s="9"/>
      <c r="H94" s="10"/>
      <c r="I94" s="9"/>
      <c r="J94" s="10"/>
      <c r="K94" s="8"/>
      <c r="L94" s="8"/>
      <c r="M94" s="10"/>
      <c r="N94" s="10"/>
      <c r="O94" s="10"/>
    </row>
    <row r="95" spans="1:15" x14ac:dyDescent="0.25">
      <c r="A95" s="7"/>
      <c r="B95" s="7"/>
      <c r="C95" s="7"/>
      <c r="D95" s="11">
        <v>93</v>
      </c>
      <c r="E95" s="8"/>
      <c r="F95" s="8"/>
      <c r="G95" s="9"/>
      <c r="H95" s="10"/>
      <c r="I95" s="9"/>
      <c r="J95" s="10"/>
      <c r="K95" s="8"/>
      <c r="L95" s="8"/>
      <c r="M95" s="10"/>
      <c r="N95" s="10"/>
      <c r="O95" s="10"/>
    </row>
    <row r="96" spans="1:15" x14ac:dyDescent="0.25">
      <c r="A96" s="7"/>
      <c r="B96" s="7"/>
      <c r="C96" s="7"/>
      <c r="D96" s="11">
        <v>94</v>
      </c>
      <c r="E96" s="8"/>
      <c r="F96" s="8"/>
      <c r="G96" s="9"/>
      <c r="H96" s="10"/>
      <c r="I96" s="9"/>
      <c r="J96" s="10"/>
      <c r="K96" s="8"/>
      <c r="L96" s="8"/>
      <c r="M96" s="10"/>
      <c r="N96" s="10"/>
      <c r="O96" s="10"/>
    </row>
    <row r="97" spans="1:15" x14ac:dyDescent="0.25">
      <c r="A97" s="7"/>
      <c r="B97" s="7"/>
      <c r="C97" s="7"/>
      <c r="D97" s="11">
        <v>95</v>
      </c>
      <c r="E97" s="8"/>
      <c r="F97" s="8"/>
      <c r="G97" s="9"/>
      <c r="H97" s="10"/>
      <c r="I97" s="9"/>
      <c r="J97" s="10"/>
      <c r="K97" s="8"/>
      <c r="L97" s="8"/>
      <c r="M97" s="10"/>
      <c r="N97" s="10"/>
      <c r="O97" s="10"/>
    </row>
    <row r="98" spans="1:15" x14ac:dyDescent="0.25">
      <c r="A98" s="7"/>
      <c r="B98" s="7"/>
      <c r="C98" s="7"/>
      <c r="D98" s="11">
        <v>96</v>
      </c>
      <c r="E98" s="8"/>
      <c r="F98" s="8"/>
      <c r="G98" s="9"/>
      <c r="H98" s="10"/>
      <c r="I98" s="9"/>
      <c r="J98" s="10"/>
      <c r="K98" s="8"/>
      <c r="L98" s="8"/>
      <c r="M98" s="10"/>
      <c r="N98" s="10"/>
      <c r="O98" s="10"/>
    </row>
    <row r="99" spans="1:15" x14ac:dyDescent="0.25">
      <c r="A99" s="7"/>
      <c r="B99" s="7"/>
      <c r="C99" s="7"/>
      <c r="D99" s="11">
        <v>97</v>
      </c>
      <c r="E99" s="8"/>
      <c r="F99" s="8"/>
      <c r="G99" s="9"/>
      <c r="H99" s="10"/>
      <c r="I99" s="9"/>
      <c r="J99" s="10"/>
      <c r="K99" s="8"/>
      <c r="L99" s="8"/>
      <c r="M99" s="10"/>
      <c r="N99" s="10"/>
      <c r="O99" s="10"/>
    </row>
    <row r="100" spans="1:15" x14ac:dyDescent="0.25">
      <c r="A100" s="7"/>
      <c r="B100" s="7"/>
      <c r="C100" s="7"/>
      <c r="D100" s="11">
        <v>98</v>
      </c>
      <c r="E100" s="8"/>
      <c r="F100" s="8"/>
      <c r="G100" s="9"/>
      <c r="H100" s="10"/>
      <c r="I100" s="9"/>
      <c r="J100" s="10"/>
      <c r="K100" s="8"/>
      <c r="L100" s="8"/>
      <c r="M100" s="10"/>
      <c r="N100" s="10"/>
      <c r="O100" s="10"/>
    </row>
    <row r="101" spans="1:15" x14ac:dyDescent="0.25">
      <c r="A101" s="7"/>
      <c r="B101" s="7"/>
      <c r="C101" s="7"/>
      <c r="D101" s="11">
        <v>99</v>
      </c>
      <c r="E101" s="8"/>
      <c r="F101" s="8"/>
      <c r="G101" s="9"/>
      <c r="H101" s="10"/>
      <c r="I101" s="9"/>
      <c r="J101" s="10"/>
      <c r="K101" s="8"/>
      <c r="L101" s="8"/>
      <c r="M101" s="10"/>
      <c r="N101" s="10"/>
      <c r="O101" s="10"/>
    </row>
    <row r="102" spans="1:15" x14ac:dyDescent="0.25">
      <c r="A102" s="7"/>
      <c r="B102" s="7"/>
      <c r="C102" s="7"/>
      <c r="D102" s="11">
        <v>100</v>
      </c>
      <c r="E102" s="8"/>
      <c r="F102" s="8"/>
      <c r="G102" s="9"/>
      <c r="H102" s="10"/>
      <c r="I102" s="9"/>
      <c r="J102" s="10"/>
      <c r="K102" s="8"/>
      <c r="L102" s="8"/>
      <c r="M102" s="10"/>
      <c r="N102" s="10"/>
      <c r="O102" s="10"/>
    </row>
    <row r="103" spans="1:15" x14ac:dyDescent="0.25">
      <c r="A103" s="7"/>
      <c r="B103" s="7"/>
      <c r="C103" s="7"/>
      <c r="D103" s="11">
        <v>101</v>
      </c>
      <c r="E103" s="8"/>
      <c r="F103" s="8"/>
      <c r="G103" s="9"/>
      <c r="H103" s="10"/>
      <c r="I103" s="9"/>
      <c r="J103" s="10"/>
      <c r="K103" s="8"/>
      <c r="L103" s="8"/>
      <c r="M103" s="10"/>
      <c r="N103" s="10"/>
      <c r="O103" s="10"/>
    </row>
    <row r="104" spans="1:15" x14ac:dyDescent="0.25">
      <c r="A104" s="7"/>
      <c r="B104" s="7"/>
      <c r="C104" s="7"/>
      <c r="D104" s="11">
        <v>102</v>
      </c>
      <c r="E104" s="8"/>
      <c r="F104" s="8"/>
      <c r="G104" s="9"/>
      <c r="H104" s="10"/>
      <c r="I104" s="9"/>
      <c r="J104" s="10"/>
      <c r="K104" s="8"/>
      <c r="L104" s="8"/>
      <c r="M104" s="10"/>
      <c r="N104" s="10"/>
      <c r="O104" s="10"/>
    </row>
    <row r="105" spans="1:15" x14ac:dyDescent="0.25">
      <c r="A105" s="7"/>
      <c r="B105" s="7"/>
      <c r="C105" s="7"/>
      <c r="D105" s="11">
        <v>103</v>
      </c>
      <c r="E105" s="8"/>
      <c r="F105" s="8"/>
      <c r="G105" s="9"/>
      <c r="H105" s="10"/>
      <c r="I105" s="9"/>
      <c r="J105" s="10"/>
      <c r="K105" s="8"/>
      <c r="L105" s="8"/>
      <c r="M105" s="10"/>
      <c r="N105" s="10"/>
      <c r="O105" s="10"/>
    </row>
    <row r="106" spans="1:15" x14ac:dyDescent="0.25">
      <c r="A106" s="7"/>
      <c r="B106" s="7"/>
      <c r="C106" s="7"/>
      <c r="D106" s="11">
        <v>104</v>
      </c>
      <c r="E106" s="8"/>
      <c r="F106" s="8"/>
      <c r="G106" s="9"/>
      <c r="H106" s="10"/>
      <c r="I106" s="9"/>
      <c r="J106" s="10"/>
      <c r="K106" s="8"/>
      <c r="L106" s="8"/>
      <c r="M106" s="10"/>
      <c r="N106" s="10"/>
      <c r="O106" s="10"/>
    </row>
    <row r="107" spans="1:15" x14ac:dyDescent="0.25">
      <c r="A107" s="7"/>
      <c r="B107" s="7"/>
      <c r="C107" s="7"/>
      <c r="D107" s="11">
        <v>105</v>
      </c>
      <c r="E107" s="8"/>
      <c r="F107" s="8"/>
      <c r="G107" s="9"/>
      <c r="H107" s="10"/>
      <c r="I107" s="9"/>
      <c r="J107" s="10"/>
      <c r="K107" s="8"/>
      <c r="L107" s="8"/>
      <c r="M107" s="10"/>
      <c r="N107" s="10"/>
      <c r="O107" s="10"/>
    </row>
    <row r="108" spans="1:15" x14ac:dyDescent="0.25">
      <c r="A108" s="7"/>
      <c r="B108" s="7"/>
      <c r="C108" s="7"/>
      <c r="D108" s="11">
        <v>106</v>
      </c>
      <c r="E108" s="8"/>
      <c r="F108" s="8"/>
      <c r="G108" s="9"/>
      <c r="H108" s="10"/>
      <c r="I108" s="9"/>
      <c r="J108" s="10"/>
      <c r="K108" s="8"/>
      <c r="L108" s="8"/>
      <c r="M108" s="10"/>
      <c r="N108" s="10"/>
      <c r="O108" s="10"/>
    </row>
    <row r="109" spans="1:15" x14ac:dyDescent="0.25">
      <c r="A109" s="7"/>
      <c r="B109" s="7"/>
      <c r="C109" s="7"/>
      <c r="D109" s="11">
        <v>107</v>
      </c>
      <c r="E109" s="8"/>
      <c r="F109" s="8"/>
      <c r="G109" s="9"/>
      <c r="H109" s="10"/>
      <c r="I109" s="9"/>
      <c r="J109" s="10"/>
      <c r="K109" s="8"/>
      <c r="L109" s="8"/>
      <c r="M109" s="10"/>
      <c r="N109" s="10"/>
      <c r="O109" s="10"/>
    </row>
    <row r="110" spans="1:15" x14ac:dyDescent="0.25">
      <c r="A110" s="7"/>
      <c r="B110" s="7"/>
      <c r="C110" s="7"/>
      <c r="D110" s="11">
        <v>108</v>
      </c>
      <c r="E110" s="8"/>
      <c r="F110" s="8"/>
      <c r="G110" s="9"/>
      <c r="H110" s="10"/>
      <c r="I110" s="9"/>
      <c r="J110" s="10"/>
      <c r="K110" s="8"/>
      <c r="L110" s="8"/>
      <c r="M110" s="10"/>
      <c r="N110" s="10"/>
      <c r="O110" s="10"/>
    </row>
    <row r="111" spans="1:15" x14ac:dyDescent="0.25">
      <c r="A111" s="7"/>
      <c r="B111" s="7"/>
      <c r="C111" s="7"/>
      <c r="D111" s="11">
        <v>109</v>
      </c>
      <c r="E111" s="8"/>
      <c r="F111" s="8"/>
      <c r="G111" s="9"/>
      <c r="H111" s="10"/>
      <c r="I111" s="9"/>
      <c r="J111" s="10"/>
      <c r="K111" s="8"/>
      <c r="L111" s="8"/>
      <c r="M111" s="10"/>
      <c r="N111" s="10"/>
      <c r="O111" s="10"/>
    </row>
    <row r="112" spans="1:15" x14ac:dyDescent="0.25">
      <c r="A112" s="7"/>
      <c r="B112" s="7"/>
      <c r="C112" s="7"/>
      <c r="D112" s="11">
        <v>110</v>
      </c>
      <c r="E112" s="8"/>
      <c r="F112" s="8"/>
      <c r="G112" s="9"/>
      <c r="H112" s="10"/>
      <c r="I112" s="9"/>
      <c r="J112" s="10"/>
      <c r="K112" s="8"/>
      <c r="L112" s="8"/>
      <c r="M112" s="10"/>
      <c r="N112" s="10"/>
      <c r="O112" s="10"/>
    </row>
    <row r="113" spans="1:15" x14ac:dyDescent="0.25">
      <c r="A113" s="7"/>
      <c r="B113" s="7"/>
      <c r="C113" s="7"/>
      <c r="D113" s="11">
        <v>111</v>
      </c>
      <c r="E113" s="8"/>
      <c r="F113" s="8"/>
      <c r="G113" s="9"/>
      <c r="H113" s="10"/>
      <c r="I113" s="9"/>
      <c r="J113" s="10"/>
      <c r="K113" s="8"/>
      <c r="L113" s="8"/>
      <c r="M113" s="10"/>
      <c r="N113" s="10"/>
      <c r="O113" s="10"/>
    </row>
    <row r="114" spans="1:15" x14ac:dyDescent="0.25">
      <c r="A114" s="7"/>
      <c r="B114" s="7"/>
      <c r="C114" s="7"/>
      <c r="D114" s="11">
        <v>112</v>
      </c>
      <c r="E114" s="8"/>
      <c r="F114" s="8"/>
      <c r="G114" s="9"/>
      <c r="H114" s="10"/>
      <c r="I114" s="9"/>
      <c r="J114" s="10"/>
      <c r="K114" s="8"/>
      <c r="L114" s="8"/>
      <c r="M114" s="10"/>
      <c r="N114" s="10"/>
      <c r="O114" s="10"/>
    </row>
    <row r="115" spans="1:15" x14ac:dyDescent="0.25">
      <c r="A115" s="7"/>
      <c r="B115" s="7"/>
      <c r="C115" s="7"/>
      <c r="D115" s="11">
        <v>113</v>
      </c>
      <c r="E115" s="8"/>
      <c r="F115" s="8"/>
      <c r="G115" s="9"/>
      <c r="H115" s="10"/>
      <c r="I115" s="9"/>
      <c r="J115" s="10"/>
      <c r="K115" s="8"/>
      <c r="L115" s="8"/>
      <c r="M115" s="10"/>
      <c r="N115" s="10"/>
      <c r="O115" s="10"/>
    </row>
    <row r="116" spans="1:15" x14ac:dyDescent="0.25">
      <c r="A116" s="7"/>
      <c r="B116" s="7"/>
      <c r="C116" s="7"/>
      <c r="D116" s="11">
        <v>114</v>
      </c>
      <c r="E116" s="8"/>
      <c r="F116" s="8"/>
      <c r="G116" s="9"/>
      <c r="H116" s="10"/>
      <c r="I116" s="9"/>
      <c r="J116" s="10"/>
      <c r="K116" s="8"/>
      <c r="L116" s="8"/>
      <c r="M116" s="10"/>
      <c r="N116" s="10"/>
      <c r="O116" s="10"/>
    </row>
    <row r="117" spans="1:15" x14ac:dyDescent="0.25">
      <c r="A117" s="7"/>
      <c r="B117" s="7"/>
      <c r="C117" s="7"/>
      <c r="D117" s="11">
        <v>115</v>
      </c>
      <c r="E117" s="8"/>
      <c r="F117" s="8"/>
      <c r="G117" s="9"/>
      <c r="H117" s="10"/>
      <c r="I117" s="9"/>
      <c r="J117" s="10"/>
      <c r="K117" s="8"/>
      <c r="L117" s="8"/>
      <c r="M117" s="10"/>
      <c r="N117" s="10"/>
      <c r="O117" s="10"/>
    </row>
    <row r="118" spans="1:15" x14ac:dyDescent="0.25">
      <c r="A118" s="7"/>
      <c r="B118" s="7"/>
      <c r="C118" s="7"/>
      <c r="D118" s="11">
        <v>116</v>
      </c>
      <c r="E118" s="8"/>
      <c r="F118" s="8"/>
      <c r="G118" s="9"/>
      <c r="H118" s="10"/>
      <c r="I118" s="9"/>
      <c r="J118" s="10"/>
      <c r="K118" s="8"/>
      <c r="L118" s="8"/>
      <c r="M118" s="10"/>
      <c r="N118" s="10"/>
      <c r="O118" s="10"/>
    </row>
    <row r="119" spans="1:15" x14ac:dyDescent="0.25">
      <c r="A119" s="7"/>
      <c r="B119" s="7"/>
      <c r="C119" s="7"/>
      <c r="D119" s="11">
        <v>117</v>
      </c>
      <c r="E119" s="8"/>
      <c r="F119" s="8"/>
      <c r="G119" s="9"/>
      <c r="H119" s="10"/>
      <c r="I119" s="9"/>
      <c r="J119" s="10"/>
      <c r="K119" s="8"/>
      <c r="L119" s="8"/>
      <c r="M119" s="10"/>
      <c r="N119" s="10"/>
      <c r="O119" s="10"/>
    </row>
    <row r="120" spans="1:15" x14ac:dyDescent="0.25">
      <c r="A120" s="7"/>
      <c r="B120" s="7"/>
      <c r="C120" s="7"/>
      <c r="D120" s="11">
        <v>118</v>
      </c>
      <c r="E120" s="8"/>
      <c r="F120" s="8"/>
      <c r="G120" s="9"/>
      <c r="H120" s="10"/>
      <c r="I120" s="9"/>
      <c r="J120" s="10"/>
      <c r="K120" s="8"/>
      <c r="L120" s="8"/>
      <c r="M120" s="10"/>
      <c r="N120" s="10"/>
      <c r="O120" s="10"/>
    </row>
    <row r="121" spans="1:15" x14ac:dyDescent="0.25">
      <c r="A121" s="7"/>
      <c r="B121" s="7"/>
      <c r="C121" s="7"/>
      <c r="D121" s="11">
        <v>119</v>
      </c>
      <c r="E121" s="8"/>
      <c r="F121" s="8"/>
      <c r="G121" s="9"/>
      <c r="H121" s="10"/>
      <c r="I121" s="9"/>
      <c r="J121" s="10"/>
      <c r="K121" s="8"/>
      <c r="L121" s="8"/>
      <c r="M121" s="10"/>
      <c r="N121" s="10"/>
      <c r="O121" s="10"/>
    </row>
    <row r="122" spans="1:15" x14ac:dyDescent="0.25">
      <c r="A122" s="7"/>
      <c r="B122" s="7"/>
      <c r="C122" s="7"/>
      <c r="D122" s="11">
        <v>120</v>
      </c>
      <c r="E122" s="8"/>
      <c r="F122" s="8"/>
      <c r="G122" s="9"/>
      <c r="H122" s="10"/>
      <c r="I122" s="9"/>
      <c r="J122" s="10"/>
      <c r="K122" s="8"/>
      <c r="L122" s="8"/>
      <c r="M122" s="10"/>
      <c r="N122" s="10"/>
      <c r="O122" s="10"/>
    </row>
    <row r="123" spans="1:15" x14ac:dyDescent="0.25">
      <c r="A123" s="7"/>
      <c r="B123" s="7"/>
      <c r="C123" s="7"/>
      <c r="D123" s="11">
        <v>121</v>
      </c>
      <c r="E123" s="8"/>
      <c r="F123" s="8"/>
      <c r="G123" s="9"/>
      <c r="H123" s="10"/>
      <c r="I123" s="9"/>
      <c r="J123" s="10"/>
      <c r="K123" s="8"/>
      <c r="L123" s="8"/>
      <c r="M123" s="10"/>
      <c r="N123" s="10"/>
      <c r="O123" s="10"/>
    </row>
    <row r="124" spans="1:15" x14ac:dyDescent="0.25">
      <c r="A124" s="7"/>
      <c r="B124" s="7"/>
      <c r="C124" s="7"/>
      <c r="D124" s="11">
        <v>122</v>
      </c>
      <c r="E124" s="8"/>
      <c r="F124" s="8"/>
      <c r="G124" s="9"/>
      <c r="H124" s="10"/>
      <c r="I124" s="9"/>
      <c r="J124" s="10"/>
      <c r="K124" s="8"/>
      <c r="L124" s="8"/>
      <c r="M124" s="10"/>
      <c r="N124" s="10"/>
      <c r="O124" s="10"/>
    </row>
    <row r="125" spans="1:15" x14ac:dyDescent="0.25">
      <c r="A125" s="7"/>
      <c r="B125" s="7"/>
      <c r="C125" s="7"/>
      <c r="D125" s="11">
        <v>123</v>
      </c>
      <c r="E125" s="8"/>
      <c r="F125" s="8"/>
      <c r="G125" s="9"/>
      <c r="H125" s="10"/>
      <c r="I125" s="9"/>
      <c r="J125" s="10"/>
      <c r="K125" s="8"/>
      <c r="L125" s="8"/>
      <c r="M125" s="10"/>
      <c r="N125" s="10"/>
      <c r="O125" s="10"/>
    </row>
    <row r="126" spans="1:15" x14ac:dyDescent="0.25">
      <c r="A126" s="7"/>
      <c r="B126" s="7"/>
      <c r="C126" s="7"/>
      <c r="D126" s="11">
        <v>124</v>
      </c>
      <c r="E126" s="8"/>
      <c r="F126" s="8"/>
      <c r="G126" s="9"/>
      <c r="H126" s="10"/>
      <c r="I126" s="9"/>
      <c r="J126" s="10"/>
      <c r="K126" s="8"/>
      <c r="L126" s="8"/>
      <c r="M126" s="10"/>
      <c r="N126" s="10"/>
      <c r="O126" s="10"/>
    </row>
    <row r="127" spans="1:15" x14ac:dyDescent="0.25">
      <c r="A127" s="7"/>
      <c r="B127" s="7"/>
      <c r="C127" s="7"/>
      <c r="D127" s="11">
        <v>125</v>
      </c>
      <c r="E127" s="8"/>
      <c r="F127" s="8"/>
      <c r="G127" s="9"/>
      <c r="H127" s="10"/>
      <c r="I127" s="9"/>
      <c r="J127" s="10"/>
      <c r="K127" s="8"/>
      <c r="L127" s="8"/>
      <c r="M127" s="10"/>
      <c r="N127" s="10"/>
      <c r="O127" s="10"/>
    </row>
    <row r="128" spans="1:15" x14ac:dyDescent="0.25">
      <c r="A128" s="7"/>
      <c r="B128" s="7"/>
      <c r="C128" s="7"/>
      <c r="D128" s="11">
        <v>126</v>
      </c>
      <c r="E128" s="8"/>
      <c r="F128" s="8"/>
      <c r="G128" s="9"/>
      <c r="H128" s="10"/>
      <c r="I128" s="9"/>
      <c r="J128" s="10"/>
      <c r="K128" s="8"/>
      <c r="L128" s="8"/>
      <c r="M128" s="10"/>
      <c r="N128" s="10"/>
      <c r="O128" s="10"/>
    </row>
    <row r="129" spans="1:15" x14ac:dyDescent="0.25">
      <c r="A129" s="7"/>
      <c r="B129" s="7"/>
      <c r="C129" s="7"/>
      <c r="D129" s="11">
        <v>127</v>
      </c>
      <c r="E129" s="8"/>
      <c r="F129" s="8"/>
      <c r="G129" s="9"/>
      <c r="H129" s="10"/>
      <c r="I129" s="9"/>
      <c r="J129" s="10"/>
      <c r="K129" s="8"/>
      <c r="L129" s="8"/>
      <c r="M129" s="10"/>
      <c r="N129" s="10"/>
      <c r="O129" s="10"/>
    </row>
    <row r="130" spans="1:15" x14ac:dyDescent="0.25">
      <c r="A130" s="7"/>
      <c r="B130" s="7"/>
      <c r="C130" s="7"/>
      <c r="D130" s="11">
        <v>128</v>
      </c>
      <c r="E130" s="8"/>
      <c r="F130" s="8"/>
      <c r="G130" s="9"/>
      <c r="H130" s="10"/>
      <c r="I130" s="9"/>
      <c r="J130" s="10"/>
      <c r="K130" s="8"/>
      <c r="L130" s="8"/>
      <c r="M130" s="10"/>
      <c r="N130" s="10"/>
      <c r="O130" s="10"/>
    </row>
    <row r="131" spans="1:15" x14ac:dyDescent="0.25">
      <c r="A131" s="7"/>
      <c r="B131" s="7"/>
      <c r="C131" s="7"/>
      <c r="D131" s="11">
        <v>129</v>
      </c>
      <c r="E131" s="8"/>
      <c r="F131" s="8"/>
      <c r="G131" s="9"/>
      <c r="H131" s="10"/>
      <c r="I131" s="9"/>
      <c r="J131" s="10"/>
      <c r="K131" s="8"/>
      <c r="L131" s="8"/>
      <c r="M131" s="10"/>
      <c r="N131" s="10"/>
      <c r="O131" s="10"/>
    </row>
    <row r="132" spans="1:15" x14ac:dyDescent="0.25">
      <c r="A132" s="7"/>
      <c r="B132" s="7"/>
      <c r="C132" s="7"/>
      <c r="D132" s="11">
        <v>130</v>
      </c>
      <c r="E132" s="8"/>
      <c r="F132" s="8"/>
      <c r="G132" s="9"/>
      <c r="H132" s="10"/>
      <c r="I132" s="9"/>
      <c r="J132" s="10"/>
      <c r="K132" s="8"/>
      <c r="L132" s="8"/>
      <c r="M132" s="10"/>
      <c r="N132" s="10"/>
      <c r="O132" s="10"/>
    </row>
    <row r="133" spans="1:15" x14ac:dyDescent="0.25">
      <c r="A133" s="7"/>
      <c r="B133" s="7"/>
      <c r="C133" s="7"/>
      <c r="D133" s="11">
        <v>131</v>
      </c>
      <c r="E133" s="8"/>
      <c r="F133" s="8"/>
      <c r="G133" s="9"/>
      <c r="H133" s="10"/>
      <c r="I133" s="9"/>
      <c r="J133" s="10"/>
      <c r="K133" s="8"/>
      <c r="L133" s="8"/>
      <c r="M133" s="10"/>
      <c r="N133" s="10"/>
      <c r="O133" s="10"/>
    </row>
    <row r="134" spans="1:15" x14ac:dyDescent="0.25">
      <c r="A134" s="7"/>
      <c r="B134" s="7"/>
      <c r="C134" s="7"/>
      <c r="D134" s="11">
        <v>132</v>
      </c>
      <c r="E134" s="8"/>
      <c r="F134" s="8"/>
      <c r="G134" s="9"/>
      <c r="H134" s="10"/>
      <c r="I134" s="9"/>
      <c r="J134" s="10"/>
      <c r="K134" s="8"/>
      <c r="L134" s="8"/>
      <c r="M134" s="10"/>
      <c r="N134" s="10"/>
      <c r="O134" s="10"/>
    </row>
    <row r="135" spans="1:15" x14ac:dyDescent="0.25">
      <c r="A135" s="7"/>
      <c r="B135" s="7"/>
      <c r="C135" s="7"/>
      <c r="D135" s="11">
        <v>133</v>
      </c>
      <c r="E135" s="8"/>
      <c r="F135" s="8"/>
      <c r="G135" s="9"/>
      <c r="H135" s="10"/>
      <c r="I135" s="9"/>
      <c r="J135" s="10"/>
      <c r="K135" s="8"/>
      <c r="L135" s="8"/>
      <c r="M135" s="10"/>
      <c r="N135" s="10"/>
      <c r="O135" s="10"/>
    </row>
    <row r="136" spans="1:15" x14ac:dyDescent="0.25">
      <c r="A136" s="7"/>
      <c r="B136" s="7"/>
      <c r="C136" s="7"/>
      <c r="D136" s="11">
        <v>134</v>
      </c>
      <c r="E136" s="8"/>
      <c r="F136" s="8"/>
      <c r="G136" s="9"/>
      <c r="H136" s="10"/>
      <c r="I136" s="9"/>
      <c r="J136" s="10"/>
      <c r="K136" s="8"/>
      <c r="L136" s="8"/>
      <c r="M136" s="10"/>
      <c r="N136" s="10"/>
      <c r="O136" s="10"/>
    </row>
    <row r="137" spans="1:15" x14ac:dyDescent="0.25">
      <c r="A137" s="7"/>
      <c r="B137" s="7"/>
      <c r="C137" s="7"/>
      <c r="D137" s="11">
        <v>135</v>
      </c>
      <c r="E137" s="8"/>
      <c r="F137" s="8"/>
      <c r="G137" s="9"/>
      <c r="H137" s="10"/>
      <c r="I137" s="9"/>
      <c r="J137" s="10"/>
      <c r="K137" s="8"/>
      <c r="L137" s="8"/>
      <c r="M137" s="10"/>
      <c r="N137" s="10"/>
      <c r="O137" s="10"/>
    </row>
    <row r="138" spans="1:15" x14ac:dyDescent="0.25">
      <c r="A138" s="7"/>
      <c r="B138" s="7"/>
      <c r="C138" s="7"/>
      <c r="D138" s="11">
        <v>136</v>
      </c>
      <c r="E138" s="8"/>
      <c r="F138" s="8"/>
      <c r="G138" s="9"/>
      <c r="H138" s="10"/>
      <c r="I138" s="9"/>
      <c r="J138" s="10"/>
      <c r="K138" s="8"/>
      <c r="L138" s="8"/>
      <c r="M138" s="10"/>
      <c r="N138" s="10"/>
      <c r="O138" s="10"/>
    </row>
    <row r="139" spans="1:15" x14ac:dyDescent="0.25">
      <c r="A139" s="7"/>
      <c r="B139" s="7"/>
      <c r="C139" s="7"/>
      <c r="D139" s="11">
        <v>137</v>
      </c>
      <c r="E139" s="8"/>
      <c r="F139" s="8"/>
      <c r="G139" s="9"/>
      <c r="H139" s="10"/>
      <c r="I139" s="9"/>
      <c r="J139" s="10"/>
      <c r="K139" s="8"/>
      <c r="L139" s="8"/>
      <c r="M139" s="10"/>
      <c r="N139" s="10"/>
      <c r="O139" s="10"/>
    </row>
    <row r="140" spans="1:15" x14ac:dyDescent="0.25">
      <c r="A140" s="7"/>
      <c r="B140" s="7"/>
      <c r="C140" s="7"/>
      <c r="D140" s="11">
        <v>138</v>
      </c>
      <c r="E140" s="8"/>
      <c r="F140" s="8"/>
      <c r="G140" s="9"/>
      <c r="H140" s="10"/>
      <c r="I140" s="9"/>
      <c r="J140" s="10"/>
      <c r="K140" s="8"/>
      <c r="L140" s="8"/>
      <c r="M140" s="10"/>
      <c r="N140" s="10"/>
      <c r="O140" s="10"/>
    </row>
    <row r="141" spans="1:15" x14ac:dyDescent="0.25">
      <c r="A141" s="7"/>
      <c r="B141" s="7"/>
      <c r="C141" s="7"/>
      <c r="D141" s="11">
        <v>139</v>
      </c>
      <c r="E141" s="8"/>
      <c r="F141" s="8"/>
      <c r="G141" s="9"/>
      <c r="H141" s="10"/>
      <c r="I141" s="9"/>
      <c r="J141" s="10"/>
      <c r="K141" s="8"/>
      <c r="L141" s="8"/>
      <c r="M141" s="10"/>
      <c r="N141" s="10"/>
      <c r="O141" s="10"/>
    </row>
    <row r="142" spans="1:15" x14ac:dyDescent="0.25">
      <c r="A142" s="7"/>
      <c r="B142" s="7"/>
      <c r="C142" s="7"/>
      <c r="D142" s="11">
        <v>140</v>
      </c>
      <c r="E142" s="8"/>
      <c r="F142" s="8"/>
      <c r="G142" s="9"/>
      <c r="H142" s="10"/>
      <c r="I142" s="9"/>
      <c r="J142" s="10"/>
      <c r="K142" s="8"/>
      <c r="L142" s="8"/>
      <c r="M142" s="10"/>
      <c r="N142" s="10"/>
      <c r="O142" s="10"/>
    </row>
    <row r="143" spans="1:15" x14ac:dyDescent="0.25">
      <c r="A143" s="7"/>
      <c r="B143" s="7"/>
      <c r="C143" s="7"/>
      <c r="D143" s="11">
        <v>141</v>
      </c>
      <c r="E143" s="8"/>
      <c r="F143" s="8"/>
      <c r="G143" s="9"/>
      <c r="H143" s="10"/>
      <c r="I143" s="9"/>
      <c r="J143" s="10"/>
      <c r="K143" s="8"/>
      <c r="L143" s="8"/>
      <c r="M143" s="10"/>
      <c r="N143" s="10"/>
      <c r="O143" s="10"/>
    </row>
    <row r="144" spans="1:15" x14ac:dyDescent="0.25">
      <c r="A144" s="7"/>
      <c r="B144" s="7"/>
      <c r="C144" s="7"/>
      <c r="D144" s="11">
        <v>142</v>
      </c>
      <c r="E144" s="8"/>
      <c r="F144" s="8"/>
      <c r="G144" s="9"/>
      <c r="H144" s="10"/>
      <c r="I144" s="9"/>
      <c r="J144" s="10"/>
      <c r="K144" s="8"/>
      <c r="L144" s="8"/>
      <c r="M144" s="10"/>
      <c r="N144" s="10"/>
      <c r="O144" s="10"/>
    </row>
    <row r="145" spans="1:15" x14ac:dyDescent="0.25">
      <c r="A145" s="7"/>
      <c r="B145" s="7"/>
      <c r="C145" s="7"/>
      <c r="D145" s="11">
        <v>143</v>
      </c>
      <c r="E145" s="8"/>
      <c r="F145" s="8"/>
      <c r="G145" s="9"/>
      <c r="H145" s="10"/>
      <c r="I145" s="9"/>
      <c r="J145" s="10"/>
      <c r="K145" s="8"/>
      <c r="L145" s="8"/>
      <c r="M145" s="10"/>
      <c r="N145" s="10"/>
      <c r="O145" s="10"/>
    </row>
    <row r="146" spans="1:15" x14ac:dyDescent="0.25">
      <c r="A146" s="7"/>
      <c r="B146" s="7"/>
      <c r="C146" s="7"/>
      <c r="D146" s="11">
        <v>144</v>
      </c>
      <c r="E146" s="8"/>
      <c r="F146" s="8"/>
      <c r="G146" s="9"/>
      <c r="H146" s="10"/>
      <c r="I146" s="9"/>
      <c r="J146" s="10"/>
      <c r="K146" s="8"/>
      <c r="L146" s="8"/>
      <c r="M146" s="10"/>
      <c r="N146" s="10"/>
      <c r="O146" s="10"/>
    </row>
    <row r="147" spans="1:15" x14ac:dyDescent="0.25">
      <c r="A147" s="7"/>
      <c r="B147" s="7"/>
      <c r="C147" s="7"/>
      <c r="D147" s="11">
        <v>145</v>
      </c>
      <c r="E147" s="8"/>
      <c r="F147" s="8"/>
      <c r="G147" s="9"/>
      <c r="H147" s="10"/>
      <c r="I147" s="9"/>
      <c r="J147" s="10"/>
      <c r="K147" s="8"/>
      <c r="L147" s="8"/>
      <c r="M147" s="10"/>
      <c r="N147" s="10"/>
      <c r="O147" s="10"/>
    </row>
    <row r="148" spans="1:15" x14ac:dyDescent="0.25">
      <c r="A148" s="7"/>
      <c r="B148" s="7"/>
      <c r="C148" s="7"/>
      <c r="D148" s="11">
        <v>146</v>
      </c>
      <c r="E148" s="8"/>
      <c r="F148" s="8"/>
      <c r="G148" s="9"/>
      <c r="H148" s="10"/>
      <c r="I148" s="9"/>
      <c r="J148" s="10"/>
      <c r="K148" s="8"/>
      <c r="L148" s="8"/>
      <c r="M148" s="10"/>
      <c r="N148" s="10"/>
      <c r="O148" s="10"/>
    </row>
    <row r="149" spans="1:15" x14ac:dyDescent="0.25">
      <c r="A149" s="7"/>
      <c r="B149" s="7"/>
      <c r="C149" s="7"/>
      <c r="D149" s="11">
        <v>147</v>
      </c>
      <c r="E149" s="8"/>
      <c r="F149" s="8"/>
      <c r="G149" s="9"/>
      <c r="H149" s="10"/>
      <c r="I149" s="9"/>
      <c r="J149" s="10"/>
      <c r="K149" s="8"/>
      <c r="L149" s="8"/>
      <c r="M149" s="10"/>
      <c r="N149" s="10"/>
      <c r="O149" s="10"/>
    </row>
    <row r="150" spans="1:15" x14ac:dyDescent="0.25">
      <c r="A150" s="7"/>
      <c r="B150" s="7"/>
      <c r="C150" s="7"/>
      <c r="D150" s="11">
        <v>148</v>
      </c>
      <c r="E150" s="8"/>
      <c r="F150" s="8"/>
      <c r="G150" s="9"/>
      <c r="H150" s="10"/>
      <c r="I150" s="9"/>
      <c r="J150" s="10"/>
      <c r="K150" s="8"/>
      <c r="L150" s="8"/>
      <c r="M150" s="10"/>
      <c r="N150" s="10"/>
      <c r="O150" s="10"/>
    </row>
    <row r="151" spans="1:15" x14ac:dyDescent="0.25">
      <c r="A151" s="7"/>
      <c r="B151" s="7"/>
      <c r="C151" s="7"/>
      <c r="D151" s="11">
        <v>149</v>
      </c>
      <c r="E151" s="8"/>
      <c r="F151" s="8"/>
      <c r="G151" s="9"/>
      <c r="H151" s="10"/>
      <c r="I151" s="9"/>
      <c r="J151" s="10"/>
      <c r="K151" s="8"/>
      <c r="L151" s="8"/>
      <c r="M151" s="10"/>
      <c r="N151" s="10"/>
      <c r="O151" s="10"/>
    </row>
    <row r="152" spans="1:15" x14ac:dyDescent="0.25">
      <c r="A152" s="7"/>
      <c r="B152" s="7"/>
      <c r="C152" s="7"/>
      <c r="D152" s="11">
        <v>150</v>
      </c>
      <c r="E152" s="8"/>
      <c r="F152" s="8"/>
      <c r="G152" s="9"/>
      <c r="H152" s="10"/>
      <c r="I152" s="9"/>
      <c r="J152" s="10"/>
      <c r="K152" s="8"/>
      <c r="L152" s="8"/>
      <c r="M152" s="10"/>
      <c r="N152" s="10"/>
      <c r="O152" s="10"/>
    </row>
    <row r="153" spans="1:15" x14ac:dyDescent="0.25">
      <c r="A153" s="7"/>
      <c r="B153" s="7"/>
      <c r="C153" s="7"/>
      <c r="D153" s="11">
        <v>151</v>
      </c>
      <c r="E153" s="8"/>
      <c r="F153" s="8"/>
      <c r="G153" s="9"/>
      <c r="H153" s="10"/>
      <c r="I153" s="9"/>
      <c r="J153" s="10"/>
      <c r="K153" s="8"/>
      <c r="L153" s="8"/>
      <c r="M153" s="10"/>
      <c r="N153" s="10"/>
      <c r="O153" s="10"/>
    </row>
    <row r="154" spans="1:15" x14ac:dyDescent="0.25">
      <c r="A154" s="7"/>
      <c r="B154" s="7"/>
      <c r="C154" s="7"/>
      <c r="D154" s="11">
        <v>152</v>
      </c>
      <c r="E154" s="8"/>
      <c r="F154" s="8"/>
      <c r="G154" s="9"/>
      <c r="H154" s="10"/>
      <c r="I154" s="9"/>
      <c r="J154" s="10"/>
      <c r="K154" s="8"/>
      <c r="L154" s="8"/>
      <c r="M154" s="10"/>
      <c r="N154" s="10"/>
      <c r="O154" s="10"/>
    </row>
    <row r="155" spans="1:15" x14ac:dyDescent="0.25">
      <c r="A155" s="7"/>
      <c r="B155" s="7"/>
      <c r="C155" s="7"/>
      <c r="D155" s="11">
        <v>153</v>
      </c>
      <c r="E155" s="8"/>
      <c r="F155" s="8"/>
      <c r="G155" s="9"/>
      <c r="H155" s="10"/>
      <c r="I155" s="9"/>
      <c r="J155" s="10"/>
      <c r="K155" s="8"/>
      <c r="L155" s="8"/>
      <c r="M155" s="10"/>
      <c r="N155" s="10"/>
      <c r="O155" s="10"/>
    </row>
    <row r="156" spans="1:15" x14ac:dyDescent="0.25">
      <c r="A156" s="7"/>
      <c r="B156" s="7"/>
      <c r="C156" s="7"/>
      <c r="D156" s="11">
        <v>154</v>
      </c>
      <c r="E156" s="8"/>
      <c r="F156" s="8"/>
      <c r="G156" s="9"/>
      <c r="H156" s="10"/>
      <c r="I156" s="9"/>
      <c r="J156" s="10"/>
      <c r="K156" s="8"/>
      <c r="L156" s="8"/>
      <c r="M156" s="10"/>
      <c r="N156" s="10"/>
      <c r="O156" s="10"/>
    </row>
    <row r="157" spans="1:15" x14ac:dyDescent="0.25">
      <c r="A157" s="7"/>
      <c r="B157" s="7"/>
      <c r="C157" s="7"/>
      <c r="D157" s="11">
        <v>155</v>
      </c>
      <c r="E157" s="8"/>
      <c r="F157" s="8"/>
      <c r="G157" s="9"/>
      <c r="H157" s="10"/>
      <c r="I157" s="9"/>
      <c r="J157" s="10"/>
      <c r="K157" s="8"/>
      <c r="L157" s="8"/>
      <c r="M157" s="10"/>
      <c r="N157" s="10"/>
      <c r="O157" s="10"/>
    </row>
    <row r="158" spans="1:15" x14ac:dyDescent="0.25">
      <c r="A158" s="7"/>
      <c r="B158" s="7"/>
      <c r="C158" s="7"/>
      <c r="D158" s="11">
        <v>156</v>
      </c>
      <c r="E158" s="8"/>
      <c r="F158" s="8"/>
      <c r="G158" s="9"/>
      <c r="H158" s="10"/>
      <c r="I158" s="9"/>
      <c r="J158" s="10"/>
      <c r="K158" s="8"/>
      <c r="L158" s="8"/>
      <c r="M158" s="10"/>
      <c r="N158" s="10"/>
      <c r="O158" s="10"/>
    </row>
    <row r="159" spans="1:15" x14ac:dyDescent="0.25">
      <c r="A159" s="7"/>
      <c r="B159" s="7"/>
      <c r="C159" s="7"/>
      <c r="D159" s="11">
        <v>157</v>
      </c>
      <c r="E159" s="8"/>
      <c r="F159" s="8"/>
      <c r="G159" s="9"/>
      <c r="H159" s="10"/>
      <c r="I159" s="9"/>
      <c r="J159" s="10"/>
      <c r="K159" s="8"/>
      <c r="L159" s="8"/>
      <c r="M159" s="10"/>
      <c r="N159" s="10"/>
      <c r="O159" s="10"/>
    </row>
    <row r="160" spans="1:15" x14ac:dyDescent="0.25">
      <c r="A160" s="7"/>
      <c r="B160" s="7"/>
      <c r="C160" s="7"/>
      <c r="D160" s="11">
        <v>158</v>
      </c>
      <c r="E160" s="8"/>
      <c r="F160" s="8"/>
      <c r="G160" s="9"/>
      <c r="H160" s="10"/>
      <c r="I160" s="9"/>
      <c r="J160" s="10"/>
      <c r="K160" s="8"/>
      <c r="L160" s="8"/>
      <c r="M160" s="10"/>
      <c r="N160" s="10"/>
      <c r="O160" s="10"/>
    </row>
    <row r="161" spans="1:15" x14ac:dyDescent="0.25">
      <c r="A161" s="7"/>
      <c r="B161" s="7"/>
      <c r="C161" s="7"/>
      <c r="D161" s="11">
        <v>159</v>
      </c>
      <c r="E161" s="8"/>
      <c r="F161" s="8"/>
      <c r="G161" s="9"/>
      <c r="H161" s="10"/>
      <c r="I161" s="9"/>
      <c r="J161" s="10"/>
      <c r="K161" s="8"/>
      <c r="L161" s="8"/>
      <c r="M161" s="10"/>
      <c r="N161" s="10"/>
      <c r="O161" s="10"/>
    </row>
    <row r="162" spans="1:15" x14ac:dyDescent="0.25">
      <c r="A162" s="7"/>
      <c r="B162" s="7"/>
      <c r="C162" s="7"/>
      <c r="D162" s="11">
        <v>160</v>
      </c>
      <c r="E162" s="8"/>
      <c r="F162" s="8"/>
      <c r="G162" s="9"/>
      <c r="H162" s="10"/>
      <c r="I162" s="9"/>
      <c r="J162" s="10"/>
      <c r="K162" s="8"/>
      <c r="L162" s="8"/>
      <c r="M162" s="10"/>
      <c r="N162" s="10"/>
      <c r="O162" s="10"/>
    </row>
    <row r="163" spans="1:15" x14ac:dyDescent="0.25">
      <c r="A163" s="7"/>
      <c r="B163" s="7"/>
      <c r="C163" s="7"/>
      <c r="D163" s="11">
        <v>161</v>
      </c>
      <c r="E163" s="8"/>
      <c r="F163" s="8"/>
      <c r="G163" s="9"/>
      <c r="H163" s="10"/>
      <c r="I163" s="9"/>
      <c r="J163" s="10"/>
      <c r="K163" s="8"/>
      <c r="L163" s="8"/>
      <c r="M163" s="10"/>
      <c r="N163" s="10"/>
      <c r="O163" s="10"/>
    </row>
    <row r="164" spans="1:15" x14ac:dyDescent="0.25">
      <c r="A164" s="7"/>
      <c r="B164" s="7"/>
      <c r="C164" s="7"/>
      <c r="D164" s="11">
        <v>162</v>
      </c>
      <c r="E164" s="8"/>
      <c r="F164" s="8"/>
      <c r="G164" s="9"/>
      <c r="H164" s="10"/>
      <c r="I164" s="9"/>
      <c r="J164" s="10"/>
      <c r="K164" s="8"/>
      <c r="L164" s="8"/>
      <c r="M164" s="10"/>
      <c r="N164" s="10"/>
      <c r="O164" s="10"/>
    </row>
    <row r="165" spans="1:15" x14ac:dyDescent="0.25">
      <c r="A165" s="7"/>
      <c r="B165" s="7"/>
      <c r="C165" s="7"/>
      <c r="D165" s="11">
        <v>163</v>
      </c>
      <c r="E165" s="8"/>
      <c r="F165" s="8"/>
      <c r="G165" s="9"/>
      <c r="H165" s="10"/>
      <c r="I165" s="9"/>
      <c r="J165" s="10"/>
      <c r="K165" s="8"/>
      <c r="L165" s="8"/>
      <c r="M165" s="10"/>
      <c r="N165" s="10"/>
      <c r="O165" s="10"/>
    </row>
    <row r="166" spans="1:15" x14ac:dyDescent="0.25">
      <c r="A166" s="7"/>
      <c r="B166" s="7"/>
      <c r="C166" s="7"/>
      <c r="D166" s="11">
        <v>164</v>
      </c>
      <c r="E166" s="8"/>
      <c r="F166" s="8"/>
      <c r="G166" s="9"/>
      <c r="H166" s="10"/>
      <c r="I166" s="9"/>
      <c r="J166" s="10"/>
      <c r="K166" s="8"/>
      <c r="L166" s="8"/>
      <c r="M166" s="10"/>
      <c r="N166" s="10"/>
      <c r="O166" s="10"/>
    </row>
    <row r="167" spans="1:15" x14ac:dyDescent="0.25">
      <c r="A167" s="7"/>
      <c r="B167" s="7"/>
      <c r="C167" s="7"/>
      <c r="D167" s="11">
        <v>165</v>
      </c>
      <c r="E167" s="8"/>
      <c r="F167" s="8"/>
      <c r="G167" s="9"/>
      <c r="H167" s="10"/>
      <c r="I167" s="9"/>
      <c r="J167" s="10"/>
      <c r="K167" s="8"/>
      <c r="L167" s="8"/>
      <c r="M167" s="10"/>
      <c r="N167" s="10"/>
      <c r="O167" s="10"/>
    </row>
    <row r="168" spans="1:15" x14ac:dyDescent="0.25">
      <c r="A168" s="7"/>
      <c r="B168" s="7"/>
      <c r="C168" s="7"/>
      <c r="D168" s="11">
        <v>166</v>
      </c>
      <c r="E168" s="8"/>
      <c r="F168" s="8"/>
      <c r="G168" s="9"/>
      <c r="H168" s="10"/>
      <c r="I168" s="9"/>
      <c r="J168" s="10"/>
      <c r="K168" s="8"/>
      <c r="L168" s="8"/>
      <c r="M168" s="10"/>
      <c r="N168" s="10"/>
      <c r="O168" s="10"/>
    </row>
    <row r="169" spans="1:15" x14ac:dyDescent="0.25">
      <c r="A169" s="7"/>
      <c r="B169" s="7"/>
      <c r="C169" s="7"/>
      <c r="D169" s="11">
        <v>167</v>
      </c>
      <c r="E169" s="8"/>
      <c r="F169" s="8"/>
      <c r="G169" s="9"/>
      <c r="H169" s="10"/>
      <c r="I169" s="9"/>
      <c r="J169" s="10"/>
      <c r="K169" s="8"/>
      <c r="L169" s="8"/>
      <c r="M169" s="10"/>
      <c r="N169" s="10"/>
      <c r="O169" s="10"/>
    </row>
    <row r="170" spans="1:15" x14ac:dyDescent="0.25">
      <c r="A170" s="7"/>
      <c r="B170" s="7"/>
      <c r="C170" s="7"/>
      <c r="D170" s="11">
        <v>168</v>
      </c>
      <c r="E170" s="8"/>
      <c r="F170" s="8"/>
      <c r="G170" s="9"/>
      <c r="H170" s="10"/>
      <c r="I170" s="9"/>
      <c r="J170" s="10"/>
      <c r="K170" s="8"/>
      <c r="L170" s="8"/>
      <c r="M170" s="10"/>
      <c r="N170" s="10"/>
      <c r="O170" s="10"/>
    </row>
    <row r="171" spans="1:15" x14ac:dyDescent="0.25">
      <c r="A171" s="7"/>
      <c r="B171" s="7"/>
      <c r="C171" s="7"/>
      <c r="D171" s="11">
        <v>169</v>
      </c>
      <c r="E171" s="8"/>
      <c r="F171" s="8"/>
      <c r="G171" s="9"/>
      <c r="H171" s="10"/>
      <c r="I171" s="9"/>
      <c r="J171" s="10"/>
      <c r="K171" s="8"/>
      <c r="L171" s="8"/>
      <c r="M171" s="10"/>
      <c r="N171" s="10"/>
      <c r="O171" s="10"/>
    </row>
    <row r="172" spans="1:15" x14ac:dyDescent="0.25">
      <c r="A172" s="7"/>
      <c r="B172" s="7"/>
      <c r="C172" s="7"/>
      <c r="D172" s="11">
        <v>170</v>
      </c>
      <c r="E172" s="8"/>
      <c r="F172" s="8"/>
      <c r="G172" s="9"/>
      <c r="H172" s="10"/>
      <c r="I172" s="9"/>
      <c r="J172" s="10"/>
      <c r="K172" s="8"/>
      <c r="L172" s="8"/>
      <c r="M172" s="10"/>
      <c r="N172" s="10"/>
      <c r="O172" s="10"/>
    </row>
    <row r="173" spans="1:15" x14ac:dyDescent="0.25">
      <c r="A173" s="7"/>
      <c r="B173" s="7"/>
      <c r="C173" s="7"/>
      <c r="D173" s="11">
        <v>171</v>
      </c>
      <c r="E173" s="8"/>
      <c r="F173" s="8"/>
      <c r="G173" s="9"/>
      <c r="H173" s="10"/>
      <c r="I173" s="9"/>
      <c r="J173" s="10"/>
      <c r="K173" s="8"/>
      <c r="L173" s="8"/>
      <c r="M173" s="10"/>
      <c r="N173" s="10"/>
      <c r="O173" s="10"/>
    </row>
    <row r="174" spans="1:15" x14ac:dyDescent="0.25">
      <c r="A174" s="7"/>
      <c r="B174" s="7"/>
      <c r="C174" s="7"/>
      <c r="D174" s="11">
        <v>172</v>
      </c>
      <c r="E174" s="8"/>
      <c r="F174" s="8"/>
      <c r="G174" s="9"/>
      <c r="H174" s="10"/>
      <c r="I174" s="9"/>
      <c r="J174" s="10"/>
      <c r="K174" s="8"/>
      <c r="L174" s="8"/>
      <c r="M174" s="10"/>
      <c r="N174" s="10"/>
      <c r="O174" s="10"/>
    </row>
    <row r="175" spans="1:15" x14ac:dyDescent="0.25">
      <c r="A175" s="7"/>
      <c r="B175" s="7"/>
      <c r="C175" s="7"/>
      <c r="D175" s="11">
        <v>173</v>
      </c>
      <c r="E175" s="8"/>
      <c r="F175" s="8"/>
      <c r="G175" s="9"/>
      <c r="H175" s="10"/>
      <c r="I175" s="9"/>
      <c r="J175" s="10"/>
      <c r="K175" s="8"/>
      <c r="L175" s="8"/>
      <c r="M175" s="10"/>
      <c r="N175" s="10"/>
      <c r="O175" s="10"/>
    </row>
    <row r="176" spans="1:15" x14ac:dyDescent="0.25">
      <c r="A176" s="7"/>
      <c r="B176" s="7"/>
      <c r="C176" s="7"/>
      <c r="D176" s="11">
        <v>174</v>
      </c>
      <c r="E176" s="8"/>
      <c r="F176" s="8"/>
      <c r="G176" s="9"/>
      <c r="H176" s="10"/>
      <c r="I176" s="9"/>
      <c r="J176" s="10"/>
      <c r="K176" s="8"/>
      <c r="L176" s="8"/>
      <c r="M176" s="10"/>
      <c r="N176" s="10"/>
      <c r="O176" s="10"/>
    </row>
    <row r="177" spans="1:15" x14ac:dyDescent="0.25">
      <c r="A177" s="7"/>
      <c r="B177" s="7"/>
      <c r="C177" s="7"/>
      <c r="D177" s="11">
        <v>175</v>
      </c>
      <c r="E177" s="8"/>
      <c r="F177" s="8"/>
      <c r="G177" s="9"/>
      <c r="H177" s="10"/>
      <c r="I177" s="9"/>
      <c r="J177" s="10"/>
      <c r="K177" s="8"/>
      <c r="L177" s="8"/>
      <c r="M177" s="10"/>
      <c r="N177" s="10"/>
      <c r="O177" s="10"/>
    </row>
    <row r="178" spans="1:15" x14ac:dyDescent="0.25">
      <c r="A178" s="7"/>
      <c r="B178" s="7"/>
      <c r="C178" s="7"/>
      <c r="D178" s="11">
        <v>176</v>
      </c>
      <c r="E178" s="8"/>
      <c r="F178" s="8"/>
      <c r="G178" s="9"/>
      <c r="H178" s="10"/>
      <c r="I178" s="9"/>
      <c r="J178" s="10"/>
      <c r="K178" s="8"/>
      <c r="L178" s="8"/>
      <c r="M178" s="10"/>
      <c r="N178" s="10"/>
      <c r="O178" s="10"/>
    </row>
    <row r="179" spans="1:15" x14ac:dyDescent="0.25">
      <c r="A179" s="7"/>
      <c r="B179" s="7"/>
      <c r="C179" s="7"/>
      <c r="D179" s="11">
        <v>177</v>
      </c>
      <c r="E179" s="8"/>
      <c r="F179" s="8"/>
      <c r="G179" s="9"/>
      <c r="H179" s="10"/>
      <c r="I179" s="9"/>
      <c r="J179" s="10"/>
      <c r="K179" s="8"/>
      <c r="L179" s="8"/>
      <c r="M179" s="10"/>
      <c r="N179" s="10"/>
      <c r="O179" s="10"/>
    </row>
    <row r="180" spans="1:15" x14ac:dyDescent="0.25">
      <c r="A180" s="7"/>
      <c r="B180" s="7"/>
      <c r="C180" s="7"/>
      <c r="D180" s="11">
        <v>178</v>
      </c>
      <c r="E180" s="8"/>
      <c r="F180" s="8"/>
      <c r="G180" s="9"/>
      <c r="H180" s="10"/>
      <c r="I180" s="9"/>
      <c r="J180" s="10"/>
      <c r="K180" s="8"/>
      <c r="L180" s="8"/>
      <c r="M180" s="10"/>
      <c r="N180" s="10"/>
      <c r="O180" s="10"/>
    </row>
    <row r="181" spans="1:15" x14ac:dyDescent="0.25">
      <c r="A181" s="7"/>
      <c r="B181" s="7"/>
      <c r="C181" s="7"/>
      <c r="D181" s="11">
        <v>179</v>
      </c>
      <c r="E181" s="8"/>
      <c r="F181" s="8"/>
      <c r="G181" s="9"/>
      <c r="H181" s="10"/>
      <c r="I181" s="9"/>
      <c r="J181" s="10"/>
      <c r="K181" s="8"/>
      <c r="L181" s="8"/>
      <c r="M181" s="10"/>
      <c r="N181" s="10"/>
      <c r="O181" s="10"/>
    </row>
    <row r="182" spans="1:15" x14ac:dyDescent="0.25">
      <c r="A182" s="7"/>
      <c r="B182" s="7"/>
      <c r="C182" s="7"/>
      <c r="D182" s="11">
        <v>180</v>
      </c>
      <c r="E182" s="8"/>
      <c r="F182" s="8"/>
      <c r="G182" s="9"/>
      <c r="H182" s="10"/>
      <c r="I182" s="9"/>
      <c r="J182" s="10"/>
      <c r="K182" s="8"/>
      <c r="L182" s="8"/>
      <c r="M182" s="10"/>
      <c r="N182" s="10"/>
      <c r="O182" s="10"/>
    </row>
    <row r="183" spans="1:15" x14ac:dyDescent="0.25">
      <c r="A183" s="7"/>
      <c r="B183" s="7"/>
      <c r="C183" s="7"/>
      <c r="D183" s="11">
        <v>181</v>
      </c>
      <c r="E183" s="8"/>
      <c r="F183" s="8"/>
      <c r="G183" s="9"/>
      <c r="H183" s="10"/>
      <c r="I183" s="9"/>
      <c r="J183" s="10"/>
      <c r="K183" s="8"/>
      <c r="L183" s="8"/>
      <c r="M183" s="10"/>
      <c r="N183" s="10"/>
      <c r="O183" s="10"/>
    </row>
    <row r="184" spans="1:15" x14ac:dyDescent="0.25">
      <c r="A184" s="7"/>
      <c r="B184" s="7"/>
      <c r="C184" s="7"/>
      <c r="D184" s="11">
        <v>182</v>
      </c>
      <c r="E184" s="8"/>
      <c r="F184" s="8"/>
      <c r="G184" s="9"/>
      <c r="H184" s="10"/>
      <c r="I184" s="9"/>
      <c r="J184" s="10"/>
      <c r="K184" s="8"/>
      <c r="L184" s="8"/>
      <c r="M184" s="10"/>
      <c r="N184" s="10"/>
      <c r="O184" s="10"/>
    </row>
    <row r="185" spans="1:15" x14ac:dyDescent="0.25">
      <c r="A185" s="7"/>
      <c r="B185" s="7"/>
      <c r="C185" s="7"/>
      <c r="D185" s="11">
        <v>183</v>
      </c>
      <c r="E185" s="8"/>
      <c r="F185" s="8"/>
      <c r="G185" s="9"/>
      <c r="H185" s="10"/>
      <c r="I185" s="9"/>
      <c r="J185" s="10"/>
      <c r="K185" s="8"/>
      <c r="L185" s="8"/>
      <c r="M185" s="10"/>
      <c r="N185" s="10"/>
      <c r="O185" s="10"/>
    </row>
    <row r="186" spans="1:15" x14ac:dyDescent="0.25">
      <c r="A186" s="7"/>
      <c r="B186" s="7"/>
      <c r="C186" s="7"/>
      <c r="D186" s="11">
        <v>184</v>
      </c>
      <c r="E186" s="8"/>
      <c r="F186" s="8"/>
      <c r="G186" s="9"/>
      <c r="H186" s="10"/>
      <c r="I186" s="9"/>
      <c r="J186" s="10"/>
      <c r="K186" s="8"/>
      <c r="L186" s="8"/>
      <c r="M186" s="10"/>
      <c r="N186" s="10"/>
      <c r="O186" s="10"/>
    </row>
    <row r="187" spans="1:15" x14ac:dyDescent="0.25">
      <c r="A187" s="7"/>
      <c r="B187" s="7"/>
      <c r="C187" s="7"/>
      <c r="D187" s="11">
        <v>185</v>
      </c>
      <c r="E187" s="8"/>
      <c r="F187" s="8"/>
      <c r="G187" s="9"/>
      <c r="H187" s="10"/>
      <c r="I187" s="9"/>
      <c r="J187" s="10"/>
      <c r="K187" s="8"/>
      <c r="L187" s="8"/>
      <c r="M187" s="10"/>
      <c r="N187" s="10"/>
      <c r="O187" s="10"/>
    </row>
    <row r="188" spans="1:15" x14ac:dyDescent="0.25">
      <c r="A188" s="7"/>
      <c r="B188" s="7"/>
      <c r="C188" s="7"/>
      <c r="D188" s="11">
        <v>186</v>
      </c>
      <c r="E188" s="8"/>
      <c r="F188" s="8"/>
      <c r="G188" s="9"/>
      <c r="H188" s="10"/>
      <c r="I188" s="9"/>
      <c r="J188" s="10"/>
      <c r="K188" s="8"/>
      <c r="L188" s="8"/>
      <c r="M188" s="10"/>
      <c r="N188" s="10"/>
      <c r="O188" s="10"/>
    </row>
    <row r="189" spans="1:15" x14ac:dyDescent="0.25">
      <c r="A189" s="7"/>
      <c r="B189" s="7"/>
      <c r="C189" s="7"/>
      <c r="D189" s="11">
        <v>187</v>
      </c>
      <c r="E189" s="8"/>
      <c r="F189" s="8"/>
      <c r="G189" s="9"/>
      <c r="H189" s="10"/>
      <c r="I189" s="9"/>
      <c r="J189" s="10"/>
      <c r="K189" s="8"/>
      <c r="L189" s="8"/>
      <c r="M189" s="10"/>
      <c r="N189" s="10"/>
      <c r="O189" s="10"/>
    </row>
    <row r="190" spans="1:15" x14ac:dyDescent="0.25">
      <c r="A190" s="7"/>
      <c r="B190" s="7"/>
      <c r="C190" s="7"/>
      <c r="D190" s="11">
        <v>188</v>
      </c>
      <c r="E190" s="8"/>
      <c r="F190" s="8"/>
      <c r="G190" s="9"/>
      <c r="H190" s="10"/>
      <c r="I190" s="9"/>
      <c r="J190" s="10"/>
      <c r="K190" s="8"/>
      <c r="L190" s="8"/>
      <c r="M190" s="10"/>
      <c r="N190" s="10"/>
      <c r="O190" s="10"/>
    </row>
    <row r="191" spans="1:15" x14ac:dyDescent="0.25">
      <c r="A191" s="7"/>
      <c r="B191" s="7"/>
      <c r="C191" s="7"/>
      <c r="D191" s="11">
        <v>189</v>
      </c>
      <c r="E191" s="8"/>
      <c r="F191" s="8"/>
      <c r="G191" s="9"/>
      <c r="H191" s="10"/>
      <c r="I191" s="9"/>
      <c r="J191" s="10"/>
      <c r="K191" s="8"/>
      <c r="L191" s="8"/>
      <c r="M191" s="10"/>
      <c r="N191" s="10"/>
      <c r="O191" s="10"/>
    </row>
    <row r="192" spans="1:15" x14ac:dyDescent="0.25">
      <c r="A192" s="7"/>
      <c r="B192" s="7"/>
      <c r="C192" s="7"/>
      <c r="D192" s="11">
        <v>190</v>
      </c>
      <c r="E192" s="8"/>
      <c r="F192" s="8"/>
      <c r="G192" s="9"/>
      <c r="H192" s="10"/>
      <c r="I192" s="9"/>
      <c r="J192" s="10"/>
      <c r="K192" s="8"/>
      <c r="L192" s="8"/>
      <c r="M192" s="10"/>
      <c r="N192" s="10"/>
      <c r="O192" s="10"/>
    </row>
    <row r="193" spans="1:15" x14ac:dyDescent="0.25">
      <c r="A193" s="7"/>
      <c r="B193" s="7"/>
      <c r="C193" s="7"/>
      <c r="D193" s="11">
        <v>191</v>
      </c>
      <c r="E193" s="8"/>
      <c r="F193" s="8"/>
      <c r="G193" s="9"/>
      <c r="H193" s="10"/>
      <c r="I193" s="9"/>
      <c r="J193" s="10"/>
      <c r="K193" s="8"/>
      <c r="L193" s="8"/>
      <c r="M193" s="10"/>
      <c r="N193" s="10"/>
      <c r="O193" s="10"/>
    </row>
    <row r="194" spans="1:15" x14ac:dyDescent="0.25">
      <c r="A194" s="7"/>
      <c r="B194" s="7"/>
      <c r="C194" s="7"/>
      <c r="D194" s="11">
        <v>192</v>
      </c>
      <c r="E194" s="8"/>
      <c r="F194" s="8"/>
      <c r="G194" s="9"/>
      <c r="H194" s="10"/>
      <c r="I194" s="9"/>
      <c r="J194" s="10"/>
      <c r="K194" s="8"/>
      <c r="L194" s="8"/>
      <c r="M194" s="10"/>
      <c r="N194" s="10"/>
      <c r="O194" s="10"/>
    </row>
    <row r="195" spans="1:15" x14ac:dyDescent="0.25">
      <c r="A195" s="7"/>
      <c r="B195" s="7"/>
      <c r="C195" s="7"/>
      <c r="D195" s="11">
        <v>193</v>
      </c>
      <c r="E195" s="8"/>
      <c r="F195" s="8"/>
      <c r="G195" s="9"/>
      <c r="H195" s="10"/>
      <c r="I195" s="9"/>
      <c r="J195" s="10"/>
      <c r="K195" s="8"/>
      <c r="L195" s="8"/>
      <c r="M195" s="10"/>
      <c r="N195" s="10"/>
      <c r="O195" s="10"/>
    </row>
    <row r="196" spans="1:15" x14ac:dyDescent="0.25">
      <c r="A196" s="7"/>
      <c r="B196" s="7"/>
      <c r="C196" s="7"/>
      <c r="D196" s="11">
        <v>194</v>
      </c>
      <c r="E196" s="8"/>
      <c r="F196" s="8"/>
      <c r="G196" s="9"/>
      <c r="H196" s="10"/>
      <c r="I196" s="9"/>
      <c r="J196" s="10"/>
      <c r="K196" s="8"/>
      <c r="L196" s="8"/>
      <c r="M196" s="10"/>
      <c r="N196" s="10"/>
      <c r="O196" s="10"/>
    </row>
    <row r="197" spans="1:15" x14ac:dyDescent="0.25">
      <c r="A197" s="7"/>
      <c r="B197" s="7"/>
      <c r="C197" s="7"/>
      <c r="D197" s="11">
        <v>195</v>
      </c>
      <c r="E197" s="8"/>
      <c r="F197" s="8"/>
      <c r="G197" s="9"/>
      <c r="H197" s="10"/>
      <c r="I197" s="9"/>
      <c r="J197" s="10"/>
      <c r="K197" s="8"/>
      <c r="L197" s="8"/>
      <c r="M197" s="10"/>
      <c r="N197" s="10"/>
      <c r="O197" s="10"/>
    </row>
    <row r="198" spans="1:15" x14ac:dyDescent="0.25">
      <c r="A198" s="7"/>
      <c r="B198" s="7"/>
      <c r="C198" s="7"/>
      <c r="D198" s="11">
        <v>196</v>
      </c>
      <c r="E198" s="8"/>
      <c r="F198" s="8"/>
      <c r="G198" s="9"/>
      <c r="H198" s="10"/>
      <c r="I198" s="9"/>
      <c r="J198" s="10"/>
      <c r="K198" s="8"/>
      <c r="L198" s="8"/>
      <c r="M198" s="10"/>
      <c r="N198" s="10"/>
      <c r="O198" s="10"/>
    </row>
    <row r="199" spans="1:15" x14ac:dyDescent="0.25">
      <c r="A199" s="7"/>
      <c r="B199" s="7"/>
      <c r="C199" s="7"/>
      <c r="D199" s="11">
        <v>197</v>
      </c>
      <c r="E199" s="8"/>
      <c r="F199" s="8"/>
      <c r="G199" s="9"/>
      <c r="H199" s="10"/>
      <c r="I199" s="9"/>
      <c r="J199" s="10"/>
      <c r="K199" s="8"/>
      <c r="L199" s="8"/>
      <c r="M199" s="10"/>
      <c r="N199" s="10"/>
      <c r="O199" s="10"/>
    </row>
    <row r="200" spans="1:15" x14ac:dyDescent="0.25">
      <c r="A200" s="7"/>
      <c r="B200" s="7"/>
      <c r="C200" s="7"/>
      <c r="D200" s="11">
        <v>198</v>
      </c>
      <c r="E200" s="8"/>
      <c r="F200" s="8"/>
      <c r="G200" s="9"/>
      <c r="H200" s="10"/>
      <c r="I200" s="9"/>
      <c r="J200" s="10"/>
      <c r="K200" s="8"/>
      <c r="L200" s="8"/>
      <c r="M200" s="10"/>
      <c r="N200" s="10"/>
      <c r="O200" s="10"/>
    </row>
    <row r="201" spans="1:15" x14ac:dyDescent="0.25">
      <c r="A201" s="7"/>
      <c r="B201" s="7"/>
      <c r="C201" s="7"/>
      <c r="D201" s="11">
        <v>199</v>
      </c>
      <c r="E201" s="8"/>
      <c r="F201" s="8"/>
      <c r="G201" s="9"/>
      <c r="H201" s="10"/>
      <c r="I201" s="9"/>
      <c r="J201" s="10"/>
      <c r="K201" s="8"/>
      <c r="L201" s="8"/>
      <c r="M201" s="10"/>
      <c r="N201" s="10"/>
      <c r="O201" s="10"/>
    </row>
    <row r="202" spans="1:15" x14ac:dyDescent="0.25">
      <c r="A202" s="7"/>
      <c r="B202" s="7"/>
      <c r="C202" s="7"/>
      <c r="D202" s="11">
        <v>200</v>
      </c>
      <c r="E202" s="8"/>
      <c r="F202" s="8"/>
      <c r="G202" s="9"/>
      <c r="H202" s="10"/>
      <c r="I202" s="9"/>
      <c r="J202" s="10"/>
      <c r="K202" s="8"/>
      <c r="L202" s="8"/>
      <c r="M202" s="10"/>
      <c r="N202" s="10"/>
      <c r="O202" s="10"/>
    </row>
    <row r="203" spans="1:15" x14ac:dyDescent="0.25">
      <c r="A203" s="7"/>
      <c r="B203" s="7"/>
      <c r="C203" s="7"/>
      <c r="D203" s="11">
        <v>201</v>
      </c>
      <c r="E203" s="8"/>
      <c r="F203" s="8"/>
      <c r="G203" s="9"/>
      <c r="H203" s="10"/>
      <c r="I203" s="9"/>
      <c r="J203" s="10"/>
      <c r="K203" s="8"/>
      <c r="L203" s="8"/>
      <c r="M203" s="10"/>
      <c r="N203" s="10"/>
      <c r="O203" s="10"/>
    </row>
    <row r="204" spans="1:15" x14ac:dyDescent="0.25">
      <c r="A204" s="7"/>
      <c r="B204" s="7"/>
      <c r="C204" s="7"/>
      <c r="D204" s="11">
        <v>202</v>
      </c>
      <c r="E204" s="8"/>
      <c r="F204" s="8"/>
      <c r="G204" s="9"/>
      <c r="H204" s="10"/>
      <c r="I204" s="9"/>
      <c r="J204" s="10"/>
      <c r="K204" s="8"/>
      <c r="L204" s="8"/>
      <c r="M204" s="10"/>
      <c r="N204" s="10"/>
      <c r="O204" s="10"/>
    </row>
    <row r="205" spans="1:15" x14ac:dyDescent="0.25">
      <c r="A205" s="7"/>
      <c r="B205" s="7"/>
      <c r="C205" s="7"/>
      <c r="D205" s="11">
        <v>203</v>
      </c>
      <c r="E205" s="8"/>
      <c r="F205" s="8"/>
      <c r="G205" s="9"/>
      <c r="H205" s="10"/>
      <c r="I205" s="9"/>
      <c r="J205" s="10"/>
      <c r="K205" s="8"/>
      <c r="L205" s="8"/>
      <c r="M205" s="10"/>
      <c r="N205" s="10"/>
      <c r="O205" s="10"/>
    </row>
    <row r="206" spans="1:15" x14ac:dyDescent="0.25">
      <c r="A206" s="7"/>
      <c r="B206" s="7"/>
      <c r="C206" s="7"/>
      <c r="D206" s="11">
        <v>204</v>
      </c>
      <c r="E206" s="8"/>
      <c r="F206" s="8"/>
      <c r="G206" s="9"/>
      <c r="H206" s="10"/>
      <c r="I206" s="9"/>
      <c r="J206" s="10"/>
      <c r="K206" s="8"/>
      <c r="L206" s="8"/>
      <c r="M206" s="10"/>
      <c r="N206" s="10"/>
      <c r="O206" s="10"/>
    </row>
    <row r="207" spans="1:15" x14ac:dyDescent="0.25">
      <c r="A207" s="7"/>
      <c r="B207" s="7"/>
      <c r="C207" s="7"/>
      <c r="D207" s="11">
        <v>205</v>
      </c>
      <c r="E207" s="8"/>
      <c r="F207" s="8"/>
      <c r="G207" s="9"/>
      <c r="H207" s="10"/>
      <c r="I207" s="9"/>
      <c r="J207" s="10"/>
      <c r="K207" s="8"/>
      <c r="L207" s="8"/>
      <c r="M207" s="10"/>
      <c r="N207" s="10"/>
      <c r="O207" s="10"/>
    </row>
    <row r="208" spans="1:15" x14ac:dyDescent="0.25">
      <c r="A208" s="7"/>
      <c r="B208" s="7"/>
      <c r="C208" s="7"/>
      <c r="D208" s="11">
        <v>206</v>
      </c>
      <c r="E208" s="8"/>
      <c r="F208" s="8"/>
      <c r="G208" s="9"/>
      <c r="H208" s="10"/>
      <c r="I208" s="9"/>
      <c r="J208" s="10"/>
      <c r="K208" s="8"/>
      <c r="L208" s="8"/>
      <c r="M208" s="10"/>
      <c r="N208" s="10"/>
      <c r="O208" s="10"/>
    </row>
    <row r="209" spans="1:15" x14ac:dyDescent="0.25">
      <c r="A209" s="7"/>
      <c r="B209" s="7"/>
      <c r="C209" s="7"/>
      <c r="D209" s="11">
        <v>207</v>
      </c>
      <c r="E209" s="8"/>
      <c r="F209" s="8"/>
      <c r="G209" s="9"/>
      <c r="H209" s="10"/>
      <c r="I209" s="9"/>
      <c r="J209" s="10"/>
      <c r="K209" s="8"/>
      <c r="L209" s="8"/>
      <c r="M209" s="10"/>
      <c r="N209" s="10"/>
      <c r="O209" s="10"/>
    </row>
    <row r="210" spans="1:15" x14ac:dyDescent="0.25">
      <c r="A210" s="7"/>
      <c r="B210" s="7"/>
      <c r="C210" s="7"/>
      <c r="D210" s="11">
        <v>208</v>
      </c>
      <c r="E210" s="8"/>
      <c r="F210" s="8"/>
      <c r="G210" s="9"/>
      <c r="H210" s="10"/>
      <c r="I210" s="9"/>
      <c r="J210" s="10"/>
      <c r="K210" s="8"/>
      <c r="L210" s="8"/>
      <c r="M210" s="10"/>
      <c r="N210" s="10"/>
      <c r="O210" s="10"/>
    </row>
    <row r="211" spans="1:15" x14ac:dyDescent="0.25">
      <c r="A211" s="7"/>
      <c r="B211" s="7"/>
      <c r="C211" s="7"/>
      <c r="D211" s="11">
        <v>209</v>
      </c>
      <c r="E211" s="8"/>
      <c r="F211" s="8"/>
      <c r="G211" s="9"/>
      <c r="H211" s="10"/>
      <c r="I211" s="9"/>
      <c r="J211" s="10"/>
      <c r="K211" s="8"/>
      <c r="L211" s="8"/>
      <c r="M211" s="10"/>
      <c r="N211" s="10"/>
      <c r="O211" s="10"/>
    </row>
    <row r="212" spans="1:15" x14ac:dyDescent="0.25">
      <c r="A212" s="7"/>
      <c r="B212" s="7"/>
      <c r="C212" s="7"/>
      <c r="D212" s="11">
        <v>210</v>
      </c>
      <c r="E212" s="8"/>
      <c r="F212" s="8"/>
      <c r="G212" s="9"/>
      <c r="H212" s="10"/>
      <c r="I212" s="9"/>
      <c r="J212" s="10"/>
      <c r="K212" s="8"/>
      <c r="L212" s="8"/>
      <c r="M212" s="10"/>
      <c r="N212" s="10"/>
      <c r="O212" s="10"/>
    </row>
    <row r="213" spans="1:15" x14ac:dyDescent="0.25">
      <c r="A213" s="7"/>
      <c r="B213" s="7"/>
      <c r="C213" s="7"/>
      <c r="D213" s="11">
        <v>211</v>
      </c>
      <c r="E213" s="8"/>
      <c r="F213" s="8"/>
      <c r="G213" s="9"/>
      <c r="H213" s="10"/>
      <c r="I213" s="9"/>
      <c r="J213" s="10"/>
      <c r="K213" s="8"/>
      <c r="L213" s="8"/>
      <c r="M213" s="10"/>
      <c r="N213" s="10"/>
      <c r="O213" s="10"/>
    </row>
    <row r="214" spans="1:15" x14ac:dyDescent="0.25">
      <c r="A214" s="7"/>
      <c r="B214" s="7"/>
      <c r="C214" s="7"/>
      <c r="D214" s="11">
        <v>212</v>
      </c>
      <c r="E214" s="8"/>
      <c r="F214" s="8"/>
      <c r="G214" s="9"/>
      <c r="H214" s="10"/>
      <c r="I214" s="9"/>
      <c r="J214" s="10"/>
      <c r="K214" s="8"/>
      <c r="L214" s="8"/>
      <c r="M214" s="10"/>
      <c r="N214" s="10"/>
      <c r="O214" s="10"/>
    </row>
    <row r="215" spans="1:15" x14ac:dyDescent="0.25">
      <c r="A215" s="7"/>
      <c r="B215" s="7"/>
      <c r="C215" s="7"/>
      <c r="D215" s="11">
        <v>213</v>
      </c>
      <c r="E215" s="8"/>
      <c r="F215" s="8"/>
      <c r="G215" s="9"/>
      <c r="H215" s="10"/>
      <c r="I215" s="9"/>
      <c r="J215" s="10"/>
      <c r="K215" s="8"/>
      <c r="L215" s="8"/>
      <c r="M215" s="10"/>
      <c r="N215" s="10"/>
      <c r="O215" s="10"/>
    </row>
    <row r="216" spans="1:15" x14ac:dyDescent="0.25">
      <c r="A216" s="7"/>
      <c r="B216" s="7"/>
      <c r="C216" s="7"/>
      <c r="D216" s="11">
        <v>214</v>
      </c>
      <c r="E216" s="8"/>
      <c r="F216" s="8"/>
      <c r="G216" s="9"/>
      <c r="H216" s="10"/>
      <c r="I216" s="9"/>
      <c r="J216" s="10"/>
      <c r="K216" s="8"/>
      <c r="L216" s="8"/>
      <c r="M216" s="10"/>
      <c r="N216" s="10"/>
      <c r="O216" s="10"/>
    </row>
    <row r="217" spans="1:15" x14ac:dyDescent="0.25">
      <c r="A217" s="7"/>
      <c r="B217" s="7"/>
      <c r="C217" s="7"/>
      <c r="D217" s="11">
        <v>215</v>
      </c>
      <c r="E217" s="8"/>
      <c r="F217" s="8"/>
      <c r="G217" s="9"/>
      <c r="H217" s="10"/>
      <c r="I217" s="9"/>
      <c r="J217" s="10"/>
      <c r="K217" s="8"/>
      <c r="L217" s="8"/>
      <c r="M217" s="10"/>
      <c r="N217" s="10"/>
      <c r="O217" s="10"/>
    </row>
    <row r="218" spans="1:15" x14ac:dyDescent="0.25">
      <c r="A218" s="7"/>
      <c r="B218" s="7"/>
      <c r="C218" s="7"/>
      <c r="D218" s="11">
        <v>216</v>
      </c>
      <c r="E218" s="8"/>
      <c r="F218" s="8"/>
      <c r="G218" s="9"/>
      <c r="H218" s="10"/>
      <c r="I218" s="9"/>
      <c r="J218" s="10"/>
      <c r="K218" s="8"/>
      <c r="L218" s="8"/>
      <c r="M218" s="10"/>
      <c r="N218" s="10"/>
      <c r="O218" s="10"/>
    </row>
    <row r="219" spans="1:15" x14ac:dyDescent="0.25">
      <c r="A219" s="7"/>
      <c r="B219" s="7"/>
      <c r="C219" s="7"/>
      <c r="D219" s="11">
        <v>217</v>
      </c>
      <c r="E219" s="8"/>
      <c r="F219" s="8"/>
      <c r="G219" s="9"/>
      <c r="H219" s="10"/>
      <c r="I219" s="9"/>
      <c r="J219" s="10"/>
      <c r="K219" s="8"/>
      <c r="L219" s="8"/>
      <c r="M219" s="10"/>
      <c r="N219" s="10"/>
      <c r="O219" s="10"/>
    </row>
    <row r="220" spans="1:15" x14ac:dyDescent="0.25">
      <c r="A220" s="7"/>
      <c r="B220" s="7"/>
      <c r="C220" s="7"/>
      <c r="D220" s="11">
        <v>218</v>
      </c>
      <c r="E220" s="8"/>
      <c r="F220" s="8"/>
      <c r="G220" s="9"/>
      <c r="H220" s="10"/>
      <c r="I220" s="9"/>
      <c r="J220" s="10"/>
      <c r="K220" s="8"/>
      <c r="L220" s="8"/>
      <c r="M220" s="10"/>
      <c r="N220" s="10"/>
      <c r="O220" s="10"/>
    </row>
    <row r="221" spans="1:15" x14ac:dyDescent="0.25">
      <c r="A221" s="7"/>
      <c r="B221" s="7"/>
      <c r="C221" s="7"/>
      <c r="D221" s="11">
        <v>219</v>
      </c>
      <c r="E221" s="8"/>
      <c r="F221" s="8"/>
      <c r="G221" s="9"/>
      <c r="H221" s="10"/>
      <c r="I221" s="9"/>
      <c r="J221" s="10"/>
      <c r="K221" s="8"/>
      <c r="L221" s="8"/>
      <c r="M221" s="10"/>
      <c r="N221" s="10"/>
      <c r="O221" s="10"/>
    </row>
    <row r="222" spans="1:15" x14ac:dyDescent="0.25">
      <c r="A222" s="7"/>
      <c r="B222" s="7"/>
      <c r="C222" s="7"/>
      <c r="D222" s="11">
        <v>220</v>
      </c>
      <c r="E222" s="8"/>
      <c r="F222" s="8"/>
      <c r="G222" s="9"/>
      <c r="H222" s="10"/>
      <c r="I222" s="9"/>
      <c r="J222" s="10"/>
      <c r="K222" s="8"/>
      <c r="L222" s="8"/>
      <c r="M222" s="10"/>
      <c r="N222" s="10"/>
      <c r="O222" s="10"/>
    </row>
    <row r="223" spans="1:15" x14ac:dyDescent="0.25">
      <c r="A223" s="7"/>
      <c r="B223" s="7"/>
      <c r="C223" s="7"/>
      <c r="D223" s="11">
        <v>221</v>
      </c>
      <c r="E223" s="8"/>
      <c r="F223" s="8"/>
      <c r="G223" s="9"/>
      <c r="H223" s="10"/>
      <c r="I223" s="9"/>
      <c r="J223" s="10"/>
      <c r="K223" s="8"/>
      <c r="L223" s="8"/>
      <c r="M223" s="10"/>
      <c r="N223" s="10"/>
      <c r="O223" s="10"/>
    </row>
    <row r="224" spans="1:15" x14ac:dyDescent="0.25">
      <c r="A224" s="7"/>
      <c r="B224" s="7"/>
      <c r="C224" s="7"/>
      <c r="D224" s="11">
        <v>222</v>
      </c>
      <c r="E224" s="8"/>
      <c r="F224" s="8"/>
      <c r="G224" s="9"/>
      <c r="H224" s="10"/>
      <c r="I224" s="9"/>
      <c r="J224" s="10"/>
      <c r="K224" s="8"/>
      <c r="L224" s="8"/>
      <c r="M224" s="10"/>
      <c r="N224" s="10"/>
      <c r="O224" s="10"/>
    </row>
    <row r="225" spans="1:15" x14ac:dyDescent="0.25">
      <c r="A225" s="7"/>
      <c r="B225" s="7"/>
      <c r="C225" s="7"/>
      <c r="D225" s="11">
        <v>223</v>
      </c>
      <c r="E225" s="8"/>
      <c r="F225" s="8"/>
      <c r="G225" s="9"/>
      <c r="H225" s="10"/>
      <c r="I225" s="9"/>
      <c r="J225" s="10"/>
      <c r="K225" s="8"/>
      <c r="L225" s="8"/>
      <c r="M225" s="10"/>
      <c r="N225" s="10"/>
      <c r="O225" s="10"/>
    </row>
    <row r="226" spans="1:15" x14ac:dyDescent="0.25">
      <c r="A226" s="7"/>
      <c r="B226" s="7"/>
      <c r="C226" s="7"/>
      <c r="D226" s="11">
        <v>224</v>
      </c>
      <c r="E226" s="8"/>
      <c r="F226" s="8"/>
      <c r="G226" s="9"/>
      <c r="H226" s="10"/>
      <c r="I226" s="9"/>
      <c r="J226" s="10"/>
      <c r="K226" s="8"/>
      <c r="L226" s="8"/>
      <c r="M226" s="10"/>
      <c r="N226" s="10"/>
      <c r="O226" s="10"/>
    </row>
    <row r="227" spans="1:15" x14ac:dyDescent="0.25">
      <c r="A227" s="7"/>
      <c r="B227" s="7"/>
      <c r="C227" s="7"/>
      <c r="D227" s="11">
        <v>225</v>
      </c>
      <c r="E227" s="8"/>
      <c r="F227" s="8"/>
      <c r="G227" s="9"/>
      <c r="H227" s="10"/>
      <c r="I227" s="9"/>
      <c r="J227" s="10"/>
      <c r="K227" s="8"/>
      <c r="L227" s="8"/>
      <c r="M227" s="10"/>
      <c r="N227" s="10"/>
      <c r="O227" s="10"/>
    </row>
    <row r="228" spans="1:15" x14ac:dyDescent="0.25">
      <c r="A228" s="7"/>
      <c r="B228" s="7"/>
      <c r="C228" s="7"/>
      <c r="D228" s="11">
        <v>226</v>
      </c>
      <c r="E228" s="8"/>
      <c r="F228" s="8"/>
      <c r="G228" s="9"/>
      <c r="H228" s="10"/>
      <c r="I228" s="9"/>
      <c r="J228" s="10"/>
      <c r="K228" s="8"/>
      <c r="L228" s="8"/>
      <c r="M228" s="10"/>
      <c r="N228" s="10"/>
      <c r="O228" s="10"/>
    </row>
    <row r="229" spans="1:15" x14ac:dyDescent="0.25">
      <c r="A229" s="7"/>
      <c r="B229" s="7"/>
      <c r="C229" s="7"/>
      <c r="D229" s="11">
        <v>227</v>
      </c>
      <c r="E229" s="8"/>
      <c r="F229" s="8"/>
      <c r="G229" s="9"/>
      <c r="H229" s="10"/>
      <c r="I229" s="9"/>
      <c r="J229" s="10"/>
      <c r="K229" s="8"/>
      <c r="L229" s="8"/>
      <c r="M229" s="10"/>
      <c r="N229" s="10"/>
      <c r="O229" s="10"/>
    </row>
    <row r="230" spans="1:15" x14ac:dyDescent="0.25">
      <c r="A230" s="7"/>
      <c r="B230" s="7"/>
      <c r="C230" s="7"/>
      <c r="D230" s="11">
        <v>228</v>
      </c>
      <c r="E230" s="8"/>
      <c r="F230" s="8"/>
      <c r="G230" s="9"/>
      <c r="H230" s="10"/>
      <c r="I230" s="9"/>
      <c r="J230" s="10"/>
      <c r="K230" s="8"/>
      <c r="L230" s="8"/>
      <c r="M230" s="10"/>
      <c r="N230" s="10"/>
      <c r="O230" s="10"/>
    </row>
    <row r="231" spans="1:15" x14ac:dyDescent="0.25">
      <c r="A231" s="7"/>
      <c r="B231" s="7"/>
      <c r="C231" s="7"/>
      <c r="D231" s="11">
        <v>229</v>
      </c>
      <c r="E231" s="8"/>
      <c r="F231" s="8"/>
      <c r="G231" s="9"/>
      <c r="H231" s="10"/>
      <c r="I231" s="9"/>
      <c r="J231" s="10"/>
      <c r="K231" s="8"/>
      <c r="L231" s="8"/>
      <c r="M231" s="10"/>
      <c r="N231" s="10"/>
      <c r="O231" s="10"/>
    </row>
    <row r="232" spans="1:15" x14ac:dyDescent="0.25">
      <c r="A232" s="7"/>
      <c r="B232" s="7"/>
      <c r="C232" s="7"/>
      <c r="D232" s="11">
        <v>230</v>
      </c>
      <c r="E232" s="8"/>
      <c r="F232" s="8"/>
      <c r="G232" s="9"/>
      <c r="H232" s="10"/>
      <c r="I232" s="9"/>
      <c r="J232" s="10"/>
      <c r="K232" s="8"/>
      <c r="L232" s="8"/>
      <c r="M232" s="10"/>
      <c r="N232" s="10"/>
      <c r="O232" s="10"/>
    </row>
    <row r="233" spans="1:15" x14ac:dyDescent="0.25">
      <c r="A233" s="7"/>
      <c r="B233" s="7"/>
      <c r="C233" s="7"/>
      <c r="D233" s="11">
        <v>231</v>
      </c>
      <c r="E233" s="8"/>
      <c r="F233" s="8"/>
      <c r="G233" s="9"/>
      <c r="H233" s="10"/>
      <c r="I233" s="9"/>
      <c r="J233" s="10"/>
      <c r="K233" s="8"/>
      <c r="L233" s="8"/>
      <c r="M233" s="10"/>
      <c r="N233" s="10"/>
      <c r="O233" s="10"/>
    </row>
    <row r="234" spans="1:15" x14ac:dyDescent="0.25">
      <c r="A234" s="7"/>
      <c r="B234" s="7"/>
      <c r="C234" s="7"/>
      <c r="D234" s="11">
        <v>232</v>
      </c>
      <c r="E234" s="8"/>
      <c r="F234" s="8"/>
      <c r="G234" s="9"/>
      <c r="H234" s="10"/>
      <c r="I234" s="9"/>
      <c r="J234" s="10"/>
      <c r="K234" s="8"/>
      <c r="L234" s="8"/>
      <c r="M234" s="10"/>
      <c r="N234" s="10"/>
      <c r="O234" s="10"/>
    </row>
    <row r="235" spans="1:15" x14ac:dyDescent="0.25">
      <c r="A235" s="7"/>
      <c r="B235" s="7"/>
      <c r="C235" s="7"/>
      <c r="D235" s="11">
        <v>233</v>
      </c>
      <c r="E235" s="8"/>
      <c r="F235" s="8"/>
      <c r="G235" s="9"/>
      <c r="H235" s="10"/>
      <c r="I235" s="9"/>
      <c r="J235" s="10"/>
      <c r="K235" s="8"/>
      <c r="L235" s="8"/>
      <c r="M235" s="10"/>
      <c r="N235" s="10"/>
      <c r="O235" s="10"/>
    </row>
    <row r="236" spans="1:15" x14ac:dyDescent="0.25">
      <c r="A236" s="7"/>
      <c r="B236" s="7"/>
      <c r="C236" s="7"/>
      <c r="D236" s="11">
        <v>234</v>
      </c>
      <c r="E236" s="8"/>
      <c r="F236" s="8"/>
      <c r="G236" s="9"/>
      <c r="H236" s="10"/>
      <c r="I236" s="9"/>
      <c r="J236" s="10"/>
      <c r="K236" s="8"/>
      <c r="L236" s="8"/>
      <c r="M236" s="10"/>
      <c r="N236" s="10"/>
      <c r="O236" s="10"/>
    </row>
    <row r="237" spans="1:15" x14ac:dyDescent="0.25">
      <c r="A237" s="7"/>
      <c r="B237" s="7"/>
      <c r="C237" s="7"/>
      <c r="D237" s="11">
        <v>235</v>
      </c>
      <c r="E237" s="8"/>
      <c r="F237" s="8"/>
      <c r="G237" s="9"/>
      <c r="H237" s="10"/>
      <c r="I237" s="9"/>
      <c r="J237" s="10"/>
      <c r="K237" s="8"/>
      <c r="L237" s="8"/>
      <c r="M237" s="10"/>
      <c r="N237" s="10"/>
      <c r="O237" s="10"/>
    </row>
    <row r="238" spans="1:15" x14ac:dyDescent="0.25">
      <c r="A238" s="7"/>
      <c r="B238" s="7"/>
      <c r="C238" s="7"/>
      <c r="D238" s="11">
        <v>236</v>
      </c>
      <c r="E238" s="8"/>
      <c r="F238" s="8"/>
      <c r="G238" s="9"/>
      <c r="H238" s="10"/>
      <c r="I238" s="9"/>
      <c r="J238" s="10"/>
      <c r="K238" s="8"/>
      <c r="L238" s="8"/>
      <c r="M238" s="10"/>
      <c r="N238" s="10"/>
      <c r="O238" s="10"/>
    </row>
    <row r="239" spans="1:15" x14ac:dyDescent="0.25">
      <c r="A239" s="7"/>
      <c r="B239" s="7"/>
      <c r="C239" s="7"/>
      <c r="D239" s="11">
        <v>237</v>
      </c>
      <c r="E239" s="8"/>
      <c r="F239" s="8"/>
      <c r="G239" s="9"/>
      <c r="H239" s="10"/>
      <c r="I239" s="9"/>
      <c r="J239" s="10"/>
      <c r="K239" s="8"/>
      <c r="L239" s="8"/>
      <c r="M239" s="10"/>
      <c r="N239" s="10"/>
      <c r="O239" s="10"/>
    </row>
    <row r="240" spans="1:15" x14ac:dyDescent="0.25">
      <c r="A240" s="7"/>
      <c r="B240" s="7"/>
      <c r="C240" s="7"/>
      <c r="D240" s="11">
        <v>238</v>
      </c>
      <c r="E240" s="8"/>
      <c r="F240" s="8"/>
      <c r="G240" s="9"/>
      <c r="H240" s="10"/>
      <c r="I240" s="9"/>
      <c r="J240" s="10"/>
      <c r="K240" s="8"/>
      <c r="L240" s="8"/>
      <c r="M240" s="10"/>
      <c r="N240" s="10"/>
      <c r="O240" s="10"/>
    </row>
    <row r="241" spans="1:15" x14ac:dyDescent="0.25">
      <c r="A241" s="7"/>
      <c r="B241" s="7"/>
      <c r="C241" s="7"/>
      <c r="D241" s="11">
        <v>239</v>
      </c>
      <c r="E241" s="8"/>
      <c r="F241" s="8"/>
      <c r="G241" s="9"/>
      <c r="H241" s="10"/>
      <c r="I241" s="9"/>
      <c r="J241" s="10"/>
      <c r="K241" s="8"/>
      <c r="L241" s="8"/>
      <c r="M241" s="10"/>
      <c r="N241" s="10"/>
      <c r="O241" s="10"/>
    </row>
    <row r="242" spans="1:15" x14ac:dyDescent="0.25">
      <c r="A242" s="7"/>
      <c r="B242" s="7"/>
      <c r="C242" s="7"/>
      <c r="D242" s="11">
        <v>240</v>
      </c>
      <c r="E242" s="8"/>
      <c r="F242" s="8"/>
      <c r="G242" s="9"/>
      <c r="H242" s="10"/>
      <c r="I242" s="9"/>
      <c r="J242" s="10"/>
      <c r="K242" s="8"/>
      <c r="L242" s="8"/>
      <c r="M242" s="10"/>
      <c r="N242" s="10"/>
      <c r="O242" s="10"/>
    </row>
    <row r="243" spans="1:15" x14ac:dyDescent="0.25">
      <c r="A243" s="7"/>
      <c r="B243" s="7"/>
      <c r="C243" s="7"/>
      <c r="D243" s="11">
        <v>241</v>
      </c>
      <c r="E243" s="8"/>
      <c r="F243" s="8"/>
      <c r="G243" s="9"/>
      <c r="H243" s="10"/>
      <c r="I243" s="9"/>
      <c r="J243" s="10"/>
      <c r="K243" s="8"/>
      <c r="L243" s="8"/>
      <c r="M243" s="10"/>
      <c r="N243" s="10"/>
      <c r="O243" s="10"/>
    </row>
    <row r="244" spans="1:15" x14ac:dyDescent="0.25">
      <c r="A244" s="7"/>
      <c r="B244" s="7"/>
      <c r="C244" s="7"/>
      <c r="D244" s="11">
        <v>242</v>
      </c>
      <c r="E244" s="8"/>
      <c r="F244" s="8"/>
      <c r="G244" s="9"/>
      <c r="H244" s="10"/>
      <c r="I244" s="9"/>
      <c r="J244" s="10"/>
      <c r="K244" s="8"/>
      <c r="L244" s="8"/>
      <c r="M244" s="10"/>
      <c r="N244" s="10"/>
      <c r="O244" s="10"/>
    </row>
    <row r="245" spans="1:15" x14ac:dyDescent="0.25">
      <c r="A245" s="7"/>
      <c r="B245" s="7"/>
      <c r="C245" s="7"/>
      <c r="D245" s="11">
        <v>243</v>
      </c>
      <c r="E245" s="8"/>
      <c r="F245" s="8"/>
      <c r="G245" s="9"/>
      <c r="H245" s="10"/>
      <c r="I245" s="9"/>
      <c r="J245" s="10"/>
      <c r="K245" s="8"/>
      <c r="L245" s="8"/>
      <c r="M245" s="10"/>
      <c r="N245" s="10"/>
      <c r="O245" s="10"/>
    </row>
    <row r="246" spans="1:15" x14ac:dyDescent="0.25">
      <c r="A246" s="7"/>
      <c r="B246" s="7"/>
      <c r="C246" s="7"/>
      <c r="D246" s="11">
        <v>244</v>
      </c>
      <c r="E246" s="8"/>
      <c r="F246" s="8"/>
      <c r="G246" s="9"/>
      <c r="H246" s="10"/>
      <c r="I246" s="9"/>
      <c r="J246" s="10"/>
      <c r="K246" s="8"/>
      <c r="L246" s="8"/>
      <c r="M246" s="10"/>
      <c r="N246" s="10"/>
      <c r="O246" s="10"/>
    </row>
    <row r="247" spans="1:15" x14ac:dyDescent="0.25">
      <c r="A247" s="7"/>
      <c r="B247" s="7"/>
      <c r="C247" s="7"/>
      <c r="D247" s="11">
        <v>245</v>
      </c>
      <c r="E247" s="8"/>
      <c r="F247" s="8"/>
      <c r="G247" s="9"/>
      <c r="H247" s="10"/>
      <c r="I247" s="9"/>
      <c r="J247" s="10"/>
      <c r="K247" s="8"/>
      <c r="L247" s="8"/>
      <c r="M247" s="10"/>
      <c r="N247" s="10"/>
      <c r="O247" s="10"/>
    </row>
    <row r="248" spans="1:15" x14ac:dyDescent="0.25">
      <c r="A248" s="7"/>
      <c r="B248" s="7"/>
      <c r="C248" s="7"/>
      <c r="D248" s="11">
        <v>246</v>
      </c>
      <c r="E248" s="8"/>
      <c r="F248" s="8"/>
      <c r="G248" s="9"/>
      <c r="H248" s="10"/>
      <c r="I248" s="9"/>
      <c r="J248" s="10"/>
      <c r="K248" s="8"/>
      <c r="L248" s="8"/>
      <c r="M248" s="10"/>
      <c r="N248" s="10"/>
      <c r="O248" s="10"/>
    </row>
    <row r="249" spans="1:15" x14ac:dyDescent="0.25">
      <c r="A249" s="7"/>
      <c r="B249" s="7"/>
      <c r="C249" s="7"/>
      <c r="D249" s="11">
        <v>247</v>
      </c>
      <c r="E249" s="8"/>
      <c r="F249" s="8"/>
      <c r="G249" s="9"/>
      <c r="H249" s="10"/>
      <c r="I249" s="9"/>
      <c r="J249" s="10"/>
      <c r="K249" s="8"/>
      <c r="L249" s="8"/>
      <c r="M249" s="10"/>
      <c r="N249" s="10"/>
      <c r="O249" s="10"/>
    </row>
    <row r="250" spans="1:15" x14ac:dyDescent="0.25">
      <c r="A250" s="7"/>
      <c r="B250" s="7"/>
      <c r="C250" s="7"/>
      <c r="D250" s="11">
        <v>248</v>
      </c>
      <c r="E250" s="8"/>
      <c r="F250" s="8"/>
      <c r="G250" s="9"/>
      <c r="H250" s="10"/>
      <c r="I250" s="9"/>
      <c r="J250" s="10"/>
      <c r="K250" s="8"/>
      <c r="L250" s="8"/>
      <c r="M250" s="10"/>
      <c r="N250" s="10"/>
      <c r="O250" s="10"/>
    </row>
    <row r="251" spans="1:15" x14ac:dyDescent="0.25">
      <c r="A251" s="7"/>
      <c r="B251" s="7"/>
      <c r="C251" s="7"/>
      <c r="D251" s="11">
        <v>249</v>
      </c>
      <c r="E251" s="8"/>
      <c r="F251" s="8"/>
      <c r="G251" s="9"/>
      <c r="H251" s="10"/>
      <c r="I251" s="9"/>
      <c r="J251" s="10"/>
      <c r="K251" s="8"/>
      <c r="L251" s="8"/>
      <c r="M251" s="10"/>
      <c r="N251" s="10"/>
      <c r="O251" s="10"/>
    </row>
    <row r="252" spans="1:15" x14ac:dyDescent="0.25">
      <c r="A252" s="7"/>
      <c r="B252" s="7"/>
      <c r="C252" s="7"/>
      <c r="D252" s="11">
        <v>250</v>
      </c>
      <c r="E252" s="8"/>
      <c r="F252" s="8"/>
      <c r="G252" s="9"/>
      <c r="H252" s="10"/>
      <c r="I252" s="9"/>
      <c r="J252" s="10"/>
      <c r="K252" s="8"/>
      <c r="L252" s="8"/>
      <c r="M252" s="10"/>
      <c r="N252" s="10"/>
      <c r="O252" s="10"/>
    </row>
    <row r="253" spans="1:15" x14ac:dyDescent="0.25">
      <c r="A253" s="7"/>
      <c r="B253" s="7"/>
      <c r="C253" s="7"/>
      <c r="D253" s="11">
        <v>251</v>
      </c>
      <c r="E253" s="8"/>
      <c r="F253" s="8"/>
      <c r="G253" s="9"/>
      <c r="H253" s="10"/>
      <c r="I253" s="9"/>
      <c r="J253" s="10"/>
      <c r="K253" s="8"/>
      <c r="L253" s="8"/>
      <c r="M253" s="10"/>
      <c r="N253" s="10"/>
      <c r="O253" s="10"/>
    </row>
    <row r="254" spans="1:15" x14ac:dyDescent="0.25">
      <c r="A254" s="7"/>
      <c r="B254" s="7"/>
      <c r="C254" s="7"/>
      <c r="D254" s="11">
        <v>252</v>
      </c>
      <c r="E254" s="8"/>
      <c r="F254" s="8"/>
      <c r="G254" s="9"/>
      <c r="H254" s="10"/>
      <c r="I254" s="9"/>
      <c r="J254" s="10"/>
      <c r="K254" s="8"/>
      <c r="L254" s="8"/>
      <c r="M254" s="10"/>
      <c r="N254" s="10"/>
      <c r="O254" s="10"/>
    </row>
    <row r="255" spans="1:15" x14ac:dyDescent="0.25">
      <c r="A255" s="7"/>
      <c r="B255" s="7"/>
      <c r="C255" s="7"/>
      <c r="D255" s="11">
        <v>253</v>
      </c>
      <c r="E255" s="8"/>
      <c r="F255" s="8"/>
      <c r="G255" s="9"/>
      <c r="H255" s="10"/>
      <c r="I255" s="9"/>
      <c r="J255" s="10"/>
      <c r="K255" s="8"/>
      <c r="L255" s="8"/>
      <c r="M255" s="10"/>
      <c r="N255" s="10"/>
      <c r="O255" s="10"/>
    </row>
    <row r="256" spans="1:15" x14ac:dyDescent="0.25">
      <c r="A256" s="7"/>
      <c r="B256" s="7"/>
      <c r="C256" s="7"/>
      <c r="D256" s="11">
        <v>254</v>
      </c>
      <c r="E256" s="8"/>
      <c r="F256" s="8"/>
      <c r="G256" s="9"/>
      <c r="H256" s="10"/>
      <c r="I256" s="9"/>
      <c r="J256" s="10"/>
      <c r="K256" s="8"/>
      <c r="L256" s="8"/>
      <c r="M256" s="10"/>
      <c r="N256" s="10"/>
      <c r="O256" s="10"/>
    </row>
    <row r="257" spans="1:15" x14ac:dyDescent="0.25">
      <c r="A257" s="7"/>
      <c r="B257" s="7"/>
      <c r="C257" s="7"/>
      <c r="D257" s="11">
        <v>255</v>
      </c>
      <c r="E257" s="8"/>
      <c r="F257" s="8"/>
      <c r="G257" s="9"/>
      <c r="H257" s="10"/>
      <c r="I257" s="9"/>
      <c r="J257" s="10"/>
      <c r="K257" s="8"/>
      <c r="L257" s="8"/>
      <c r="M257" s="10"/>
      <c r="N257" s="10"/>
      <c r="O257" s="10"/>
    </row>
    <row r="258" spans="1:15" x14ac:dyDescent="0.25">
      <c r="A258" s="7"/>
      <c r="B258" s="7"/>
      <c r="C258" s="7"/>
      <c r="D258" s="11">
        <v>256</v>
      </c>
      <c r="E258" s="8"/>
      <c r="F258" s="8"/>
      <c r="G258" s="9"/>
      <c r="H258" s="10"/>
      <c r="I258" s="9"/>
      <c r="J258" s="10"/>
      <c r="K258" s="8"/>
      <c r="L258" s="8"/>
      <c r="M258" s="10"/>
      <c r="N258" s="10"/>
      <c r="O258" s="10"/>
    </row>
    <row r="259" spans="1:15" x14ac:dyDescent="0.25">
      <c r="A259" s="7"/>
      <c r="B259" s="7"/>
      <c r="C259" s="7"/>
      <c r="D259" s="11">
        <v>257</v>
      </c>
      <c r="E259" s="8"/>
      <c r="F259" s="8"/>
      <c r="G259" s="9"/>
      <c r="H259" s="10"/>
      <c r="I259" s="9"/>
      <c r="J259" s="10"/>
      <c r="K259" s="8"/>
      <c r="L259" s="8"/>
      <c r="M259" s="10"/>
      <c r="N259" s="10"/>
      <c r="O259" s="10"/>
    </row>
    <row r="260" spans="1:15" x14ac:dyDescent="0.25">
      <c r="A260" s="7"/>
      <c r="B260" s="7"/>
      <c r="C260" s="7"/>
      <c r="D260" s="11">
        <v>258</v>
      </c>
      <c r="E260" s="8"/>
      <c r="F260" s="8"/>
      <c r="G260" s="9"/>
      <c r="H260" s="10"/>
      <c r="I260" s="9"/>
      <c r="J260" s="10"/>
      <c r="K260" s="8"/>
      <c r="L260" s="8"/>
      <c r="M260" s="10"/>
      <c r="N260" s="10"/>
      <c r="O260" s="10"/>
    </row>
    <row r="261" spans="1:15" x14ac:dyDescent="0.25">
      <c r="A261" s="7"/>
      <c r="B261" s="7"/>
      <c r="C261" s="7"/>
      <c r="D261" s="11">
        <v>259</v>
      </c>
      <c r="E261" s="8"/>
      <c r="F261" s="8"/>
      <c r="G261" s="9"/>
      <c r="H261" s="10"/>
      <c r="I261" s="9"/>
      <c r="J261" s="10"/>
      <c r="K261" s="8"/>
      <c r="L261" s="8"/>
      <c r="M261" s="10"/>
      <c r="N261" s="10"/>
      <c r="O261" s="10"/>
    </row>
    <row r="262" spans="1:15" x14ac:dyDescent="0.25">
      <c r="A262" s="7"/>
      <c r="B262" s="7"/>
      <c r="C262" s="7"/>
      <c r="D262" s="11">
        <v>260</v>
      </c>
      <c r="E262" s="8"/>
      <c r="F262" s="8"/>
      <c r="G262" s="9"/>
      <c r="H262" s="10"/>
      <c r="I262" s="9"/>
      <c r="J262" s="10"/>
      <c r="K262" s="8"/>
      <c r="L262" s="8"/>
      <c r="M262" s="10"/>
      <c r="N262" s="10"/>
      <c r="O262" s="10"/>
    </row>
    <row r="263" spans="1:15" x14ac:dyDescent="0.25">
      <c r="A263" s="7"/>
      <c r="B263" s="7"/>
      <c r="C263" s="7"/>
      <c r="D263" s="11">
        <v>261</v>
      </c>
      <c r="E263" s="8"/>
      <c r="F263" s="8"/>
      <c r="G263" s="9"/>
      <c r="H263" s="10"/>
      <c r="I263" s="9"/>
      <c r="J263" s="10"/>
      <c r="K263" s="8"/>
      <c r="L263" s="8"/>
      <c r="M263" s="10"/>
      <c r="N263" s="10"/>
      <c r="O263" s="10"/>
    </row>
    <row r="264" spans="1:15" x14ac:dyDescent="0.25">
      <c r="A264" s="7"/>
      <c r="B264" s="7"/>
      <c r="C264" s="7"/>
      <c r="D264" s="11">
        <v>262</v>
      </c>
      <c r="E264" s="8"/>
      <c r="F264" s="8"/>
      <c r="G264" s="9"/>
      <c r="H264" s="10"/>
      <c r="I264" s="9"/>
      <c r="J264" s="10"/>
      <c r="K264" s="8"/>
      <c r="L264" s="8"/>
      <c r="M264" s="10"/>
      <c r="N264" s="10"/>
      <c r="O264" s="10"/>
    </row>
    <row r="265" spans="1:15" x14ac:dyDescent="0.25">
      <c r="A265" s="7"/>
      <c r="B265" s="7"/>
      <c r="C265" s="7"/>
      <c r="D265" s="11">
        <v>263</v>
      </c>
      <c r="E265" s="8"/>
      <c r="F265" s="8"/>
      <c r="G265" s="9"/>
      <c r="H265" s="10"/>
      <c r="I265" s="9"/>
      <c r="J265" s="10"/>
      <c r="K265" s="8"/>
      <c r="L265" s="8"/>
      <c r="M265" s="10"/>
      <c r="N265" s="10"/>
      <c r="O265" s="10"/>
    </row>
    <row r="266" spans="1:15" x14ac:dyDescent="0.25">
      <c r="A266" s="7"/>
      <c r="B266" s="7"/>
      <c r="C266" s="7"/>
      <c r="D266" s="11">
        <v>264</v>
      </c>
      <c r="E266" s="8"/>
      <c r="F266" s="8"/>
      <c r="G266" s="9"/>
      <c r="H266" s="10"/>
      <c r="I266" s="9"/>
      <c r="J266" s="10"/>
      <c r="K266" s="8"/>
      <c r="L266" s="8"/>
      <c r="M266" s="10"/>
      <c r="N266" s="10"/>
      <c r="O266" s="10"/>
    </row>
    <row r="267" spans="1:15" x14ac:dyDescent="0.25">
      <c r="A267" s="7"/>
      <c r="B267" s="7"/>
      <c r="C267" s="7"/>
      <c r="D267" s="11">
        <v>265</v>
      </c>
      <c r="E267" s="8"/>
      <c r="F267" s="8"/>
      <c r="G267" s="9"/>
      <c r="H267" s="10"/>
      <c r="I267" s="9"/>
      <c r="J267" s="10"/>
      <c r="K267" s="8"/>
      <c r="L267" s="8"/>
      <c r="M267" s="10"/>
      <c r="N267" s="10"/>
      <c r="O267" s="10"/>
    </row>
    <row r="268" spans="1:15" x14ac:dyDescent="0.25">
      <c r="A268" s="7"/>
      <c r="B268" s="7"/>
      <c r="C268" s="7"/>
      <c r="D268" s="11">
        <v>266</v>
      </c>
      <c r="E268" s="8"/>
      <c r="F268" s="8"/>
      <c r="G268" s="9"/>
      <c r="H268" s="10"/>
      <c r="I268" s="9"/>
      <c r="J268" s="10"/>
      <c r="K268" s="8"/>
      <c r="L268" s="8"/>
      <c r="M268" s="10"/>
      <c r="N268" s="10"/>
      <c r="O268" s="10"/>
    </row>
    <row r="269" spans="1:15" x14ac:dyDescent="0.25">
      <c r="A269" s="7"/>
      <c r="B269" s="7"/>
      <c r="C269" s="7"/>
      <c r="D269" s="11">
        <v>267</v>
      </c>
      <c r="E269" s="8"/>
      <c r="F269" s="8"/>
      <c r="G269" s="9"/>
      <c r="H269" s="10"/>
      <c r="I269" s="9"/>
      <c r="J269" s="10"/>
      <c r="K269" s="8"/>
      <c r="L269" s="8"/>
      <c r="M269" s="10"/>
      <c r="N269" s="10"/>
      <c r="O269" s="10"/>
    </row>
    <row r="270" spans="1:15" x14ac:dyDescent="0.25">
      <c r="A270" s="7"/>
      <c r="B270" s="7"/>
      <c r="C270" s="7"/>
      <c r="D270" s="11">
        <v>268</v>
      </c>
      <c r="E270" s="8"/>
      <c r="F270" s="8"/>
      <c r="G270" s="9"/>
      <c r="H270" s="10"/>
      <c r="I270" s="9"/>
      <c r="J270" s="10"/>
      <c r="K270" s="8"/>
      <c r="L270" s="8"/>
      <c r="M270" s="10"/>
      <c r="N270" s="10"/>
      <c r="O270" s="10"/>
    </row>
    <row r="271" spans="1:15" x14ac:dyDescent="0.25">
      <c r="A271" s="7"/>
      <c r="B271" s="7"/>
      <c r="C271" s="7"/>
      <c r="D271" s="11">
        <v>269</v>
      </c>
      <c r="E271" s="8"/>
      <c r="F271" s="8"/>
      <c r="G271" s="9"/>
      <c r="H271" s="10"/>
      <c r="I271" s="9"/>
      <c r="J271" s="10"/>
      <c r="K271" s="8"/>
      <c r="L271" s="8"/>
      <c r="M271" s="10"/>
      <c r="N271" s="10"/>
      <c r="O271" s="10"/>
    </row>
    <row r="272" spans="1:15" x14ac:dyDescent="0.25">
      <c r="A272" s="7"/>
      <c r="B272" s="7"/>
      <c r="C272" s="7"/>
      <c r="D272" s="11">
        <v>270</v>
      </c>
      <c r="E272" s="8"/>
      <c r="F272" s="8"/>
      <c r="G272" s="9"/>
      <c r="H272" s="10"/>
      <c r="I272" s="9"/>
      <c r="J272" s="10"/>
      <c r="K272" s="8"/>
      <c r="L272" s="8"/>
      <c r="M272" s="10"/>
      <c r="N272" s="10"/>
      <c r="O272" s="10"/>
    </row>
    <row r="273" spans="1:15" x14ac:dyDescent="0.25">
      <c r="A273" s="7"/>
      <c r="B273" s="7"/>
      <c r="C273" s="7"/>
      <c r="D273" s="11">
        <v>271</v>
      </c>
      <c r="E273" s="8"/>
      <c r="F273" s="8"/>
      <c r="G273" s="9"/>
      <c r="H273" s="10"/>
      <c r="I273" s="9"/>
      <c r="J273" s="10"/>
      <c r="K273" s="8"/>
      <c r="L273" s="8"/>
      <c r="M273" s="10"/>
      <c r="N273" s="10"/>
      <c r="O273" s="10"/>
    </row>
    <row r="274" spans="1:15" x14ac:dyDescent="0.25">
      <c r="A274" s="7"/>
      <c r="B274" s="7"/>
      <c r="C274" s="7"/>
      <c r="D274" s="11">
        <v>272</v>
      </c>
      <c r="E274" s="8"/>
      <c r="F274" s="8"/>
      <c r="G274" s="9"/>
      <c r="H274" s="10"/>
      <c r="I274" s="9"/>
      <c r="J274" s="10"/>
      <c r="K274" s="8"/>
      <c r="L274" s="8"/>
      <c r="M274" s="10"/>
      <c r="N274" s="10"/>
      <c r="O274" s="10"/>
    </row>
    <row r="275" spans="1:15" x14ac:dyDescent="0.25">
      <c r="A275" s="7"/>
      <c r="B275" s="7"/>
      <c r="C275" s="7"/>
      <c r="D275" s="11">
        <v>273</v>
      </c>
      <c r="E275" s="8"/>
      <c r="F275" s="8"/>
      <c r="G275" s="9"/>
      <c r="H275" s="10"/>
      <c r="I275" s="9"/>
      <c r="J275" s="10"/>
      <c r="K275" s="8"/>
      <c r="L275" s="8"/>
      <c r="M275" s="10"/>
      <c r="N275" s="10"/>
      <c r="O275" s="10"/>
    </row>
    <row r="276" spans="1:15" x14ac:dyDescent="0.25">
      <c r="A276" s="7"/>
      <c r="B276" s="7"/>
      <c r="C276" s="7"/>
      <c r="D276" s="11">
        <v>274</v>
      </c>
      <c r="E276" s="8"/>
      <c r="F276" s="8"/>
      <c r="G276" s="9"/>
      <c r="H276" s="10"/>
      <c r="I276" s="9"/>
      <c r="J276" s="10"/>
      <c r="K276" s="8"/>
      <c r="L276" s="8"/>
      <c r="M276" s="10"/>
      <c r="N276" s="10"/>
      <c r="O276" s="10"/>
    </row>
    <row r="277" spans="1:15" x14ac:dyDescent="0.25">
      <c r="A277" s="7"/>
      <c r="B277" s="7"/>
      <c r="C277" s="7"/>
      <c r="D277" s="11">
        <v>275</v>
      </c>
      <c r="E277" s="8"/>
      <c r="F277" s="8"/>
      <c r="G277" s="9"/>
      <c r="H277" s="10"/>
      <c r="I277" s="9"/>
      <c r="J277" s="10"/>
      <c r="K277" s="8"/>
      <c r="L277" s="8"/>
      <c r="M277" s="10"/>
      <c r="N277" s="10"/>
      <c r="O277" s="10"/>
    </row>
    <row r="278" spans="1:15" x14ac:dyDescent="0.25">
      <c r="A278" s="7"/>
      <c r="B278" s="7"/>
      <c r="C278" s="7"/>
      <c r="D278" s="11">
        <v>276</v>
      </c>
      <c r="E278" s="8"/>
      <c r="F278" s="8"/>
      <c r="G278" s="9"/>
      <c r="H278" s="10"/>
      <c r="I278" s="9"/>
      <c r="J278" s="10"/>
      <c r="K278" s="8"/>
      <c r="L278" s="8"/>
      <c r="M278" s="10"/>
      <c r="N278" s="10"/>
      <c r="O278" s="10"/>
    </row>
    <row r="279" spans="1:15" x14ac:dyDescent="0.25">
      <c r="A279" s="7"/>
      <c r="B279" s="7"/>
      <c r="C279" s="7"/>
      <c r="D279" s="11">
        <v>277</v>
      </c>
      <c r="E279" s="8"/>
      <c r="F279" s="8"/>
      <c r="G279" s="9"/>
      <c r="H279" s="10"/>
      <c r="I279" s="9"/>
      <c r="J279" s="10"/>
      <c r="K279" s="8"/>
      <c r="L279" s="8"/>
      <c r="M279" s="10"/>
      <c r="N279" s="10"/>
      <c r="O279" s="10"/>
    </row>
    <row r="280" spans="1:15" x14ac:dyDescent="0.25">
      <c r="A280" s="7"/>
      <c r="B280" s="7"/>
      <c r="C280" s="7"/>
      <c r="D280" s="11">
        <v>278</v>
      </c>
      <c r="E280" s="8"/>
      <c r="F280" s="8"/>
      <c r="G280" s="9"/>
      <c r="H280" s="10"/>
      <c r="I280" s="9"/>
      <c r="J280" s="10"/>
      <c r="K280" s="8"/>
      <c r="L280" s="8"/>
      <c r="M280" s="10"/>
      <c r="N280" s="10"/>
      <c r="O280" s="10"/>
    </row>
    <row r="281" spans="1:15" x14ac:dyDescent="0.25">
      <c r="A281" s="7"/>
      <c r="B281" s="7"/>
      <c r="C281" s="7"/>
      <c r="D281" s="11">
        <v>279</v>
      </c>
      <c r="E281" s="8"/>
      <c r="F281" s="8"/>
      <c r="G281" s="9"/>
      <c r="H281" s="10"/>
      <c r="I281" s="9"/>
      <c r="J281" s="10"/>
      <c r="K281" s="8"/>
      <c r="L281" s="8"/>
      <c r="M281" s="10"/>
      <c r="N281" s="10"/>
      <c r="O281" s="10"/>
    </row>
    <row r="282" spans="1:15" x14ac:dyDescent="0.25">
      <c r="A282" s="7"/>
      <c r="B282" s="7"/>
      <c r="C282" s="7"/>
      <c r="D282" s="11">
        <v>280</v>
      </c>
      <c r="E282" s="8"/>
      <c r="F282" s="8"/>
      <c r="G282" s="9"/>
      <c r="H282" s="10"/>
      <c r="I282" s="9"/>
      <c r="J282" s="10"/>
      <c r="K282" s="8"/>
      <c r="L282" s="8"/>
      <c r="M282" s="10"/>
      <c r="N282" s="10"/>
      <c r="O282" s="10"/>
    </row>
    <row r="283" spans="1:15" x14ac:dyDescent="0.25">
      <c r="A283" s="7"/>
      <c r="B283" s="7"/>
      <c r="C283" s="7"/>
      <c r="D283" s="11">
        <v>281</v>
      </c>
      <c r="E283" s="8"/>
      <c r="F283" s="8"/>
      <c r="G283" s="9"/>
      <c r="H283" s="10"/>
      <c r="I283" s="9"/>
      <c r="J283" s="10"/>
      <c r="K283" s="8"/>
      <c r="L283" s="8"/>
      <c r="M283" s="10"/>
      <c r="N283" s="10"/>
      <c r="O283" s="10"/>
    </row>
    <row r="284" spans="1:15" x14ac:dyDescent="0.25">
      <c r="A284" s="7"/>
      <c r="B284" s="7"/>
      <c r="C284" s="7"/>
      <c r="D284" s="11">
        <v>282</v>
      </c>
      <c r="E284" s="8"/>
      <c r="F284" s="8"/>
      <c r="G284" s="9"/>
      <c r="H284" s="10"/>
      <c r="I284" s="9"/>
      <c r="J284" s="10"/>
      <c r="K284" s="8"/>
      <c r="L284" s="8"/>
      <c r="M284" s="10"/>
      <c r="N284" s="10"/>
      <c r="O284" s="10"/>
    </row>
    <row r="285" spans="1:15" x14ac:dyDescent="0.25">
      <c r="A285" s="7"/>
      <c r="B285" s="7"/>
      <c r="C285" s="7"/>
      <c r="D285" s="11">
        <v>283</v>
      </c>
      <c r="E285" s="8"/>
      <c r="F285" s="8"/>
      <c r="G285" s="9"/>
      <c r="H285" s="10"/>
      <c r="I285" s="9"/>
      <c r="J285" s="10"/>
      <c r="K285" s="8"/>
      <c r="L285" s="8"/>
      <c r="M285" s="10"/>
      <c r="N285" s="10"/>
      <c r="O285" s="10"/>
    </row>
    <row r="286" spans="1:15" x14ac:dyDescent="0.25">
      <c r="A286" s="7"/>
      <c r="B286" s="7"/>
      <c r="C286" s="7"/>
      <c r="D286" s="11">
        <v>284</v>
      </c>
      <c r="E286" s="8"/>
      <c r="F286" s="8"/>
      <c r="G286" s="9"/>
      <c r="H286" s="10"/>
      <c r="I286" s="9"/>
      <c r="J286" s="10"/>
      <c r="K286" s="8"/>
      <c r="L286" s="8"/>
      <c r="M286" s="10"/>
      <c r="N286" s="10"/>
      <c r="O286" s="10"/>
    </row>
    <row r="287" spans="1:15" x14ac:dyDescent="0.25">
      <c r="A287" s="7"/>
      <c r="B287" s="7"/>
      <c r="C287" s="7"/>
      <c r="D287" s="11">
        <v>285</v>
      </c>
      <c r="E287" s="8"/>
      <c r="F287" s="8"/>
      <c r="G287" s="9"/>
      <c r="H287" s="10"/>
      <c r="I287" s="9"/>
      <c r="J287" s="10"/>
      <c r="K287" s="8"/>
      <c r="L287" s="8"/>
      <c r="M287" s="10"/>
      <c r="N287" s="10"/>
      <c r="O287" s="10"/>
    </row>
    <row r="288" spans="1:15" x14ac:dyDescent="0.25">
      <c r="A288" s="7"/>
      <c r="B288" s="7"/>
      <c r="C288" s="7"/>
      <c r="D288" s="11">
        <v>286</v>
      </c>
      <c r="E288" s="8"/>
      <c r="F288" s="8"/>
      <c r="G288" s="9"/>
      <c r="H288" s="10"/>
      <c r="I288" s="9"/>
      <c r="J288" s="10"/>
      <c r="K288" s="8"/>
      <c r="L288" s="8"/>
      <c r="M288" s="10"/>
      <c r="N288" s="10"/>
      <c r="O288" s="10"/>
    </row>
    <row r="289" spans="1:15" x14ac:dyDescent="0.25">
      <c r="A289" s="7"/>
      <c r="B289" s="7"/>
      <c r="C289" s="7"/>
      <c r="D289" s="11">
        <v>287</v>
      </c>
      <c r="E289" s="8"/>
      <c r="F289" s="8"/>
      <c r="G289" s="9"/>
      <c r="H289" s="10"/>
      <c r="I289" s="9"/>
      <c r="J289" s="10"/>
      <c r="K289" s="8"/>
      <c r="L289" s="8"/>
      <c r="M289" s="10"/>
      <c r="N289" s="10"/>
      <c r="O289" s="10"/>
    </row>
    <row r="290" spans="1:15" x14ac:dyDescent="0.25">
      <c r="A290" s="7"/>
      <c r="B290" s="7"/>
      <c r="C290" s="7"/>
      <c r="D290" s="11">
        <v>288</v>
      </c>
      <c r="E290" s="8"/>
      <c r="F290" s="8"/>
      <c r="G290" s="9"/>
      <c r="H290" s="10"/>
      <c r="I290" s="9"/>
      <c r="J290" s="10"/>
      <c r="K290" s="8"/>
      <c r="L290" s="8"/>
      <c r="M290" s="10"/>
      <c r="N290" s="10"/>
      <c r="O290" s="10"/>
    </row>
    <row r="291" spans="1:15" x14ac:dyDescent="0.25">
      <c r="A291" s="7"/>
      <c r="B291" s="7"/>
      <c r="C291" s="7"/>
      <c r="D291" s="11">
        <v>289</v>
      </c>
      <c r="E291" s="8"/>
      <c r="F291" s="8"/>
      <c r="G291" s="9"/>
      <c r="H291" s="10"/>
      <c r="I291" s="9"/>
      <c r="J291" s="10"/>
      <c r="K291" s="8"/>
      <c r="L291" s="8"/>
      <c r="M291" s="10"/>
      <c r="N291" s="10"/>
      <c r="O291" s="10"/>
    </row>
    <row r="292" spans="1:15" x14ac:dyDescent="0.25">
      <c r="A292" s="7"/>
      <c r="B292" s="7"/>
      <c r="C292" s="7"/>
      <c r="D292" s="11">
        <v>290</v>
      </c>
      <c r="E292" s="8"/>
      <c r="F292" s="8"/>
      <c r="G292" s="9"/>
      <c r="H292" s="10"/>
      <c r="I292" s="9"/>
      <c r="J292" s="10"/>
      <c r="K292" s="8"/>
      <c r="L292" s="8"/>
      <c r="M292" s="10"/>
      <c r="N292" s="10"/>
      <c r="O292" s="10"/>
    </row>
    <row r="293" spans="1:15" x14ac:dyDescent="0.25">
      <c r="A293" s="7"/>
      <c r="B293" s="7"/>
      <c r="C293" s="7"/>
      <c r="D293" s="11">
        <v>291</v>
      </c>
      <c r="E293" s="8"/>
      <c r="F293" s="8"/>
      <c r="G293" s="9"/>
      <c r="H293" s="10"/>
      <c r="I293" s="9"/>
      <c r="J293" s="10"/>
      <c r="K293" s="8"/>
      <c r="L293" s="8"/>
      <c r="M293" s="10"/>
      <c r="N293" s="10"/>
      <c r="O293" s="10"/>
    </row>
    <row r="294" spans="1:15" x14ac:dyDescent="0.25">
      <c r="A294" s="7"/>
      <c r="B294" s="7"/>
      <c r="C294" s="7"/>
      <c r="D294" s="11">
        <v>292</v>
      </c>
      <c r="E294" s="8"/>
      <c r="F294" s="8"/>
      <c r="G294" s="9"/>
      <c r="H294" s="10"/>
      <c r="I294" s="9"/>
      <c r="J294" s="10"/>
      <c r="K294" s="8"/>
      <c r="L294" s="8"/>
      <c r="M294" s="10"/>
      <c r="N294" s="10"/>
      <c r="O294" s="10"/>
    </row>
    <row r="295" spans="1:15" x14ac:dyDescent="0.25">
      <c r="A295" s="7"/>
      <c r="B295" s="7"/>
      <c r="C295" s="7"/>
      <c r="D295" s="11">
        <v>293</v>
      </c>
      <c r="E295" s="8"/>
      <c r="F295" s="8"/>
      <c r="G295" s="9"/>
      <c r="H295" s="10"/>
      <c r="I295" s="9"/>
      <c r="J295" s="10"/>
      <c r="K295" s="8"/>
      <c r="L295" s="8"/>
      <c r="M295" s="10"/>
      <c r="N295" s="10"/>
      <c r="O295" s="10"/>
    </row>
    <row r="296" spans="1:15" x14ac:dyDescent="0.25">
      <c r="A296" s="7"/>
      <c r="B296" s="7"/>
      <c r="C296" s="7"/>
      <c r="D296" s="11">
        <v>294</v>
      </c>
      <c r="E296" s="8"/>
      <c r="F296" s="8"/>
      <c r="G296" s="9"/>
      <c r="H296" s="10"/>
      <c r="I296" s="9"/>
      <c r="J296" s="10"/>
      <c r="K296" s="8"/>
      <c r="L296" s="8"/>
      <c r="M296" s="10"/>
      <c r="N296" s="10"/>
      <c r="O296" s="10"/>
    </row>
    <row r="297" spans="1:15" x14ac:dyDescent="0.25">
      <c r="A297" s="7"/>
      <c r="B297" s="7"/>
      <c r="C297" s="7"/>
      <c r="D297" s="11">
        <v>295</v>
      </c>
      <c r="E297" s="8"/>
      <c r="F297" s="8"/>
      <c r="G297" s="9"/>
      <c r="H297" s="10"/>
      <c r="I297" s="9"/>
      <c r="J297" s="10"/>
      <c r="K297" s="8"/>
      <c r="L297" s="8"/>
      <c r="M297" s="10"/>
      <c r="N297" s="10"/>
      <c r="O297" s="10"/>
    </row>
    <row r="298" spans="1:15" x14ac:dyDescent="0.25">
      <c r="A298" s="7"/>
      <c r="B298" s="7"/>
      <c r="C298" s="7"/>
      <c r="D298" s="11">
        <v>296</v>
      </c>
      <c r="E298" s="8"/>
      <c r="F298" s="8"/>
      <c r="G298" s="9"/>
      <c r="H298" s="10"/>
      <c r="I298" s="9"/>
      <c r="J298" s="10"/>
      <c r="K298" s="8"/>
      <c r="L298" s="8"/>
      <c r="M298" s="10"/>
      <c r="N298" s="10"/>
      <c r="O298" s="10"/>
    </row>
    <row r="299" spans="1:15" x14ac:dyDescent="0.25">
      <c r="A299" s="7"/>
      <c r="B299" s="7"/>
      <c r="C299" s="7"/>
      <c r="D299" s="11">
        <v>297</v>
      </c>
      <c r="E299" s="8"/>
      <c r="F299" s="8"/>
      <c r="G299" s="9"/>
      <c r="H299" s="10"/>
      <c r="I299" s="9"/>
      <c r="J299" s="10"/>
      <c r="K299" s="8"/>
      <c r="L299" s="8"/>
      <c r="M299" s="10"/>
      <c r="N299" s="10"/>
      <c r="O299" s="10"/>
    </row>
    <row r="300" spans="1:15" x14ac:dyDescent="0.25">
      <c r="A300" s="7"/>
      <c r="B300" s="7"/>
      <c r="C300" s="7"/>
      <c r="D300" s="11">
        <v>298</v>
      </c>
      <c r="E300" s="8"/>
      <c r="F300" s="8"/>
      <c r="G300" s="9"/>
      <c r="H300" s="10"/>
      <c r="I300" s="9"/>
      <c r="J300" s="10"/>
      <c r="K300" s="8"/>
      <c r="L300" s="8"/>
      <c r="M300" s="10"/>
      <c r="N300" s="10"/>
      <c r="O300" s="10"/>
    </row>
    <row r="301" spans="1:15" x14ac:dyDescent="0.25">
      <c r="A301" s="7"/>
      <c r="B301" s="7"/>
      <c r="C301" s="7"/>
      <c r="D301" s="11">
        <v>299</v>
      </c>
      <c r="E301" s="8"/>
      <c r="F301" s="8"/>
      <c r="G301" s="9"/>
      <c r="H301" s="10"/>
      <c r="I301" s="9"/>
      <c r="J301" s="10"/>
      <c r="K301" s="8"/>
      <c r="L301" s="8"/>
      <c r="M301" s="10"/>
      <c r="N301" s="10"/>
      <c r="O301" s="10"/>
    </row>
    <row r="302" spans="1:15" x14ac:dyDescent="0.25">
      <c r="A302" s="7"/>
      <c r="B302" s="7"/>
      <c r="C302" s="7"/>
      <c r="D302" s="11">
        <v>300</v>
      </c>
      <c r="E302" s="8"/>
      <c r="F302" s="8"/>
      <c r="G302" s="9"/>
      <c r="H302" s="10"/>
      <c r="I302" s="9"/>
      <c r="J302" s="10"/>
      <c r="K302" s="8"/>
      <c r="L302" s="8"/>
      <c r="M302" s="10"/>
      <c r="N302" s="10"/>
      <c r="O302" s="10"/>
    </row>
    <row r="303" spans="1:15" hidden="1" x14ac:dyDescent="0.25"/>
    <row r="304" spans="1:15" hidden="1" x14ac:dyDescent="0.25"/>
    <row r="305" hidden="1" x14ac:dyDescent="0.25"/>
    <row r="306" hidden="1" x14ac:dyDescent="0.25"/>
    <row r="307" hidden="1" x14ac:dyDescent="0.25"/>
    <row r="308" hidden="1" x14ac:dyDescent="0.25"/>
    <row r="309" hidden="1" x14ac:dyDescent="0.25"/>
    <row r="310" hidden="1" x14ac:dyDescent="0.25"/>
    <row r="311" hidden="1" x14ac:dyDescent="0.25"/>
    <row r="312" hidden="1" x14ac:dyDescent="0.25"/>
    <row r="313" hidden="1" x14ac:dyDescent="0.25"/>
    <row r="314" hidden="1" x14ac:dyDescent="0.25"/>
    <row r="315" hidden="1" x14ac:dyDescent="0.25"/>
    <row r="316" hidden="1" x14ac:dyDescent="0.25"/>
    <row r="317" hidden="1" x14ac:dyDescent="0.25"/>
    <row r="318" hidden="1" x14ac:dyDescent="0.25"/>
    <row r="319" hidden="1" x14ac:dyDescent="0.25"/>
    <row r="320" hidden="1" x14ac:dyDescent="0.25"/>
    <row r="321" hidden="1" x14ac:dyDescent="0.25"/>
    <row r="322" hidden="1" x14ac:dyDescent="0.25"/>
    <row r="323" hidden="1" x14ac:dyDescent="0.25"/>
    <row r="324" hidden="1" x14ac:dyDescent="0.25"/>
    <row r="325" hidden="1" x14ac:dyDescent="0.25"/>
    <row r="326" hidden="1" x14ac:dyDescent="0.25"/>
    <row r="327" hidden="1" x14ac:dyDescent="0.25"/>
    <row r="328" hidden="1" x14ac:dyDescent="0.25"/>
    <row r="329" hidden="1" x14ac:dyDescent="0.25"/>
    <row r="330" hidden="1" x14ac:dyDescent="0.25"/>
    <row r="331" hidden="1" x14ac:dyDescent="0.25"/>
    <row r="332" hidden="1" x14ac:dyDescent="0.25"/>
    <row r="333" hidden="1" x14ac:dyDescent="0.25"/>
    <row r="334" hidden="1" x14ac:dyDescent="0.25"/>
    <row r="335" hidden="1" x14ac:dyDescent="0.25"/>
    <row r="336" hidden="1" x14ac:dyDescent="0.25"/>
    <row r="337" hidden="1" x14ac:dyDescent="0.25"/>
    <row r="338" hidden="1" x14ac:dyDescent="0.25"/>
    <row r="339" hidden="1" x14ac:dyDescent="0.25"/>
    <row r="340" hidden="1" x14ac:dyDescent="0.25"/>
    <row r="341" hidden="1" x14ac:dyDescent="0.25"/>
    <row r="342" hidden="1" x14ac:dyDescent="0.25"/>
    <row r="343" hidden="1" x14ac:dyDescent="0.25"/>
    <row r="344" hidden="1" x14ac:dyDescent="0.25"/>
    <row r="345" hidden="1" x14ac:dyDescent="0.25"/>
    <row r="346" hidden="1" x14ac:dyDescent="0.25"/>
    <row r="347" hidden="1" x14ac:dyDescent="0.25"/>
    <row r="348" hidden="1" x14ac:dyDescent="0.25"/>
    <row r="349" hidden="1" x14ac:dyDescent="0.25"/>
    <row r="350" hidden="1" x14ac:dyDescent="0.25"/>
    <row r="351" hidden="1" x14ac:dyDescent="0.25"/>
    <row r="352" hidden="1" x14ac:dyDescent="0.25"/>
    <row r="353" hidden="1" x14ac:dyDescent="0.25"/>
    <row r="354" hidden="1" x14ac:dyDescent="0.25"/>
    <row r="355" hidden="1" x14ac:dyDescent="0.25"/>
    <row r="356" hidden="1" x14ac:dyDescent="0.25"/>
    <row r="357" hidden="1" x14ac:dyDescent="0.25"/>
    <row r="358" hidden="1" x14ac:dyDescent="0.25"/>
    <row r="359" hidden="1" x14ac:dyDescent="0.25"/>
    <row r="360" hidden="1" x14ac:dyDescent="0.25"/>
    <row r="361" hidden="1" x14ac:dyDescent="0.25"/>
    <row r="362" hidden="1" x14ac:dyDescent="0.25"/>
    <row r="363" hidden="1" x14ac:dyDescent="0.25"/>
    <row r="364" hidden="1" x14ac:dyDescent="0.25"/>
    <row r="365" hidden="1" x14ac:dyDescent="0.25"/>
    <row r="366" hidden="1" x14ac:dyDescent="0.25"/>
    <row r="367" hidden="1" x14ac:dyDescent="0.25"/>
    <row r="368" hidden="1" x14ac:dyDescent="0.25"/>
    <row r="369" hidden="1" x14ac:dyDescent="0.25"/>
    <row r="370" hidden="1" x14ac:dyDescent="0.25"/>
    <row r="371" hidden="1" x14ac:dyDescent="0.25"/>
    <row r="372" hidden="1" x14ac:dyDescent="0.25"/>
    <row r="373" hidden="1" x14ac:dyDescent="0.25"/>
    <row r="374" hidden="1" x14ac:dyDescent="0.25"/>
    <row r="375" hidden="1" x14ac:dyDescent="0.25"/>
    <row r="376" hidden="1" x14ac:dyDescent="0.25"/>
    <row r="377" hidden="1" x14ac:dyDescent="0.25"/>
    <row r="378" hidden="1" x14ac:dyDescent="0.25"/>
    <row r="379" hidden="1" x14ac:dyDescent="0.25"/>
    <row r="380" hidden="1" x14ac:dyDescent="0.25"/>
    <row r="381" hidden="1" x14ac:dyDescent="0.25"/>
    <row r="382" hidden="1" x14ac:dyDescent="0.25"/>
    <row r="383" hidden="1" x14ac:dyDescent="0.25"/>
    <row r="384" hidden="1" x14ac:dyDescent="0.25"/>
    <row r="385" hidden="1" x14ac:dyDescent="0.25"/>
    <row r="386" hidden="1" x14ac:dyDescent="0.25"/>
    <row r="387" hidden="1" x14ac:dyDescent="0.25"/>
    <row r="388" hidden="1" x14ac:dyDescent="0.25"/>
    <row r="389" hidden="1" x14ac:dyDescent="0.25"/>
    <row r="390" hidden="1" x14ac:dyDescent="0.25"/>
    <row r="391" hidden="1" x14ac:dyDescent="0.25"/>
    <row r="392" hidden="1" x14ac:dyDescent="0.25"/>
    <row r="393" hidden="1" x14ac:dyDescent="0.25"/>
    <row r="394" hidden="1" x14ac:dyDescent="0.25"/>
    <row r="395" hidden="1" x14ac:dyDescent="0.25"/>
    <row r="396" hidden="1" x14ac:dyDescent="0.25"/>
    <row r="397" hidden="1" x14ac:dyDescent="0.25"/>
    <row r="398" hidden="1" x14ac:dyDescent="0.25"/>
    <row r="399" hidden="1" x14ac:dyDescent="0.25"/>
    <row r="400" hidden="1" x14ac:dyDescent="0.25"/>
    <row r="401" hidden="1" x14ac:dyDescent="0.25"/>
    <row r="402" hidden="1" x14ac:dyDescent="0.25"/>
    <row r="403" hidden="1" x14ac:dyDescent="0.25"/>
    <row r="404" hidden="1" x14ac:dyDescent="0.25"/>
    <row r="405" hidden="1" x14ac:dyDescent="0.25"/>
    <row r="406" hidden="1" x14ac:dyDescent="0.25"/>
    <row r="407" hidden="1" x14ac:dyDescent="0.25"/>
    <row r="408" hidden="1" x14ac:dyDescent="0.25"/>
    <row r="409" hidden="1" x14ac:dyDescent="0.25"/>
    <row r="410" hidden="1" x14ac:dyDescent="0.25"/>
    <row r="411" hidden="1" x14ac:dyDescent="0.25"/>
    <row r="412" hidden="1" x14ac:dyDescent="0.25"/>
    <row r="413" hidden="1" x14ac:dyDescent="0.25"/>
    <row r="414" hidden="1" x14ac:dyDescent="0.25"/>
    <row r="415" hidden="1" x14ac:dyDescent="0.25"/>
    <row r="416" hidden="1" x14ac:dyDescent="0.25"/>
    <row r="417" hidden="1" x14ac:dyDescent="0.25"/>
    <row r="418" hidden="1" x14ac:dyDescent="0.25"/>
    <row r="419" hidden="1" x14ac:dyDescent="0.25"/>
    <row r="420" hidden="1" x14ac:dyDescent="0.25"/>
    <row r="421" hidden="1" x14ac:dyDescent="0.25"/>
    <row r="422" hidden="1" x14ac:dyDescent="0.25"/>
    <row r="423" hidden="1" x14ac:dyDescent="0.25"/>
    <row r="424" hidden="1" x14ac:dyDescent="0.25"/>
    <row r="425" hidden="1" x14ac:dyDescent="0.25"/>
    <row r="426" hidden="1" x14ac:dyDescent="0.25"/>
    <row r="427" hidden="1" x14ac:dyDescent="0.25"/>
    <row r="428" hidden="1" x14ac:dyDescent="0.25"/>
    <row r="429" hidden="1" x14ac:dyDescent="0.25"/>
    <row r="430" hidden="1" x14ac:dyDescent="0.25"/>
    <row r="431" hidden="1" x14ac:dyDescent="0.25"/>
    <row r="432" hidden="1" x14ac:dyDescent="0.25"/>
    <row r="433" hidden="1" x14ac:dyDescent="0.25"/>
    <row r="434" hidden="1" x14ac:dyDescent="0.25"/>
    <row r="435" hidden="1" x14ac:dyDescent="0.25"/>
    <row r="436" hidden="1" x14ac:dyDescent="0.25"/>
    <row r="437" hidden="1" x14ac:dyDescent="0.25"/>
    <row r="438" hidden="1" x14ac:dyDescent="0.25"/>
    <row r="439" hidden="1" x14ac:dyDescent="0.25"/>
    <row r="440" hidden="1" x14ac:dyDescent="0.25"/>
    <row r="441" hidden="1" x14ac:dyDescent="0.25"/>
    <row r="442" hidden="1" x14ac:dyDescent="0.25"/>
    <row r="443" hidden="1" x14ac:dyDescent="0.25"/>
    <row r="444" hidden="1" x14ac:dyDescent="0.25"/>
    <row r="445" hidden="1" x14ac:dyDescent="0.25"/>
    <row r="446" hidden="1" x14ac:dyDescent="0.25"/>
    <row r="447" hidden="1" x14ac:dyDescent="0.25"/>
    <row r="448" hidden="1" x14ac:dyDescent="0.25"/>
    <row r="449" hidden="1" x14ac:dyDescent="0.25"/>
    <row r="450" hidden="1" x14ac:dyDescent="0.25"/>
    <row r="451" hidden="1" x14ac:dyDescent="0.25"/>
    <row r="452" hidden="1" x14ac:dyDescent="0.25"/>
    <row r="453" hidden="1" x14ac:dyDescent="0.25"/>
    <row r="454" hidden="1" x14ac:dyDescent="0.25"/>
    <row r="455" hidden="1" x14ac:dyDescent="0.25"/>
    <row r="456" hidden="1" x14ac:dyDescent="0.25"/>
    <row r="457" hidden="1" x14ac:dyDescent="0.25"/>
    <row r="458" hidden="1" x14ac:dyDescent="0.25"/>
    <row r="459" hidden="1" x14ac:dyDescent="0.25"/>
    <row r="460" hidden="1" x14ac:dyDescent="0.25"/>
    <row r="461" hidden="1" x14ac:dyDescent="0.25"/>
    <row r="462" hidden="1" x14ac:dyDescent="0.25"/>
    <row r="463" hidden="1" x14ac:dyDescent="0.25"/>
    <row r="464" hidden="1" x14ac:dyDescent="0.25"/>
    <row r="465" hidden="1" x14ac:dyDescent="0.25"/>
    <row r="466" hidden="1" x14ac:dyDescent="0.25"/>
    <row r="467" hidden="1" x14ac:dyDescent="0.25"/>
    <row r="468" hidden="1" x14ac:dyDescent="0.25"/>
    <row r="469" hidden="1" x14ac:dyDescent="0.25"/>
    <row r="470" hidden="1" x14ac:dyDescent="0.25"/>
    <row r="471" hidden="1" x14ac:dyDescent="0.25"/>
    <row r="472" hidden="1" x14ac:dyDescent="0.25"/>
    <row r="473" hidden="1" x14ac:dyDescent="0.25"/>
    <row r="474" hidden="1" x14ac:dyDescent="0.25"/>
    <row r="475" hidden="1" x14ac:dyDescent="0.25"/>
    <row r="476" hidden="1" x14ac:dyDescent="0.25"/>
    <row r="477" hidden="1" x14ac:dyDescent="0.25"/>
    <row r="478" hidden="1" x14ac:dyDescent="0.25"/>
    <row r="479" hidden="1" x14ac:dyDescent="0.25"/>
    <row r="480" hidden="1" x14ac:dyDescent="0.25"/>
    <row r="481" hidden="1" x14ac:dyDescent="0.25"/>
    <row r="482" hidden="1" x14ac:dyDescent="0.25"/>
    <row r="483" hidden="1" x14ac:dyDescent="0.25"/>
    <row r="484" hidden="1" x14ac:dyDescent="0.25"/>
    <row r="485" hidden="1" x14ac:dyDescent="0.25"/>
    <row r="486" hidden="1" x14ac:dyDescent="0.25"/>
    <row r="487" hidden="1" x14ac:dyDescent="0.25"/>
    <row r="488" hidden="1" x14ac:dyDescent="0.25"/>
    <row r="489" hidden="1" x14ac:dyDescent="0.25"/>
    <row r="490" hidden="1" x14ac:dyDescent="0.25"/>
    <row r="491" hidden="1" x14ac:dyDescent="0.25"/>
    <row r="492" hidden="1" x14ac:dyDescent="0.25"/>
    <row r="493" hidden="1" x14ac:dyDescent="0.25"/>
    <row r="494" hidden="1" x14ac:dyDescent="0.25"/>
    <row r="495" hidden="1" x14ac:dyDescent="0.25"/>
    <row r="496" hidden="1" x14ac:dyDescent="0.25"/>
    <row r="497" hidden="1" x14ac:dyDescent="0.25"/>
    <row r="498" hidden="1" x14ac:dyDescent="0.25"/>
    <row r="499" hidden="1" x14ac:dyDescent="0.25"/>
    <row r="500" hidden="1" x14ac:dyDescent="0.25"/>
    <row r="501" hidden="1" x14ac:dyDescent="0.25"/>
    <row r="502" hidden="1" x14ac:dyDescent="0.25"/>
    <row r="503" hidden="1" x14ac:dyDescent="0.25"/>
    <row r="504" hidden="1" x14ac:dyDescent="0.25"/>
    <row r="505" hidden="1" x14ac:dyDescent="0.25"/>
    <row r="506" hidden="1" x14ac:dyDescent="0.25"/>
    <row r="507" hidden="1" x14ac:dyDescent="0.25"/>
    <row r="508" hidden="1" x14ac:dyDescent="0.25"/>
    <row r="509" hidden="1" x14ac:dyDescent="0.25"/>
    <row r="510" hidden="1" x14ac:dyDescent="0.25"/>
    <row r="511" hidden="1" x14ac:dyDescent="0.25"/>
    <row r="512" hidden="1" x14ac:dyDescent="0.25"/>
    <row r="513" hidden="1" x14ac:dyDescent="0.25"/>
    <row r="514" hidden="1" x14ac:dyDescent="0.25"/>
    <row r="515" hidden="1" x14ac:dyDescent="0.25"/>
    <row r="516" hidden="1" x14ac:dyDescent="0.25"/>
    <row r="517" hidden="1" x14ac:dyDescent="0.25"/>
    <row r="518" hidden="1" x14ac:dyDescent="0.25"/>
    <row r="519" hidden="1" x14ac:dyDescent="0.25"/>
    <row r="520" hidden="1" x14ac:dyDescent="0.25"/>
    <row r="521" hidden="1" x14ac:dyDescent="0.25"/>
    <row r="522" hidden="1" x14ac:dyDescent="0.25"/>
    <row r="523" hidden="1" x14ac:dyDescent="0.25"/>
    <row r="524" hidden="1" x14ac:dyDescent="0.25"/>
    <row r="525" hidden="1" x14ac:dyDescent="0.25"/>
    <row r="526" hidden="1" x14ac:dyDescent="0.25"/>
    <row r="527" hidden="1" x14ac:dyDescent="0.25"/>
    <row r="528" hidden="1" x14ac:dyDescent="0.25"/>
    <row r="529" hidden="1" x14ac:dyDescent="0.25"/>
    <row r="530" hidden="1" x14ac:dyDescent="0.25"/>
    <row r="531" hidden="1" x14ac:dyDescent="0.25"/>
    <row r="532" hidden="1" x14ac:dyDescent="0.25"/>
    <row r="533" hidden="1" x14ac:dyDescent="0.25"/>
    <row r="534" hidden="1" x14ac:dyDescent="0.25"/>
    <row r="535" hidden="1" x14ac:dyDescent="0.25"/>
    <row r="536" hidden="1" x14ac:dyDescent="0.25"/>
    <row r="537" hidden="1" x14ac:dyDescent="0.25"/>
    <row r="538" hidden="1" x14ac:dyDescent="0.25"/>
    <row r="539" hidden="1" x14ac:dyDescent="0.25"/>
    <row r="540" hidden="1" x14ac:dyDescent="0.25"/>
    <row r="541" hidden="1" x14ac:dyDescent="0.25"/>
    <row r="542" hidden="1" x14ac:dyDescent="0.25"/>
    <row r="543" hidden="1" x14ac:dyDescent="0.25"/>
    <row r="544" hidden="1" x14ac:dyDescent="0.25"/>
    <row r="545" hidden="1" x14ac:dyDescent="0.25"/>
    <row r="546" hidden="1" x14ac:dyDescent="0.25"/>
    <row r="547" hidden="1" x14ac:dyDescent="0.25"/>
    <row r="548" hidden="1" x14ac:dyDescent="0.25"/>
    <row r="549" hidden="1" x14ac:dyDescent="0.25"/>
    <row r="550" hidden="1" x14ac:dyDescent="0.25"/>
    <row r="551" hidden="1" x14ac:dyDescent="0.25"/>
    <row r="552" hidden="1" x14ac:dyDescent="0.25"/>
    <row r="553" hidden="1" x14ac:dyDescent="0.25"/>
    <row r="554" hidden="1" x14ac:dyDescent="0.25"/>
    <row r="555" hidden="1" x14ac:dyDescent="0.25"/>
    <row r="556" hidden="1" x14ac:dyDescent="0.25"/>
    <row r="557" hidden="1" x14ac:dyDescent="0.25"/>
    <row r="558" hidden="1" x14ac:dyDescent="0.25"/>
    <row r="559" hidden="1" x14ac:dyDescent="0.25"/>
    <row r="560" hidden="1" x14ac:dyDescent="0.25"/>
    <row r="561" hidden="1" x14ac:dyDescent="0.25"/>
    <row r="562" hidden="1" x14ac:dyDescent="0.25"/>
    <row r="563" hidden="1" x14ac:dyDescent="0.25"/>
    <row r="564" hidden="1" x14ac:dyDescent="0.25"/>
    <row r="565" hidden="1" x14ac:dyDescent="0.25"/>
    <row r="566" hidden="1" x14ac:dyDescent="0.25"/>
    <row r="567" hidden="1" x14ac:dyDescent="0.25"/>
    <row r="568" hidden="1" x14ac:dyDescent="0.25"/>
    <row r="569" hidden="1" x14ac:dyDescent="0.25"/>
    <row r="570" hidden="1" x14ac:dyDescent="0.25"/>
    <row r="571" hidden="1" x14ac:dyDescent="0.25"/>
    <row r="572" hidden="1" x14ac:dyDescent="0.25"/>
    <row r="573" hidden="1" x14ac:dyDescent="0.25"/>
    <row r="574" hidden="1" x14ac:dyDescent="0.25"/>
    <row r="575" hidden="1" x14ac:dyDescent="0.25"/>
    <row r="576" hidden="1" x14ac:dyDescent="0.25"/>
    <row r="577" hidden="1" x14ac:dyDescent="0.25"/>
    <row r="578" hidden="1" x14ac:dyDescent="0.25"/>
    <row r="579" hidden="1" x14ac:dyDescent="0.25"/>
    <row r="580" hidden="1" x14ac:dyDescent="0.25"/>
    <row r="581" hidden="1" x14ac:dyDescent="0.25"/>
    <row r="582" hidden="1" x14ac:dyDescent="0.25"/>
    <row r="583" hidden="1" x14ac:dyDescent="0.25"/>
    <row r="584" hidden="1" x14ac:dyDescent="0.25"/>
    <row r="585" hidden="1" x14ac:dyDescent="0.25"/>
    <row r="586" hidden="1" x14ac:dyDescent="0.25"/>
    <row r="587" hidden="1" x14ac:dyDescent="0.25"/>
    <row r="588" hidden="1" x14ac:dyDescent="0.25"/>
    <row r="589" hidden="1" x14ac:dyDescent="0.25"/>
    <row r="590" hidden="1" x14ac:dyDescent="0.25"/>
    <row r="591" hidden="1" x14ac:dyDescent="0.25"/>
    <row r="592" hidden="1" x14ac:dyDescent="0.25"/>
    <row r="593" hidden="1" x14ac:dyDescent="0.25"/>
    <row r="594" hidden="1" x14ac:dyDescent="0.25"/>
    <row r="595" hidden="1" x14ac:dyDescent="0.25"/>
    <row r="596" hidden="1" x14ac:dyDescent="0.25"/>
    <row r="597" hidden="1" x14ac:dyDescent="0.25"/>
    <row r="598" hidden="1" x14ac:dyDescent="0.25"/>
    <row r="599" hidden="1" x14ac:dyDescent="0.25"/>
    <row r="600" hidden="1" x14ac:dyDescent="0.25"/>
    <row r="601" hidden="1" x14ac:dyDescent="0.25"/>
    <row r="602" hidden="1" x14ac:dyDescent="0.25"/>
    <row r="603" hidden="1" x14ac:dyDescent="0.25"/>
    <row r="604" hidden="1" x14ac:dyDescent="0.25"/>
    <row r="605" hidden="1" x14ac:dyDescent="0.25"/>
    <row r="606" hidden="1" x14ac:dyDescent="0.25"/>
    <row r="607" hidden="1" x14ac:dyDescent="0.25"/>
    <row r="608" hidden="1" x14ac:dyDescent="0.25"/>
    <row r="609" hidden="1" x14ac:dyDescent="0.25"/>
    <row r="610" hidden="1" x14ac:dyDescent="0.25"/>
    <row r="611" hidden="1" x14ac:dyDescent="0.25"/>
    <row r="612" hidden="1" x14ac:dyDescent="0.25"/>
    <row r="613" hidden="1" x14ac:dyDescent="0.25"/>
    <row r="614" hidden="1" x14ac:dyDescent="0.25"/>
    <row r="615" hidden="1" x14ac:dyDescent="0.25"/>
    <row r="616" hidden="1" x14ac:dyDescent="0.25"/>
    <row r="617" hidden="1" x14ac:dyDescent="0.25"/>
    <row r="618" hidden="1" x14ac:dyDescent="0.25"/>
    <row r="619" hidden="1" x14ac:dyDescent="0.25"/>
    <row r="620" hidden="1" x14ac:dyDescent="0.25"/>
    <row r="621" hidden="1" x14ac:dyDescent="0.25"/>
    <row r="622" hidden="1" x14ac:dyDescent="0.25"/>
    <row r="623" hidden="1" x14ac:dyDescent="0.25"/>
    <row r="624" hidden="1" x14ac:dyDescent="0.25"/>
    <row r="625" hidden="1" x14ac:dyDescent="0.25"/>
    <row r="626" hidden="1" x14ac:dyDescent="0.25"/>
    <row r="627" hidden="1" x14ac:dyDescent="0.25"/>
    <row r="628" hidden="1" x14ac:dyDescent="0.25"/>
    <row r="629" hidden="1" x14ac:dyDescent="0.25"/>
    <row r="630" hidden="1" x14ac:dyDescent="0.25"/>
    <row r="631" hidden="1" x14ac:dyDescent="0.25"/>
    <row r="632" hidden="1" x14ac:dyDescent="0.25"/>
    <row r="633" hidden="1" x14ac:dyDescent="0.25"/>
    <row r="634" hidden="1" x14ac:dyDescent="0.25"/>
    <row r="635" hidden="1" x14ac:dyDescent="0.25"/>
    <row r="636" hidden="1" x14ac:dyDescent="0.25"/>
    <row r="637" hidden="1" x14ac:dyDescent="0.25"/>
    <row r="638" hidden="1" x14ac:dyDescent="0.25"/>
    <row r="639" hidden="1" x14ac:dyDescent="0.25"/>
    <row r="640" hidden="1" x14ac:dyDescent="0.25"/>
    <row r="641" hidden="1" x14ac:dyDescent="0.25"/>
    <row r="642" hidden="1" x14ac:dyDescent="0.25"/>
    <row r="643" hidden="1" x14ac:dyDescent="0.25"/>
    <row r="644" hidden="1" x14ac:dyDescent="0.25"/>
    <row r="645" hidden="1" x14ac:dyDescent="0.25"/>
    <row r="646" hidden="1" x14ac:dyDescent="0.25"/>
    <row r="647" hidden="1" x14ac:dyDescent="0.25"/>
    <row r="648" hidden="1" x14ac:dyDescent="0.25"/>
    <row r="649" hidden="1" x14ac:dyDescent="0.25"/>
    <row r="650" hidden="1" x14ac:dyDescent="0.25"/>
    <row r="651" hidden="1" x14ac:dyDescent="0.25"/>
    <row r="652" hidden="1" x14ac:dyDescent="0.25"/>
    <row r="653" hidden="1" x14ac:dyDescent="0.25"/>
    <row r="654" hidden="1" x14ac:dyDescent="0.25"/>
    <row r="655" hidden="1" x14ac:dyDescent="0.25"/>
    <row r="656" hidden="1" x14ac:dyDescent="0.25"/>
    <row r="657" hidden="1" x14ac:dyDescent="0.25"/>
    <row r="658" hidden="1" x14ac:dyDescent="0.25"/>
    <row r="659" hidden="1" x14ac:dyDescent="0.25"/>
    <row r="660" hidden="1" x14ac:dyDescent="0.25"/>
    <row r="661" hidden="1" x14ac:dyDescent="0.25"/>
    <row r="662" hidden="1" x14ac:dyDescent="0.25"/>
    <row r="663" hidden="1" x14ac:dyDescent="0.25"/>
    <row r="664" hidden="1" x14ac:dyDescent="0.25"/>
    <row r="665" hidden="1" x14ac:dyDescent="0.25"/>
    <row r="666" hidden="1" x14ac:dyDescent="0.25"/>
    <row r="667" hidden="1" x14ac:dyDescent="0.25"/>
    <row r="668" hidden="1" x14ac:dyDescent="0.25"/>
    <row r="669" hidden="1" x14ac:dyDescent="0.25"/>
    <row r="670" hidden="1" x14ac:dyDescent="0.25"/>
    <row r="671" hidden="1" x14ac:dyDescent="0.25"/>
    <row r="672" hidden="1" x14ac:dyDescent="0.25"/>
    <row r="673" hidden="1" x14ac:dyDescent="0.25"/>
    <row r="674" hidden="1" x14ac:dyDescent="0.25"/>
    <row r="675" hidden="1" x14ac:dyDescent="0.25"/>
    <row r="676" hidden="1" x14ac:dyDescent="0.25"/>
    <row r="677" hidden="1" x14ac:dyDescent="0.25"/>
    <row r="678" hidden="1" x14ac:dyDescent="0.25"/>
    <row r="679" hidden="1" x14ac:dyDescent="0.25"/>
    <row r="680" hidden="1" x14ac:dyDescent="0.25"/>
    <row r="681" hidden="1" x14ac:dyDescent="0.25"/>
    <row r="682" hidden="1" x14ac:dyDescent="0.25"/>
    <row r="683" hidden="1" x14ac:dyDescent="0.25"/>
    <row r="684" hidden="1" x14ac:dyDescent="0.25"/>
    <row r="685" hidden="1" x14ac:dyDescent="0.25"/>
    <row r="686" hidden="1" x14ac:dyDescent="0.25"/>
    <row r="687" hidden="1" x14ac:dyDescent="0.25"/>
    <row r="688" hidden="1" x14ac:dyDescent="0.25"/>
    <row r="689" hidden="1" x14ac:dyDescent="0.25"/>
    <row r="690" hidden="1" x14ac:dyDescent="0.25"/>
    <row r="691" hidden="1" x14ac:dyDescent="0.25"/>
    <row r="692" hidden="1" x14ac:dyDescent="0.25"/>
    <row r="693" hidden="1" x14ac:dyDescent="0.25"/>
    <row r="694" hidden="1" x14ac:dyDescent="0.25"/>
    <row r="695" hidden="1" x14ac:dyDescent="0.25"/>
    <row r="696" hidden="1" x14ac:dyDescent="0.25"/>
    <row r="697" hidden="1" x14ac:dyDescent="0.25"/>
    <row r="698" hidden="1" x14ac:dyDescent="0.25"/>
    <row r="699" hidden="1" x14ac:dyDescent="0.25"/>
    <row r="700" hidden="1" x14ac:dyDescent="0.25"/>
    <row r="701" hidden="1" x14ac:dyDescent="0.25"/>
    <row r="702" hidden="1" x14ac:dyDescent="0.25"/>
    <row r="703" hidden="1" x14ac:dyDescent="0.25"/>
    <row r="704" hidden="1" x14ac:dyDescent="0.25"/>
    <row r="705" hidden="1" x14ac:dyDescent="0.25"/>
    <row r="706" hidden="1" x14ac:dyDescent="0.25"/>
    <row r="707" hidden="1" x14ac:dyDescent="0.25"/>
    <row r="708" hidden="1" x14ac:dyDescent="0.25"/>
    <row r="709" hidden="1" x14ac:dyDescent="0.25"/>
    <row r="710" hidden="1" x14ac:dyDescent="0.25"/>
    <row r="711" hidden="1" x14ac:dyDescent="0.25"/>
    <row r="712" hidden="1" x14ac:dyDescent="0.25"/>
    <row r="713" hidden="1" x14ac:dyDescent="0.25"/>
    <row r="714" hidden="1" x14ac:dyDescent="0.25"/>
    <row r="715" hidden="1" x14ac:dyDescent="0.25"/>
    <row r="716" hidden="1" x14ac:dyDescent="0.25"/>
    <row r="717" hidden="1" x14ac:dyDescent="0.25"/>
    <row r="718" hidden="1" x14ac:dyDescent="0.25"/>
    <row r="719" hidden="1" x14ac:dyDescent="0.25"/>
    <row r="720" hidden="1" x14ac:dyDescent="0.25"/>
    <row r="721" hidden="1" x14ac:dyDescent="0.25"/>
    <row r="722" hidden="1" x14ac:dyDescent="0.25"/>
    <row r="723" hidden="1" x14ac:dyDescent="0.25"/>
    <row r="724" hidden="1" x14ac:dyDescent="0.25"/>
    <row r="725" hidden="1" x14ac:dyDescent="0.25"/>
    <row r="726" hidden="1" x14ac:dyDescent="0.25"/>
    <row r="727" hidden="1" x14ac:dyDescent="0.25"/>
    <row r="728" hidden="1" x14ac:dyDescent="0.25"/>
    <row r="729" hidden="1" x14ac:dyDescent="0.25"/>
    <row r="730" hidden="1" x14ac:dyDescent="0.25"/>
    <row r="731" hidden="1" x14ac:dyDescent="0.25"/>
    <row r="732" hidden="1" x14ac:dyDescent="0.25"/>
    <row r="733" hidden="1" x14ac:dyDescent="0.25"/>
    <row r="734" hidden="1" x14ac:dyDescent="0.25"/>
    <row r="735" hidden="1" x14ac:dyDescent="0.25"/>
    <row r="736" hidden="1" x14ac:dyDescent="0.25"/>
    <row r="737" hidden="1" x14ac:dyDescent="0.25"/>
    <row r="738" hidden="1" x14ac:dyDescent="0.25"/>
    <row r="739" hidden="1" x14ac:dyDescent="0.25"/>
    <row r="740" hidden="1" x14ac:dyDescent="0.25"/>
    <row r="741" hidden="1" x14ac:dyDescent="0.25"/>
    <row r="742" hidden="1" x14ac:dyDescent="0.25"/>
    <row r="743" hidden="1" x14ac:dyDescent="0.25"/>
    <row r="744" hidden="1" x14ac:dyDescent="0.25"/>
    <row r="745" hidden="1" x14ac:dyDescent="0.25"/>
    <row r="746" hidden="1" x14ac:dyDescent="0.25"/>
    <row r="747" hidden="1" x14ac:dyDescent="0.25"/>
    <row r="748" hidden="1" x14ac:dyDescent="0.25"/>
    <row r="749" hidden="1" x14ac:dyDescent="0.25"/>
    <row r="750" hidden="1" x14ac:dyDescent="0.25"/>
    <row r="751" hidden="1" x14ac:dyDescent="0.25"/>
    <row r="752" hidden="1" x14ac:dyDescent="0.25"/>
    <row r="753" hidden="1" x14ac:dyDescent="0.25"/>
    <row r="754" hidden="1" x14ac:dyDescent="0.25"/>
    <row r="755" hidden="1" x14ac:dyDescent="0.25"/>
    <row r="756" hidden="1" x14ac:dyDescent="0.25"/>
    <row r="757" hidden="1" x14ac:dyDescent="0.25"/>
    <row r="758" hidden="1" x14ac:dyDescent="0.25"/>
    <row r="759" hidden="1" x14ac:dyDescent="0.25"/>
    <row r="760" hidden="1" x14ac:dyDescent="0.25"/>
    <row r="761" hidden="1" x14ac:dyDescent="0.25"/>
    <row r="762" hidden="1" x14ac:dyDescent="0.25"/>
    <row r="763" hidden="1" x14ac:dyDescent="0.25"/>
    <row r="764" hidden="1" x14ac:dyDescent="0.25"/>
    <row r="765" hidden="1" x14ac:dyDescent="0.25"/>
    <row r="766" hidden="1" x14ac:dyDescent="0.25"/>
    <row r="767" hidden="1" x14ac:dyDescent="0.25"/>
    <row r="768" hidden="1" x14ac:dyDescent="0.25"/>
    <row r="769" hidden="1" x14ac:dyDescent="0.25"/>
    <row r="770" hidden="1" x14ac:dyDescent="0.25"/>
    <row r="771" hidden="1" x14ac:dyDescent="0.25"/>
    <row r="772" hidden="1" x14ac:dyDescent="0.25"/>
    <row r="773" hidden="1" x14ac:dyDescent="0.25"/>
    <row r="774" hidden="1" x14ac:dyDescent="0.25"/>
    <row r="775" hidden="1" x14ac:dyDescent="0.25"/>
    <row r="776" hidden="1" x14ac:dyDescent="0.25"/>
    <row r="777" hidden="1" x14ac:dyDescent="0.25"/>
    <row r="778" hidden="1" x14ac:dyDescent="0.25"/>
    <row r="779" hidden="1" x14ac:dyDescent="0.25"/>
    <row r="780" hidden="1" x14ac:dyDescent="0.25"/>
    <row r="781" hidden="1" x14ac:dyDescent="0.25"/>
    <row r="782" hidden="1" x14ac:dyDescent="0.25"/>
    <row r="783" hidden="1" x14ac:dyDescent="0.25"/>
    <row r="784" hidden="1" x14ac:dyDescent="0.25"/>
    <row r="785" hidden="1" x14ac:dyDescent="0.25"/>
    <row r="786" hidden="1" x14ac:dyDescent="0.25"/>
    <row r="787" hidden="1" x14ac:dyDescent="0.25"/>
    <row r="788" hidden="1" x14ac:dyDescent="0.25"/>
    <row r="789" hidden="1" x14ac:dyDescent="0.25"/>
    <row r="790" hidden="1" x14ac:dyDescent="0.25"/>
    <row r="791" hidden="1" x14ac:dyDescent="0.25"/>
    <row r="792" hidden="1" x14ac:dyDescent="0.25"/>
    <row r="793" hidden="1" x14ac:dyDescent="0.25"/>
    <row r="794" hidden="1" x14ac:dyDescent="0.25"/>
    <row r="795" hidden="1" x14ac:dyDescent="0.25"/>
    <row r="796" hidden="1" x14ac:dyDescent="0.25"/>
    <row r="797" hidden="1" x14ac:dyDescent="0.25"/>
    <row r="798" hidden="1" x14ac:dyDescent="0.25"/>
    <row r="799" hidden="1" x14ac:dyDescent="0.25"/>
    <row r="800" hidden="1" x14ac:dyDescent="0.25"/>
    <row r="801" hidden="1" x14ac:dyDescent="0.25"/>
    <row r="802" hidden="1" x14ac:dyDescent="0.25"/>
    <row r="803" hidden="1" x14ac:dyDescent="0.25"/>
    <row r="804" hidden="1" x14ac:dyDescent="0.25"/>
    <row r="805" hidden="1" x14ac:dyDescent="0.25"/>
    <row r="806" hidden="1" x14ac:dyDescent="0.25"/>
    <row r="807" hidden="1" x14ac:dyDescent="0.25"/>
    <row r="808" hidden="1" x14ac:dyDescent="0.25"/>
    <row r="809" hidden="1" x14ac:dyDescent="0.25"/>
    <row r="810" hidden="1" x14ac:dyDescent="0.25"/>
    <row r="811" hidden="1" x14ac:dyDescent="0.25"/>
    <row r="812" hidden="1" x14ac:dyDescent="0.25"/>
    <row r="813" hidden="1" x14ac:dyDescent="0.25"/>
    <row r="814" hidden="1" x14ac:dyDescent="0.25"/>
    <row r="815" hidden="1" x14ac:dyDescent="0.25"/>
    <row r="816" hidden="1" x14ac:dyDescent="0.25"/>
    <row r="817" hidden="1" x14ac:dyDescent="0.25"/>
    <row r="818" hidden="1" x14ac:dyDescent="0.25"/>
    <row r="819" hidden="1" x14ac:dyDescent="0.25"/>
    <row r="820" hidden="1" x14ac:dyDescent="0.25"/>
    <row r="821" hidden="1" x14ac:dyDescent="0.25"/>
    <row r="822" hidden="1" x14ac:dyDescent="0.25"/>
    <row r="823" hidden="1" x14ac:dyDescent="0.25"/>
    <row r="824" hidden="1" x14ac:dyDescent="0.25"/>
    <row r="825" hidden="1" x14ac:dyDescent="0.25"/>
    <row r="826" hidden="1" x14ac:dyDescent="0.25"/>
    <row r="827" hidden="1" x14ac:dyDescent="0.25"/>
    <row r="828" hidden="1" x14ac:dyDescent="0.25"/>
    <row r="829" hidden="1" x14ac:dyDescent="0.25"/>
    <row r="830" hidden="1" x14ac:dyDescent="0.25"/>
    <row r="831" hidden="1" x14ac:dyDescent="0.25"/>
    <row r="832" hidden="1" x14ac:dyDescent="0.25"/>
    <row r="833" hidden="1" x14ac:dyDescent="0.25"/>
    <row r="834" hidden="1" x14ac:dyDescent="0.25"/>
    <row r="835" hidden="1" x14ac:dyDescent="0.25"/>
    <row r="836" hidden="1" x14ac:dyDescent="0.25"/>
    <row r="837" hidden="1" x14ac:dyDescent="0.25"/>
    <row r="838" hidden="1" x14ac:dyDescent="0.25"/>
    <row r="839" hidden="1" x14ac:dyDescent="0.25"/>
    <row r="840" hidden="1" x14ac:dyDescent="0.25"/>
    <row r="841" hidden="1" x14ac:dyDescent="0.25"/>
    <row r="842" hidden="1" x14ac:dyDescent="0.25"/>
    <row r="843" hidden="1" x14ac:dyDescent="0.25"/>
    <row r="844" hidden="1" x14ac:dyDescent="0.25"/>
    <row r="845" hidden="1" x14ac:dyDescent="0.25"/>
    <row r="846" hidden="1" x14ac:dyDescent="0.25"/>
    <row r="847" hidden="1" x14ac:dyDescent="0.25"/>
    <row r="848" hidden="1" x14ac:dyDescent="0.25"/>
    <row r="849" hidden="1" x14ac:dyDescent="0.25"/>
    <row r="850" hidden="1" x14ac:dyDescent="0.25"/>
    <row r="851" hidden="1" x14ac:dyDescent="0.25"/>
    <row r="852" hidden="1" x14ac:dyDescent="0.25"/>
    <row r="853" hidden="1" x14ac:dyDescent="0.25"/>
    <row r="854" hidden="1" x14ac:dyDescent="0.25"/>
    <row r="855" hidden="1" x14ac:dyDescent="0.25"/>
    <row r="856" hidden="1" x14ac:dyDescent="0.25"/>
    <row r="857" hidden="1" x14ac:dyDescent="0.25"/>
    <row r="858" hidden="1" x14ac:dyDescent="0.25"/>
    <row r="859" hidden="1" x14ac:dyDescent="0.25"/>
    <row r="860" hidden="1" x14ac:dyDescent="0.25"/>
    <row r="861" hidden="1" x14ac:dyDescent="0.25"/>
    <row r="862" hidden="1" x14ac:dyDescent="0.25"/>
    <row r="863" hidden="1" x14ac:dyDescent="0.25"/>
    <row r="864" hidden="1" x14ac:dyDescent="0.25"/>
    <row r="865" hidden="1" x14ac:dyDescent="0.25"/>
    <row r="866" hidden="1" x14ac:dyDescent="0.25"/>
    <row r="867" hidden="1" x14ac:dyDescent="0.25"/>
    <row r="868" hidden="1" x14ac:dyDescent="0.25"/>
    <row r="869" hidden="1" x14ac:dyDescent="0.25"/>
    <row r="870" hidden="1" x14ac:dyDescent="0.25"/>
    <row r="871" hidden="1" x14ac:dyDescent="0.25"/>
    <row r="872" hidden="1" x14ac:dyDescent="0.25"/>
    <row r="873" hidden="1" x14ac:dyDescent="0.25"/>
    <row r="874" hidden="1" x14ac:dyDescent="0.25"/>
    <row r="875" hidden="1" x14ac:dyDescent="0.25"/>
    <row r="876" hidden="1" x14ac:dyDescent="0.25"/>
    <row r="877" hidden="1" x14ac:dyDescent="0.25"/>
    <row r="878" hidden="1" x14ac:dyDescent="0.25"/>
    <row r="879" hidden="1" x14ac:dyDescent="0.25"/>
    <row r="880" hidden="1" x14ac:dyDescent="0.25"/>
    <row r="881" hidden="1" x14ac:dyDescent="0.25"/>
    <row r="882" hidden="1" x14ac:dyDescent="0.25"/>
    <row r="883" hidden="1" x14ac:dyDescent="0.25"/>
    <row r="884" hidden="1" x14ac:dyDescent="0.25"/>
    <row r="885" hidden="1" x14ac:dyDescent="0.25"/>
    <row r="886" hidden="1" x14ac:dyDescent="0.25"/>
    <row r="887" hidden="1" x14ac:dyDescent="0.25"/>
    <row r="888" hidden="1" x14ac:dyDescent="0.25"/>
    <row r="889" hidden="1" x14ac:dyDescent="0.25"/>
    <row r="890" hidden="1" x14ac:dyDescent="0.25"/>
    <row r="891" hidden="1" x14ac:dyDescent="0.25"/>
    <row r="892" hidden="1" x14ac:dyDescent="0.25"/>
    <row r="893" hidden="1" x14ac:dyDescent="0.25"/>
    <row r="894" hidden="1" x14ac:dyDescent="0.25"/>
    <row r="895" hidden="1" x14ac:dyDescent="0.25"/>
    <row r="896" hidden="1" x14ac:dyDescent="0.25"/>
    <row r="897" hidden="1" x14ac:dyDescent="0.25"/>
    <row r="898" hidden="1" x14ac:dyDescent="0.25"/>
    <row r="899" hidden="1" x14ac:dyDescent="0.25"/>
    <row r="900" hidden="1" x14ac:dyDescent="0.25"/>
    <row r="901" hidden="1" x14ac:dyDescent="0.25"/>
    <row r="902" hidden="1" x14ac:dyDescent="0.25"/>
    <row r="903" hidden="1" x14ac:dyDescent="0.25"/>
    <row r="904" hidden="1" x14ac:dyDescent="0.25"/>
    <row r="905" hidden="1" x14ac:dyDescent="0.25"/>
    <row r="906" hidden="1" x14ac:dyDescent="0.25"/>
    <row r="907" hidden="1" x14ac:dyDescent="0.25"/>
    <row r="908" hidden="1" x14ac:dyDescent="0.25"/>
    <row r="909" hidden="1" x14ac:dyDescent="0.25"/>
    <row r="910" hidden="1" x14ac:dyDescent="0.25"/>
    <row r="911" hidden="1" x14ac:dyDescent="0.25"/>
    <row r="912" hidden="1" x14ac:dyDescent="0.25"/>
    <row r="913" hidden="1" x14ac:dyDescent="0.25"/>
    <row r="914" hidden="1" x14ac:dyDescent="0.25"/>
    <row r="915" hidden="1" x14ac:dyDescent="0.25"/>
    <row r="916" hidden="1" x14ac:dyDescent="0.25"/>
    <row r="917" hidden="1" x14ac:dyDescent="0.25"/>
    <row r="918" hidden="1" x14ac:dyDescent="0.25"/>
    <row r="919" hidden="1" x14ac:dyDescent="0.25"/>
    <row r="920" hidden="1" x14ac:dyDescent="0.25"/>
    <row r="921" hidden="1" x14ac:dyDescent="0.25"/>
    <row r="922" hidden="1" x14ac:dyDescent="0.25"/>
    <row r="923" hidden="1" x14ac:dyDescent="0.25"/>
    <row r="924" hidden="1" x14ac:dyDescent="0.25"/>
    <row r="925" hidden="1" x14ac:dyDescent="0.25"/>
    <row r="926" hidden="1" x14ac:dyDescent="0.25"/>
    <row r="927" hidden="1" x14ac:dyDescent="0.25"/>
    <row r="928" hidden="1" x14ac:dyDescent="0.25"/>
    <row r="929" hidden="1" x14ac:dyDescent="0.25"/>
    <row r="930" hidden="1" x14ac:dyDescent="0.25"/>
    <row r="931" hidden="1" x14ac:dyDescent="0.25"/>
    <row r="932" hidden="1" x14ac:dyDescent="0.25"/>
    <row r="933" hidden="1" x14ac:dyDescent="0.25"/>
    <row r="934" hidden="1" x14ac:dyDescent="0.25"/>
    <row r="935" hidden="1" x14ac:dyDescent="0.25"/>
    <row r="936" hidden="1" x14ac:dyDescent="0.25"/>
    <row r="937" hidden="1" x14ac:dyDescent="0.25"/>
    <row r="938" hidden="1" x14ac:dyDescent="0.25"/>
    <row r="939" hidden="1" x14ac:dyDescent="0.25"/>
    <row r="940" hidden="1" x14ac:dyDescent="0.25"/>
    <row r="941" hidden="1" x14ac:dyDescent="0.25"/>
    <row r="942" hidden="1" x14ac:dyDescent="0.25"/>
    <row r="943" hidden="1" x14ac:dyDescent="0.25"/>
    <row r="944" hidden="1" x14ac:dyDescent="0.25"/>
    <row r="945" hidden="1" x14ac:dyDescent="0.25"/>
    <row r="946" hidden="1" x14ac:dyDescent="0.25"/>
    <row r="947" hidden="1" x14ac:dyDescent="0.25"/>
    <row r="948" hidden="1" x14ac:dyDescent="0.25"/>
    <row r="949" hidden="1" x14ac:dyDescent="0.25"/>
    <row r="950" hidden="1" x14ac:dyDescent="0.25"/>
    <row r="951" hidden="1" x14ac:dyDescent="0.25"/>
    <row r="952" hidden="1" x14ac:dyDescent="0.25"/>
    <row r="953" hidden="1" x14ac:dyDescent="0.25"/>
    <row r="954" hidden="1" x14ac:dyDescent="0.25"/>
    <row r="955" hidden="1" x14ac:dyDescent="0.25"/>
    <row r="956" hidden="1" x14ac:dyDescent="0.25"/>
    <row r="957" hidden="1" x14ac:dyDescent="0.25"/>
    <row r="958" hidden="1" x14ac:dyDescent="0.25"/>
    <row r="959" hidden="1" x14ac:dyDescent="0.25"/>
    <row r="960" hidden="1" x14ac:dyDescent="0.25"/>
    <row r="961" hidden="1" x14ac:dyDescent="0.25"/>
    <row r="962" hidden="1" x14ac:dyDescent="0.25"/>
    <row r="963" hidden="1" x14ac:dyDescent="0.25"/>
    <row r="964" hidden="1" x14ac:dyDescent="0.25"/>
    <row r="965" hidden="1" x14ac:dyDescent="0.25"/>
    <row r="966" hidden="1" x14ac:dyDescent="0.25"/>
    <row r="967" hidden="1" x14ac:dyDescent="0.25"/>
    <row r="968" hidden="1" x14ac:dyDescent="0.25"/>
    <row r="969" hidden="1" x14ac:dyDescent="0.25"/>
    <row r="970" hidden="1" x14ac:dyDescent="0.25"/>
    <row r="971" hidden="1" x14ac:dyDescent="0.25"/>
    <row r="972" hidden="1" x14ac:dyDescent="0.25"/>
    <row r="973" hidden="1" x14ac:dyDescent="0.25"/>
    <row r="974" hidden="1" x14ac:dyDescent="0.25"/>
    <row r="975" hidden="1" x14ac:dyDescent="0.25"/>
    <row r="976" hidden="1" x14ac:dyDescent="0.25"/>
    <row r="977" hidden="1" x14ac:dyDescent="0.25"/>
    <row r="978" hidden="1" x14ac:dyDescent="0.25"/>
    <row r="979" hidden="1" x14ac:dyDescent="0.25"/>
    <row r="980" hidden="1" x14ac:dyDescent="0.25"/>
    <row r="981" hidden="1" x14ac:dyDescent="0.25"/>
    <row r="982" hidden="1" x14ac:dyDescent="0.25"/>
  </sheetData>
  <sheetProtection password="CDE2" sheet="1" objects="1" scenarios="1" formatColumns="0" formatRows="0"/>
  <conditionalFormatting sqref="J14 J5:J6 J3">
    <cfRule type="containsText" dxfId="31" priority="27" operator="containsText" text="1">
      <formula>NOT(ISERROR(SEARCH("1",J3)))</formula>
    </cfRule>
    <cfRule type="containsText" dxfId="30" priority="28" operator="containsText" text="2">
      <formula>NOT(ISERROR(SEARCH("2",J3)))</formula>
    </cfRule>
    <cfRule type="containsText" dxfId="29" priority="29" operator="containsText" text="3">
      <formula>NOT(ISERROR(SEARCH("3",J3)))</formula>
    </cfRule>
  </conditionalFormatting>
  <conditionalFormatting sqref="J4:J5">
    <cfRule type="containsText" dxfId="28" priority="22" operator="containsText" text="1">
      <formula>NOT(ISERROR(SEARCH("1",J4)))</formula>
    </cfRule>
    <cfRule type="containsText" dxfId="27" priority="23" operator="containsText" text="2">
      <formula>NOT(ISERROR(SEARCH("2",J4)))</formula>
    </cfRule>
    <cfRule type="containsText" dxfId="26" priority="24" operator="containsText" text="3">
      <formula>NOT(ISERROR(SEARCH("3",J4)))</formula>
    </cfRule>
    <cfRule type="containsText" dxfId="25" priority="25" operator="containsText" text="4">
      <formula>NOT(ISERROR(SEARCH("4",J4)))</formula>
    </cfRule>
    <cfRule type="containsText" dxfId="24" priority="26" operator="containsText" text="5">
      <formula>NOT(ISERROR(SEARCH("5",J4)))</formula>
    </cfRule>
  </conditionalFormatting>
  <conditionalFormatting sqref="J15">
    <cfRule type="containsText" dxfId="23" priority="19" operator="containsText" text="1">
      <formula>NOT(ISERROR(SEARCH("1",J15)))</formula>
    </cfRule>
    <cfRule type="containsText" dxfId="22" priority="20" operator="containsText" text="2">
      <formula>NOT(ISERROR(SEARCH("2",J15)))</formula>
    </cfRule>
    <cfRule type="containsText" dxfId="21" priority="21" operator="containsText" text="3">
      <formula>NOT(ISERROR(SEARCH("3",J15)))</formula>
    </cfRule>
  </conditionalFormatting>
  <conditionalFormatting sqref="J8:J10">
    <cfRule type="containsText" dxfId="20" priority="16" operator="containsText" text="1">
      <formula>NOT(ISERROR(SEARCH("1",J8)))</formula>
    </cfRule>
    <cfRule type="containsText" dxfId="19" priority="17" operator="containsText" text="2">
      <formula>NOT(ISERROR(SEARCH("2",J8)))</formula>
    </cfRule>
    <cfRule type="containsText" dxfId="18" priority="18" operator="containsText" text="3">
      <formula>NOT(ISERROR(SEARCH("3",J8)))</formula>
    </cfRule>
  </conditionalFormatting>
  <conditionalFormatting sqref="J7">
    <cfRule type="containsText" dxfId="17" priority="13" operator="containsText" text="1">
      <formula>NOT(ISERROR(SEARCH("1",J7)))</formula>
    </cfRule>
    <cfRule type="containsText" dxfId="16" priority="14" operator="containsText" text="2">
      <formula>NOT(ISERROR(SEARCH("2",J7)))</formula>
    </cfRule>
    <cfRule type="containsText" dxfId="15" priority="15" operator="containsText" text="3">
      <formula>NOT(ISERROR(SEARCH("3",J7)))</formula>
    </cfRule>
  </conditionalFormatting>
  <conditionalFormatting sqref="J19:J21 J16">
    <cfRule type="containsText" dxfId="14" priority="10" operator="containsText" text="1">
      <formula>NOT(ISERROR(SEARCH("1",J16)))</formula>
    </cfRule>
    <cfRule type="containsText" dxfId="13" priority="11" operator="containsText" text="2">
      <formula>NOT(ISERROR(SEARCH("2",J16)))</formula>
    </cfRule>
    <cfRule type="containsText" dxfId="12" priority="12" operator="containsText" text="3">
      <formula>NOT(ISERROR(SEARCH("3",J16)))</formula>
    </cfRule>
  </conditionalFormatting>
  <conditionalFormatting sqref="J18">
    <cfRule type="containsText" dxfId="11" priority="7" operator="containsText" text="1">
      <formula>NOT(ISERROR(SEARCH("1",J18)))</formula>
    </cfRule>
    <cfRule type="containsText" dxfId="10" priority="8" operator="containsText" text="2">
      <formula>NOT(ISERROR(SEARCH("2",J18)))</formula>
    </cfRule>
    <cfRule type="containsText" dxfId="9" priority="9" operator="containsText" text="3">
      <formula>NOT(ISERROR(SEARCH("3",J18)))</formula>
    </cfRule>
  </conditionalFormatting>
  <conditionalFormatting sqref="J17">
    <cfRule type="containsText" dxfId="8" priority="4" operator="containsText" text="1">
      <formula>NOT(ISERROR(SEARCH("1",J17)))</formula>
    </cfRule>
    <cfRule type="containsText" dxfId="7" priority="5" operator="containsText" text="2">
      <formula>NOT(ISERROR(SEARCH("2",J17)))</formula>
    </cfRule>
    <cfRule type="containsText" dxfId="6" priority="6" operator="containsText" text="3">
      <formula>NOT(ISERROR(SEARCH("3",J17)))</formula>
    </cfRule>
  </conditionalFormatting>
  <conditionalFormatting sqref="J22 J24 J26 J28 J30 J32 J34 J36 J38 J40 J42 J44 J46 J48 J50 J52 J54 J56 J58 J60 J62 J64 J66 J68 J70 J72 J74 J76 J78 J80 J82 J84 J86 J88 J90 J92 J94 J96 J98 J100 J102 J104 J106 J108 J110 J112 J114 J116 J118 J120 J122 J124 J126 J128 J130 J132 J134 J136 J138 J140 J142 J144 J146 J148 J150 J152 J154 J156 J158 J160 J162 J164 J166 J168 J170 J172 J174 J176 J178 J180 J182 J184 J186 J188 J190 J192 J194 J196 J198 J200 J202 J204 J206 J208 J210 J212 J214 J216 J218 J220 J222 J224 J226 J228 J230 J232 J234 J236 J238 J240 J242 J244 J246 J248 J250 J252 J254 J256 J258 J260 J262 J264 J266 J268 J270 J272 J274 J276 J278 J280 J282 J284 J286 J288 J290 J292 J294 J296 J298 J300 J302">
    <cfRule type="containsText" dxfId="5" priority="1" operator="containsText" text="1">
      <formula>NOT(ISERROR(SEARCH("1",J22)))</formula>
    </cfRule>
    <cfRule type="containsText" dxfId="4" priority="2" operator="containsText" text="2">
      <formula>NOT(ISERROR(SEARCH("2",J22)))</formula>
    </cfRule>
    <cfRule type="containsText" dxfId="3" priority="3" operator="containsText" text="3">
      <formula>NOT(ISERROR(SEARCH("3",J22)))</formula>
    </cfRule>
  </conditionalFormatting>
  <dataValidations count="5">
    <dataValidation type="list" allowBlank="1" showInputMessage="1" showErrorMessage="1" sqref="I3:I302">
      <formula1>Drivers</formula1>
    </dataValidation>
    <dataValidation type="list" allowBlank="1" showInputMessage="1" showErrorMessage="1" sqref="K3:L302">
      <formula1>IR</formula1>
    </dataValidation>
    <dataValidation type="list" allowBlank="1" showInputMessage="1" showErrorMessage="1" sqref="A3:A302">
      <formula1>BEntity</formula1>
    </dataValidation>
    <dataValidation type="list" allowBlank="1" showInputMessage="1" showErrorMessage="1" sqref="F3:F302">
      <formula1>INDIRECT(SUBSTITUTE(SUBSTITUTE(SUBSTITUTE(SUBSTITUTE(SUBSTITUTE(E3,"&amp;","")," ",""),"-",""),"/",""),"#","N"))</formula1>
    </dataValidation>
    <dataValidation type="list" allowBlank="1" showInputMessage="1" showErrorMessage="1" sqref="N3:N302">
      <formula1>"Yes,No"</formula1>
    </dataValidation>
  </dataValidations>
  <pageMargins left="0.25" right="0.25" top="0.75" bottom="0.75" header="0.3" footer="0.3"/>
  <pageSetup scale="27" fitToHeight="55" orientation="landscape"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E3:E302</xm:sqref>
        </x14:dataValidation>
      </x14:dataValidations>
    </ext>
  </extLst>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pageSetUpPr fitToPage="1"/>
  </sheetPr>
  <dimension ref="A1:O982"/>
  <sheetViews>
    <sheetView topLeftCell="E1" zoomScale="70" zoomScaleNormal="70" workbookViewId="0">
      <selection activeCell="K4" sqref="K4:K42"/>
    </sheetView>
  </sheetViews>
  <sheetFormatPr defaultRowHeight="15" x14ac:dyDescent="0.25"/>
  <cols>
    <col min="1" max="1" width="22.5703125" customWidth="1"/>
    <col min="2" max="2" width="21.140625" customWidth="1"/>
    <col min="3" max="3" width="19.85546875" bestFit="1" customWidth="1"/>
    <col min="4" max="4" width="28.140625" customWidth="1"/>
    <col min="5" max="5" width="8.7109375" bestFit="1" customWidth="1"/>
    <col min="6" max="6" width="18.140625" customWidth="1"/>
    <col min="7" max="7" width="47.85546875" customWidth="1"/>
    <col min="8" max="8" width="22" customWidth="1"/>
    <col min="9" max="9" width="64.5703125" customWidth="1"/>
    <col min="10" max="10" width="29.85546875" customWidth="1"/>
    <col min="11" max="11" width="62.7109375" customWidth="1"/>
    <col min="12" max="12" width="26.7109375" customWidth="1"/>
    <col min="13" max="13" width="33.140625" customWidth="1"/>
    <col min="14" max="14" width="57.7109375" customWidth="1"/>
    <col min="15" max="15" width="21.140625" hidden="1" customWidth="1"/>
  </cols>
  <sheetData>
    <row r="1" spans="1:15" ht="94.5" x14ac:dyDescent="0.25">
      <c r="A1" s="1" t="s">
        <v>0</v>
      </c>
      <c r="B1" s="1" t="s">
        <v>248</v>
      </c>
      <c r="C1" s="1" t="s">
        <v>1</v>
      </c>
      <c r="D1" s="1" t="s">
        <v>500</v>
      </c>
      <c r="E1" s="2" t="s">
        <v>2</v>
      </c>
      <c r="F1" s="3" t="s">
        <v>3</v>
      </c>
      <c r="G1" s="2" t="s">
        <v>226</v>
      </c>
      <c r="H1" s="2" t="s">
        <v>76</v>
      </c>
      <c r="I1" s="4" t="s">
        <v>6</v>
      </c>
      <c r="J1" s="2" t="s">
        <v>65</v>
      </c>
      <c r="K1" s="1" t="s">
        <v>4</v>
      </c>
      <c r="L1" s="4" t="s">
        <v>224</v>
      </c>
      <c r="M1" s="4" t="s">
        <v>110</v>
      </c>
      <c r="N1" s="1" t="s">
        <v>5</v>
      </c>
      <c r="O1" s="4" t="s">
        <v>246</v>
      </c>
    </row>
    <row r="2" spans="1:15" ht="105.75" customHeight="1" x14ac:dyDescent="0.25">
      <c r="A2" s="5" t="s">
        <v>0</v>
      </c>
      <c r="B2" s="5" t="s">
        <v>249</v>
      </c>
      <c r="C2" s="5" t="s">
        <v>66</v>
      </c>
      <c r="D2" s="5" t="s">
        <v>501</v>
      </c>
      <c r="E2" s="5" t="s">
        <v>7</v>
      </c>
      <c r="F2" s="6" t="s">
        <v>229</v>
      </c>
      <c r="G2" s="5" t="s">
        <v>228</v>
      </c>
      <c r="H2" s="5" t="s">
        <v>230</v>
      </c>
      <c r="I2" s="25" t="s">
        <v>223</v>
      </c>
      <c r="J2" s="5" t="s">
        <v>111</v>
      </c>
      <c r="K2" s="25" t="s">
        <v>231</v>
      </c>
      <c r="L2" s="5" t="s">
        <v>225</v>
      </c>
      <c r="M2" s="5" t="s">
        <v>227</v>
      </c>
      <c r="N2" s="5" t="s">
        <v>250</v>
      </c>
      <c r="O2" s="37" t="s">
        <v>247</v>
      </c>
    </row>
    <row r="3" spans="1:15" x14ac:dyDescent="0.25">
      <c r="B3" s="7">
        <f>'Approval and Documentation'!C$4</f>
        <v>0</v>
      </c>
      <c r="C3" s="7">
        <f>'Approval and Documentation'!C$6</f>
        <v>0</v>
      </c>
      <c r="D3" s="8">
        <f>'1'!$C$1</f>
        <v>0</v>
      </c>
      <c r="E3" s="7">
        <v>1</v>
      </c>
      <c r="F3" s="8" t="str">
        <f>'1'!$C$2</f>
        <v>Operational</v>
      </c>
      <c r="G3" s="8">
        <f>'1'!$C$3</f>
        <v>0</v>
      </c>
      <c r="H3" s="8">
        <f>'1'!$C$4</f>
        <v>0</v>
      </c>
      <c r="I3" s="8">
        <f>'1'!$A$12</f>
        <v>0</v>
      </c>
      <c r="J3" s="8">
        <f>'1'!$C$5</f>
        <v>0</v>
      </c>
      <c r="K3" s="8">
        <f>'1'!$A$9</f>
        <v>0</v>
      </c>
      <c r="L3" s="8">
        <f>'1'!$C$6</f>
        <v>0</v>
      </c>
      <c r="M3" s="8">
        <f>'1'!$C$7</f>
        <v>0</v>
      </c>
      <c r="N3" s="8">
        <f>'1'!$B$10</f>
        <v>0</v>
      </c>
      <c r="O3" s="10"/>
    </row>
    <row r="4" spans="1:15" x14ac:dyDescent="0.25">
      <c r="A4" s="7"/>
      <c r="B4" s="7">
        <f>'Approval and Documentation'!C$4</f>
        <v>0</v>
      </c>
      <c r="C4" s="7">
        <f>'Approval and Documentation'!C$6</f>
        <v>0</v>
      </c>
      <c r="D4" s="8">
        <f>'2'!$C$1</f>
        <v>0</v>
      </c>
      <c r="E4" s="11">
        <v>2</v>
      </c>
      <c r="F4" s="8">
        <f>'2'!$C$2</f>
        <v>0</v>
      </c>
      <c r="G4" s="8">
        <f>'2'!$C$3</f>
        <v>0</v>
      </c>
      <c r="H4" s="8">
        <f>'2'!$C$4</f>
        <v>0</v>
      </c>
      <c r="I4" s="8">
        <f>'2'!$A$12</f>
        <v>0</v>
      </c>
      <c r="J4" s="8">
        <f>'2'!$C$5</f>
        <v>0</v>
      </c>
      <c r="K4" s="8">
        <f>'2'!$A$9</f>
        <v>0</v>
      </c>
      <c r="L4" s="8">
        <f>'2'!$C$6</f>
        <v>0</v>
      </c>
      <c r="M4" s="8">
        <f>'2'!$C$7</f>
        <v>0</v>
      </c>
      <c r="N4" s="8">
        <f>'2'!$B$10</f>
        <v>0</v>
      </c>
      <c r="O4" s="10"/>
    </row>
    <row r="5" spans="1:15" x14ac:dyDescent="0.25">
      <c r="A5" s="7"/>
      <c r="B5" s="7">
        <f>'Approval and Documentation'!C$4</f>
        <v>0</v>
      </c>
      <c r="C5" s="7">
        <f>'Approval and Documentation'!C$6</f>
        <v>0</v>
      </c>
      <c r="D5" s="8">
        <f>'3'!$C$1</f>
        <v>0</v>
      </c>
      <c r="E5" s="7">
        <v>3</v>
      </c>
      <c r="F5" s="8">
        <f>'3'!$C$2</f>
        <v>0</v>
      </c>
      <c r="G5" s="8">
        <f>'3'!$C$3</f>
        <v>0</v>
      </c>
      <c r="H5" s="8">
        <f>'3'!$C$4</f>
        <v>0</v>
      </c>
      <c r="I5" s="8">
        <f>'3'!$A$12</f>
        <v>0</v>
      </c>
      <c r="J5" s="8">
        <f>'3'!$C$5</f>
        <v>0</v>
      </c>
      <c r="K5" s="8">
        <f>'3'!$A$9</f>
        <v>0</v>
      </c>
      <c r="L5" s="8">
        <f>'3'!$C$6</f>
        <v>0</v>
      </c>
      <c r="M5" s="8">
        <f>'3'!$C$7</f>
        <v>0</v>
      </c>
      <c r="N5" s="8">
        <f>'3'!$B$10</f>
        <v>0</v>
      </c>
      <c r="O5" s="10"/>
    </row>
    <row r="6" spans="1:15" x14ac:dyDescent="0.25">
      <c r="A6" s="7"/>
      <c r="B6" s="7">
        <f>'Approval and Documentation'!C$4</f>
        <v>0</v>
      </c>
      <c r="C6" s="7">
        <f>'Approval and Documentation'!C$6</f>
        <v>0</v>
      </c>
      <c r="D6" s="8">
        <f>'4'!$C$1</f>
        <v>0</v>
      </c>
      <c r="E6" s="11">
        <v>4</v>
      </c>
      <c r="F6" s="8">
        <f>'4'!$C$2</f>
        <v>0</v>
      </c>
      <c r="G6" s="8">
        <f>'4'!$C$3</f>
        <v>0</v>
      </c>
      <c r="H6" s="8">
        <f>'4'!$C$4</f>
        <v>0</v>
      </c>
      <c r="I6" s="8">
        <f>'4'!$A$12</f>
        <v>0</v>
      </c>
      <c r="J6" s="8">
        <f>'4'!$C$5</f>
        <v>0</v>
      </c>
      <c r="K6" s="8">
        <f>'4'!$A$9</f>
        <v>0</v>
      </c>
      <c r="L6" s="8">
        <f>'4'!$C$6</f>
        <v>0</v>
      </c>
      <c r="M6" s="8">
        <f>'4'!$C$7</f>
        <v>0</v>
      </c>
      <c r="N6" s="8">
        <f>'4'!$B$10</f>
        <v>0</v>
      </c>
      <c r="O6" s="10"/>
    </row>
    <row r="7" spans="1:15" x14ac:dyDescent="0.25">
      <c r="A7" s="7"/>
      <c r="B7" s="7">
        <f>'Approval and Documentation'!C$4</f>
        <v>0</v>
      </c>
      <c r="C7" s="7">
        <f>'Approval and Documentation'!C$6</f>
        <v>0</v>
      </c>
      <c r="D7" s="8">
        <f>'5'!$C$1</f>
        <v>0</v>
      </c>
      <c r="E7" s="7">
        <v>5</v>
      </c>
      <c r="F7" s="8">
        <f>'5'!$C$2</f>
        <v>0</v>
      </c>
      <c r="G7" s="8">
        <f>'5'!$C$3</f>
        <v>0</v>
      </c>
      <c r="H7" s="8">
        <f>'5'!$C$4</f>
        <v>0</v>
      </c>
      <c r="I7" s="8">
        <f>'5'!$A$12</f>
        <v>0</v>
      </c>
      <c r="J7" s="8">
        <f>'5'!$C$5</f>
        <v>0</v>
      </c>
      <c r="K7" s="8">
        <f>'5'!$A$9</f>
        <v>0</v>
      </c>
      <c r="L7" s="8">
        <f>'5'!$C$6</f>
        <v>0</v>
      </c>
      <c r="M7" s="8">
        <f>'5'!$C$7</f>
        <v>0</v>
      </c>
      <c r="N7" s="8">
        <f>'5'!$B$10</f>
        <v>0</v>
      </c>
      <c r="O7" s="10"/>
    </row>
    <row r="8" spans="1:15" x14ac:dyDescent="0.25">
      <c r="A8" s="7"/>
      <c r="B8" s="7">
        <f>'Approval and Documentation'!C$4</f>
        <v>0</v>
      </c>
      <c r="C8" s="7">
        <f>'Approval and Documentation'!C$6</f>
        <v>0</v>
      </c>
      <c r="D8" s="8">
        <f>'6'!$C$1</f>
        <v>0</v>
      </c>
      <c r="E8" s="11">
        <v>6</v>
      </c>
      <c r="F8" s="8">
        <f>'6'!$C$2</f>
        <v>0</v>
      </c>
      <c r="G8" s="8">
        <f>'6'!$C$3</f>
        <v>0</v>
      </c>
      <c r="H8" s="8">
        <f>'6'!$C$4</f>
        <v>0</v>
      </c>
      <c r="I8" s="8">
        <f>'6'!$A$12</f>
        <v>0</v>
      </c>
      <c r="J8" s="8">
        <f>'6'!$C$5</f>
        <v>0</v>
      </c>
      <c r="K8" s="8">
        <f>'6'!$A$9</f>
        <v>0</v>
      </c>
      <c r="L8" s="8">
        <f>'6'!$C$6</f>
        <v>0</v>
      </c>
      <c r="M8" s="8">
        <f>'6'!$C$7</f>
        <v>0</v>
      </c>
      <c r="N8" s="8">
        <f>'6'!$B$10</f>
        <v>0</v>
      </c>
      <c r="O8" s="10"/>
    </row>
    <row r="9" spans="1:15" x14ac:dyDescent="0.25">
      <c r="A9" s="7"/>
      <c r="B9" s="7">
        <f>'Approval and Documentation'!C$4</f>
        <v>0</v>
      </c>
      <c r="C9" s="7">
        <f>'Approval and Documentation'!C$6</f>
        <v>0</v>
      </c>
      <c r="D9" s="8">
        <f>'7'!$C$1</f>
        <v>0</v>
      </c>
      <c r="E9" s="7">
        <v>7</v>
      </c>
      <c r="F9" s="8">
        <f>'7'!$C$2</f>
        <v>0</v>
      </c>
      <c r="G9" s="8">
        <f>'7'!$C$3</f>
        <v>0</v>
      </c>
      <c r="H9" s="8">
        <f>'7'!$C$4</f>
        <v>0</v>
      </c>
      <c r="I9" s="8">
        <f>'7'!$A$12</f>
        <v>0</v>
      </c>
      <c r="J9" s="8">
        <f>'7'!$C$5</f>
        <v>0</v>
      </c>
      <c r="K9" s="8">
        <f>'7'!$A$9</f>
        <v>0</v>
      </c>
      <c r="L9" s="8">
        <f>'7'!$C$6</f>
        <v>0</v>
      </c>
      <c r="M9" s="8">
        <f>'7'!$C$7</f>
        <v>0</v>
      </c>
      <c r="N9" s="8">
        <f>'7'!$B$10</f>
        <v>0</v>
      </c>
      <c r="O9" s="10"/>
    </row>
    <row r="10" spans="1:15" x14ac:dyDescent="0.25">
      <c r="A10" s="7"/>
      <c r="B10" s="7">
        <f>'Approval and Documentation'!C$4</f>
        <v>0</v>
      </c>
      <c r="C10" s="7">
        <f>'Approval and Documentation'!C$6</f>
        <v>0</v>
      </c>
      <c r="D10" s="8">
        <f>'8'!$C$1</f>
        <v>0</v>
      </c>
      <c r="E10" s="11">
        <v>8</v>
      </c>
      <c r="F10" s="8">
        <f>'8'!$C$2</f>
        <v>0</v>
      </c>
      <c r="G10" s="8">
        <f>'8'!$C$3</f>
        <v>0</v>
      </c>
      <c r="H10" s="8">
        <f>'8'!$C$4</f>
        <v>0</v>
      </c>
      <c r="I10" s="8">
        <f>'8'!$A$12</f>
        <v>0</v>
      </c>
      <c r="J10" s="8">
        <f>'8'!$C$5</f>
        <v>0</v>
      </c>
      <c r="K10" s="8">
        <f>'8'!$A$9</f>
        <v>0</v>
      </c>
      <c r="L10" s="8">
        <f>'8'!$C$6</f>
        <v>0</v>
      </c>
      <c r="M10" s="8">
        <f>'8'!$C$7</f>
        <v>0</v>
      </c>
      <c r="N10" s="8">
        <f>'8'!$B$10</f>
        <v>0</v>
      </c>
      <c r="O10" s="10"/>
    </row>
    <row r="11" spans="1:15" x14ac:dyDescent="0.25">
      <c r="A11" s="7"/>
      <c r="B11" s="7">
        <f>'Approval and Documentation'!C$4</f>
        <v>0</v>
      </c>
      <c r="C11" s="7">
        <f>'Approval and Documentation'!C$6</f>
        <v>0</v>
      </c>
      <c r="D11" s="8">
        <f>'9'!$C$1</f>
        <v>0</v>
      </c>
      <c r="E11" s="7">
        <v>9</v>
      </c>
      <c r="F11" s="8">
        <f>'9'!$C$2</f>
        <v>0</v>
      </c>
      <c r="G11" s="8">
        <f>'9'!$C$3</f>
        <v>0</v>
      </c>
      <c r="H11" s="8">
        <f>'9'!$C$4</f>
        <v>0</v>
      </c>
      <c r="I11" s="8">
        <f>'9'!$A$12</f>
        <v>0</v>
      </c>
      <c r="J11" s="8">
        <f>'9'!$C$5</f>
        <v>0</v>
      </c>
      <c r="K11" s="8">
        <f>'9'!$A$9</f>
        <v>0</v>
      </c>
      <c r="L11" s="8">
        <f>'9'!$C$6</f>
        <v>0</v>
      </c>
      <c r="M11" s="8">
        <f>'9'!$C$7</f>
        <v>0</v>
      </c>
      <c r="N11" s="8">
        <f>'9'!$B$10</f>
        <v>0</v>
      </c>
      <c r="O11" s="10"/>
    </row>
    <row r="12" spans="1:15" x14ac:dyDescent="0.25">
      <c r="A12" s="7"/>
      <c r="B12" s="7">
        <f>'Approval and Documentation'!C$4</f>
        <v>0</v>
      </c>
      <c r="C12" s="7">
        <f>'Approval and Documentation'!C$6</f>
        <v>0</v>
      </c>
      <c r="D12" s="8">
        <f>'10'!$C$1</f>
        <v>0</v>
      </c>
      <c r="E12" s="11">
        <v>10</v>
      </c>
      <c r="F12" s="8">
        <f>'10'!$C$2</f>
        <v>0</v>
      </c>
      <c r="G12" s="8">
        <f>'10'!$C$3</f>
        <v>0</v>
      </c>
      <c r="H12" s="8">
        <f>'10'!$C$4</f>
        <v>0</v>
      </c>
      <c r="I12" s="8">
        <f>'10'!$A$12</f>
        <v>0</v>
      </c>
      <c r="J12" s="8">
        <f>'10'!$C$5</f>
        <v>0</v>
      </c>
      <c r="K12" s="8">
        <f>'10'!$A$9</f>
        <v>0</v>
      </c>
      <c r="L12" s="8">
        <f>'10'!$C$6</f>
        <v>0</v>
      </c>
      <c r="M12" s="8">
        <f>'10'!$C$7</f>
        <v>0</v>
      </c>
      <c r="N12" s="8">
        <f>'10'!$B$10</f>
        <v>0</v>
      </c>
      <c r="O12" s="10"/>
    </row>
    <row r="13" spans="1:15" x14ac:dyDescent="0.25">
      <c r="A13" s="7"/>
      <c r="B13" s="7">
        <f>'Approval and Documentation'!C$4</f>
        <v>0</v>
      </c>
      <c r="C13" s="7">
        <f>'Approval and Documentation'!C$6</f>
        <v>0</v>
      </c>
      <c r="D13" s="8">
        <f>'11'!$C$1</f>
        <v>0</v>
      </c>
      <c r="E13" s="7">
        <v>11</v>
      </c>
      <c r="F13" s="8">
        <f>'11'!$C$2</f>
        <v>0</v>
      </c>
      <c r="G13" s="8">
        <f>'11'!$C$3</f>
        <v>0</v>
      </c>
      <c r="H13" s="8">
        <f>'11'!$C$4</f>
        <v>0</v>
      </c>
      <c r="I13" s="8">
        <f>'11'!$A$12</f>
        <v>0</v>
      </c>
      <c r="J13" s="8">
        <f>'11'!$C$5</f>
        <v>0</v>
      </c>
      <c r="K13" s="8">
        <f>'11'!$A$9</f>
        <v>0</v>
      </c>
      <c r="L13" s="8">
        <f>'11'!$C$6</f>
        <v>0</v>
      </c>
      <c r="M13" s="8">
        <f>'11'!$C$7</f>
        <v>0</v>
      </c>
      <c r="N13" s="8">
        <f>'11'!$B$10</f>
        <v>0</v>
      </c>
      <c r="O13" s="10"/>
    </row>
    <row r="14" spans="1:15" x14ac:dyDescent="0.25">
      <c r="A14" s="7"/>
      <c r="B14" s="7">
        <f>'Approval and Documentation'!C$4</f>
        <v>0</v>
      </c>
      <c r="C14" s="7">
        <f>'Approval and Documentation'!C$6</f>
        <v>0</v>
      </c>
      <c r="D14" s="8">
        <f>'12'!$C$1</f>
        <v>0</v>
      </c>
      <c r="E14" s="11">
        <v>12</v>
      </c>
      <c r="F14" s="8">
        <f>'12'!$C$2</f>
        <v>0</v>
      </c>
      <c r="G14" s="8">
        <f>'12'!$C$3</f>
        <v>0</v>
      </c>
      <c r="H14" s="8">
        <f>'12'!$C$4</f>
        <v>0</v>
      </c>
      <c r="I14" s="8">
        <f>'12'!$A$12</f>
        <v>0</v>
      </c>
      <c r="J14" s="8">
        <f>'12'!$C$5</f>
        <v>0</v>
      </c>
      <c r="K14" s="8">
        <f>'12'!$A$9</f>
        <v>0</v>
      </c>
      <c r="L14" s="8">
        <f>'12'!$C$6</f>
        <v>0</v>
      </c>
      <c r="M14" s="8">
        <f>'12'!$C$7</f>
        <v>0</v>
      </c>
      <c r="N14" s="8">
        <f>'12'!$B$10</f>
        <v>0</v>
      </c>
      <c r="O14" s="10"/>
    </row>
    <row r="15" spans="1:15" x14ac:dyDescent="0.25">
      <c r="A15" s="7"/>
      <c r="B15" s="7">
        <f>'Approval and Documentation'!C$4</f>
        <v>0</v>
      </c>
      <c r="C15" s="7">
        <f>'Approval and Documentation'!C$6</f>
        <v>0</v>
      </c>
      <c r="D15" s="8">
        <f>'13'!$C$1</f>
        <v>0</v>
      </c>
      <c r="E15" s="7">
        <v>13</v>
      </c>
      <c r="F15" s="8">
        <f>'13'!$C$2</f>
        <v>0</v>
      </c>
      <c r="G15" s="8">
        <f>'13'!$C$3</f>
        <v>0</v>
      </c>
      <c r="H15" s="8">
        <f>'13'!$C$4</f>
        <v>0</v>
      </c>
      <c r="I15" s="8">
        <f>'13'!$A$12</f>
        <v>0</v>
      </c>
      <c r="J15" s="8">
        <f>'13'!$C$5</f>
        <v>0</v>
      </c>
      <c r="K15" s="8">
        <f>'13'!$A$9</f>
        <v>0</v>
      </c>
      <c r="L15" s="8">
        <f>'13'!$C$6</f>
        <v>0</v>
      </c>
      <c r="M15" s="8">
        <f>'13'!$C$7</f>
        <v>0</v>
      </c>
      <c r="N15" s="8">
        <f>'13'!$B$10</f>
        <v>0</v>
      </c>
      <c r="O15" s="10"/>
    </row>
    <row r="16" spans="1:15" x14ac:dyDescent="0.25">
      <c r="A16" s="7"/>
      <c r="B16" s="7">
        <f>'Approval and Documentation'!C$4</f>
        <v>0</v>
      </c>
      <c r="C16" s="7">
        <f>'Approval and Documentation'!C$6</f>
        <v>0</v>
      </c>
      <c r="D16" s="8">
        <f>'14'!$C$1</f>
        <v>0</v>
      </c>
      <c r="E16" s="11">
        <v>14</v>
      </c>
      <c r="F16" s="8">
        <f>'14'!$C$2</f>
        <v>0</v>
      </c>
      <c r="G16" s="8">
        <f>'14'!$C$3</f>
        <v>0</v>
      </c>
      <c r="H16" s="8">
        <f>'14'!$C$4</f>
        <v>0</v>
      </c>
      <c r="I16" s="8">
        <f>'14'!$A$12</f>
        <v>0</v>
      </c>
      <c r="J16" s="8">
        <f>'14'!$C$5</f>
        <v>0</v>
      </c>
      <c r="K16" s="8">
        <f>'14'!$A$9</f>
        <v>0</v>
      </c>
      <c r="L16" s="8">
        <f>'14'!$C$6</f>
        <v>0</v>
      </c>
      <c r="M16" s="8">
        <f>'14'!$C$7</f>
        <v>0</v>
      </c>
      <c r="N16" s="8">
        <f>'14'!$B$10</f>
        <v>0</v>
      </c>
      <c r="O16" s="10"/>
    </row>
    <row r="17" spans="1:15" x14ac:dyDescent="0.25">
      <c r="A17" s="7"/>
      <c r="B17" s="7">
        <f>'Approval and Documentation'!C$4</f>
        <v>0</v>
      </c>
      <c r="C17" s="7">
        <f>'Approval and Documentation'!C$6</f>
        <v>0</v>
      </c>
      <c r="D17" s="8">
        <f>'15'!$C$1</f>
        <v>0</v>
      </c>
      <c r="E17" s="7">
        <v>15</v>
      </c>
      <c r="F17" s="8">
        <f>'15'!$C$2</f>
        <v>0</v>
      </c>
      <c r="G17" s="8">
        <f>'15'!$C$3</f>
        <v>0</v>
      </c>
      <c r="H17" s="8">
        <f>'15'!$C$4</f>
        <v>0</v>
      </c>
      <c r="I17" s="8">
        <f>'15'!$A$12</f>
        <v>0</v>
      </c>
      <c r="J17" s="8">
        <f>'15'!$C$5</f>
        <v>0</v>
      </c>
      <c r="K17" s="8">
        <f>'15'!$A$9</f>
        <v>0</v>
      </c>
      <c r="L17" s="8">
        <f>'15'!$C$6</f>
        <v>0</v>
      </c>
      <c r="M17" s="8">
        <f>'15'!$C$7</f>
        <v>0</v>
      </c>
      <c r="N17" s="8">
        <f>'15'!$B$10</f>
        <v>0</v>
      </c>
      <c r="O17" s="10"/>
    </row>
    <row r="18" spans="1:15" x14ac:dyDescent="0.25">
      <c r="A18" s="7"/>
      <c r="B18" s="7">
        <f>'Approval and Documentation'!C$4</f>
        <v>0</v>
      </c>
      <c r="C18" s="7">
        <f>'Approval and Documentation'!C$6</f>
        <v>0</v>
      </c>
      <c r="D18" s="8">
        <f>'16'!$C$1</f>
        <v>0</v>
      </c>
      <c r="E18" s="11">
        <v>16</v>
      </c>
      <c r="F18" s="8">
        <f>'16'!$C$2</f>
        <v>0</v>
      </c>
      <c r="G18" s="8">
        <f>'16'!$C$3</f>
        <v>0</v>
      </c>
      <c r="H18" s="8">
        <f>'16'!$C$4</f>
        <v>0</v>
      </c>
      <c r="I18" s="8">
        <f>'16'!$A$12</f>
        <v>0</v>
      </c>
      <c r="J18" s="8">
        <f>'16'!$C$5</f>
        <v>0</v>
      </c>
      <c r="K18" s="8">
        <f>'16'!$A$9</f>
        <v>0</v>
      </c>
      <c r="L18" s="8">
        <f>'16'!$C$6</f>
        <v>0</v>
      </c>
      <c r="M18" s="8">
        <f>'16'!$C$7</f>
        <v>0</v>
      </c>
      <c r="N18" s="8">
        <f>'16'!$B$10</f>
        <v>0</v>
      </c>
      <c r="O18" s="10"/>
    </row>
    <row r="19" spans="1:15" x14ac:dyDescent="0.25">
      <c r="A19" s="7"/>
      <c r="B19" s="7">
        <f>'Approval and Documentation'!C$4</f>
        <v>0</v>
      </c>
      <c r="C19" s="7">
        <f>'Approval and Documentation'!C$6</f>
        <v>0</v>
      </c>
      <c r="D19" s="8">
        <f>'17'!$C$1</f>
        <v>0</v>
      </c>
      <c r="E19" s="7">
        <v>17</v>
      </c>
      <c r="F19" s="8">
        <f>'17'!$C$2</f>
        <v>0</v>
      </c>
      <c r="G19" s="8">
        <f>'17'!$C$3</f>
        <v>0</v>
      </c>
      <c r="H19" s="8">
        <f>'17'!$C$4</f>
        <v>0</v>
      </c>
      <c r="I19" s="8">
        <f>'17'!$A$12</f>
        <v>0</v>
      </c>
      <c r="J19" s="8">
        <f>'17'!$C$5</f>
        <v>0</v>
      </c>
      <c r="K19" s="8">
        <f>'17'!$A$9</f>
        <v>0</v>
      </c>
      <c r="L19" s="8">
        <f>'17'!$C$6</f>
        <v>0</v>
      </c>
      <c r="M19" s="8">
        <f>'17'!$C$7</f>
        <v>0</v>
      </c>
      <c r="N19" s="8">
        <f>'17'!$B$10</f>
        <v>0</v>
      </c>
      <c r="O19" s="10"/>
    </row>
    <row r="20" spans="1:15" x14ac:dyDescent="0.25">
      <c r="A20" s="7"/>
      <c r="B20" s="7">
        <f>'Approval and Documentation'!C$4</f>
        <v>0</v>
      </c>
      <c r="C20" s="7">
        <f>'Approval and Documentation'!C$6</f>
        <v>0</v>
      </c>
      <c r="D20" s="8">
        <f>'18'!$C$1</f>
        <v>0</v>
      </c>
      <c r="E20" s="11">
        <v>18</v>
      </c>
      <c r="F20" s="8">
        <f>'18'!$C$2</f>
        <v>0</v>
      </c>
      <c r="G20" s="8">
        <f>'18'!$C$3</f>
        <v>0</v>
      </c>
      <c r="H20" s="8">
        <f>'18'!$C$4</f>
        <v>0</v>
      </c>
      <c r="I20" s="8">
        <f>'18'!$A$12</f>
        <v>0</v>
      </c>
      <c r="J20" s="8">
        <f>'18'!$C$5</f>
        <v>0</v>
      </c>
      <c r="K20" s="8">
        <f>'18'!$A$9</f>
        <v>0</v>
      </c>
      <c r="L20" s="8">
        <f>'18'!$C$6</f>
        <v>0</v>
      </c>
      <c r="M20" s="8">
        <f>'18'!$C$7</f>
        <v>0</v>
      </c>
      <c r="N20" s="8">
        <f>'18'!$B$10</f>
        <v>0</v>
      </c>
      <c r="O20" s="10"/>
    </row>
    <row r="21" spans="1:15" x14ac:dyDescent="0.25">
      <c r="A21" s="7"/>
      <c r="B21" s="7">
        <f>'Approval and Documentation'!C$4</f>
        <v>0</v>
      </c>
      <c r="C21" s="7">
        <f>'Approval and Documentation'!C$6</f>
        <v>0</v>
      </c>
      <c r="D21" s="8">
        <f>'19'!$C$1</f>
        <v>0</v>
      </c>
      <c r="E21" s="7">
        <v>19</v>
      </c>
      <c r="F21" s="8">
        <f>'19'!$C$2</f>
        <v>0</v>
      </c>
      <c r="G21" s="8">
        <f>'19'!$C$3</f>
        <v>0</v>
      </c>
      <c r="H21" s="8">
        <f>'19'!$C$4</f>
        <v>0</v>
      </c>
      <c r="I21" s="8">
        <f>'19'!$A$12</f>
        <v>0</v>
      </c>
      <c r="J21" s="8">
        <f>'19'!$C$5</f>
        <v>0</v>
      </c>
      <c r="K21" s="8">
        <f>'19'!$A$9</f>
        <v>0</v>
      </c>
      <c r="L21" s="8">
        <f>'19'!$C$6</f>
        <v>0</v>
      </c>
      <c r="M21" s="8">
        <f>'19'!$C$7</f>
        <v>0</v>
      </c>
      <c r="N21" s="8">
        <f>'19'!$B$10</f>
        <v>0</v>
      </c>
      <c r="O21" s="10"/>
    </row>
    <row r="22" spans="1:15" x14ac:dyDescent="0.25">
      <c r="A22" s="7"/>
      <c r="B22" s="7">
        <f>'Approval and Documentation'!C$4</f>
        <v>0</v>
      </c>
      <c r="C22" s="7">
        <f>'Approval and Documentation'!C$6</f>
        <v>0</v>
      </c>
      <c r="D22" s="8">
        <f>'20'!$C$1</f>
        <v>0</v>
      </c>
      <c r="E22" s="11">
        <v>20</v>
      </c>
      <c r="F22" s="8">
        <f>'20'!$C$2</f>
        <v>0</v>
      </c>
      <c r="G22" s="8">
        <f>'20'!$C$3</f>
        <v>0</v>
      </c>
      <c r="H22" s="8">
        <f>'20'!$C$4</f>
        <v>0</v>
      </c>
      <c r="I22" s="8">
        <f>'20'!$A$12</f>
        <v>0</v>
      </c>
      <c r="J22" s="8">
        <f>'20'!$C$5</f>
        <v>0</v>
      </c>
      <c r="K22" s="8">
        <f>'20'!$A$9</f>
        <v>0</v>
      </c>
      <c r="L22" s="8">
        <f>'20'!$C$6</f>
        <v>0</v>
      </c>
      <c r="M22" s="8">
        <f>'20'!$C$7</f>
        <v>0</v>
      </c>
      <c r="N22" s="8">
        <f>'20'!$B$10</f>
        <v>0</v>
      </c>
      <c r="O22" s="10"/>
    </row>
    <row r="23" spans="1:15" x14ac:dyDescent="0.25">
      <c r="A23" s="7"/>
      <c r="B23" s="7">
        <f>'Approval and Documentation'!C$4</f>
        <v>0</v>
      </c>
      <c r="C23" s="7">
        <f>'Approval and Documentation'!C$6</f>
        <v>0</v>
      </c>
      <c r="D23" s="8">
        <f>'21'!$C$1</f>
        <v>0</v>
      </c>
      <c r="E23" s="11">
        <v>21</v>
      </c>
      <c r="F23" s="8">
        <f>'21'!$C$2</f>
        <v>0</v>
      </c>
      <c r="G23" s="8">
        <f>'21'!$C$3</f>
        <v>0</v>
      </c>
      <c r="H23" s="8">
        <f>'21'!$C$4</f>
        <v>0</v>
      </c>
      <c r="I23" s="8">
        <f>'21'!$A$12</f>
        <v>0</v>
      </c>
      <c r="J23" s="8">
        <f>'21'!$C$5</f>
        <v>0</v>
      </c>
      <c r="K23" s="8">
        <f>'21'!$A$9</f>
        <v>0</v>
      </c>
      <c r="L23" s="8">
        <f>'21'!$C$6</f>
        <v>0</v>
      </c>
      <c r="M23" s="8">
        <f>'21'!$C$7</f>
        <v>0</v>
      </c>
      <c r="N23" s="8">
        <f>'21'!$B$10</f>
        <v>0</v>
      </c>
      <c r="O23" s="10"/>
    </row>
    <row r="24" spans="1:15" x14ac:dyDescent="0.25">
      <c r="A24" s="7"/>
      <c r="B24" s="7">
        <f>'Approval and Documentation'!C$4</f>
        <v>0</v>
      </c>
      <c r="C24" s="7">
        <f>'Approval and Documentation'!C$6</f>
        <v>0</v>
      </c>
      <c r="D24" s="8">
        <f>'22'!$C$1</f>
        <v>0</v>
      </c>
      <c r="E24" s="11">
        <v>22</v>
      </c>
      <c r="F24" s="8">
        <f>'22'!$C$2</f>
        <v>0</v>
      </c>
      <c r="G24" s="8">
        <f>'22'!$C$3</f>
        <v>0</v>
      </c>
      <c r="H24" s="8">
        <f>'22'!$C$4</f>
        <v>0</v>
      </c>
      <c r="I24" s="8">
        <f>'22'!$A$12</f>
        <v>0</v>
      </c>
      <c r="J24" s="8">
        <f>'22'!$C$5</f>
        <v>0</v>
      </c>
      <c r="K24" s="8">
        <f>'22'!$A$9</f>
        <v>0</v>
      </c>
      <c r="L24" s="8">
        <f>'22'!$C$6</f>
        <v>0</v>
      </c>
      <c r="M24" s="8">
        <f>'22'!$C$7</f>
        <v>0</v>
      </c>
      <c r="N24" s="8">
        <f>'22'!$B$10</f>
        <v>0</v>
      </c>
      <c r="O24" s="10"/>
    </row>
    <row r="25" spans="1:15" x14ac:dyDescent="0.25">
      <c r="A25" s="7"/>
      <c r="B25" s="7">
        <f>'Approval and Documentation'!C$4</f>
        <v>0</v>
      </c>
      <c r="C25" s="7">
        <f>'Approval and Documentation'!C$6</f>
        <v>0</v>
      </c>
      <c r="D25" s="8">
        <f>'23'!$C$1</f>
        <v>0</v>
      </c>
      <c r="E25" s="11">
        <v>23</v>
      </c>
      <c r="F25" s="8">
        <f>'23'!$C$2</f>
        <v>0</v>
      </c>
      <c r="G25" s="8">
        <f>'23'!$C$3</f>
        <v>0</v>
      </c>
      <c r="H25" s="8">
        <f>'23'!$C$4</f>
        <v>0</v>
      </c>
      <c r="I25" s="8">
        <f>'23'!$A$12</f>
        <v>0</v>
      </c>
      <c r="J25" s="8">
        <f>'23'!$C$5</f>
        <v>0</v>
      </c>
      <c r="K25" s="8">
        <f>'23'!$A$9</f>
        <v>0</v>
      </c>
      <c r="L25" s="8">
        <f>'23'!$C$6</f>
        <v>0</v>
      </c>
      <c r="M25" s="8">
        <f>'23'!$C$7</f>
        <v>0</v>
      </c>
      <c r="N25" s="8">
        <f>'23'!$B$10</f>
        <v>0</v>
      </c>
      <c r="O25" s="10"/>
    </row>
    <row r="26" spans="1:15" x14ac:dyDescent="0.25">
      <c r="A26" s="7"/>
      <c r="B26" s="7">
        <f>'Approval and Documentation'!C$4</f>
        <v>0</v>
      </c>
      <c r="C26" s="7">
        <f>'Approval and Documentation'!C$6</f>
        <v>0</v>
      </c>
      <c r="D26" s="8">
        <f>'24'!$C$1</f>
        <v>0</v>
      </c>
      <c r="E26" s="11">
        <v>24</v>
      </c>
      <c r="F26" s="8">
        <f>'24'!$C$2</f>
        <v>0</v>
      </c>
      <c r="G26" s="8">
        <f>'24'!$C$3</f>
        <v>0</v>
      </c>
      <c r="H26" s="8">
        <f>'24'!$C$4</f>
        <v>0</v>
      </c>
      <c r="I26" s="8">
        <f>'24'!$A$12</f>
        <v>0</v>
      </c>
      <c r="J26" s="8">
        <f>'24'!$C$5</f>
        <v>0</v>
      </c>
      <c r="K26" s="8">
        <f>'24'!$A$9</f>
        <v>0</v>
      </c>
      <c r="L26" s="8">
        <f>'24'!$C$6</f>
        <v>0</v>
      </c>
      <c r="M26" s="8">
        <f>'24'!$C$7</f>
        <v>0</v>
      </c>
      <c r="N26" s="8">
        <f>'24'!$B$10</f>
        <v>0</v>
      </c>
      <c r="O26" s="10"/>
    </row>
    <row r="27" spans="1:15" x14ac:dyDescent="0.25">
      <c r="A27" s="7"/>
      <c r="B27" s="7">
        <f>'Approval and Documentation'!C$4</f>
        <v>0</v>
      </c>
      <c r="C27" s="7">
        <f>'Approval and Documentation'!C$6</f>
        <v>0</v>
      </c>
      <c r="D27" s="8">
        <f>'25'!$C$1</f>
        <v>0</v>
      </c>
      <c r="E27" s="11">
        <v>25</v>
      </c>
      <c r="F27" s="8">
        <f>'25'!$C$2</f>
        <v>0</v>
      </c>
      <c r="G27" s="8">
        <f>'25'!$C$3</f>
        <v>0</v>
      </c>
      <c r="H27" s="8">
        <f>'25'!$C$4</f>
        <v>0</v>
      </c>
      <c r="I27" s="8">
        <f>'25'!$A$12</f>
        <v>0</v>
      </c>
      <c r="J27" s="8">
        <f>'25'!$C$5</f>
        <v>0</v>
      </c>
      <c r="K27" s="8">
        <f>'25'!$A$9</f>
        <v>0</v>
      </c>
      <c r="L27" s="8">
        <f>'25'!$C$6</f>
        <v>0</v>
      </c>
      <c r="M27" s="8">
        <f>'25'!$C$7</f>
        <v>0</v>
      </c>
      <c r="N27" s="8">
        <f>'25'!$B$10</f>
        <v>0</v>
      </c>
      <c r="O27" s="10"/>
    </row>
    <row r="28" spans="1:15" x14ac:dyDescent="0.25">
      <c r="A28" s="7"/>
      <c r="B28" s="7">
        <f>'Approval and Documentation'!C$4</f>
        <v>0</v>
      </c>
      <c r="C28" s="7">
        <f>'Approval and Documentation'!C$6</f>
        <v>0</v>
      </c>
      <c r="D28" s="8">
        <f>'26'!$C$1</f>
        <v>0</v>
      </c>
      <c r="E28" s="11">
        <v>26</v>
      </c>
      <c r="F28" s="8">
        <f>'26'!$C$2</f>
        <v>0</v>
      </c>
      <c r="G28" s="8">
        <f>'26'!$C$3</f>
        <v>0</v>
      </c>
      <c r="H28" s="8">
        <f>'26'!$C$4</f>
        <v>0</v>
      </c>
      <c r="I28" s="8">
        <f>'26'!$A$12</f>
        <v>0</v>
      </c>
      <c r="J28" s="8">
        <f>'26'!$C$5</f>
        <v>0</v>
      </c>
      <c r="K28" s="8">
        <f>'26'!$A$9</f>
        <v>0</v>
      </c>
      <c r="L28" s="8">
        <f>'26'!$C$6</f>
        <v>0</v>
      </c>
      <c r="M28" s="8">
        <f>'26'!$C$7</f>
        <v>0</v>
      </c>
      <c r="N28" s="8">
        <f>'26'!$B$10</f>
        <v>0</v>
      </c>
      <c r="O28" s="10"/>
    </row>
    <row r="29" spans="1:15" x14ac:dyDescent="0.25">
      <c r="A29" s="7"/>
      <c r="B29" s="7">
        <f>'Approval and Documentation'!C$4</f>
        <v>0</v>
      </c>
      <c r="C29" s="7">
        <f>'Approval and Documentation'!C$6</f>
        <v>0</v>
      </c>
      <c r="D29" s="8">
        <f>'27'!$C$1</f>
        <v>0</v>
      </c>
      <c r="E29" s="11">
        <v>27</v>
      </c>
      <c r="F29" s="8">
        <f>'27'!$C$2</f>
        <v>0</v>
      </c>
      <c r="G29" s="8">
        <f>'27'!$C$3</f>
        <v>0</v>
      </c>
      <c r="H29" s="8">
        <f>'27'!$C$4</f>
        <v>0</v>
      </c>
      <c r="I29" s="8">
        <f>'27'!$A$12</f>
        <v>0</v>
      </c>
      <c r="J29" s="8">
        <f>'27'!$C$5</f>
        <v>0</v>
      </c>
      <c r="K29" s="8">
        <f>'27'!$A$9</f>
        <v>0</v>
      </c>
      <c r="L29" s="8">
        <f>'27'!$C$6</f>
        <v>0</v>
      </c>
      <c r="M29" s="8">
        <f>'27'!$C$7</f>
        <v>0</v>
      </c>
      <c r="N29" s="8">
        <f>'27'!$B$10</f>
        <v>0</v>
      </c>
      <c r="O29" s="10"/>
    </row>
    <row r="30" spans="1:15" x14ac:dyDescent="0.25">
      <c r="A30" s="7"/>
      <c r="B30" s="7">
        <f>'Approval and Documentation'!C$4</f>
        <v>0</v>
      </c>
      <c r="C30" s="7">
        <f>'Approval and Documentation'!C$6</f>
        <v>0</v>
      </c>
      <c r="D30" s="8">
        <f>'28'!$C$1</f>
        <v>0</v>
      </c>
      <c r="E30" s="11">
        <v>28</v>
      </c>
      <c r="F30" s="8">
        <f>'28'!$C$2</f>
        <v>0</v>
      </c>
      <c r="G30" s="8">
        <f>'28'!$C$3</f>
        <v>0</v>
      </c>
      <c r="H30" s="8">
        <f>'28'!$C$4</f>
        <v>0</v>
      </c>
      <c r="I30" s="8">
        <f>'28'!$A$12</f>
        <v>0</v>
      </c>
      <c r="J30" s="8">
        <f>'28'!$C$5</f>
        <v>0</v>
      </c>
      <c r="K30" s="8">
        <f>'28'!$A$9</f>
        <v>0</v>
      </c>
      <c r="L30" s="8">
        <f>'28'!$C$6</f>
        <v>0</v>
      </c>
      <c r="M30" s="8">
        <f>'28'!$C$7</f>
        <v>0</v>
      </c>
      <c r="N30" s="8">
        <f>'28'!$B$10</f>
        <v>0</v>
      </c>
      <c r="O30" s="10"/>
    </row>
    <row r="31" spans="1:15" x14ac:dyDescent="0.25">
      <c r="A31" s="7"/>
      <c r="B31" s="7">
        <f>'Approval and Documentation'!C$4</f>
        <v>0</v>
      </c>
      <c r="C31" s="7">
        <f>'Approval and Documentation'!C$6</f>
        <v>0</v>
      </c>
      <c r="D31" s="8">
        <f>'29'!$C$1</f>
        <v>0</v>
      </c>
      <c r="E31" s="11">
        <v>29</v>
      </c>
      <c r="F31" s="8">
        <f>'29'!$C$2</f>
        <v>0</v>
      </c>
      <c r="G31" s="8">
        <f>'29'!$C$3</f>
        <v>0</v>
      </c>
      <c r="H31" s="8">
        <f>'29'!$C$4</f>
        <v>0</v>
      </c>
      <c r="I31" s="8">
        <f>'29'!$A$12</f>
        <v>0</v>
      </c>
      <c r="J31" s="8">
        <f>'29'!$C$5</f>
        <v>0</v>
      </c>
      <c r="K31" s="8">
        <f>'29'!$A$9</f>
        <v>0</v>
      </c>
      <c r="L31" s="8">
        <f>'29'!$C$6</f>
        <v>0</v>
      </c>
      <c r="M31" s="8">
        <f>'29'!$C$7</f>
        <v>0</v>
      </c>
      <c r="N31" s="8">
        <f>'29'!$B$10</f>
        <v>0</v>
      </c>
      <c r="O31" s="10"/>
    </row>
    <row r="32" spans="1:15" x14ac:dyDescent="0.25">
      <c r="A32" s="7"/>
      <c r="B32" s="7">
        <f>'Approval and Documentation'!C$4</f>
        <v>0</v>
      </c>
      <c r="C32" s="7">
        <f>'Approval and Documentation'!C$6</f>
        <v>0</v>
      </c>
      <c r="D32" s="8">
        <f>'30'!$C$1</f>
        <v>0</v>
      </c>
      <c r="E32" s="11">
        <v>30</v>
      </c>
      <c r="F32" s="8">
        <f>'30'!$C$2</f>
        <v>0</v>
      </c>
      <c r="G32" s="8">
        <f>'30'!$C$3</f>
        <v>0</v>
      </c>
      <c r="H32" s="8">
        <f>'30'!$C$4</f>
        <v>0</v>
      </c>
      <c r="I32" s="8">
        <f>'30'!$A$12</f>
        <v>0</v>
      </c>
      <c r="J32" s="8">
        <f>'30'!$C$5</f>
        <v>0</v>
      </c>
      <c r="K32" s="8">
        <f>'30'!$A$9</f>
        <v>0</v>
      </c>
      <c r="L32" s="8">
        <f>'30'!$C$6</f>
        <v>0</v>
      </c>
      <c r="M32" s="8">
        <f>'30'!$C$7</f>
        <v>0</v>
      </c>
      <c r="N32" s="8">
        <f>'30'!$B$10</f>
        <v>0</v>
      </c>
      <c r="O32" s="10"/>
    </row>
    <row r="33" spans="1:15" x14ac:dyDescent="0.25">
      <c r="A33" s="7"/>
      <c r="B33" s="7">
        <f>'Approval and Documentation'!C$4</f>
        <v>0</v>
      </c>
      <c r="C33" s="7">
        <f>'Approval and Documentation'!C$6</f>
        <v>0</v>
      </c>
      <c r="D33" s="8">
        <f>'31'!$C$1</f>
        <v>0</v>
      </c>
      <c r="E33" s="11">
        <v>31</v>
      </c>
      <c r="F33" s="8">
        <f>'31'!$C$2</f>
        <v>0</v>
      </c>
      <c r="G33" s="8">
        <f>'31'!$C$3</f>
        <v>0</v>
      </c>
      <c r="H33" s="8">
        <f>'31'!$C$4</f>
        <v>0</v>
      </c>
      <c r="I33" s="8">
        <f>'31'!$A$12</f>
        <v>0</v>
      </c>
      <c r="J33" s="8">
        <f>'31'!$C$5</f>
        <v>0</v>
      </c>
      <c r="K33" s="8">
        <f>'31'!$A$9</f>
        <v>0</v>
      </c>
      <c r="L33" s="8">
        <f>'31'!$C$6</f>
        <v>0</v>
      </c>
      <c r="M33" s="8">
        <f>'31'!$C$7</f>
        <v>0</v>
      </c>
      <c r="N33" s="8">
        <f>'31'!$B$10</f>
        <v>0</v>
      </c>
      <c r="O33" s="10"/>
    </row>
    <row r="34" spans="1:15" x14ac:dyDescent="0.25">
      <c r="A34" s="7"/>
      <c r="B34" s="7">
        <f>'Approval and Documentation'!C$4</f>
        <v>0</v>
      </c>
      <c r="C34" s="7">
        <f>'Approval and Documentation'!C$6</f>
        <v>0</v>
      </c>
      <c r="D34" s="8">
        <f>'32'!$C$1</f>
        <v>0</v>
      </c>
      <c r="E34" s="11">
        <v>32</v>
      </c>
      <c r="F34" s="8">
        <f>'32'!$C$2</f>
        <v>0</v>
      </c>
      <c r="G34" s="8">
        <f>'32'!$C$3</f>
        <v>0</v>
      </c>
      <c r="H34" s="8">
        <f>'32'!$C$4</f>
        <v>0</v>
      </c>
      <c r="I34" s="8">
        <f>'32'!$A$12</f>
        <v>0</v>
      </c>
      <c r="J34" s="8">
        <f>'32'!$C$5</f>
        <v>0</v>
      </c>
      <c r="K34" s="8">
        <f>'32'!$A$9</f>
        <v>0</v>
      </c>
      <c r="L34" s="8">
        <f>'32'!$C$6</f>
        <v>0</v>
      </c>
      <c r="M34" s="8">
        <f>'32'!$C$7</f>
        <v>0</v>
      </c>
      <c r="N34" s="8">
        <f>'32'!$B$10</f>
        <v>0</v>
      </c>
      <c r="O34" s="10"/>
    </row>
    <row r="35" spans="1:15" x14ac:dyDescent="0.25">
      <c r="A35" s="7"/>
      <c r="B35" s="7">
        <f>'Approval and Documentation'!C$4</f>
        <v>0</v>
      </c>
      <c r="C35" s="7">
        <f>'Approval and Documentation'!C$6</f>
        <v>0</v>
      </c>
      <c r="D35" s="8">
        <f>'33'!$C$1</f>
        <v>0</v>
      </c>
      <c r="E35" s="11">
        <v>33</v>
      </c>
      <c r="F35" s="8">
        <f>'33'!$C$2</f>
        <v>0</v>
      </c>
      <c r="G35" s="8">
        <f>'33'!$C$3</f>
        <v>0</v>
      </c>
      <c r="H35" s="8">
        <f>'33'!$C$4</f>
        <v>0</v>
      </c>
      <c r="I35" s="8">
        <f>'33'!$A$12</f>
        <v>0</v>
      </c>
      <c r="J35" s="8">
        <f>'33'!$C$5</f>
        <v>0</v>
      </c>
      <c r="K35" s="8">
        <f>'33'!$A$9</f>
        <v>0</v>
      </c>
      <c r="L35" s="8">
        <f>'33'!$C$6</f>
        <v>0</v>
      </c>
      <c r="M35" s="8">
        <f>'33'!$C$7</f>
        <v>0</v>
      </c>
      <c r="N35" s="8">
        <f>'33'!$B$10</f>
        <v>0</v>
      </c>
      <c r="O35" s="10"/>
    </row>
    <row r="36" spans="1:15" x14ac:dyDescent="0.25">
      <c r="A36" s="7"/>
      <c r="B36" s="7">
        <f>'Approval and Documentation'!C$4</f>
        <v>0</v>
      </c>
      <c r="C36" s="7">
        <f>'Approval and Documentation'!C$6</f>
        <v>0</v>
      </c>
      <c r="D36" s="8">
        <f>'34'!$C$1</f>
        <v>0</v>
      </c>
      <c r="E36" s="11">
        <v>34</v>
      </c>
      <c r="F36" s="8">
        <f>'34'!$C$2</f>
        <v>0</v>
      </c>
      <c r="G36" s="8">
        <f>'34'!$C$3</f>
        <v>0</v>
      </c>
      <c r="H36" s="8">
        <f>'34'!$C$4</f>
        <v>0</v>
      </c>
      <c r="I36" s="8">
        <f>'34'!$A$12</f>
        <v>0</v>
      </c>
      <c r="J36" s="8">
        <f>'34'!$C$5</f>
        <v>0</v>
      </c>
      <c r="K36" s="8">
        <f>'34'!$A$9</f>
        <v>0</v>
      </c>
      <c r="L36" s="8">
        <f>'34'!$C$6</f>
        <v>0</v>
      </c>
      <c r="M36" s="8">
        <f>'34'!$C$7</f>
        <v>0</v>
      </c>
      <c r="N36" s="8">
        <f>'34'!$B$10</f>
        <v>0</v>
      </c>
      <c r="O36" s="10"/>
    </row>
    <row r="37" spans="1:15" x14ac:dyDescent="0.25">
      <c r="A37" s="7"/>
      <c r="B37" s="7">
        <f>'Approval and Documentation'!C$4</f>
        <v>0</v>
      </c>
      <c r="C37" s="7">
        <f>'Approval and Documentation'!C$6</f>
        <v>0</v>
      </c>
      <c r="D37" s="8">
        <f>'35'!$C$1</f>
        <v>0</v>
      </c>
      <c r="E37" s="11">
        <v>35</v>
      </c>
      <c r="F37" s="8">
        <f>'35'!$C$2</f>
        <v>0</v>
      </c>
      <c r="G37" s="8">
        <f>'35'!$C$3</f>
        <v>0</v>
      </c>
      <c r="H37" s="8">
        <f>'35'!$C$4</f>
        <v>0</v>
      </c>
      <c r="I37" s="8">
        <f>'35'!$A$12</f>
        <v>0</v>
      </c>
      <c r="J37" s="8">
        <f>'35'!$C$5</f>
        <v>0</v>
      </c>
      <c r="K37" s="8">
        <f>'35'!$A$9</f>
        <v>0</v>
      </c>
      <c r="L37" s="8">
        <f>'35'!$C$6</f>
        <v>0</v>
      </c>
      <c r="M37" s="8">
        <f>'35'!$C$7</f>
        <v>0</v>
      </c>
      <c r="N37" s="8">
        <f>'35'!$B$10</f>
        <v>0</v>
      </c>
      <c r="O37" s="10"/>
    </row>
    <row r="38" spans="1:15" x14ac:dyDescent="0.25">
      <c r="A38" s="7"/>
      <c r="B38" s="7">
        <f>'Approval and Documentation'!C$4</f>
        <v>0</v>
      </c>
      <c r="C38" s="7">
        <f>'Approval and Documentation'!C$6</f>
        <v>0</v>
      </c>
      <c r="D38" s="8">
        <f>'36'!$C$1</f>
        <v>0</v>
      </c>
      <c r="E38" s="11">
        <v>36</v>
      </c>
      <c r="F38" s="8">
        <f>'36'!$C$2</f>
        <v>0</v>
      </c>
      <c r="G38" s="8">
        <f>'36'!$C$3</f>
        <v>0</v>
      </c>
      <c r="H38" s="8">
        <f>'36'!$C$4</f>
        <v>0</v>
      </c>
      <c r="I38" s="8">
        <f>'36'!$A$12</f>
        <v>0</v>
      </c>
      <c r="J38" s="8">
        <f>'36'!$C$5</f>
        <v>0</v>
      </c>
      <c r="K38" s="8">
        <f>'36'!$A$9</f>
        <v>0</v>
      </c>
      <c r="L38" s="8">
        <f>'36'!$C$6</f>
        <v>0</v>
      </c>
      <c r="M38" s="8">
        <f>'36'!$C$7</f>
        <v>0</v>
      </c>
      <c r="N38" s="8">
        <f>'36'!$B$10</f>
        <v>0</v>
      </c>
      <c r="O38" s="10"/>
    </row>
    <row r="39" spans="1:15" x14ac:dyDescent="0.25">
      <c r="A39" s="7"/>
      <c r="B39" s="7">
        <f>'Approval and Documentation'!C$4</f>
        <v>0</v>
      </c>
      <c r="C39" s="7">
        <f>'Approval and Documentation'!C$6</f>
        <v>0</v>
      </c>
      <c r="D39" s="8">
        <f>'37'!$C$1</f>
        <v>0</v>
      </c>
      <c r="E39" s="11">
        <v>37</v>
      </c>
      <c r="F39" s="8">
        <f>'37'!$C$2</f>
        <v>0</v>
      </c>
      <c r="G39" s="8">
        <f>'37'!$C$3</f>
        <v>0</v>
      </c>
      <c r="H39" s="8">
        <f>'37'!$C$4</f>
        <v>0</v>
      </c>
      <c r="I39" s="8">
        <f>'37'!$A$12</f>
        <v>0</v>
      </c>
      <c r="J39" s="8">
        <f>'37'!$C$5</f>
        <v>0</v>
      </c>
      <c r="K39" s="8">
        <f>'37'!$A$9</f>
        <v>0</v>
      </c>
      <c r="L39" s="8">
        <f>'37'!$C$6</f>
        <v>0</v>
      </c>
      <c r="M39" s="8">
        <f>'37'!$C$7</f>
        <v>0</v>
      </c>
      <c r="N39" s="8">
        <f>'37'!$B$10</f>
        <v>0</v>
      </c>
      <c r="O39" s="10"/>
    </row>
    <row r="40" spans="1:15" x14ac:dyDescent="0.25">
      <c r="A40" s="7"/>
      <c r="B40" s="7">
        <f>'Approval and Documentation'!C$4</f>
        <v>0</v>
      </c>
      <c r="C40" s="7">
        <f>'Approval and Documentation'!C$6</f>
        <v>0</v>
      </c>
      <c r="D40" s="8">
        <f>'38'!$C$1</f>
        <v>0</v>
      </c>
      <c r="E40" s="11">
        <v>38</v>
      </c>
      <c r="F40" s="8">
        <f>'38'!$C$2</f>
        <v>0</v>
      </c>
      <c r="G40" s="8">
        <f>'38'!$C$3</f>
        <v>0</v>
      </c>
      <c r="H40" s="8">
        <f>'38'!$C$4</f>
        <v>0</v>
      </c>
      <c r="I40" s="8">
        <f>'38'!$A$12</f>
        <v>0</v>
      </c>
      <c r="J40" s="8">
        <f>'38'!$C$5</f>
        <v>0</v>
      </c>
      <c r="K40" s="8">
        <f>'38'!$A$9</f>
        <v>0</v>
      </c>
      <c r="L40" s="8">
        <f>'38'!$C$6</f>
        <v>0</v>
      </c>
      <c r="M40" s="8">
        <f>'38'!$C$7</f>
        <v>0</v>
      </c>
      <c r="N40" s="8">
        <f>'38'!$B$10</f>
        <v>0</v>
      </c>
      <c r="O40" s="10"/>
    </row>
    <row r="41" spans="1:15" x14ac:dyDescent="0.25">
      <c r="A41" s="7"/>
      <c r="B41" s="7">
        <f>'Approval and Documentation'!C$4</f>
        <v>0</v>
      </c>
      <c r="C41" s="7">
        <f>'Approval and Documentation'!C$6</f>
        <v>0</v>
      </c>
      <c r="D41" s="8">
        <f>'39'!$C$1</f>
        <v>0</v>
      </c>
      <c r="E41" s="11">
        <v>39</v>
      </c>
      <c r="F41" s="8">
        <f>'39'!$C$2</f>
        <v>0</v>
      </c>
      <c r="G41" s="8">
        <f>'39'!$C$3</f>
        <v>0</v>
      </c>
      <c r="H41" s="8">
        <f>'39'!$C$4</f>
        <v>0</v>
      </c>
      <c r="I41" s="8">
        <f>'39'!$A$12</f>
        <v>0</v>
      </c>
      <c r="J41" s="8">
        <f>'39'!$C$5</f>
        <v>0</v>
      </c>
      <c r="K41" s="8">
        <f>'39'!$A$9</f>
        <v>0</v>
      </c>
      <c r="L41" s="8">
        <f>'39'!$C$6</f>
        <v>0</v>
      </c>
      <c r="M41" s="8">
        <f>'39'!$C$7</f>
        <v>0</v>
      </c>
      <c r="N41" s="8">
        <f>'39'!$B$10</f>
        <v>0</v>
      </c>
      <c r="O41" s="10"/>
    </row>
    <row r="42" spans="1:15" x14ac:dyDescent="0.25">
      <c r="A42" s="7"/>
      <c r="B42" s="7">
        <f>'Approval and Documentation'!C$4</f>
        <v>0</v>
      </c>
      <c r="C42" s="7">
        <f>'Approval and Documentation'!C$6</f>
        <v>0</v>
      </c>
      <c r="D42" s="8">
        <f>'40'!$C$1</f>
        <v>0</v>
      </c>
      <c r="E42" s="11">
        <v>40</v>
      </c>
      <c r="F42" s="8">
        <f>'40'!$C$2</f>
        <v>0</v>
      </c>
      <c r="G42" s="8">
        <f>'40'!$C$3</f>
        <v>0</v>
      </c>
      <c r="H42" s="8">
        <f>'40'!$C$4</f>
        <v>0</v>
      </c>
      <c r="I42" s="8">
        <f>'40'!$A$12</f>
        <v>0</v>
      </c>
      <c r="J42" s="8">
        <f>'40'!$C$5</f>
        <v>0</v>
      </c>
      <c r="K42" s="8">
        <f>'40'!$A$9</f>
        <v>0</v>
      </c>
      <c r="L42" s="8">
        <f>'40'!$C$6</f>
        <v>0</v>
      </c>
      <c r="M42" s="8">
        <f>'40'!$C$7</f>
        <v>0</v>
      </c>
      <c r="N42" s="8">
        <f>'40'!$B$10</f>
        <v>0</v>
      </c>
      <c r="O42" s="10"/>
    </row>
    <row r="43" spans="1:15" x14ac:dyDescent="0.25">
      <c r="A43" s="7"/>
      <c r="B43" s="7"/>
      <c r="C43" s="7"/>
      <c r="D43" s="7"/>
      <c r="E43" s="11"/>
      <c r="F43" s="8"/>
      <c r="G43" s="8"/>
      <c r="H43" s="9"/>
      <c r="I43" s="10"/>
      <c r="J43" s="9"/>
      <c r="K43" s="10"/>
      <c r="L43" s="8"/>
      <c r="M43" s="8"/>
      <c r="N43" s="10"/>
      <c r="O43" s="10"/>
    </row>
    <row r="44" spans="1:15" x14ac:dyDescent="0.25">
      <c r="A44" s="7"/>
      <c r="B44" s="7"/>
      <c r="C44" s="7"/>
      <c r="D44" s="7"/>
      <c r="E44" s="11"/>
      <c r="F44" s="8"/>
      <c r="G44" s="8"/>
      <c r="H44" s="9"/>
      <c r="I44" s="10"/>
      <c r="J44" s="9"/>
      <c r="K44" s="10"/>
      <c r="L44" s="8"/>
      <c r="M44" s="8"/>
      <c r="N44" s="10"/>
      <c r="O44" s="10"/>
    </row>
    <row r="45" spans="1:15" x14ac:dyDescent="0.25">
      <c r="A45" s="7"/>
      <c r="B45" s="7"/>
      <c r="C45" s="7"/>
      <c r="D45" s="7"/>
      <c r="E45" s="11"/>
      <c r="F45" s="8"/>
      <c r="G45" s="8"/>
      <c r="H45" s="9"/>
      <c r="I45" s="10"/>
      <c r="J45" s="9"/>
      <c r="K45" s="10"/>
      <c r="L45" s="8"/>
      <c r="M45" s="8"/>
      <c r="N45" s="10"/>
      <c r="O45" s="10"/>
    </row>
    <row r="46" spans="1:15" x14ac:dyDescent="0.25">
      <c r="A46" s="7"/>
      <c r="B46" s="7"/>
      <c r="C46" s="7"/>
      <c r="D46" s="7"/>
      <c r="E46" s="11"/>
      <c r="F46" s="8"/>
      <c r="G46" s="8"/>
      <c r="H46" s="9"/>
      <c r="I46" s="10"/>
      <c r="J46" s="9"/>
      <c r="K46" s="10"/>
      <c r="L46" s="8"/>
      <c r="M46" s="8"/>
      <c r="N46" s="10"/>
      <c r="O46" s="10"/>
    </row>
    <row r="47" spans="1:15" x14ac:dyDescent="0.25">
      <c r="A47" s="7"/>
      <c r="B47" s="7"/>
      <c r="C47" s="7"/>
      <c r="D47" s="7"/>
      <c r="E47" s="11"/>
      <c r="F47" s="8"/>
      <c r="G47" s="8"/>
      <c r="H47" s="9"/>
      <c r="I47" s="10"/>
      <c r="J47" s="9"/>
      <c r="K47" s="10"/>
      <c r="L47" s="8"/>
      <c r="M47" s="8"/>
      <c r="N47" s="10"/>
      <c r="O47" s="10"/>
    </row>
    <row r="48" spans="1:15" x14ac:dyDescent="0.25">
      <c r="A48" s="7"/>
      <c r="B48" s="7"/>
      <c r="C48" s="7"/>
      <c r="D48" s="7"/>
      <c r="E48" s="11"/>
      <c r="F48" s="8"/>
      <c r="G48" s="8"/>
      <c r="H48" s="9"/>
      <c r="I48" s="10"/>
      <c r="J48" s="9"/>
      <c r="K48" s="10"/>
      <c r="L48" s="8"/>
      <c r="M48" s="8"/>
      <c r="N48" s="10"/>
      <c r="O48" s="10"/>
    </row>
    <row r="49" spans="1:15" x14ac:dyDescent="0.25">
      <c r="A49" s="7"/>
      <c r="B49" s="7"/>
      <c r="C49" s="7"/>
      <c r="D49" s="7"/>
      <c r="E49" s="11"/>
      <c r="F49" s="8"/>
      <c r="G49" s="8"/>
      <c r="H49" s="9"/>
      <c r="I49" s="10"/>
      <c r="J49" s="9"/>
      <c r="K49" s="10"/>
      <c r="L49" s="8"/>
      <c r="M49" s="8"/>
      <c r="N49" s="10"/>
      <c r="O49" s="10"/>
    </row>
    <row r="50" spans="1:15" x14ac:dyDescent="0.25">
      <c r="A50" s="7"/>
      <c r="B50" s="7"/>
      <c r="C50" s="7"/>
      <c r="D50" s="7"/>
      <c r="E50" s="11"/>
      <c r="F50" s="8"/>
      <c r="G50" s="8"/>
      <c r="H50" s="9"/>
      <c r="I50" s="10"/>
      <c r="J50" s="9"/>
      <c r="K50" s="10"/>
      <c r="L50" s="8"/>
      <c r="M50" s="8"/>
      <c r="N50" s="10"/>
      <c r="O50" s="10"/>
    </row>
    <row r="51" spans="1:15" x14ac:dyDescent="0.25">
      <c r="A51" s="7"/>
      <c r="B51" s="7"/>
      <c r="C51" s="7"/>
      <c r="D51" s="7"/>
      <c r="E51" s="11"/>
      <c r="F51" s="8"/>
      <c r="G51" s="8"/>
      <c r="H51" s="9"/>
      <c r="I51" s="10"/>
      <c r="J51" s="9"/>
      <c r="K51" s="10"/>
      <c r="L51" s="8"/>
      <c r="M51" s="8"/>
      <c r="N51" s="10"/>
      <c r="O51" s="10"/>
    </row>
    <row r="52" spans="1:15" x14ac:dyDescent="0.25">
      <c r="A52" s="7"/>
      <c r="B52" s="7"/>
      <c r="C52" s="7"/>
      <c r="D52" s="7"/>
      <c r="E52" s="11"/>
      <c r="F52" s="8"/>
      <c r="G52" s="8"/>
      <c r="H52" s="9"/>
      <c r="I52" s="10"/>
      <c r="J52" s="9"/>
      <c r="K52" s="10"/>
      <c r="L52" s="8"/>
      <c r="M52" s="8"/>
      <c r="N52" s="10"/>
      <c r="O52" s="10"/>
    </row>
    <row r="53" spans="1:15" x14ac:dyDescent="0.25">
      <c r="A53" s="7"/>
      <c r="B53" s="7"/>
      <c r="C53" s="7"/>
      <c r="D53" s="7"/>
      <c r="E53" s="11"/>
      <c r="F53" s="8"/>
      <c r="G53" s="8"/>
      <c r="H53" s="9"/>
      <c r="I53" s="10"/>
      <c r="J53" s="9"/>
      <c r="K53" s="10"/>
      <c r="L53" s="8"/>
      <c r="M53" s="8"/>
      <c r="N53" s="10"/>
      <c r="O53" s="10"/>
    </row>
    <row r="54" spans="1:15" x14ac:dyDescent="0.25">
      <c r="A54" s="7"/>
      <c r="B54" s="7"/>
      <c r="C54" s="7"/>
      <c r="D54" s="7"/>
      <c r="E54" s="11"/>
      <c r="F54" s="8"/>
      <c r="G54" s="8"/>
      <c r="H54" s="9"/>
      <c r="I54" s="10"/>
      <c r="J54" s="9"/>
      <c r="K54" s="10"/>
      <c r="L54" s="8"/>
      <c r="M54" s="8"/>
      <c r="N54" s="10"/>
      <c r="O54" s="10"/>
    </row>
    <row r="55" spans="1:15" x14ac:dyDescent="0.25">
      <c r="A55" s="7"/>
      <c r="B55" s="7"/>
      <c r="C55" s="7"/>
      <c r="D55" s="7"/>
      <c r="E55" s="11"/>
      <c r="F55" s="8"/>
      <c r="G55" s="8"/>
      <c r="H55" s="9"/>
      <c r="I55" s="10"/>
      <c r="J55" s="9"/>
      <c r="K55" s="10"/>
      <c r="L55" s="8"/>
      <c r="M55" s="8"/>
      <c r="N55" s="10"/>
      <c r="O55" s="10"/>
    </row>
    <row r="56" spans="1:15" x14ac:dyDescent="0.25">
      <c r="A56" s="7"/>
      <c r="B56" s="7"/>
      <c r="C56" s="7"/>
      <c r="D56" s="7"/>
      <c r="E56" s="11"/>
      <c r="F56" s="8"/>
      <c r="G56" s="8"/>
      <c r="H56" s="9"/>
      <c r="I56" s="10"/>
      <c r="J56" s="9"/>
      <c r="K56" s="10"/>
      <c r="L56" s="8"/>
      <c r="M56" s="8"/>
      <c r="N56" s="10"/>
      <c r="O56" s="10"/>
    </row>
    <row r="57" spans="1:15" x14ac:dyDescent="0.25">
      <c r="A57" s="7"/>
      <c r="B57" s="7"/>
      <c r="C57" s="7"/>
      <c r="D57" s="7"/>
      <c r="E57" s="11"/>
      <c r="F57" s="8"/>
      <c r="G57" s="8"/>
      <c r="H57" s="9"/>
      <c r="I57" s="10"/>
      <c r="J57" s="9"/>
      <c r="K57" s="10"/>
      <c r="L57" s="8"/>
      <c r="M57" s="8"/>
      <c r="N57" s="10"/>
      <c r="O57" s="10"/>
    </row>
    <row r="58" spans="1:15" x14ac:dyDescent="0.25">
      <c r="A58" s="7"/>
      <c r="B58" s="7"/>
      <c r="C58" s="7"/>
      <c r="D58" s="7"/>
      <c r="E58" s="11"/>
      <c r="F58" s="8"/>
      <c r="G58" s="8"/>
      <c r="H58" s="9"/>
      <c r="I58" s="10"/>
      <c r="J58" s="9"/>
      <c r="K58" s="10"/>
      <c r="L58" s="8"/>
      <c r="M58" s="8"/>
      <c r="N58" s="10"/>
      <c r="O58" s="10"/>
    </row>
    <row r="59" spans="1:15" x14ac:dyDescent="0.25">
      <c r="A59" s="7"/>
      <c r="B59" s="7"/>
      <c r="C59" s="7"/>
      <c r="D59" s="7"/>
      <c r="E59" s="11"/>
      <c r="F59" s="8"/>
      <c r="G59" s="8"/>
      <c r="H59" s="9"/>
      <c r="I59" s="10"/>
      <c r="J59" s="9"/>
      <c r="K59" s="10"/>
      <c r="L59" s="8"/>
      <c r="M59" s="8"/>
      <c r="N59" s="10"/>
      <c r="O59" s="10"/>
    </row>
    <row r="60" spans="1:15" x14ac:dyDescent="0.25">
      <c r="A60" s="7"/>
      <c r="B60" s="7"/>
      <c r="C60" s="7"/>
      <c r="D60" s="7"/>
      <c r="E60" s="11"/>
      <c r="F60" s="8"/>
      <c r="G60" s="8"/>
      <c r="H60" s="9"/>
      <c r="I60" s="10"/>
      <c r="J60" s="9"/>
      <c r="K60" s="10"/>
      <c r="L60" s="8"/>
      <c r="M60" s="8"/>
      <c r="N60" s="10"/>
      <c r="O60" s="10"/>
    </row>
    <row r="61" spans="1:15" x14ac:dyDescent="0.25">
      <c r="A61" s="7"/>
      <c r="B61" s="7"/>
      <c r="C61" s="7"/>
      <c r="D61" s="7"/>
      <c r="E61" s="11"/>
      <c r="F61" s="8"/>
      <c r="G61" s="8"/>
      <c r="H61" s="9"/>
      <c r="I61" s="10"/>
      <c r="J61" s="9"/>
      <c r="K61" s="10"/>
      <c r="L61" s="8"/>
      <c r="M61" s="8"/>
      <c r="N61" s="10"/>
      <c r="O61" s="10"/>
    </row>
    <row r="62" spans="1:15" x14ac:dyDescent="0.25">
      <c r="A62" s="7"/>
      <c r="B62" s="7"/>
      <c r="C62" s="7"/>
      <c r="D62" s="7"/>
      <c r="E62" s="11"/>
      <c r="F62" s="8"/>
      <c r="G62" s="8"/>
      <c r="H62" s="9"/>
      <c r="I62" s="10"/>
      <c r="J62" s="9"/>
      <c r="K62" s="10"/>
      <c r="L62" s="8"/>
      <c r="M62" s="8"/>
      <c r="N62" s="10"/>
      <c r="O62" s="10"/>
    </row>
    <row r="63" spans="1:15" x14ac:dyDescent="0.25">
      <c r="A63" s="7"/>
      <c r="B63" s="7"/>
      <c r="C63" s="7"/>
      <c r="D63" s="7"/>
      <c r="E63" s="11"/>
      <c r="F63" s="8"/>
      <c r="G63" s="8"/>
      <c r="H63" s="9"/>
      <c r="I63" s="10"/>
      <c r="J63" s="9"/>
      <c r="K63" s="10"/>
      <c r="L63" s="8"/>
      <c r="M63" s="8"/>
      <c r="N63" s="10"/>
      <c r="O63" s="10"/>
    </row>
    <row r="64" spans="1:15" x14ac:dyDescent="0.25">
      <c r="A64" s="7"/>
      <c r="B64" s="7"/>
      <c r="C64" s="7"/>
      <c r="D64" s="7"/>
      <c r="E64" s="11"/>
      <c r="F64" s="8"/>
      <c r="G64" s="8"/>
      <c r="H64" s="9"/>
      <c r="I64" s="10"/>
      <c r="J64" s="9"/>
      <c r="K64" s="10"/>
      <c r="L64" s="8"/>
      <c r="M64" s="8"/>
      <c r="N64" s="10"/>
      <c r="O64" s="10"/>
    </row>
    <row r="65" spans="1:15" x14ac:dyDescent="0.25">
      <c r="A65" s="7"/>
      <c r="B65" s="7"/>
      <c r="C65" s="7"/>
      <c r="D65" s="7"/>
      <c r="E65" s="11"/>
      <c r="F65" s="8"/>
      <c r="G65" s="8"/>
      <c r="H65" s="9"/>
      <c r="I65" s="10"/>
      <c r="J65" s="9"/>
      <c r="K65" s="10"/>
      <c r="L65" s="8"/>
      <c r="M65" s="8"/>
      <c r="N65" s="10"/>
      <c r="O65" s="10"/>
    </row>
    <row r="66" spans="1:15" x14ac:dyDescent="0.25">
      <c r="A66" s="7"/>
      <c r="B66" s="7"/>
      <c r="C66" s="7"/>
      <c r="D66" s="7"/>
      <c r="E66" s="11"/>
      <c r="F66" s="8"/>
      <c r="G66" s="8"/>
      <c r="H66" s="9"/>
      <c r="I66" s="10"/>
      <c r="J66" s="9"/>
      <c r="K66" s="10"/>
      <c r="L66" s="8"/>
      <c r="M66" s="8"/>
      <c r="N66" s="10"/>
      <c r="O66" s="10"/>
    </row>
    <row r="67" spans="1:15" x14ac:dyDescent="0.25">
      <c r="A67" s="7"/>
      <c r="B67" s="7"/>
      <c r="C67" s="7"/>
      <c r="D67" s="7"/>
      <c r="E67" s="11"/>
      <c r="F67" s="8"/>
      <c r="G67" s="8"/>
      <c r="H67" s="9"/>
      <c r="I67" s="10"/>
      <c r="J67" s="9"/>
      <c r="K67" s="10"/>
      <c r="L67" s="8"/>
      <c r="M67" s="8"/>
      <c r="N67" s="10"/>
      <c r="O67" s="10"/>
    </row>
    <row r="68" spans="1:15" x14ac:dyDescent="0.25">
      <c r="A68" s="7"/>
      <c r="B68" s="7"/>
      <c r="C68" s="7"/>
      <c r="D68" s="7"/>
      <c r="E68" s="11"/>
      <c r="F68" s="8"/>
      <c r="G68" s="8"/>
      <c r="H68" s="9"/>
      <c r="I68" s="10"/>
      <c r="J68" s="9"/>
      <c r="K68" s="10"/>
      <c r="L68" s="8"/>
      <c r="M68" s="8"/>
      <c r="N68" s="10"/>
      <c r="O68" s="10"/>
    </row>
    <row r="69" spans="1:15" x14ac:dyDescent="0.25">
      <c r="A69" s="7"/>
      <c r="B69" s="7"/>
      <c r="C69" s="7"/>
      <c r="D69" s="7"/>
      <c r="E69" s="11"/>
      <c r="F69" s="8"/>
      <c r="G69" s="8"/>
      <c r="H69" s="9"/>
      <c r="I69" s="10"/>
      <c r="J69" s="9"/>
      <c r="K69" s="10"/>
      <c r="L69" s="8"/>
      <c r="M69" s="8"/>
      <c r="N69" s="10"/>
      <c r="O69" s="10"/>
    </row>
    <row r="70" spans="1:15" x14ac:dyDescent="0.25">
      <c r="A70" s="7"/>
      <c r="B70" s="7"/>
      <c r="C70" s="7"/>
      <c r="D70" s="7"/>
      <c r="E70" s="11"/>
      <c r="F70" s="8"/>
      <c r="G70" s="8"/>
      <c r="H70" s="9"/>
      <c r="I70" s="10"/>
      <c r="J70" s="9"/>
      <c r="K70" s="10"/>
      <c r="L70" s="8"/>
      <c r="M70" s="8"/>
      <c r="N70" s="10"/>
      <c r="O70" s="10"/>
    </row>
    <row r="71" spans="1:15" x14ac:dyDescent="0.25">
      <c r="A71" s="7"/>
      <c r="B71" s="7"/>
      <c r="C71" s="7"/>
      <c r="D71" s="7"/>
      <c r="E71" s="11"/>
      <c r="F71" s="8"/>
      <c r="G71" s="8"/>
      <c r="H71" s="9"/>
      <c r="I71" s="10"/>
      <c r="J71" s="9"/>
      <c r="K71" s="10"/>
      <c r="L71" s="8"/>
      <c r="M71" s="8"/>
      <c r="N71" s="10"/>
      <c r="O71" s="10"/>
    </row>
    <row r="72" spans="1:15" x14ac:dyDescent="0.25">
      <c r="A72" s="7"/>
      <c r="B72" s="7"/>
      <c r="C72" s="7"/>
      <c r="D72" s="7"/>
      <c r="E72" s="11"/>
      <c r="F72" s="8"/>
      <c r="G72" s="8"/>
      <c r="H72" s="9"/>
      <c r="I72" s="10"/>
      <c r="J72" s="9"/>
      <c r="K72" s="10"/>
      <c r="L72" s="8"/>
      <c r="M72" s="8"/>
      <c r="N72" s="10"/>
      <c r="O72" s="10"/>
    </row>
    <row r="73" spans="1:15" x14ac:dyDescent="0.25">
      <c r="A73" s="7"/>
      <c r="B73" s="7"/>
      <c r="C73" s="7"/>
      <c r="D73" s="7"/>
      <c r="E73" s="11"/>
      <c r="F73" s="8"/>
      <c r="G73" s="8"/>
      <c r="H73" s="9"/>
      <c r="I73" s="10"/>
      <c r="J73" s="9"/>
      <c r="K73" s="10"/>
      <c r="L73" s="8"/>
      <c r="M73" s="8"/>
      <c r="N73" s="10"/>
      <c r="O73" s="10"/>
    </row>
    <row r="74" spans="1:15" x14ac:dyDescent="0.25">
      <c r="A74" s="7"/>
      <c r="B74" s="7"/>
      <c r="C74" s="7"/>
      <c r="D74" s="7"/>
      <c r="E74" s="11"/>
      <c r="F74" s="8"/>
      <c r="G74" s="8"/>
      <c r="H74" s="9"/>
      <c r="I74" s="10"/>
      <c r="J74" s="9"/>
      <c r="K74" s="10"/>
      <c r="L74" s="8"/>
      <c r="M74" s="8"/>
      <c r="N74" s="10"/>
      <c r="O74" s="10"/>
    </row>
    <row r="75" spans="1:15" x14ac:dyDescent="0.25">
      <c r="A75" s="7"/>
      <c r="B75" s="7"/>
      <c r="C75" s="7"/>
      <c r="D75" s="7"/>
      <c r="E75" s="11"/>
      <c r="F75" s="8"/>
      <c r="G75" s="8"/>
      <c r="H75" s="9"/>
      <c r="I75" s="10"/>
      <c r="J75" s="9"/>
      <c r="K75" s="10"/>
      <c r="L75" s="8"/>
      <c r="M75" s="8"/>
      <c r="N75" s="10"/>
      <c r="O75" s="10"/>
    </row>
    <row r="76" spans="1:15" x14ac:dyDescent="0.25">
      <c r="A76" s="7"/>
      <c r="B76" s="7"/>
      <c r="C76" s="7"/>
      <c r="D76" s="7"/>
      <c r="E76" s="11"/>
      <c r="F76" s="8"/>
      <c r="G76" s="8"/>
      <c r="H76" s="9"/>
      <c r="I76" s="10"/>
      <c r="J76" s="9"/>
      <c r="K76" s="10"/>
      <c r="L76" s="8"/>
      <c r="M76" s="8"/>
      <c r="N76" s="10"/>
      <c r="O76" s="10"/>
    </row>
    <row r="77" spans="1:15" x14ac:dyDescent="0.25">
      <c r="A77" s="7"/>
      <c r="B77" s="7"/>
      <c r="C77" s="7"/>
      <c r="D77" s="7"/>
      <c r="E77" s="11"/>
      <c r="F77" s="8"/>
      <c r="G77" s="8"/>
      <c r="H77" s="9"/>
      <c r="I77" s="10"/>
      <c r="J77" s="9"/>
      <c r="K77" s="10"/>
      <c r="L77" s="8"/>
      <c r="M77" s="8"/>
      <c r="N77" s="10"/>
      <c r="O77" s="10"/>
    </row>
    <row r="78" spans="1:15" x14ac:dyDescent="0.25">
      <c r="A78" s="7"/>
      <c r="B78" s="7"/>
      <c r="C78" s="7"/>
      <c r="D78" s="7"/>
      <c r="E78" s="11"/>
      <c r="F78" s="8"/>
      <c r="G78" s="8"/>
      <c r="H78" s="9"/>
      <c r="I78" s="10"/>
      <c r="J78" s="9"/>
      <c r="K78" s="10"/>
      <c r="L78" s="8"/>
      <c r="M78" s="8"/>
      <c r="N78" s="10"/>
      <c r="O78" s="10"/>
    </row>
    <row r="79" spans="1:15" x14ac:dyDescent="0.25">
      <c r="A79" s="7"/>
      <c r="B79" s="7"/>
      <c r="C79" s="7"/>
      <c r="D79" s="7"/>
      <c r="E79" s="11"/>
      <c r="F79" s="8"/>
      <c r="G79" s="8"/>
      <c r="H79" s="9"/>
      <c r="I79" s="10"/>
      <c r="J79" s="9"/>
      <c r="K79" s="10"/>
      <c r="L79" s="8"/>
      <c r="M79" s="8"/>
      <c r="N79" s="10"/>
      <c r="O79" s="10"/>
    </row>
    <row r="80" spans="1:15" x14ac:dyDescent="0.25">
      <c r="A80" s="7"/>
      <c r="B80" s="7"/>
      <c r="C80" s="7"/>
      <c r="D80" s="7"/>
      <c r="E80" s="11"/>
      <c r="F80" s="8"/>
      <c r="G80" s="8"/>
      <c r="H80" s="9"/>
      <c r="I80" s="10"/>
      <c r="J80" s="9"/>
      <c r="K80" s="10"/>
      <c r="L80" s="8"/>
      <c r="M80" s="8"/>
      <c r="N80" s="10"/>
      <c r="O80" s="10"/>
    </row>
    <row r="81" spans="1:15" x14ac:dyDescent="0.25">
      <c r="A81" s="7"/>
      <c r="B81" s="7"/>
      <c r="C81" s="7"/>
      <c r="D81" s="7"/>
      <c r="E81" s="11"/>
      <c r="F81" s="8"/>
      <c r="G81" s="8"/>
      <c r="H81" s="9"/>
      <c r="I81" s="10"/>
      <c r="J81" s="9"/>
      <c r="K81" s="10"/>
      <c r="L81" s="8"/>
      <c r="M81" s="8"/>
      <c r="N81" s="10"/>
      <c r="O81" s="10"/>
    </row>
    <row r="82" spans="1:15" x14ac:dyDescent="0.25">
      <c r="A82" s="7"/>
      <c r="B82" s="7"/>
      <c r="C82" s="7"/>
      <c r="D82" s="7"/>
      <c r="E82" s="11"/>
      <c r="F82" s="8"/>
      <c r="G82" s="8"/>
      <c r="H82" s="9"/>
      <c r="I82" s="10"/>
      <c r="J82" s="9"/>
      <c r="K82" s="10"/>
      <c r="L82" s="8"/>
      <c r="M82" s="8"/>
      <c r="N82" s="10"/>
      <c r="O82" s="10"/>
    </row>
    <row r="83" spans="1:15" x14ac:dyDescent="0.25">
      <c r="A83" s="7"/>
      <c r="B83" s="7"/>
      <c r="C83" s="7"/>
      <c r="D83" s="7"/>
      <c r="E83" s="11"/>
      <c r="F83" s="8"/>
      <c r="G83" s="8"/>
      <c r="H83" s="9"/>
      <c r="I83" s="10"/>
      <c r="J83" s="9"/>
      <c r="K83" s="10"/>
      <c r="L83" s="8"/>
      <c r="M83" s="8"/>
      <c r="N83" s="10"/>
      <c r="O83" s="10"/>
    </row>
    <row r="84" spans="1:15" x14ac:dyDescent="0.25">
      <c r="A84" s="7"/>
      <c r="B84" s="7"/>
      <c r="C84" s="7"/>
      <c r="D84" s="7"/>
      <c r="E84" s="11"/>
      <c r="F84" s="8"/>
      <c r="G84" s="8"/>
      <c r="H84" s="9"/>
      <c r="I84" s="10"/>
      <c r="J84" s="9"/>
      <c r="K84" s="10"/>
      <c r="L84" s="8"/>
      <c r="M84" s="8"/>
      <c r="N84" s="10"/>
      <c r="O84" s="10"/>
    </row>
    <row r="85" spans="1:15" x14ac:dyDescent="0.25">
      <c r="A85" s="7"/>
      <c r="B85" s="7"/>
      <c r="C85" s="7"/>
      <c r="D85" s="7"/>
      <c r="E85" s="11"/>
      <c r="F85" s="8"/>
      <c r="G85" s="8"/>
      <c r="H85" s="9"/>
      <c r="I85" s="10"/>
      <c r="J85" s="9"/>
      <c r="K85" s="10"/>
      <c r="L85" s="8"/>
      <c r="M85" s="8"/>
      <c r="N85" s="10"/>
      <c r="O85" s="10"/>
    </row>
    <row r="86" spans="1:15" x14ac:dyDescent="0.25">
      <c r="A86" s="7"/>
      <c r="B86" s="7"/>
      <c r="C86" s="7"/>
      <c r="D86" s="7"/>
      <c r="E86" s="11"/>
      <c r="F86" s="8"/>
      <c r="G86" s="8"/>
      <c r="H86" s="9"/>
      <c r="I86" s="10"/>
      <c r="J86" s="9"/>
      <c r="K86" s="10"/>
      <c r="L86" s="8"/>
      <c r="M86" s="8"/>
      <c r="N86" s="10"/>
      <c r="O86" s="10"/>
    </row>
    <row r="87" spans="1:15" x14ac:dyDescent="0.25">
      <c r="A87" s="7"/>
      <c r="B87" s="7"/>
      <c r="C87" s="7"/>
      <c r="D87" s="7"/>
      <c r="E87" s="11"/>
      <c r="F87" s="8"/>
      <c r="G87" s="8"/>
      <c r="H87" s="9"/>
      <c r="I87" s="10"/>
      <c r="J87" s="9"/>
      <c r="K87" s="10"/>
      <c r="L87" s="8"/>
      <c r="M87" s="8"/>
      <c r="N87" s="10"/>
      <c r="O87" s="10"/>
    </row>
    <row r="88" spans="1:15" x14ac:dyDescent="0.25">
      <c r="A88" s="7"/>
      <c r="B88" s="7"/>
      <c r="C88" s="7"/>
      <c r="D88" s="7"/>
      <c r="E88" s="11"/>
      <c r="F88" s="8"/>
      <c r="G88" s="8"/>
      <c r="H88" s="9"/>
      <c r="I88" s="10"/>
      <c r="J88" s="9"/>
      <c r="K88" s="10"/>
      <c r="L88" s="8"/>
      <c r="M88" s="8"/>
      <c r="N88" s="10"/>
      <c r="O88" s="10"/>
    </row>
    <row r="89" spans="1:15" x14ac:dyDescent="0.25">
      <c r="A89" s="7"/>
      <c r="B89" s="7"/>
      <c r="C89" s="7"/>
      <c r="D89" s="7"/>
      <c r="E89" s="11"/>
      <c r="F89" s="8"/>
      <c r="G89" s="8"/>
      <c r="H89" s="9"/>
      <c r="I89" s="10"/>
      <c r="J89" s="9"/>
      <c r="K89" s="10"/>
      <c r="L89" s="8"/>
      <c r="M89" s="8"/>
      <c r="N89" s="10"/>
      <c r="O89" s="10"/>
    </row>
    <row r="90" spans="1:15" x14ac:dyDescent="0.25">
      <c r="A90" s="7"/>
      <c r="B90" s="7"/>
      <c r="C90" s="7"/>
      <c r="D90" s="7"/>
      <c r="E90" s="11"/>
      <c r="F90" s="8"/>
      <c r="G90" s="8"/>
      <c r="H90" s="9"/>
      <c r="I90" s="10"/>
      <c r="J90" s="9"/>
      <c r="K90" s="10"/>
      <c r="L90" s="8"/>
      <c r="M90" s="8"/>
      <c r="N90" s="10"/>
      <c r="O90" s="10"/>
    </row>
    <row r="91" spans="1:15" x14ac:dyDescent="0.25">
      <c r="A91" s="7"/>
      <c r="B91" s="7"/>
      <c r="C91" s="7"/>
      <c r="D91" s="7"/>
      <c r="E91" s="11"/>
      <c r="F91" s="8"/>
      <c r="G91" s="8"/>
      <c r="H91" s="9"/>
      <c r="I91" s="10"/>
      <c r="J91" s="9"/>
      <c r="K91" s="10"/>
      <c r="L91" s="8"/>
      <c r="M91" s="8"/>
      <c r="N91" s="10"/>
      <c r="O91" s="10"/>
    </row>
    <row r="92" spans="1:15" x14ac:dyDescent="0.25">
      <c r="A92" s="7"/>
      <c r="B92" s="7"/>
      <c r="C92" s="7"/>
      <c r="D92" s="7"/>
      <c r="E92" s="11"/>
      <c r="F92" s="8"/>
      <c r="G92" s="8"/>
      <c r="H92" s="9"/>
      <c r="I92" s="10"/>
      <c r="J92" s="9"/>
      <c r="K92" s="10"/>
      <c r="L92" s="8"/>
      <c r="M92" s="8"/>
      <c r="N92" s="10"/>
      <c r="O92" s="10"/>
    </row>
    <row r="93" spans="1:15" x14ac:dyDescent="0.25">
      <c r="A93" s="7"/>
      <c r="B93" s="7"/>
      <c r="C93" s="7"/>
      <c r="D93" s="7"/>
      <c r="E93" s="11"/>
      <c r="F93" s="8"/>
      <c r="G93" s="8"/>
      <c r="H93" s="9"/>
      <c r="I93" s="10"/>
      <c r="J93" s="9"/>
      <c r="K93" s="10"/>
      <c r="L93" s="8"/>
      <c r="M93" s="8"/>
      <c r="N93" s="10"/>
      <c r="O93" s="10"/>
    </row>
    <row r="94" spans="1:15" x14ac:dyDescent="0.25">
      <c r="A94" s="7"/>
      <c r="B94" s="7"/>
      <c r="C94" s="7"/>
      <c r="D94" s="7"/>
      <c r="E94" s="11"/>
      <c r="F94" s="8"/>
      <c r="G94" s="8"/>
      <c r="H94" s="9"/>
      <c r="I94" s="10"/>
      <c r="J94" s="9"/>
      <c r="K94" s="10"/>
      <c r="L94" s="8"/>
      <c r="M94" s="8"/>
      <c r="N94" s="10"/>
      <c r="O94" s="10"/>
    </row>
    <row r="95" spans="1:15" x14ac:dyDescent="0.25">
      <c r="A95" s="7"/>
      <c r="B95" s="7"/>
      <c r="C95" s="7"/>
      <c r="D95" s="7"/>
      <c r="E95" s="11"/>
      <c r="F95" s="8"/>
      <c r="G95" s="8"/>
      <c r="H95" s="9"/>
      <c r="I95" s="10"/>
      <c r="J95" s="9"/>
      <c r="K95" s="10"/>
      <c r="L95" s="8"/>
      <c r="M95" s="8"/>
      <c r="N95" s="10"/>
      <c r="O95" s="10"/>
    </row>
    <row r="96" spans="1:15" x14ac:dyDescent="0.25">
      <c r="A96" s="7"/>
      <c r="B96" s="7"/>
      <c r="C96" s="7"/>
      <c r="D96" s="7"/>
      <c r="E96" s="11"/>
      <c r="F96" s="8"/>
      <c r="G96" s="8"/>
      <c r="H96" s="9"/>
      <c r="I96" s="10"/>
      <c r="J96" s="9"/>
      <c r="K96" s="10"/>
      <c r="L96" s="8"/>
      <c r="M96" s="8"/>
      <c r="N96" s="10"/>
      <c r="O96" s="10"/>
    </row>
    <row r="97" spans="1:15" x14ac:dyDescent="0.25">
      <c r="A97" s="7"/>
      <c r="B97" s="7"/>
      <c r="C97" s="7"/>
      <c r="D97" s="7"/>
      <c r="E97" s="11"/>
      <c r="F97" s="8"/>
      <c r="G97" s="8"/>
      <c r="H97" s="9"/>
      <c r="I97" s="10"/>
      <c r="J97" s="9"/>
      <c r="K97" s="10"/>
      <c r="L97" s="8"/>
      <c r="M97" s="8"/>
      <c r="N97" s="10"/>
      <c r="O97" s="10"/>
    </row>
    <row r="98" spans="1:15" x14ac:dyDescent="0.25">
      <c r="A98" s="7"/>
      <c r="B98" s="7"/>
      <c r="C98" s="7"/>
      <c r="D98" s="7"/>
      <c r="E98" s="11"/>
      <c r="F98" s="8"/>
      <c r="G98" s="8"/>
      <c r="H98" s="9"/>
      <c r="I98" s="10"/>
      <c r="J98" s="9"/>
      <c r="K98" s="10"/>
      <c r="L98" s="8"/>
      <c r="M98" s="8"/>
      <c r="N98" s="10"/>
      <c r="O98" s="10"/>
    </row>
    <row r="99" spans="1:15" x14ac:dyDescent="0.25">
      <c r="A99" s="7"/>
      <c r="B99" s="7"/>
      <c r="C99" s="7"/>
      <c r="D99" s="7"/>
      <c r="E99" s="11"/>
      <c r="F99" s="8"/>
      <c r="G99" s="8"/>
      <c r="H99" s="9"/>
      <c r="I99" s="10"/>
      <c r="J99" s="9"/>
      <c r="K99" s="10"/>
      <c r="L99" s="8"/>
      <c r="M99" s="8"/>
      <c r="N99" s="10"/>
      <c r="O99" s="10"/>
    </row>
    <row r="100" spans="1:15" x14ac:dyDescent="0.25">
      <c r="A100" s="7"/>
      <c r="B100" s="7"/>
      <c r="C100" s="7"/>
      <c r="D100" s="7"/>
      <c r="E100" s="11"/>
      <c r="F100" s="8"/>
      <c r="G100" s="8"/>
      <c r="H100" s="9"/>
      <c r="I100" s="10"/>
      <c r="J100" s="9"/>
      <c r="K100" s="10"/>
      <c r="L100" s="8"/>
      <c r="M100" s="8"/>
      <c r="N100" s="10"/>
      <c r="O100" s="10"/>
    </row>
    <row r="101" spans="1:15" x14ac:dyDescent="0.25">
      <c r="A101" s="7"/>
      <c r="B101" s="7"/>
      <c r="C101" s="7"/>
      <c r="D101" s="7"/>
      <c r="E101" s="11"/>
      <c r="F101" s="8"/>
      <c r="G101" s="8"/>
      <c r="H101" s="9"/>
      <c r="I101" s="10"/>
      <c r="J101" s="9"/>
      <c r="K101" s="10"/>
      <c r="L101" s="8"/>
      <c r="M101" s="8"/>
      <c r="N101" s="10"/>
      <c r="O101" s="10"/>
    </row>
    <row r="102" spans="1:15" x14ac:dyDescent="0.25">
      <c r="A102" s="7"/>
      <c r="B102" s="7"/>
      <c r="C102" s="7"/>
      <c r="D102" s="7"/>
      <c r="E102" s="11"/>
      <c r="F102" s="8"/>
      <c r="G102" s="8"/>
      <c r="H102" s="9"/>
      <c r="I102" s="10"/>
      <c r="J102" s="9"/>
      <c r="K102" s="10"/>
      <c r="L102" s="8"/>
      <c r="M102" s="8"/>
      <c r="N102" s="10"/>
      <c r="O102" s="10"/>
    </row>
    <row r="103" spans="1:15" x14ac:dyDescent="0.25">
      <c r="A103" s="7"/>
      <c r="B103" s="7"/>
      <c r="C103" s="7"/>
      <c r="D103" s="7"/>
      <c r="E103" s="11"/>
      <c r="F103" s="8"/>
      <c r="G103" s="8"/>
      <c r="H103" s="9"/>
      <c r="I103" s="10"/>
      <c r="J103" s="9"/>
      <c r="K103" s="10"/>
      <c r="L103" s="8"/>
      <c r="M103" s="8"/>
      <c r="N103" s="10"/>
      <c r="O103" s="10"/>
    </row>
    <row r="104" spans="1:15" x14ac:dyDescent="0.25">
      <c r="A104" s="7"/>
      <c r="B104" s="7"/>
      <c r="C104" s="7"/>
      <c r="D104" s="7"/>
      <c r="E104" s="11"/>
      <c r="F104" s="8"/>
      <c r="G104" s="8"/>
      <c r="H104" s="9"/>
      <c r="I104" s="10"/>
      <c r="J104" s="9"/>
      <c r="K104" s="10"/>
      <c r="L104" s="8"/>
      <c r="M104" s="8"/>
      <c r="N104" s="10"/>
      <c r="O104" s="10"/>
    </row>
    <row r="105" spans="1:15" x14ac:dyDescent="0.25">
      <c r="A105" s="7"/>
      <c r="B105" s="7"/>
      <c r="C105" s="7"/>
      <c r="D105" s="7"/>
      <c r="E105" s="11"/>
      <c r="F105" s="8"/>
      <c r="G105" s="8"/>
      <c r="H105" s="9"/>
      <c r="I105" s="10"/>
      <c r="J105" s="9"/>
      <c r="K105" s="10"/>
      <c r="L105" s="8"/>
      <c r="M105" s="8"/>
      <c r="N105" s="10"/>
      <c r="O105" s="10"/>
    </row>
    <row r="106" spans="1:15" x14ac:dyDescent="0.25">
      <c r="A106" s="7"/>
      <c r="B106" s="7"/>
      <c r="C106" s="7"/>
      <c r="D106" s="7"/>
      <c r="E106" s="11"/>
      <c r="F106" s="8"/>
      <c r="G106" s="8"/>
      <c r="H106" s="9"/>
      <c r="I106" s="10"/>
      <c r="J106" s="9"/>
      <c r="K106" s="10"/>
      <c r="L106" s="8"/>
      <c r="M106" s="8"/>
      <c r="N106" s="10"/>
      <c r="O106" s="10"/>
    </row>
    <row r="107" spans="1:15" x14ac:dyDescent="0.25">
      <c r="A107" s="7"/>
      <c r="B107" s="7"/>
      <c r="C107" s="7"/>
      <c r="D107" s="7"/>
      <c r="E107" s="11"/>
      <c r="F107" s="8"/>
      <c r="G107" s="8"/>
      <c r="H107" s="9"/>
      <c r="I107" s="10"/>
      <c r="J107" s="9"/>
      <c r="K107" s="10"/>
      <c r="L107" s="8"/>
      <c r="M107" s="8"/>
      <c r="N107" s="10"/>
      <c r="O107" s="10"/>
    </row>
    <row r="108" spans="1:15" x14ac:dyDescent="0.25">
      <c r="A108" s="7"/>
      <c r="B108" s="7"/>
      <c r="C108" s="7"/>
      <c r="D108" s="7"/>
      <c r="E108" s="11"/>
      <c r="F108" s="8"/>
      <c r="G108" s="8"/>
      <c r="H108" s="9"/>
      <c r="I108" s="10"/>
      <c r="J108" s="9"/>
      <c r="K108" s="10"/>
      <c r="L108" s="8"/>
      <c r="M108" s="8"/>
      <c r="N108" s="10"/>
      <c r="O108" s="10"/>
    </row>
    <row r="109" spans="1:15" x14ac:dyDescent="0.25">
      <c r="A109" s="7"/>
      <c r="B109" s="7"/>
      <c r="C109" s="7"/>
      <c r="D109" s="7"/>
      <c r="E109" s="11"/>
      <c r="F109" s="8"/>
      <c r="G109" s="8"/>
      <c r="H109" s="9"/>
      <c r="I109" s="10"/>
      <c r="J109" s="9"/>
      <c r="K109" s="10"/>
      <c r="L109" s="8"/>
      <c r="M109" s="8"/>
      <c r="N109" s="10"/>
      <c r="O109" s="10"/>
    </row>
    <row r="110" spans="1:15" x14ac:dyDescent="0.25">
      <c r="A110" s="7"/>
      <c r="B110" s="7"/>
      <c r="C110" s="7"/>
      <c r="D110" s="7"/>
      <c r="E110" s="11"/>
      <c r="F110" s="8"/>
      <c r="G110" s="8"/>
      <c r="H110" s="9"/>
      <c r="I110" s="10"/>
      <c r="J110" s="9"/>
      <c r="K110" s="10"/>
      <c r="L110" s="8"/>
      <c r="M110" s="8"/>
      <c r="N110" s="10"/>
      <c r="O110" s="10"/>
    </row>
    <row r="111" spans="1:15" x14ac:dyDescent="0.25">
      <c r="A111" s="7"/>
      <c r="B111" s="7"/>
      <c r="C111" s="7"/>
      <c r="D111" s="7"/>
      <c r="E111" s="11"/>
      <c r="F111" s="8"/>
      <c r="G111" s="8"/>
      <c r="H111" s="9"/>
      <c r="I111" s="10"/>
      <c r="J111" s="9"/>
      <c r="K111" s="10"/>
      <c r="L111" s="8"/>
      <c r="M111" s="8"/>
      <c r="N111" s="10"/>
      <c r="O111" s="10"/>
    </row>
    <row r="112" spans="1:15" x14ac:dyDescent="0.25">
      <c r="A112" s="7"/>
      <c r="B112" s="7"/>
      <c r="C112" s="7"/>
      <c r="D112" s="7"/>
      <c r="E112" s="11"/>
      <c r="F112" s="8"/>
      <c r="G112" s="8"/>
      <c r="H112" s="9"/>
      <c r="I112" s="10"/>
      <c r="J112" s="9"/>
      <c r="K112" s="10"/>
      <c r="L112" s="8"/>
      <c r="M112" s="8"/>
      <c r="N112" s="10"/>
      <c r="O112" s="10"/>
    </row>
    <row r="113" spans="1:15" x14ac:dyDescent="0.25">
      <c r="A113" s="7"/>
      <c r="B113" s="7"/>
      <c r="C113" s="7"/>
      <c r="D113" s="7"/>
      <c r="E113" s="11"/>
      <c r="F113" s="8"/>
      <c r="G113" s="8"/>
      <c r="H113" s="9"/>
      <c r="I113" s="10"/>
      <c r="J113" s="9"/>
      <c r="K113" s="10"/>
      <c r="L113" s="8"/>
      <c r="M113" s="8"/>
      <c r="N113" s="10"/>
      <c r="O113" s="10"/>
    </row>
    <row r="114" spans="1:15" x14ac:dyDescent="0.25">
      <c r="A114" s="7"/>
      <c r="B114" s="7"/>
      <c r="C114" s="7"/>
      <c r="D114" s="7"/>
      <c r="E114" s="11"/>
      <c r="F114" s="8"/>
      <c r="G114" s="8"/>
      <c r="H114" s="9"/>
      <c r="I114" s="10"/>
      <c r="J114" s="9"/>
      <c r="K114" s="10"/>
      <c r="L114" s="8"/>
      <c r="M114" s="8"/>
      <c r="N114" s="10"/>
      <c r="O114" s="10"/>
    </row>
    <row r="115" spans="1:15" x14ac:dyDescent="0.25">
      <c r="A115" s="7"/>
      <c r="B115" s="7"/>
      <c r="C115" s="7"/>
      <c r="D115" s="7"/>
      <c r="E115" s="11"/>
      <c r="F115" s="8"/>
      <c r="G115" s="8"/>
      <c r="H115" s="9"/>
      <c r="I115" s="10"/>
      <c r="J115" s="9"/>
      <c r="K115" s="10"/>
      <c r="L115" s="8"/>
      <c r="M115" s="8"/>
      <c r="N115" s="10"/>
      <c r="O115" s="10"/>
    </row>
    <row r="116" spans="1:15" x14ac:dyDescent="0.25">
      <c r="A116" s="7"/>
      <c r="B116" s="7"/>
      <c r="C116" s="7"/>
      <c r="D116" s="7"/>
      <c r="E116" s="11"/>
      <c r="F116" s="8"/>
      <c r="G116" s="8"/>
      <c r="H116" s="9"/>
      <c r="I116" s="10"/>
      <c r="J116" s="9"/>
      <c r="K116" s="10"/>
      <c r="L116" s="8"/>
      <c r="M116" s="8"/>
      <c r="N116" s="10"/>
      <c r="O116" s="10"/>
    </row>
    <row r="117" spans="1:15" x14ac:dyDescent="0.25">
      <c r="A117" s="7"/>
      <c r="B117" s="7"/>
      <c r="C117" s="7"/>
      <c r="D117" s="7"/>
      <c r="E117" s="11"/>
      <c r="F117" s="8"/>
      <c r="G117" s="8"/>
      <c r="H117" s="9"/>
      <c r="I117" s="10"/>
      <c r="J117" s="9"/>
      <c r="K117" s="10"/>
      <c r="L117" s="8"/>
      <c r="M117" s="8"/>
      <c r="N117" s="10"/>
      <c r="O117" s="10"/>
    </row>
    <row r="118" spans="1:15" x14ac:dyDescent="0.25">
      <c r="A118" s="7"/>
      <c r="B118" s="7"/>
      <c r="C118" s="7"/>
      <c r="D118" s="7"/>
      <c r="E118" s="11"/>
      <c r="F118" s="8"/>
      <c r="G118" s="8"/>
      <c r="H118" s="9"/>
      <c r="I118" s="10"/>
      <c r="J118" s="9"/>
      <c r="K118" s="10"/>
      <c r="L118" s="8"/>
      <c r="M118" s="8"/>
      <c r="N118" s="10"/>
      <c r="O118" s="10"/>
    </row>
    <row r="119" spans="1:15" x14ac:dyDescent="0.25">
      <c r="A119" s="7"/>
      <c r="B119" s="7"/>
      <c r="C119" s="7"/>
      <c r="D119" s="7"/>
      <c r="E119" s="11"/>
      <c r="F119" s="8"/>
      <c r="G119" s="8"/>
      <c r="H119" s="9"/>
      <c r="I119" s="10"/>
      <c r="J119" s="9"/>
      <c r="K119" s="10"/>
      <c r="L119" s="8"/>
      <c r="M119" s="8"/>
      <c r="N119" s="10"/>
      <c r="O119" s="10"/>
    </row>
    <row r="120" spans="1:15" x14ac:dyDescent="0.25">
      <c r="A120" s="7"/>
      <c r="B120" s="7"/>
      <c r="C120" s="7"/>
      <c r="D120" s="7"/>
      <c r="E120" s="11"/>
      <c r="F120" s="8"/>
      <c r="G120" s="8"/>
      <c r="H120" s="9"/>
      <c r="I120" s="10"/>
      <c r="J120" s="9"/>
      <c r="K120" s="10"/>
      <c r="L120" s="8"/>
      <c r="M120" s="8"/>
      <c r="N120" s="10"/>
      <c r="O120" s="10"/>
    </row>
    <row r="121" spans="1:15" x14ac:dyDescent="0.25">
      <c r="A121" s="7"/>
      <c r="B121" s="7"/>
      <c r="C121" s="7"/>
      <c r="D121" s="7"/>
      <c r="E121" s="11"/>
      <c r="F121" s="8"/>
      <c r="G121" s="8"/>
      <c r="H121" s="9"/>
      <c r="I121" s="10"/>
      <c r="J121" s="9"/>
      <c r="K121" s="10"/>
      <c r="L121" s="8"/>
      <c r="M121" s="8"/>
      <c r="N121" s="10"/>
      <c r="O121" s="10"/>
    </row>
    <row r="122" spans="1:15" x14ac:dyDescent="0.25">
      <c r="A122" s="7"/>
      <c r="B122" s="7"/>
      <c r="C122" s="7"/>
      <c r="D122" s="7"/>
      <c r="E122" s="11"/>
      <c r="F122" s="8"/>
      <c r="G122" s="8"/>
      <c r="H122" s="9"/>
      <c r="I122" s="10"/>
      <c r="J122" s="9"/>
      <c r="K122" s="10"/>
      <c r="L122" s="8"/>
      <c r="M122" s="8"/>
      <c r="N122" s="10"/>
      <c r="O122" s="10"/>
    </row>
    <row r="123" spans="1:15" x14ac:dyDescent="0.25">
      <c r="A123" s="7"/>
      <c r="B123" s="7"/>
      <c r="C123" s="7"/>
      <c r="D123" s="7"/>
      <c r="E123" s="11"/>
      <c r="F123" s="8"/>
      <c r="G123" s="8"/>
      <c r="H123" s="9"/>
      <c r="I123" s="10"/>
      <c r="J123" s="9"/>
      <c r="K123" s="10"/>
      <c r="L123" s="8"/>
      <c r="M123" s="8"/>
      <c r="N123" s="10"/>
      <c r="O123" s="10"/>
    </row>
    <row r="124" spans="1:15" x14ac:dyDescent="0.25">
      <c r="A124" s="7"/>
      <c r="B124" s="7"/>
      <c r="C124" s="7"/>
      <c r="D124" s="7"/>
      <c r="E124" s="11"/>
      <c r="F124" s="8"/>
      <c r="G124" s="8"/>
      <c r="H124" s="9"/>
      <c r="I124" s="10"/>
      <c r="J124" s="9"/>
      <c r="K124" s="10"/>
      <c r="L124" s="8"/>
      <c r="M124" s="8"/>
      <c r="N124" s="10"/>
      <c r="O124" s="10"/>
    </row>
    <row r="125" spans="1:15" x14ac:dyDescent="0.25">
      <c r="A125" s="7"/>
      <c r="B125" s="7"/>
      <c r="C125" s="7"/>
      <c r="D125" s="7"/>
      <c r="E125" s="11"/>
      <c r="F125" s="8"/>
      <c r="G125" s="8"/>
      <c r="H125" s="9"/>
      <c r="I125" s="10"/>
      <c r="J125" s="9"/>
      <c r="K125" s="10"/>
      <c r="L125" s="8"/>
      <c r="M125" s="8"/>
      <c r="N125" s="10"/>
      <c r="O125" s="10"/>
    </row>
    <row r="126" spans="1:15" x14ac:dyDescent="0.25">
      <c r="A126" s="7"/>
      <c r="B126" s="7"/>
      <c r="C126" s="7"/>
      <c r="D126" s="7"/>
      <c r="E126" s="11"/>
      <c r="F126" s="8"/>
      <c r="G126" s="8"/>
      <c r="H126" s="9"/>
      <c r="I126" s="10"/>
      <c r="J126" s="9"/>
      <c r="K126" s="10"/>
      <c r="L126" s="8"/>
      <c r="M126" s="8"/>
      <c r="N126" s="10"/>
      <c r="O126" s="10"/>
    </row>
    <row r="127" spans="1:15" x14ac:dyDescent="0.25">
      <c r="A127" s="7"/>
      <c r="B127" s="7"/>
      <c r="C127" s="7"/>
      <c r="D127" s="7"/>
      <c r="E127" s="11"/>
      <c r="F127" s="8"/>
      <c r="G127" s="8"/>
      <c r="H127" s="9"/>
      <c r="I127" s="10"/>
      <c r="J127" s="9"/>
      <c r="K127" s="10"/>
      <c r="L127" s="8"/>
      <c r="M127" s="8"/>
      <c r="N127" s="10"/>
      <c r="O127" s="10"/>
    </row>
    <row r="128" spans="1:15" x14ac:dyDescent="0.25">
      <c r="A128" s="7"/>
      <c r="B128" s="7"/>
      <c r="C128" s="7"/>
      <c r="D128" s="7"/>
      <c r="E128" s="11"/>
      <c r="F128" s="8"/>
      <c r="G128" s="8"/>
      <c r="H128" s="9"/>
      <c r="I128" s="10"/>
      <c r="J128" s="9"/>
      <c r="K128" s="10"/>
      <c r="L128" s="8"/>
      <c r="M128" s="8"/>
      <c r="N128" s="10"/>
      <c r="O128" s="10"/>
    </row>
    <row r="129" spans="1:15" x14ac:dyDescent="0.25">
      <c r="A129" s="7"/>
      <c r="B129" s="7"/>
      <c r="C129" s="7"/>
      <c r="D129" s="7"/>
      <c r="E129" s="11"/>
      <c r="F129" s="8"/>
      <c r="G129" s="8"/>
      <c r="H129" s="9"/>
      <c r="I129" s="10"/>
      <c r="J129" s="9"/>
      <c r="K129" s="10"/>
      <c r="L129" s="8"/>
      <c r="M129" s="8"/>
      <c r="N129" s="10"/>
      <c r="O129" s="10"/>
    </row>
    <row r="130" spans="1:15" x14ac:dyDescent="0.25">
      <c r="A130" s="7"/>
      <c r="B130" s="7"/>
      <c r="C130" s="7"/>
      <c r="D130" s="7"/>
      <c r="E130" s="11"/>
      <c r="F130" s="8"/>
      <c r="G130" s="8"/>
      <c r="H130" s="9"/>
      <c r="I130" s="10"/>
      <c r="J130" s="9"/>
      <c r="K130" s="10"/>
      <c r="L130" s="8"/>
      <c r="M130" s="8"/>
      <c r="N130" s="10"/>
      <c r="O130" s="10"/>
    </row>
    <row r="131" spans="1:15" x14ac:dyDescent="0.25">
      <c r="A131" s="7"/>
      <c r="B131" s="7"/>
      <c r="C131" s="7"/>
      <c r="D131" s="7"/>
      <c r="E131" s="11"/>
      <c r="F131" s="8"/>
      <c r="G131" s="8"/>
      <c r="H131" s="9"/>
      <c r="I131" s="10"/>
      <c r="J131" s="9"/>
      <c r="K131" s="10"/>
      <c r="L131" s="8"/>
      <c r="M131" s="8"/>
      <c r="N131" s="10"/>
      <c r="O131" s="10"/>
    </row>
    <row r="132" spans="1:15" x14ac:dyDescent="0.25">
      <c r="A132" s="7"/>
      <c r="B132" s="7"/>
      <c r="C132" s="7"/>
      <c r="D132" s="7"/>
      <c r="E132" s="11"/>
      <c r="F132" s="8"/>
      <c r="G132" s="8"/>
      <c r="H132" s="9"/>
      <c r="I132" s="10"/>
      <c r="J132" s="9"/>
      <c r="K132" s="10"/>
      <c r="L132" s="8"/>
      <c r="M132" s="8"/>
      <c r="N132" s="10"/>
      <c r="O132" s="10"/>
    </row>
    <row r="133" spans="1:15" x14ac:dyDescent="0.25">
      <c r="A133" s="7"/>
      <c r="B133" s="7"/>
      <c r="C133" s="7"/>
      <c r="D133" s="7"/>
      <c r="E133" s="11"/>
      <c r="F133" s="8"/>
      <c r="G133" s="8"/>
      <c r="H133" s="9"/>
      <c r="I133" s="10"/>
      <c r="J133" s="9"/>
      <c r="K133" s="10"/>
      <c r="L133" s="8"/>
      <c r="M133" s="8"/>
      <c r="N133" s="10"/>
      <c r="O133" s="10"/>
    </row>
    <row r="134" spans="1:15" x14ac:dyDescent="0.25">
      <c r="A134" s="7"/>
      <c r="B134" s="7"/>
      <c r="C134" s="7"/>
      <c r="D134" s="7"/>
      <c r="E134" s="11"/>
      <c r="F134" s="8"/>
      <c r="G134" s="8"/>
      <c r="H134" s="9"/>
      <c r="I134" s="10"/>
      <c r="J134" s="9"/>
      <c r="K134" s="10"/>
      <c r="L134" s="8"/>
      <c r="M134" s="8"/>
      <c r="N134" s="10"/>
      <c r="O134" s="10"/>
    </row>
    <row r="135" spans="1:15" x14ac:dyDescent="0.25">
      <c r="A135" s="7"/>
      <c r="B135" s="7"/>
      <c r="C135" s="7"/>
      <c r="D135" s="7"/>
      <c r="E135" s="11"/>
      <c r="F135" s="8"/>
      <c r="G135" s="8"/>
      <c r="H135" s="9"/>
      <c r="I135" s="10"/>
      <c r="J135" s="9"/>
      <c r="K135" s="10"/>
      <c r="L135" s="8"/>
      <c r="M135" s="8"/>
      <c r="N135" s="10"/>
      <c r="O135" s="10"/>
    </row>
    <row r="136" spans="1:15" x14ac:dyDescent="0.25">
      <c r="A136" s="7"/>
      <c r="B136" s="7"/>
      <c r="C136" s="7"/>
      <c r="D136" s="7"/>
      <c r="E136" s="11"/>
      <c r="F136" s="8"/>
      <c r="G136" s="8"/>
      <c r="H136" s="9"/>
      <c r="I136" s="10"/>
      <c r="J136" s="9"/>
      <c r="K136" s="10"/>
      <c r="L136" s="8"/>
      <c r="M136" s="8"/>
      <c r="N136" s="10"/>
      <c r="O136" s="10"/>
    </row>
    <row r="137" spans="1:15" x14ac:dyDescent="0.25">
      <c r="A137" s="7"/>
      <c r="B137" s="7"/>
      <c r="C137" s="7"/>
      <c r="D137" s="7"/>
      <c r="E137" s="11"/>
      <c r="F137" s="8"/>
      <c r="G137" s="8"/>
      <c r="H137" s="9"/>
      <c r="I137" s="10"/>
      <c r="J137" s="9"/>
      <c r="K137" s="10"/>
      <c r="L137" s="8"/>
      <c r="M137" s="8"/>
      <c r="N137" s="10"/>
      <c r="O137" s="10"/>
    </row>
    <row r="138" spans="1:15" x14ac:dyDescent="0.25">
      <c r="A138" s="7"/>
      <c r="B138" s="7"/>
      <c r="C138" s="7"/>
      <c r="D138" s="7"/>
      <c r="E138" s="11"/>
      <c r="F138" s="8"/>
      <c r="G138" s="8"/>
      <c r="H138" s="9"/>
      <c r="I138" s="10"/>
      <c r="J138" s="9"/>
      <c r="K138" s="10"/>
      <c r="L138" s="8"/>
      <c r="M138" s="8"/>
      <c r="N138" s="10"/>
      <c r="O138" s="10"/>
    </row>
    <row r="139" spans="1:15" x14ac:dyDescent="0.25">
      <c r="A139" s="7"/>
      <c r="B139" s="7"/>
      <c r="C139" s="7"/>
      <c r="D139" s="7"/>
      <c r="E139" s="11"/>
      <c r="F139" s="8"/>
      <c r="G139" s="8"/>
      <c r="H139" s="9"/>
      <c r="I139" s="10"/>
      <c r="J139" s="9"/>
      <c r="K139" s="10"/>
      <c r="L139" s="8"/>
      <c r="M139" s="8"/>
      <c r="N139" s="10"/>
      <c r="O139" s="10"/>
    </row>
    <row r="140" spans="1:15" x14ac:dyDescent="0.25">
      <c r="A140" s="7"/>
      <c r="B140" s="7"/>
      <c r="C140" s="7"/>
      <c r="D140" s="7"/>
      <c r="E140" s="11"/>
      <c r="F140" s="8"/>
      <c r="G140" s="8"/>
      <c r="H140" s="9"/>
      <c r="I140" s="10"/>
      <c r="J140" s="9"/>
      <c r="K140" s="10"/>
      <c r="L140" s="8"/>
      <c r="M140" s="8"/>
      <c r="N140" s="10"/>
      <c r="O140" s="10"/>
    </row>
    <row r="141" spans="1:15" x14ac:dyDescent="0.25">
      <c r="A141" s="7"/>
      <c r="B141" s="7"/>
      <c r="C141" s="7"/>
      <c r="D141" s="7"/>
      <c r="E141" s="11"/>
      <c r="F141" s="8"/>
      <c r="G141" s="8"/>
      <c r="H141" s="9"/>
      <c r="I141" s="10"/>
      <c r="J141" s="9"/>
      <c r="K141" s="10"/>
      <c r="L141" s="8"/>
      <c r="M141" s="8"/>
      <c r="N141" s="10"/>
      <c r="O141" s="10"/>
    </row>
    <row r="142" spans="1:15" x14ac:dyDescent="0.25">
      <c r="A142" s="7"/>
      <c r="B142" s="7"/>
      <c r="C142" s="7"/>
      <c r="D142" s="7"/>
      <c r="E142" s="11"/>
      <c r="F142" s="8"/>
      <c r="G142" s="8"/>
      <c r="H142" s="9"/>
      <c r="I142" s="10"/>
      <c r="J142" s="9"/>
      <c r="K142" s="10"/>
      <c r="L142" s="8"/>
      <c r="M142" s="8"/>
      <c r="N142" s="10"/>
      <c r="O142" s="10"/>
    </row>
    <row r="143" spans="1:15" x14ac:dyDescent="0.25">
      <c r="A143" s="7"/>
      <c r="B143" s="7"/>
      <c r="C143" s="7"/>
      <c r="D143" s="7"/>
      <c r="E143" s="11"/>
      <c r="F143" s="8"/>
      <c r="G143" s="8"/>
      <c r="H143" s="9"/>
      <c r="I143" s="10"/>
      <c r="J143" s="9"/>
      <c r="K143" s="10"/>
      <c r="L143" s="8"/>
      <c r="M143" s="8"/>
      <c r="N143" s="10"/>
      <c r="O143" s="10"/>
    </row>
    <row r="144" spans="1:15" x14ac:dyDescent="0.25">
      <c r="A144" s="7"/>
      <c r="B144" s="7"/>
      <c r="C144" s="7"/>
      <c r="D144" s="7"/>
      <c r="E144" s="11"/>
      <c r="F144" s="8"/>
      <c r="G144" s="8"/>
      <c r="H144" s="9"/>
      <c r="I144" s="10"/>
      <c r="J144" s="9"/>
      <c r="K144" s="10"/>
      <c r="L144" s="8"/>
      <c r="M144" s="8"/>
      <c r="N144" s="10"/>
      <c r="O144" s="10"/>
    </row>
    <row r="145" spans="1:15" x14ac:dyDescent="0.25">
      <c r="A145" s="7"/>
      <c r="B145" s="7"/>
      <c r="C145" s="7"/>
      <c r="D145" s="7"/>
      <c r="E145" s="11"/>
      <c r="F145" s="8"/>
      <c r="G145" s="8"/>
      <c r="H145" s="9"/>
      <c r="I145" s="10"/>
      <c r="J145" s="9"/>
      <c r="K145" s="10"/>
      <c r="L145" s="8"/>
      <c r="M145" s="8"/>
      <c r="N145" s="10"/>
      <c r="O145" s="10"/>
    </row>
    <row r="146" spans="1:15" x14ac:dyDescent="0.25">
      <c r="A146" s="7"/>
      <c r="B146" s="7"/>
      <c r="C146" s="7"/>
      <c r="D146" s="7"/>
      <c r="E146" s="11"/>
      <c r="F146" s="8"/>
      <c r="G146" s="8"/>
      <c r="H146" s="9"/>
      <c r="I146" s="10"/>
      <c r="J146" s="9"/>
      <c r="K146" s="10"/>
      <c r="L146" s="8"/>
      <c r="M146" s="8"/>
      <c r="N146" s="10"/>
      <c r="O146" s="10"/>
    </row>
    <row r="147" spans="1:15" x14ac:dyDescent="0.25">
      <c r="A147" s="7"/>
      <c r="B147" s="7"/>
      <c r="C147" s="7"/>
      <c r="D147" s="7"/>
      <c r="E147" s="11"/>
      <c r="F147" s="8"/>
      <c r="G147" s="8"/>
      <c r="H147" s="9"/>
      <c r="I147" s="10"/>
      <c r="J147" s="9"/>
      <c r="K147" s="10"/>
      <c r="L147" s="8"/>
      <c r="M147" s="8"/>
      <c r="N147" s="10"/>
      <c r="O147" s="10"/>
    </row>
    <row r="148" spans="1:15" x14ac:dyDescent="0.25">
      <c r="A148" s="7"/>
      <c r="B148" s="7"/>
      <c r="C148" s="7"/>
      <c r="D148" s="7"/>
      <c r="E148" s="11"/>
      <c r="F148" s="8"/>
      <c r="G148" s="8"/>
      <c r="H148" s="9"/>
      <c r="I148" s="10"/>
      <c r="J148" s="9"/>
      <c r="K148" s="10"/>
      <c r="L148" s="8"/>
      <c r="M148" s="8"/>
      <c r="N148" s="10"/>
      <c r="O148" s="10"/>
    </row>
    <row r="149" spans="1:15" x14ac:dyDescent="0.25">
      <c r="A149" s="7"/>
      <c r="B149" s="7"/>
      <c r="C149" s="7"/>
      <c r="D149" s="7"/>
      <c r="E149" s="11"/>
      <c r="F149" s="8"/>
      <c r="G149" s="8"/>
      <c r="H149" s="9"/>
      <c r="I149" s="10"/>
      <c r="J149" s="9"/>
      <c r="K149" s="10"/>
      <c r="L149" s="8"/>
      <c r="M149" s="8"/>
      <c r="N149" s="10"/>
      <c r="O149" s="10"/>
    </row>
    <row r="150" spans="1:15" x14ac:dyDescent="0.25">
      <c r="A150" s="7"/>
      <c r="B150" s="7"/>
      <c r="C150" s="7"/>
      <c r="D150" s="7"/>
      <c r="E150" s="11"/>
      <c r="F150" s="8"/>
      <c r="G150" s="8"/>
      <c r="H150" s="9"/>
      <c r="I150" s="10"/>
      <c r="J150" s="9"/>
      <c r="K150" s="10"/>
      <c r="L150" s="8"/>
      <c r="M150" s="8"/>
      <c r="N150" s="10"/>
      <c r="O150" s="10"/>
    </row>
    <row r="151" spans="1:15" x14ac:dyDescent="0.25">
      <c r="A151" s="7"/>
      <c r="B151" s="7"/>
      <c r="C151" s="7"/>
      <c r="D151" s="7"/>
      <c r="E151" s="11"/>
      <c r="F151" s="8"/>
      <c r="G151" s="8"/>
      <c r="H151" s="9"/>
      <c r="I151" s="10"/>
      <c r="J151" s="9"/>
      <c r="K151" s="10"/>
      <c r="L151" s="8"/>
      <c r="M151" s="8"/>
      <c r="N151" s="10"/>
      <c r="O151" s="10"/>
    </row>
    <row r="152" spans="1:15" x14ac:dyDescent="0.25">
      <c r="A152" s="7"/>
      <c r="B152" s="7"/>
      <c r="C152" s="7"/>
      <c r="D152" s="7"/>
      <c r="E152" s="11"/>
      <c r="F152" s="8"/>
      <c r="G152" s="8"/>
      <c r="H152" s="9"/>
      <c r="I152" s="10"/>
      <c r="J152" s="9"/>
      <c r="K152" s="10"/>
      <c r="L152" s="8"/>
      <c r="M152" s="8"/>
      <c r="N152" s="10"/>
      <c r="O152" s="10"/>
    </row>
    <row r="153" spans="1:15" x14ac:dyDescent="0.25">
      <c r="A153" s="7"/>
      <c r="B153" s="7"/>
      <c r="C153" s="7"/>
      <c r="D153" s="7"/>
      <c r="E153" s="11"/>
      <c r="F153" s="8"/>
      <c r="G153" s="8"/>
      <c r="H153" s="9"/>
      <c r="I153" s="10"/>
      <c r="J153" s="9"/>
      <c r="K153" s="10"/>
      <c r="L153" s="8"/>
      <c r="M153" s="8"/>
      <c r="N153" s="10"/>
      <c r="O153" s="10"/>
    </row>
    <row r="154" spans="1:15" x14ac:dyDescent="0.25">
      <c r="A154" s="7"/>
      <c r="B154" s="7"/>
      <c r="C154" s="7"/>
      <c r="D154" s="7"/>
      <c r="E154" s="11"/>
      <c r="F154" s="8"/>
      <c r="G154" s="8"/>
      <c r="H154" s="9"/>
      <c r="I154" s="10"/>
      <c r="J154" s="9"/>
      <c r="K154" s="10"/>
      <c r="L154" s="8"/>
      <c r="M154" s="8"/>
      <c r="N154" s="10"/>
      <c r="O154" s="10"/>
    </row>
    <row r="155" spans="1:15" x14ac:dyDescent="0.25">
      <c r="A155" s="7"/>
      <c r="B155" s="7"/>
      <c r="C155" s="7"/>
      <c r="D155" s="7"/>
      <c r="E155" s="11"/>
      <c r="F155" s="8"/>
      <c r="G155" s="8"/>
      <c r="H155" s="9"/>
      <c r="I155" s="10"/>
      <c r="J155" s="9"/>
      <c r="K155" s="10"/>
      <c r="L155" s="8"/>
      <c r="M155" s="8"/>
      <c r="N155" s="10"/>
      <c r="O155" s="10"/>
    </row>
    <row r="156" spans="1:15" x14ac:dyDescent="0.25">
      <c r="A156" s="7"/>
      <c r="B156" s="7"/>
      <c r="C156" s="7"/>
      <c r="D156" s="7"/>
      <c r="E156" s="11"/>
      <c r="F156" s="8"/>
      <c r="G156" s="8"/>
      <c r="H156" s="9"/>
      <c r="I156" s="10"/>
      <c r="J156" s="9"/>
      <c r="K156" s="10"/>
      <c r="L156" s="8"/>
      <c r="M156" s="8"/>
      <c r="N156" s="10"/>
      <c r="O156" s="10"/>
    </row>
    <row r="157" spans="1:15" x14ac:dyDescent="0.25">
      <c r="A157" s="7"/>
      <c r="B157" s="7"/>
      <c r="C157" s="7"/>
      <c r="D157" s="7"/>
      <c r="E157" s="11"/>
      <c r="F157" s="8"/>
      <c r="G157" s="8"/>
      <c r="H157" s="9"/>
      <c r="I157" s="10"/>
      <c r="J157" s="9"/>
      <c r="K157" s="10"/>
      <c r="L157" s="8"/>
      <c r="M157" s="8"/>
      <c r="N157" s="10"/>
      <c r="O157" s="10"/>
    </row>
    <row r="158" spans="1:15" x14ac:dyDescent="0.25">
      <c r="A158" s="7"/>
      <c r="B158" s="7"/>
      <c r="C158" s="7"/>
      <c r="D158" s="7"/>
      <c r="E158" s="11"/>
      <c r="F158" s="8"/>
      <c r="G158" s="8"/>
      <c r="H158" s="9"/>
      <c r="I158" s="10"/>
      <c r="J158" s="9"/>
      <c r="K158" s="10"/>
      <c r="L158" s="8"/>
      <c r="M158" s="8"/>
      <c r="N158" s="10"/>
      <c r="O158" s="10"/>
    </row>
    <row r="159" spans="1:15" x14ac:dyDescent="0.25">
      <c r="A159" s="7"/>
      <c r="B159" s="7"/>
      <c r="C159" s="7"/>
      <c r="D159" s="7"/>
      <c r="E159" s="11"/>
      <c r="F159" s="8"/>
      <c r="G159" s="8"/>
      <c r="H159" s="9"/>
      <c r="I159" s="10"/>
      <c r="J159" s="9"/>
      <c r="K159" s="10"/>
      <c r="L159" s="8"/>
      <c r="M159" s="8"/>
      <c r="N159" s="10"/>
      <c r="O159" s="10"/>
    </row>
    <row r="160" spans="1:15" x14ac:dyDescent="0.25">
      <c r="A160" s="7"/>
      <c r="B160" s="7"/>
      <c r="C160" s="7"/>
      <c r="D160" s="7"/>
      <c r="E160" s="11"/>
      <c r="F160" s="8"/>
      <c r="G160" s="8"/>
      <c r="H160" s="9"/>
      <c r="I160" s="10"/>
      <c r="J160" s="9"/>
      <c r="K160" s="10"/>
      <c r="L160" s="8"/>
      <c r="M160" s="8"/>
      <c r="N160" s="10"/>
      <c r="O160" s="10"/>
    </row>
    <row r="161" spans="1:15" x14ac:dyDescent="0.25">
      <c r="A161" s="7"/>
      <c r="B161" s="7"/>
      <c r="C161" s="7"/>
      <c r="D161" s="7"/>
      <c r="E161" s="11"/>
      <c r="F161" s="8"/>
      <c r="G161" s="8"/>
      <c r="H161" s="9"/>
      <c r="I161" s="10"/>
      <c r="J161" s="9"/>
      <c r="K161" s="10"/>
      <c r="L161" s="8"/>
      <c r="M161" s="8"/>
      <c r="N161" s="10"/>
      <c r="O161" s="10"/>
    </row>
    <row r="162" spans="1:15" x14ac:dyDescent="0.25">
      <c r="A162" s="7"/>
      <c r="B162" s="7"/>
      <c r="C162" s="7"/>
      <c r="D162" s="7"/>
      <c r="E162" s="11"/>
      <c r="F162" s="8"/>
      <c r="G162" s="8"/>
      <c r="H162" s="9"/>
      <c r="I162" s="10"/>
      <c r="J162" s="9"/>
      <c r="K162" s="10"/>
      <c r="L162" s="8"/>
      <c r="M162" s="8"/>
      <c r="N162" s="10"/>
      <c r="O162" s="10"/>
    </row>
    <row r="163" spans="1:15" x14ac:dyDescent="0.25">
      <c r="A163" s="7"/>
      <c r="B163" s="7"/>
      <c r="C163" s="7"/>
      <c r="D163" s="7"/>
      <c r="E163" s="11"/>
      <c r="F163" s="8"/>
      <c r="G163" s="8"/>
      <c r="H163" s="9"/>
      <c r="I163" s="10"/>
      <c r="J163" s="9"/>
      <c r="K163" s="10"/>
      <c r="L163" s="8"/>
      <c r="M163" s="8"/>
      <c r="N163" s="10"/>
      <c r="O163" s="10"/>
    </row>
    <row r="164" spans="1:15" x14ac:dyDescent="0.25">
      <c r="A164" s="7"/>
      <c r="B164" s="7"/>
      <c r="C164" s="7"/>
      <c r="D164" s="7"/>
      <c r="E164" s="11"/>
      <c r="F164" s="8"/>
      <c r="G164" s="8"/>
      <c r="H164" s="9"/>
      <c r="I164" s="10"/>
      <c r="J164" s="9"/>
      <c r="K164" s="10"/>
      <c r="L164" s="8"/>
      <c r="M164" s="8"/>
      <c r="N164" s="10"/>
      <c r="O164" s="10"/>
    </row>
    <row r="165" spans="1:15" x14ac:dyDescent="0.25">
      <c r="A165" s="7"/>
      <c r="B165" s="7"/>
      <c r="C165" s="7"/>
      <c r="D165" s="7"/>
      <c r="E165" s="11"/>
      <c r="F165" s="8"/>
      <c r="G165" s="8"/>
      <c r="H165" s="9"/>
      <c r="I165" s="10"/>
      <c r="J165" s="9"/>
      <c r="K165" s="10"/>
      <c r="L165" s="8"/>
      <c r="M165" s="8"/>
      <c r="N165" s="10"/>
      <c r="O165" s="10"/>
    </row>
    <row r="166" spans="1:15" x14ac:dyDescent="0.25">
      <c r="A166" s="7"/>
      <c r="B166" s="7"/>
      <c r="C166" s="7"/>
      <c r="D166" s="7"/>
      <c r="E166" s="11"/>
      <c r="F166" s="8"/>
      <c r="G166" s="8"/>
      <c r="H166" s="9"/>
      <c r="I166" s="10"/>
      <c r="J166" s="9"/>
      <c r="K166" s="10"/>
      <c r="L166" s="8"/>
      <c r="M166" s="8"/>
      <c r="N166" s="10"/>
      <c r="O166" s="10"/>
    </row>
    <row r="167" spans="1:15" x14ac:dyDescent="0.25">
      <c r="A167" s="7"/>
      <c r="B167" s="7"/>
      <c r="C167" s="7"/>
      <c r="D167" s="7"/>
      <c r="E167" s="11"/>
      <c r="F167" s="8"/>
      <c r="G167" s="8"/>
      <c r="H167" s="9"/>
      <c r="I167" s="10"/>
      <c r="J167" s="9"/>
      <c r="K167" s="10"/>
      <c r="L167" s="8"/>
      <c r="M167" s="8"/>
      <c r="N167" s="10"/>
      <c r="O167" s="10"/>
    </row>
    <row r="168" spans="1:15" x14ac:dyDescent="0.25">
      <c r="A168" s="7"/>
      <c r="B168" s="7"/>
      <c r="C168" s="7"/>
      <c r="D168" s="7"/>
      <c r="E168" s="11"/>
      <c r="F168" s="8"/>
      <c r="G168" s="8"/>
      <c r="H168" s="9"/>
      <c r="I168" s="10"/>
      <c r="J168" s="9"/>
      <c r="K168" s="10"/>
      <c r="L168" s="8"/>
      <c r="M168" s="8"/>
      <c r="N168" s="10"/>
      <c r="O168" s="10"/>
    </row>
    <row r="169" spans="1:15" x14ac:dyDescent="0.25">
      <c r="A169" s="7"/>
      <c r="B169" s="7"/>
      <c r="C169" s="7"/>
      <c r="D169" s="7"/>
      <c r="E169" s="11"/>
      <c r="F169" s="8"/>
      <c r="G169" s="8"/>
      <c r="H169" s="9"/>
      <c r="I169" s="10"/>
      <c r="J169" s="9"/>
      <c r="K169" s="10"/>
      <c r="L169" s="8"/>
      <c r="M169" s="8"/>
      <c r="N169" s="10"/>
      <c r="O169" s="10"/>
    </row>
    <row r="170" spans="1:15" x14ac:dyDescent="0.25">
      <c r="A170" s="7"/>
      <c r="B170" s="7"/>
      <c r="C170" s="7"/>
      <c r="D170" s="7"/>
      <c r="E170" s="11"/>
      <c r="F170" s="8"/>
      <c r="G170" s="8"/>
      <c r="H170" s="9"/>
      <c r="I170" s="10"/>
      <c r="J170" s="9"/>
      <c r="K170" s="10"/>
      <c r="L170" s="8"/>
      <c r="M170" s="8"/>
      <c r="N170" s="10"/>
      <c r="O170" s="10"/>
    </row>
    <row r="171" spans="1:15" x14ac:dyDescent="0.25">
      <c r="A171" s="7"/>
      <c r="B171" s="7"/>
      <c r="C171" s="7"/>
      <c r="D171" s="7"/>
      <c r="E171" s="11"/>
      <c r="F171" s="8"/>
      <c r="G171" s="8"/>
      <c r="H171" s="9"/>
      <c r="I171" s="10"/>
      <c r="J171" s="9"/>
      <c r="K171" s="10"/>
      <c r="L171" s="8"/>
      <c r="M171" s="8"/>
      <c r="N171" s="10"/>
      <c r="O171" s="10"/>
    </row>
    <row r="172" spans="1:15" x14ac:dyDescent="0.25">
      <c r="A172" s="7"/>
      <c r="B172" s="7"/>
      <c r="C172" s="7"/>
      <c r="D172" s="7"/>
      <c r="E172" s="11"/>
      <c r="F172" s="8"/>
      <c r="G172" s="8"/>
      <c r="H172" s="9"/>
      <c r="I172" s="10"/>
      <c r="J172" s="9"/>
      <c r="K172" s="10"/>
      <c r="L172" s="8"/>
      <c r="M172" s="8"/>
      <c r="N172" s="10"/>
      <c r="O172" s="10"/>
    </row>
    <row r="173" spans="1:15" x14ac:dyDescent="0.25">
      <c r="A173" s="7"/>
      <c r="B173" s="7"/>
      <c r="C173" s="7"/>
      <c r="D173" s="7"/>
      <c r="E173" s="11"/>
      <c r="F173" s="8"/>
      <c r="G173" s="8"/>
      <c r="H173" s="9"/>
      <c r="I173" s="10"/>
      <c r="J173" s="9"/>
      <c r="K173" s="10"/>
      <c r="L173" s="8"/>
      <c r="M173" s="8"/>
      <c r="N173" s="10"/>
      <c r="O173" s="10"/>
    </row>
    <row r="174" spans="1:15" x14ac:dyDescent="0.25">
      <c r="A174" s="7"/>
      <c r="B174" s="7"/>
      <c r="C174" s="7"/>
      <c r="D174" s="7"/>
      <c r="E174" s="11"/>
      <c r="F174" s="8"/>
      <c r="G174" s="8"/>
      <c r="H174" s="9"/>
      <c r="I174" s="10"/>
      <c r="J174" s="9"/>
      <c r="K174" s="10"/>
      <c r="L174" s="8"/>
      <c r="M174" s="8"/>
      <c r="N174" s="10"/>
      <c r="O174" s="10"/>
    </row>
    <row r="175" spans="1:15" x14ac:dyDescent="0.25">
      <c r="A175" s="7"/>
      <c r="B175" s="7"/>
      <c r="C175" s="7"/>
      <c r="D175" s="7"/>
      <c r="E175" s="11"/>
      <c r="F175" s="8"/>
      <c r="G175" s="8"/>
      <c r="H175" s="9"/>
      <c r="I175" s="10"/>
      <c r="J175" s="9"/>
      <c r="K175" s="10"/>
      <c r="L175" s="8"/>
      <c r="M175" s="8"/>
      <c r="N175" s="10"/>
      <c r="O175" s="10"/>
    </row>
    <row r="176" spans="1:15" x14ac:dyDescent="0.25">
      <c r="A176" s="7"/>
      <c r="B176" s="7"/>
      <c r="C176" s="7"/>
      <c r="D176" s="7"/>
      <c r="E176" s="11"/>
      <c r="F176" s="8"/>
      <c r="G176" s="8"/>
      <c r="H176" s="9"/>
      <c r="I176" s="10"/>
      <c r="J176" s="9"/>
      <c r="K176" s="10"/>
      <c r="L176" s="8"/>
      <c r="M176" s="8"/>
      <c r="N176" s="10"/>
      <c r="O176" s="10"/>
    </row>
    <row r="177" spans="1:15" x14ac:dyDescent="0.25">
      <c r="A177" s="7"/>
      <c r="B177" s="7"/>
      <c r="C177" s="7"/>
      <c r="D177" s="7"/>
      <c r="E177" s="11"/>
      <c r="F177" s="8"/>
      <c r="G177" s="8"/>
      <c r="H177" s="9"/>
      <c r="I177" s="10"/>
      <c r="J177" s="9"/>
      <c r="K177" s="10"/>
      <c r="L177" s="8"/>
      <c r="M177" s="8"/>
      <c r="N177" s="10"/>
      <c r="O177" s="10"/>
    </row>
    <row r="178" spans="1:15" x14ac:dyDescent="0.25">
      <c r="A178" s="7"/>
      <c r="B178" s="7"/>
      <c r="C178" s="7"/>
      <c r="D178" s="7"/>
      <c r="E178" s="11"/>
      <c r="F178" s="8"/>
      <c r="G178" s="8"/>
      <c r="H178" s="9"/>
      <c r="I178" s="10"/>
      <c r="J178" s="9"/>
      <c r="K178" s="10"/>
      <c r="L178" s="8"/>
      <c r="M178" s="8"/>
      <c r="N178" s="10"/>
      <c r="O178" s="10"/>
    </row>
    <row r="179" spans="1:15" x14ac:dyDescent="0.25">
      <c r="A179" s="7"/>
      <c r="B179" s="7"/>
      <c r="C179" s="7"/>
      <c r="D179" s="7"/>
      <c r="E179" s="11"/>
      <c r="F179" s="8"/>
      <c r="G179" s="8"/>
      <c r="H179" s="9"/>
      <c r="I179" s="10"/>
      <c r="J179" s="9"/>
      <c r="K179" s="10"/>
      <c r="L179" s="8"/>
      <c r="M179" s="8"/>
      <c r="N179" s="10"/>
      <c r="O179" s="10"/>
    </row>
    <row r="180" spans="1:15" x14ac:dyDescent="0.25">
      <c r="A180" s="7"/>
      <c r="B180" s="7"/>
      <c r="C180" s="7"/>
      <c r="D180" s="7"/>
      <c r="E180" s="11"/>
      <c r="F180" s="8"/>
      <c r="G180" s="8"/>
      <c r="H180" s="9"/>
      <c r="I180" s="10"/>
      <c r="J180" s="9"/>
      <c r="K180" s="10"/>
      <c r="L180" s="8"/>
      <c r="M180" s="8"/>
      <c r="N180" s="10"/>
      <c r="O180" s="10"/>
    </row>
    <row r="181" spans="1:15" x14ac:dyDescent="0.25">
      <c r="A181" s="7"/>
      <c r="B181" s="7"/>
      <c r="C181" s="7"/>
      <c r="D181" s="7"/>
      <c r="E181" s="11"/>
      <c r="F181" s="8"/>
      <c r="G181" s="8"/>
      <c r="H181" s="9"/>
      <c r="I181" s="10"/>
      <c r="J181" s="9"/>
      <c r="K181" s="10"/>
      <c r="L181" s="8"/>
      <c r="M181" s="8"/>
      <c r="N181" s="10"/>
      <c r="O181" s="10"/>
    </row>
    <row r="182" spans="1:15" x14ac:dyDescent="0.25">
      <c r="A182" s="7"/>
      <c r="B182" s="7"/>
      <c r="C182" s="7"/>
      <c r="D182" s="7"/>
      <c r="E182" s="11"/>
      <c r="F182" s="8"/>
      <c r="G182" s="8"/>
      <c r="H182" s="9"/>
      <c r="I182" s="10"/>
      <c r="J182" s="9"/>
      <c r="K182" s="10"/>
      <c r="L182" s="8"/>
      <c r="M182" s="8"/>
      <c r="N182" s="10"/>
      <c r="O182" s="10"/>
    </row>
    <row r="183" spans="1:15" x14ac:dyDescent="0.25">
      <c r="A183" s="7"/>
      <c r="B183" s="7"/>
      <c r="C183" s="7"/>
      <c r="D183" s="7"/>
      <c r="E183" s="11"/>
      <c r="F183" s="8"/>
      <c r="G183" s="8"/>
      <c r="H183" s="9"/>
      <c r="I183" s="10"/>
      <c r="J183" s="9"/>
      <c r="K183" s="10"/>
      <c r="L183" s="8"/>
      <c r="M183" s="8"/>
      <c r="N183" s="10"/>
      <c r="O183" s="10"/>
    </row>
    <row r="184" spans="1:15" x14ac:dyDescent="0.25">
      <c r="A184" s="7"/>
      <c r="B184" s="7"/>
      <c r="C184" s="7"/>
      <c r="D184" s="7"/>
      <c r="E184" s="11"/>
      <c r="F184" s="8"/>
      <c r="G184" s="8"/>
      <c r="H184" s="9"/>
      <c r="I184" s="10"/>
      <c r="J184" s="9"/>
      <c r="K184" s="10"/>
      <c r="L184" s="8"/>
      <c r="M184" s="8"/>
      <c r="N184" s="10"/>
      <c r="O184" s="10"/>
    </row>
    <row r="185" spans="1:15" x14ac:dyDescent="0.25">
      <c r="A185" s="7"/>
      <c r="B185" s="7"/>
      <c r="C185" s="7"/>
      <c r="D185" s="7"/>
      <c r="E185" s="11"/>
      <c r="F185" s="8"/>
      <c r="G185" s="8"/>
      <c r="H185" s="9"/>
      <c r="I185" s="10"/>
      <c r="J185" s="9"/>
      <c r="K185" s="10"/>
      <c r="L185" s="8"/>
      <c r="M185" s="8"/>
      <c r="N185" s="10"/>
      <c r="O185" s="10"/>
    </row>
    <row r="186" spans="1:15" x14ac:dyDescent="0.25">
      <c r="A186" s="7"/>
      <c r="B186" s="7"/>
      <c r="C186" s="7"/>
      <c r="D186" s="7"/>
      <c r="E186" s="11"/>
      <c r="F186" s="8"/>
      <c r="G186" s="8"/>
      <c r="H186" s="9"/>
      <c r="I186" s="10"/>
      <c r="J186" s="9"/>
      <c r="K186" s="10"/>
      <c r="L186" s="8"/>
      <c r="M186" s="8"/>
      <c r="N186" s="10"/>
      <c r="O186" s="10"/>
    </row>
    <row r="187" spans="1:15" x14ac:dyDescent="0.25">
      <c r="A187" s="7"/>
      <c r="B187" s="7"/>
      <c r="C187" s="7"/>
      <c r="D187" s="7"/>
      <c r="E187" s="11"/>
      <c r="F187" s="8"/>
      <c r="G187" s="8"/>
      <c r="H187" s="9"/>
      <c r="I187" s="10"/>
      <c r="J187" s="9"/>
      <c r="K187" s="10"/>
      <c r="L187" s="8"/>
      <c r="M187" s="8"/>
      <c r="N187" s="10"/>
      <c r="O187" s="10"/>
    </row>
    <row r="188" spans="1:15" x14ac:dyDescent="0.25">
      <c r="A188" s="7"/>
      <c r="B188" s="7"/>
      <c r="C188" s="7"/>
      <c r="D188" s="7"/>
      <c r="E188" s="11"/>
      <c r="F188" s="8"/>
      <c r="G188" s="8"/>
      <c r="H188" s="9"/>
      <c r="I188" s="10"/>
      <c r="J188" s="9"/>
      <c r="K188" s="10"/>
      <c r="L188" s="8"/>
      <c r="M188" s="8"/>
      <c r="N188" s="10"/>
      <c r="O188" s="10"/>
    </row>
    <row r="189" spans="1:15" x14ac:dyDescent="0.25">
      <c r="A189" s="7"/>
      <c r="B189" s="7"/>
      <c r="C189" s="7"/>
      <c r="D189" s="7"/>
      <c r="E189" s="11"/>
      <c r="F189" s="8"/>
      <c r="G189" s="8"/>
      <c r="H189" s="9"/>
      <c r="I189" s="10"/>
      <c r="J189" s="9"/>
      <c r="K189" s="10"/>
      <c r="L189" s="8"/>
      <c r="M189" s="8"/>
      <c r="N189" s="10"/>
      <c r="O189" s="10"/>
    </row>
    <row r="190" spans="1:15" x14ac:dyDescent="0.25">
      <c r="A190" s="7"/>
      <c r="B190" s="7"/>
      <c r="C190" s="7"/>
      <c r="D190" s="7"/>
      <c r="E190" s="11"/>
      <c r="F190" s="8"/>
      <c r="G190" s="8"/>
      <c r="H190" s="9"/>
      <c r="I190" s="10"/>
      <c r="J190" s="9"/>
      <c r="K190" s="10"/>
      <c r="L190" s="8"/>
      <c r="M190" s="8"/>
      <c r="N190" s="10"/>
      <c r="O190" s="10"/>
    </row>
    <row r="191" spans="1:15" x14ac:dyDescent="0.25">
      <c r="A191" s="7"/>
      <c r="B191" s="7"/>
      <c r="C191" s="7"/>
      <c r="D191" s="7"/>
      <c r="E191" s="11"/>
      <c r="F191" s="8"/>
      <c r="G191" s="8"/>
      <c r="H191" s="9"/>
      <c r="I191" s="10"/>
      <c r="J191" s="9"/>
      <c r="K191" s="10"/>
      <c r="L191" s="8"/>
      <c r="M191" s="8"/>
      <c r="N191" s="10"/>
      <c r="O191" s="10"/>
    </row>
    <row r="192" spans="1:15" x14ac:dyDescent="0.25">
      <c r="A192" s="7"/>
      <c r="B192" s="7"/>
      <c r="C192" s="7"/>
      <c r="D192" s="7"/>
      <c r="E192" s="11"/>
      <c r="F192" s="8"/>
      <c r="G192" s="8"/>
      <c r="H192" s="9"/>
      <c r="I192" s="10"/>
      <c r="J192" s="9"/>
      <c r="K192" s="10"/>
      <c r="L192" s="8"/>
      <c r="M192" s="8"/>
      <c r="N192" s="10"/>
      <c r="O192" s="10"/>
    </row>
    <row r="193" spans="1:15" x14ac:dyDescent="0.25">
      <c r="A193" s="7"/>
      <c r="B193" s="7"/>
      <c r="C193" s="7"/>
      <c r="D193" s="7"/>
      <c r="E193" s="11"/>
      <c r="F193" s="8"/>
      <c r="G193" s="8"/>
      <c r="H193" s="9"/>
      <c r="I193" s="10"/>
      <c r="J193" s="9"/>
      <c r="K193" s="10"/>
      <c r="L193" s="8"/>
      <c r="M193" s="8"/>
      <c r="N193" s="10"/>
      <c r="O193" s="10"/>
    </row>
    <row r="194" spans="1:15" x14ac:dyDescent="0.25">
      <c r="A194" s="7"/>
      <c r="B194" s="7"/>
      <c r="C194" s="7"/>
      <c r="D194" s="7"/>
      <c r="E194" s="11"/>
      <c r="F194" s="8"/>
      <c r="G194" s="8"/>
      <c r="H194" s="9"/>
      <c r="I194" s="10"/>
      <c r="J194" s="9"/>
      <c r="K194" s="10"/>
      <c r="L194" s="8"/>
      <c r="M194" s="8"/>
      <c r="N194" s="10"/>
      <c r="O194" s="10"/>
    </row>
    <row r="195" spans="1:15" x14ac:dyDescent="0.25">
      <c r="A195" s="7"/>
      <c r="B195" s="7"/>
      <c r="C195" s="7"/>
      <c r="D195" s="7"/>
      <c r="E195" s="11"/>
      <c r="F195" s="8"/>
      <c r="G195" s="8"/>
      <c r="H195" s="9"/>
      <c r="I195" s="10"/>
      <c r="J195" s="9"/>
      <c r="K195" s="10"/>
      <c r="L195" s="8"/>
      <c r="M195" s="8"/>
      <c r="N195" s="10"/>
      <c r="O195" s="10"/>
    </row>
    <row r="196" spans="1:15" x14ac:dyDescent="0.25">
      <c r="A196" s="7"/>
      <c r="B196" s="7"/>
      <c r="C196" s="7"/>
      <c r="D196" s="7"/>
      <c r="E196" s="11"/>
      <c r="F196" s="8"/>
      <c r="G196" s="8"/>
      <c r="H196" s="9"/>
      <c r="I196" s="10"/>
      <c r="J196" s="9"/>
      <c r="K196" s="10"/>
      <c r="L196" s="8"/>
      <c r="M196" s="8"/>
      <c r="N196" s="10"/>
      <c r="O196" s="10"/>
    </row>
    <row r="197" spans="1:15" x14ac:dyDescent="0.25">
      <c r="A197" s="7"/>
      <c r="B197" s="7"/>
      <c r="C197" s="7"/>
      <c r="D197" s="7"/>
      <c r="E197" s="11"/>
      <c r="F197" s="8"/>
      <c r="G197" s="8"/>
      <c r="H197" s="9"/>
      <c r="I197" s="10"/>
      <c r="J197" s="9"/>
      <c r="K197" s="10"/>
      <c r="L197" s="8"/>
      <c r="M197" s="8"/>
      <c r="N197" s="10"/>
      <c r="O197" s="10"/>
    </row>
    <row r="198" spans="1:15" x14ac:dyDescent="0.25">
      <c r="A198" s="7"/>
      <c r="B198" s="7"/>
      <c r="C198" s="7"/>
      <c r="D198" s="7"/>
      <c r="E198" s="11"/>
      <c r="F198" s="8"/>
      <c r="G198" s="8"/>
      <c r="H198" s="9"/>
      <c r="I198" s="10"/>
      <c r="J198" s="9"/>
      <c r="K198" s="10"/>
      <c r="L198" s="8"/>
      <c r="M198" s="8"/>
      <c r="N198" s="10"/>
      <c r="O198" s="10"/>
    </row>
    <row r="199" spans="1:15" x14ac:dyDescent="0.25">
      <c r="A199" s="7"/>
      <c r="B199" s="7"/>
      <c r="C199" s="7"/>
      <c r="D199" s="7"/>
      <c r="E199" s="11"/>
      <c r="F199" s="8"/>
      <c r="G199" s="8"/>
      <c r="H199" s="9"/>
      <c r="I199" s="10"/>
      <c r="J199" s="9"/>
      <c r="K199" s="10"/>
      <c r="L199" s="8"/>
      <c r="M199" s="8"/>
      <c r="N199" s="10"/>
      <c r="O199" s="10"/>
    </row>
    <row r="200" spans="1:15" x14ac:dyDescent="0.25">
      <c r="A200" s="7"/>
      <c r="B200" s="7"/>
      <c r="C200" s="7"/>
      <c r="D200" s="7"/>
      <c r="E200" s="11"/>
      <c r="F200" s="8"/>
      <c r="G200" s="8"/>
      <c r="H200" s="9"/>
      <c r="I200" s="10"/>
      <c r="J200" s="9"/>
      <c r="K200" s="10"/>
      <c r="L200" s="8"/>
      <c r="M200" s="8"/>
      <c r="N200" s="10"/>
      <c r="O200" s="10"/>
    </row>
    <row r="201" spans="1:15" x14ac:dyDescent="0.25">
      <c r="A201" s="7"/>
      <c r="B201" s="7"/>
      <c r="C201" s="7"/>
      <c r="D201" s="7"/>
      <c r="E201" s="11"/>
      <c r="F201" s="8"/>
      <c r="G201" s="8"/>
      <c r="H201" s="9"/>
      <c r="I201" s="10"/>
      <c r="J201" s="9"/>
      <c r="K201" s="10"/>
      <c r="L201" s="8"/>
      <c r="M201" s="8"/>
      <c r="N201" s="10"/>
      <c r="O201" s="10"/>
    </row>
    <row r="202" spans="1:15" x14ac:dyDescent="0.25">
      <c r="A202" s="7"/>
      <c r="B202" s="7"/>
      <c r="C202" s="7"/>
      <c r="D202" s="7"/>
      <c r="E202" s="11"/>
      <c r="F202" s="8"/>
      <c r="G202" s="8"/>
      <c r="H202" s="9"/>
      <c r="I202" s="10"/>
      <c r="J202" s="9"/>
      <c r="K202" s="10"/>
      <c r="L202" s="8"/>
      <c r="M202" s="8"/>
      <c r="N202" s="10"/>
      <c r="O202" s="10"/>
    </row>
    <row r="203" spans="1:15" x14ac:dyDescent="0.25">
      <c r="A203" s="7"/>
      <c r="B203" s="7"/>
      <c r="C203" s="7"/>
      <c r="D203" s="7"/>
      <c r="E203" s="11"/>
      <c r="F203" s="8"/>
      <c r="G203" s="8"/>
      <c r="H203" s="9"/>
      <c r="I203" s="10"/>
      <c r="J203" s="9"/>
      <c r="K203" s="10"/>
      <c r="L203" s="8"/>
      <c r="M203" s="8"/>
      <c r="N203" s="10"/>
      <c r="O203" s="10"/>
    </row>
    <row r="204" spans="1:15" x14ac:dyDescent="0.25">
      <c r="A204" s="7"/>
      <c r="B204" s="7"/>
      <c r="C204" s="7"/>
      <c r="D204" s="7"/>
      <c r="E204" s="11"/>
      <c r="F204" s="8"/>
      <c r="G204" s="8"/>
      <c r="H204" s="9"/>
      <c r="I204" s="10"/>
      <c r="J204" s="9"/>
      <c r="K204" s="10"/>
      <c r="L204" s="8"/>
      <c r="M204" s="8"/>
      <c r="N204" s="10"/>
      <c r="O204" s="10"/>
    </row>
    <row r="205" spans="1:15" x14ac:dyDescent="0.25">
      <c r="A205" s="7"/>
      <c r="B205" s="7"/>
      <c r="C205" s="7"/>
      <c r="D205" s="7"/>
      <c r="E205" s="11"/>
      <c r="F205" s="8"/>
      <c r="G205" s="8"/>
      <c r="H205" s="9"/>
      <c r="I205" s="10"/>
      <c r="J205" s="9"/>
      <c r="K205" s="10"/>
      <c r="L205" s="8"/>
      <c r="M205" s="8"/>
      <c r="N205" s="10"/>
      <c r="O205" s="10"/>
    </row>
    <row r="206" spans="1:15" x14ac:dyDescent="0.25">
      <c r="A206" s="7"/>
      <c r="B206" s="7"/>
      <c r="C206" s="7"/>
      <c r="D206" s="7"/>
      <c r="E206" s="11"/>
      <c r="F206" s="8"/>
      <c r="G206" s="8"/>
      <c r="H206" s="9"/>
      <c r="I206" s="10"/>
      <c r="J206" s="9"/>
      <c r="K206" s="10"/>
      <c r="L206" s="8"/>
      <c r="M206" s="8"/>
      <c r="N206" s="10"/>
      <c r="O206" s="10"/>
    </row>
    <row r="207" spans="1:15" x14ac:dyDescent="0.25">
      <c r="A207" s="7"/>
      <c r="B207" s="7"/>
      <c r="C207" s="7"/>
      <c r="D207" s="7"/>
      <c r="E207" s="11"/>
      <c r="F207" s="8"/>
      <c r="G207" s="8"/>
      <c r="H207" s="9"/>
      <c r="I207" s="10"/>
      <c r="J207" s="9"/>
      <c r="K207" s="10"/>
      <c r="L207" s="8"/>
      <c r="M207" s="8"/>
      <c r="N207" s="10"/>
      <c r="O207" s="10"/>
    </row>
    <row r="208" spans="1:15" x14ac:dyDescent="0.25">
      <c r="A208" s="7"/>
      <c r="B208" s="7"/>
      <c r="C208" s="7"/>
      <c r="D208" s="7"/>
      <c r="E208" s="11"/>
      <c r="F208" s="8"/>
      <c r="G208" s="8"/>
      <c r="H208" s="9"/>
      <c r="I208" s="10"/>
      <c r="J208" s="9"/>
      <c r="K208" s="10"/>
      <c r="L208" s="8"/>
      <c r="M208" s="8"/>
      <c r="N208" s="10"/>
      <c r="O208" s="10"/>
    </row>
    <row r="209" spans="1:15" x14ac:dyDescent="0.25">
      <c r="A209" s="7"/>
      <c r="B209" s="7"/>
      <c r="C209" s="7"/>
      <c r="D209" s="7"/>
      <c r="E209" s="11"/>
      <c r="F209" s="8"/>
      <c r="G209" s="8"/>
      <c r="H209" s="9"/>
      <c r="I209" s="10"/>
      <c r="J209" s="9"/>
      <c r="K209" s="10"/>
      <c r="L209" s="8"/>
      <c r="M209" s="8"/>
      <c r="N209" s="10"/>
      <c r="O209" s="10"/>
    </row>
    <row r="210" spans="1:15" x14ac:dyDescent="0.25">
      <c r="A210" s="7"/>
      <c r="B210" s="7"/>
      <c r="C210" s="7"/>
      <c r="D210" s="7"/>
      <c r="E210" s="11"/>
      <c r="F210" s="8"/>
      <c r="G210" s="8"/>
      <c r="H210" s="9"/>
      <c r="I210" s="10"/>
      <c r="J210" s="9"/>
      <c r="K210" s="10"/>
      <c r="L210" s="8"/>
      <c r="M210" s="8"/>
      <c r="N210" s="10"/>
      <c r="O210" s="10"/>
    </row>
    <row r="211" spans="1:15" x14ac:dyDescent="0.25">
      <c r="A211" s="7"/>
      <c r="B211" s="7"/>
      <c r="C211" s="7"/>
      <c r="D211" s="7"/>
      <c r="E211" s="11"/>
      <c r="F211" s="8"/>
      <c r="G211" s="8"/>
      <c r="H211" s="9"/>
      <c r="I211" s="10"/>
      <c r="J211" s="9"/>
      <c r="K211" s="10"/>
      <c r="L211" s="8"/>
      <c r="M211" s="8"/>
      <c r="N211" s="10"/>
      <c r="O211" s="10"/>
    </row>
    <row r="212" spans="1:15" x14ac:dyDescent="0.25">
      <c r="A212" s="7"/>
      <c r="B212" s="7"/>
      <c r="C212" s="7"/>
      <c r="D212" s="7"/>
      <c r="E212" s="11"/>
      <c r="F212" s="8"/>
      <c r="G212" s="8"/>
      <c r="H212" s="9"/>
      <c r="I212" s="10"/>
      <c r="J212" s="9"/>
      <c r="K212" s="10"/>
      <c r="L212" s="8"/>
      <c r="M212" s="8"/>
      <c r="N212" s="10"/>
      <c r="O212" s="10"/>
    </row>
    <row r="213" spans="1:15" x14ac:dyDescent="0.25">
      <c r="A213" s="7"/>
      <c r="B213" s="7"/>
      <c r="C213" s="7"/>
      <c r="D213" s="7"/>
      <c r="E213" s="11"/>
      <c r="F213" s="8"/>
      <c r="G213" s="8"/>
      <c r="H213" s="9"/>
      <c r="I213" s="10"/>
      <c r="J213" s="9"/>
      <c r="K213" s="10"/>
      <c r="L213" s="8"/>
      <c r="M213" s="8"/>
      <c r="N213" s="10"/>
      <c r="O213" s="10"/>
    </row>
    <row r="214" spans="1:15" x14ac:dyDescent="0.25">
      <c r="A214" s="7"/>
      <c r="B214" s="7"/>
      <c r="C214" s="7"/>
      <c r="D214" s="7"/>
      <c r="E214" s="11"/>
      <c r="F214" s="8"/>
      <c r="G214" s="8"/>
      <c r="H214" s="9"/>
      <c r="I214" s="10"/>
      <c r="J214" s="9"/>
      <c r="K214" s="10"/>
      <c r="L214" s="8"/>
      <c r="M214" s="8"/>
      <c r="N214" s="10"/>
      <c r="O214" s="10"/>
    </row>
    <row r="215" spans="1:15" x14ac:dyDescent="0.25">
      <c r="A215" s="7"/>
      <c r="B215" s="7"/>
      <c r="C215" s="7"/>
      <c r="D215" s="7"/>
      <c r="E215" s="11"/>
      <c r="F215" s="8"/>
      <c r="G215" s="8"/>
      <c r="H215" s="9"/>
      <c r="I215" s="10"/>
      <c r="J215" s="9"/>
      <c r="K215" s="10"/>
      <c r="L215" s="8"/>
      <c r="M215" s="8"/>
      <c r="N215" s="10"/>
      <c r="O215" s="10"/>
    </row>
    <row r="216" spans="1:15" x14ac:dyDescent="0.25">
      <c r="A216" s="7"/>
      <c r="B216" s="7"/>
      <c r="C216" s="7"/>
      <c r="D216" s="7"/>
      <c r="E216" s="11"/>
      <c r="F216" s="8"/>
      <c r="G216" s="8"/>
      <c r="H216" s="9"/>
      <c r="I216" s="10"/>
      <c r="J216" s="9"/>
      <c r="K216" s="10"/>
      <c r="L216" s="8"/>
      <c r="M216" s="8"/>
      <c r="N216" s="10"/>
      <c r="O216" s="10"/>
    </row>
    <row r="217" spans="1:15" x14ac:dyDescent="0.25">
      <c r="A217" s="7"/>
      <c r="B217" s="7"/>
      <c r="C217" s="7"/>
      <c r="D217" s="7"/>
      <c r="E217" s="11"/>
      <c r="F217" s="8"/>
      <c r="G217" s="8"/>
      <c r="H217" s="9"/>
      <c r="I217" s="10"/>
      <c r="J217" s="9"/>
      <c r="K217" s="10"/>
      <c r="L217" s="8"/>
      <c r="M217" s="8"/>
      <c r="N217" s="10"/>
      <c r="O217" s="10"/>
    </row>
    <row r="218" spans="1:15" x14ac:dyDescent="0.25">
      <c r="A218" s="7"/>
      <c r="B218" s="7"/>
      <c r="C218" s="7"/>
      <c r="D218" s="7"/>
      <c r="E218" s="11"/>
      <c r="F218" s="8"/>
      <c r="G218" s="8"/>
      <c r="H218" s="9"/>
      <c r="I218" s="10"/>
      <c r="J218" s="9"/>
      <c r="K218" s="10"/>
      <c r="L218" s="8"/>
      <c r="M218" s="8"/>
      <c r="N218" s="10"/>
      <c r="O218" s="10"/>
    </row>
    <row r="219" spans="1:15" x14ac:dyDescent="0.25">
      <c r="A219" s="7"/>
      <c r="B219" s="7"/>
      <c r="C219" s="7"/>
      <c r="D219" s="7"/>
      <c r="E219" s="11"/>
      <c r="F219" s="8"/>
      <c r="G219" s="8"/>
      <c r="H219" s="9"/>
      <c r="I219" s="10"/>
      <c r="J219" s="9"/>
      <c r="K219" s="10"/>
      <c r="L219" s="8"/>
      <c r="M219" s="8"/>
      <c r="N219" s="10"/>
      <c r="O219" s="10"/>
    </row>
    <row r="220" spans="1:15" x14ac:dyDescent="0.25">
      <c r="A220" s="7"/>
      <c r="B220" s="7"/>
      <c r="C220" s="7"/>
      <c r="D220" s="7"/>
      <c r="E220" s="11"/>
      <c r="F220" s="8"/>
      <c r="G220" s="8"/>
      <c r="H220" s="9"/>
      <c r="I220" s="10"/>
      <c r="J220" s="9"/>
      <c r="K220" s="10"/>
      <c r="L220" s="8"/>
      <c r="M220" s="8"/>
      <c r="N220" s="10"/>
      <c r="O220" s="10"/>
    </row>
    <row r="221" spans="1:15" x14ac:dyDescent="0.25">
      <c r="A221" s="7"/>
      <c r="B221" s="7"/>
      <c r="C221" s="7"/>
      <c r="D221" s="7"/>
      <c r="E221" s="11"/>
      <c r="F221" s="8"/>
      <c r="G221" s="8"/>
      <c r="H221" s="9"/>
      <c r="I221" s="10"/>
      <c r="J221" s="9"/>
      <c r="K221" s="10"/>
      <c r="L221" s="8"/>
      <c r="M221" s="8"/>
      <c r="N221" s="10"/>
      <c r="O221" s="10"/>
    </row>
    <row r="222" spans="1:15" x14ac:dyDescent="0.25">
      <c r="A222" s="7"/>
      <c r="B222" s="7"/>
      <c r="C222" s="7"/>
      <c r="D222" s="7"/>
      <c r="E222" s="11"/>
      <c r="F222" s="8"/>
      <c r="G222" s="8"/>
      <c r="H222" s="9"/>
      <c r="I222" s="10"/>
      <c r="J222" s="9"/>
      <c r="K222" s="10"/>
      <c r="L222" s="8"/>
      <c r="M222" s="8"/>
      <c r="N222" s="10"/>
      <c r="O222" s="10"/>
    </row>
    <row r="223" spans="1:15" x14ac:dyDescent="0.25">
      <c r="A223" s="7"/>
      <c r="B223" s="7"/>
      <c r="C223" s="7"/>
      <c r="D223" s="7"/>
      <c r="E223" s="11"/>
      <c r="F223" s="8"/>
      <c r="G223" s="8"/>
      <c r="H223" s="9"/>
      <c r="I223" s="10"/>
      <c r="J223" s="9"/>
      <c r="K223" s="10"/>
      <c r="L223" s="8"/>
      <c r="M223" s="8"/>
      <c r="N223" s="10"/>
      <c r="O223" s="10"/>
    </row>
    <row r="224" spans="1:15" x14ac:dyDescent="0.25">
      <c r="A224" s="7"/>
      <c r="B224" s="7"/>
      <c r="C224" s="7"/>
      <c r="D224" s="7"/>
      <c r="E224" s="11"/>
      <c r="F224" s="8"/>
      <c r="G224" s="8"/>
      <c r="H224" s="9"/>
      <c r="I224" s="10"/>
      <c r="J224" s="9"/>
      <c r="K224" s="10"/>
      <c r="L224" s="8"/>
      <c r="M224" s="8"/>
      <c r="N224" s="10"/>
      <c r="O224" s="10"/>
    </row>
    <row r="225" spans="1:15" x14ac:dyDescent="0.25">
      <c r="A225" s="7"/>
      <c r="B225" s="7"/>
      <c r="C225" s="7"/>
      <c r="D225" s="7"/>
      <c r="E225" s="11"/>
      <c r="F225" s="8"/>
      <c r="G225" s="8"/>
      <c r="H225" s="9"/>
      <c r="I225" s="10"/>
      <c r="J225" s="9"/>
      <c r="K225" s="10"/>
      <c r="L225" s="8"/>
      <c r="M225" s="8"/>
      <c r="N225" s="10"/>
      <c r="O225" s="10"/>
    </row>
    <row r="226" spans="1:15" x14ac:dyDescent="0.25">
      <c r="A226" s="7"/>
      <c r="B226" s="7"/>
      <c r="C226" s="7"/>
      <c r="D226" s="7"/>
      <c r="E226" s="11"/>
      <c r="F226" s="8"/>
      <c r="G226" s="8"/>
      <c r="H226" s="9"/>
      <c r="I226" s="10"/>
      <c r="J226" s="9"/>
      <c r="K226" s="10"/>
      <c r="L226" s="8"/>
      <c r="M226" s="8"/>
      <c r="N226" s="10"/>
      <c r="O226" s="10"/>
    </row>
    <row r="227" spans="1:15" x14ac:dyDescent="0.25">
      <c r="A227" s="7"/>
      <c r="B227" s="7"/>
      <c r="C227" s="7"/>
      <c r="D227" s="7"/>
      <c r="E227" s="11"/>
      <c r="F227" s="8"/>
      <c r="G227" s="8"/>
      <c r="H227" s="9"/>
      <c r="I227" s="10"/>
      <c r="J227" s="9"/>
      <c r="K227" s="10"/>
      <c r="L227" s="8"/>
      <c r="M227" s="8"/>
      <c r="N227" s="10"/>
      <c r="O227" s="10"/>
    </row>
    <row r="228" spans="1:15" x14ac:dyDescent="0.25">
      <c r="A228" s="7"/>
      <c r="B228" s="7"/>
      <c r="C228" s="7"/>
      <c r="D228" s="7"/>
      <c r="E228" s="11"/>
      <c r="F228" s="8"/>
      <c r="G228" s="8"/>
      <c r="H228" s="9"/>
      <c r="I228" s="10"/>
      <c r="J228" s="9"/>
      <c r="K228" s="10"/>
      <c r="L228" s="8"/>
      <c r="M228" s="8"/>
      <c r="N228" s="10"/>
      <c r="O228" s="10"/>
    </row>
    <row r="229" spans="1:15" x14ac:dyDescent="0.25">
      <c r="A229" s="7"/>
      <c r="B229" s="7"/>
      <c r="C229" s="7"/>
      <c r="D229" s="7"/>
      <c r="E229" s="11"/>
      <c r="F229" s="8"/>
      <c r="G229" s="8"/>
      <c r="H229" s="9"/>
      <c r="I229" s="10"/>
      <c r="J229" s="9"/>
      <c r="K229" s="10"/>
      <c r="L229" s="8"/>
      <c r="M229" s="8"/>
      <c r="N229" s="10"/>
      <c r="O229" s="10"/>
    </row>
    <row r="230" spans="1:15" x14ac:dyDescent="0.25">
      <c r="A230" s="7"/>
      <c r="B230" s="7"/>
      <c r="C230" s="7"/>
      <c r="D230" s="7"/>
      <c r="E230" s="11"/>
      <c r="F230" s="8"/>
      <c r="G230" s="8"/>
      <c r="H230" s="9"/>
      <c r="I230" s="10"/>
      <c r="J230" s="9"/>
      <c r="K230" s="10"/>
      <c r="L230" s="8"/>
      <c r="M230" s="8"/>
      <c r="N230" s="10"/>
      <c r="O230" s="10"/>
    </row>
    <row r="231" spans="1:15" x14ac:dyDescent="0.25">
      <c r="A231" s="7"/>
      <c r="B231" s="7"/>
      <c r="C231" s="7"/>
      <c r="D231" s="7"/>
      <c r="E231" s="11"/>
      <c r="F231" s="8"/>
      <c r="G231" s="8"/>
      <c r="H231" s="9"/>
      <c r="I231" s="10"/>
      <c r="J231" s="9"/>
      <c r="K231" s="10"/>
      <c r="L231" s="8"/>
      <c r="M231" s="8"/>
      <c r="N231" s="10"/>
      <c r="O231" s="10"/>
    </row>
    <row r="232" spans="1:15" x14ac:dyDescent="0.25">
      <c r="A232" s="7"/>
      <c r="B232" s="7"/>
      <c r="C232" s="7"/>
      <c r="D232" s="7"/>
      <c r="E232" s="11"/>
      <c r="F232" s="8"/>
      <c r="G232" s="8"/>
      <c r="H232" s="9"/>
      <c r="I232" s="10"/>
      <c r="J232" s="9"/>
      <c r="K232" s="10"/>
      <c r="L232" s="8"/>
      <c r="M232" s="8"/>
      <c r="N232" s="10"/>
      <c r="O232" s="10"/>
    </row>
    <row r="233" spans="1:15" x14ac:dyDescent="0.25">
      <c r="A233" s="7"/>
      <c r="B233" s="7"/>
      <c r="C233" s="7"/>
      <c r="D233" s="7"/>
      <c r="E233" s="11"/>
      <c r="F233" s="8"/>
      <c r="G233" s="8"/>
      <c r="H233" s="9"/>
      <c r="I233" s="10"/>
      <c r="J233" s="9"/>
      <c r="K233" s="10"/>
      <c r="L233" s="8"/>
      <c r="M233" s="8"/>
      <c r="N233" s="10"/>
      <c r="O233" s="10"/>
    </row>
    <row r="234" spans="1:15" x14ac:dyDescent="0.25">
      <c r="A234" s="7"/>
      <c r="B234" s="7"/>
      <c r="C234" s="7"/>
      <c r="D234" s="7"/>
      <c r="E234" s="11"/>
      <c r="F234" s="8"/>
      <c r="G234" s="8"/>
      <c r="H234" s="9"/>
      <c r="I234" s="10"/>
      <c r="J234" s="9"/>
      <c r="K234" s="10"/>
      <c r="L234" s="8"/>
      <c r="M234" s="8"/>
      <c r="N234" s="10"/>
      <c r="O234" s="10"/>
    </row>
    <row r="235" spans="1:15" x14ac:dyDescent="0.25">
      <c r="A235" s="7"/>
      <c r="B235" s="7"/>
      <c r="C235" s="7"/>
      <c r="D235" s="7"/>
      <c r="E235" s="11"/>
      <c r="F235" s="8"/>
      <c r="G235" s="8"/>
      <c r="H235" s="9"/>
      <c r="I235" s="10"/>
      <c r="J235" s="9"/>
      <c r="K235" s="10"/>
      <c r="L235" s="8"/>
      <c r="M235" s="8"/>
      <c r="N235" s="10"/>
      <c r="O235" s="10"/>
    </row>
    <row r="236" spans="1:15" x14ac:dyDescent="0.25">
      <c r="A236" s="7"/>
      <c r="B236" s="7"/>
      <c r="C236" s="7"/>
      <c r="D236" s="7"/>
      <c r="E236" s="11"/>
      <c r="F236" s="8"/>
      <c r="G236" s="8"/>
      <c r="H236" s="9"/>
      <c r="I236" s="10"/>
      <c r="J236" s="9"/>
      <c r="K236" s="10"/>
      <c r="L236" s="8"/>
      <c r="M236" s="8"/>
      <c r="N236" s="10"/>
      <c r="O236" s="10"/>
    </row>
    <row r="237" spans="1:15" x14ac:dyDescent="0.25">
      <c r="A237" s="7"/>
      <c r="B237" s="7"/>
      <c r="C237" s="7"/>
      <c r="D237" s="7"/>
      <c r="E237" s="11"/>
      <c r="F237" s="8"/>
      <c r="G237" s="8"/>
      <c r="H237" s="9"/>
      <c r="I237" s="10"/>
      <c r="J237" s="9"/>
      <c r="K237" s="10"/>
      <c r="L237" s="8"/>
      <c r="M237" s="8"/>
      <c r="N237" s="10"/>
      <c r="O237" s="10"/>
    </row>
    <row r="238" spans="1:15" x14ac:dyDescent="0.25">
      <c r="A238" s="7"/>
      <c r="B238" s="7"/>
      <c r="C238" s="7"/>
      <c r="D238" s="7"/>
      <c r="E238" s="11"/>
      <c r="F238" s="8"/>
      <c r="G238" s="8"/>
      <c r="H238" s="9"/>
      <c r="I238" s="10"/>
      <c r="J238" s="9"/>
      <c r="K238" s="10"/>
      <c r="L238" s="8"/>
      <c r="M238" s="8"/>
      <c r="N238" s="10"/>
      <c r="O238" s="10"/>
    </row>
    <row r="239" spans="1:15" x14ac:dyDescent="0.25">
      <c r="A239" s="7"/>
      <c r="B239" s="7"/>
      <c r="C239" s="7"/>
      <c r="D239" s="7"/>
      <c r="E239" s="11"/>
      <c r="F239" s="8"/>
      <c r="G239" s="8"/>
      <c r="H239" s="9"/>
      <c r="I239" s="10"/>
      <c r="J239" s="9"/>
      <c r="K239" s="10"/>
      <c r="L239" s="8"/>
      <c r="M239" s="8"/>
      <c r="N239" s="10"/>
      <c r="O239" s="10"/>
    </row>
    <row r="240" spans="1:15" x14ac:dyDescent="0.25">
      <c r="A240" s="7"/>
      <c r="B240" s="7"/>
      <c r="C240" s="7"/>
      <c r="D240" s="7"/>
      <c r="E240" s="11"/>
      <c r="F240" s="8"/>
      <c r="G240" s="8"/>
      <c r="H240" s="9"/>
      <c r="I240" s="10"/>
      <c r="J240" s="9"/>
      <c r="K240" s="10"/>
      <c r="L240" s="8"/>
      <c r="M240" s="8"/>
      <c r="N240" s="10"/>
      <c r="O240" s="10"/>
    </row>
    <row r="241" spans="1:15" x14ac:dyDescent="0.25">
      <c r="A241" s="7"/>
      <c r="B241" s="7"/>
      <c r="C241" s="7"/>
      <c r="D241" s="7"/>
      <c r="E241" s="11"/>
      <c r="F241" s="8"/>
      <c r="G241" s="8"/>
      <c r="H241" s="9"/>
      <c r="I241" s="10"/>
      <c r="J241" s="9"/>
      <c r="K241" s="10"/>
      <c r="L241" s="8"/>
      <c r="M241" s="8"/>
      <c r="N241" s="10"/>
      <c r="O241" s="10"/>
    </row>
    <row r="242" spans="1:15" x14ac:dyDescent="0.25">
      <c r="A242" s="7"/>
      <c r="B242" s="7"/>
      <c r="C242" s="7"/>
      <c r="D242" s="7"/>
      <c r="E242" s="11"/>
      <c r="F242" s="8"/>
      <c r="G242" s="8"/>
      <c r="H242" s="9"/>
      <c r="I242" s="10"/>
      <c r="J242" s="9"/>
      <c r="K242" s="10"/>
      <c r="L242" s="8"/>
      <c r="M242" s="8"/>
      <c r="N242" s="10"/>
      <c r="O242" s="10"/>
    </row>
    <row r="243" spans="1:15" x14ac:dyDescent="0.25">
      <c r="A243" s="7"/>
      <c r="B243" s="7"/>
      <c r="C243" s="7"/>
      <c r="D243" s="7"/>
      <c r="E243" s="11"/>
      <c r="F243" s="8"/>
      <c r="G243" s="8"/>
      <c r="H243" s="9"/>
      <c r="I243" s="10"/>
      <c r="J243" s="9"/>
      <c r="K243" s="10"/>
      <c r="L243" s="8"/>
      <c r="M243" s="8"/>
      <c r="N243" s="10"/>
      <c r="O243" s="10"/>
    </row>
    <row r="244" spans="1:15" x14ac:dyDescent="0.25">
      <c r="A244" s="7"/>
      <c r="B244" s="7"/>
      <c r="C244" s="7"/>
      <c r="D244" s="7"/>
      <c r="E244" s="11"/>
      <c r="F244" s="8"/>
      <c r="G244" s="8"/>
      <c r="H244" s="9"/>
      <c r="I244" s="10"/>
      <c r="J244" s="9"/>
      <c r="K244" s="10"/>
      <c r="L244" s="8"/>
      <c r="M244" s="8"/>
      <c r="N244" s="10"/>
      <c r="O244" s="10"/>
    </row>
    <row r="245" spans="1:15" x14ac:dyDescent="0.25">
      <c r="A245" s="7"/>
      <c r="B245" s="7"/>
      <c r="C245" s="7"/>
      <c r="D245" s="7"/>
      <c r="E245" s="11"/>
      <c r="F245" s="8"/>
      <c r="G245" s="8"/>
      <c r="H245" s="9"/>
      <c r="I245" s="10"/>
      <c r="J245" s="9"/>
      <c r="K245" s="10"/>
      <c r="L245" s="8"/>
      <c r="M245" s="8"/>
      <c r="N245" s="10"/>
      <c r="O245" s="10"/>
    </row>
    <row r="246" spans="1:15" x14ac:dyDescent="0.25">
      <c r="A246" s="7"/>
      <c r="B246" s="7"/>
      <c r="C246" s="7"/>
      <c r="D246" s="7"/>
      <c r="E246" s="11"/>
      <c r="F246" s="8"/>
      <c r="G246" s="8"/>
      <c r="H246" s="9"/>
      <c r="I246" s="10"/>
      <c r="J246" s="9"/>
      <c r="K246" s="10"/>
      <c r="L246" s="8"/>
      <c r="M246" s="8"/>
      <c r="N246" s="10"/>
      <c r="O246" s="10"/>
    </row>
    <row r="247" spans="1:15" x14ac:dyDescent="0.25">
      <c r="A247" s="7"/>
      <c r="B247" s="7"/>
      <c r="C247" s="7"/>
      <c r="D247" s="7"/>
      <c r="E247" s="11"/>
      <c r="F247" s="8"/>
      <c r="G247" s="8"/>
      <c r="H247" s="9"/>
      <c r="I247" s="10"/>
      <c r="J247" s="9"/>
      <c r="K247" s="10"/>
      <c r="L247" s="8"/>
      <c r="M247" s="8"/>
      <c r="N247" s="10"/>
      <c r="O247" s="10"/>
    </row>
    <row r="248" spans="1:15" x14ac:dyDescent="0.25">
      <c r="A248" s="7"/>
      <c r="B248" s="7"/>
      <c r="C248" s="7"/>
      <c r="D248" s="7"/>
      <c r="E248" s="11"/>
      <c r="F248" s="8"/>
      <c r="G248" s="8"/>
      <c r="H248" s="9"/>
      <c r="I248" s="10"/>
      <c r="J248" s="9"/>
      <c r="K248" s="10"/>
      <c r="L248" s="8"/>
      <c r="M248" s="8"/>
      <c r="N248" s="10"/>
      <c r="O248" s="10"/>
    </row>
    <row r="249" spans="1:15" x14ac:dyDescent="0.25">
      <c r="A249" s="7"/>
      <c r="B249" s="7"/>
      <c r="C249" s="7"/>
      <c r="D249" s="7"/>
      <c r="E249" s="11"/>
      <c r="F249" s="8"/>
      <c r="G249" s="8"/>
      <c r="H249" s="9"/>
      <c r="I249" s="10"/>
      <c r="J249" s="9"/>
      <c r="K249" s="10"/>
      <c r="L249" s="8"/>
      <c r="M249" s="8"/>
      <c r="N249" s="10"/>
      <c r="O249" s="10"/>
    </row>
    <row r="250" spans="1:15" x14ac:dyDescent="0.25">
      <c r="A250" s="7"/>
      <c r="B250" s="7"/>
      <c r="C250" s="7"/>
      <c r="D250" s="7"/>
      <c r="E250" s="11"/>
      <c r="F250" s="8"/>
      <c r="G250" s="8"/>
      <c r="H250" s="9"/>
      <c r="I250" s="10"/>
      <c r="J250" s="9"/>
      <c r="K250" s="10"/>
      <c r="L250" s="8"/>
      <c r="M250" s="8"/>
      <c r="N250" s="10"/>
      <c r="O250" s="10"/>
    </row>
    <row r="251" spans="1:15" x14ac:dyDescent="0.25">
      <c r="A251" s="7"/>
      <c r="B251" s="7"/>
      <c r="C251" s="7"/>
      <c r="D251" s="7"/>
      <c r="E251" s="11"/>
      <c r="F251" s="8"/>
      <c r="G251" s="8"/>
      <c r="H251" s="9"/>
      <c r="I251" s="10"/>
      <c r="J251" s="9"/>
      <c r="K251" s="10"/>
      <c r="L251" s="8"/>
      <c r="M251" s="8"/>
      <c r="N251" s="10"/>
      <c r="O251" s="10"/>
    </row>
    <row r="252" spans="1:15" x14ac:dyDescent="0.25">
      <c r="A252" s="7"/>
      <c r="B252" s="7"/>
      <c r="C252" s="7"/>
      <c r="D252" s="7"/>
      <c r="E252" s="11"/>
      <c r="F252" s="8"/>
      <c r="G252" s="8"/>
      <c r="H252" s="9"/>
      <c r="I252" s="10"/>
      <c r="J252" s="9"/>
      <c r="K252" s="10"/>
      <c r="L252" s="8"/>
      <c r="M252" s="8"/>
      <c r="N252" s="10"/>
      <c r="O252" s="10"/>
    </row>
    <row r="253" spans="1:15" x14ac:dyDescent="0.25">
      <c r="A253" s="7"/>
      <c r="B253" s="7"/>
      <c r="C253" s="7"/>
      <c r="D253" s="7"/>
      <c r="E253" s="11"/>
      <c r="F253" s="8"/>
      <c r="G253" s="8"/>
      <c r="H253" s="9"/>
      <c r="I253" s="10"/>
      <c r="J253" s="9"/>
      <c r="K253" s="10"/>
      <c r="L253" s="8"/>
      <c r="M253" s="8"/>
      <c r="N253" s="10"/>
      <c r="O253" s="10"/>
    </row>
    <row r="254" spans="1:15" x14ac:dyDescent="0.25">
      <c r="A254" s="7"/>
      <c r="B254" s="7"/>
      <c r="C254" s="7"/>
      <c r="D254" s="7"/>
      <c r="E254" s="11"/>
      <c r="F254" s="8"/>
      <c r="G254" s="8"/>
      <c r="H254" s="9"/>
      <c r="I254" s="10"/>
      <c r="J254" s="9"/>
      <c r="K254" s="10"/>
      <c r="L254" s="8"/>
      <c r="M254" s="8"/>
      <c r="N254" s="10"/>
      <c r="O254" s="10"/>
    </row>
    <row r="255" spans="1:15" x14ac:dyDescent="0.25">
      <c r="A255" s="7"/>
      <c r="B255" s="7"/>
      <c r="C255" s="7"/>
      <c r="D255" s="7"/>
      <c r="E255" s="11"/>
      <c r="F255" s="8"/>
      <c r="G255" s="8"/>
      <c r="H255" s="9"/>
      <c r="I255" s="10"/>
      <c r="J255" s="9"/>
      <c r="K255" s="10"/>
      <c r="L255" s="8"/>
      <c r="M255" s="8"/>
      <c r="N255" s="10"/>
      <c r="O255" s="10"/>
    </row>
    <row r="256" spans="1:15" x14ac:dyDescent="0.25">
      <c r="A256" s="7"/>
      <c r="B256" s="7"/>
      <c r="C256" s="7"/>
      <c r="D256" s="7"/>
      <c r="E256" s="11">
        <v>254</v>
      </c>
      <c r="F256" s="8"/>
      <c r="G256" s="8"/>
      <c r="H256" s="9"/>
      <c r="I256" s="10"/>
      <c r="J256" s="9"/>
      <c r="K256" s="10"/>
      <c r="L256" s="8"/>
      <c r="M256" s="8"/>
      <c r="N256" s="10"/>
      <c r="O256" s="10"/>
    </row>
    <row r="257" spans="1:15" x14ac:dyDescent="0.25">
      <c r="A257" s="7"/>
      <c r="B257" s="7"/>
      <c r="C257" s="7"/>
      <c r="D257" s="7"/>
      <c r="E257" s="11">
        <v>255</v>
      </c>
      <c r="F257" s="8"/>
      <c r="G257" s="8"/>
      <c r="H257" s="9"/>
      <c r="I257" s="10"/>
      <c r="J257" s="9"/>
      <c r="K257" s="10"/>
      <c r="L257" s="8"/>
      <c r="M257" s="8"/>
      <c r="N257" s="10"/>
      <c r="O257" s="10"/>
    </row>
    <row r="258" spans="1:15" x14ac:dyDescent="0.25">
      <c r="A258" s="7"/>
      <c r="B258" s="7"/>
      <c r="C258" s="7"/>
      <c r="D258" s="7"/>
      <c r="E258" s="11">
        <v>256</v>
      </c>
      <c r="F258" s="8"/>
      <c r="G258" s="8"/>
      <c r="H258" s="9"/>
      <c r="I258" s="10"/>
      <c r="J258" s="9"/>
      <c r="K258" s="10"/>
      <c r="L258" s="8"/>
      <c r="M258" s="8"/>
      <c r="N258" s="10"/>
      <c r="O258" s="10"/>
    </row>
    <row r="259" spans="1:15" x14ac:dyDescent="0.25">
      <c r="A259" s="7"/>
      <c r="B259" s="7"/>
      <c r="C259" s="7"/>
      <c r="D259" s="7"/>
      <c r="E259" s="11">
        <v>257</v>
      </c>
      <c r="F259" s="8"/>
      <c r="G259" s="8"/>
      <c r="H259" s="9"/>
      <c r="I259" s="10"/>
      <c r="J259" s="9"/>
      <c r="K259" s="10"/>
      <c r="L259" s="8"/>
      <c r="M259" s="8"/>
      <c r="N259" s="10"/>
      <c r="O259" s="10"/>
    </row>
    <row r="260" spans="1:15" x14ac:dyDescent="0.25">
      <c r="A260" s="7"/>
      <c r="B260" s="7"/>
      <c r="C260" s="7"/>
      <c r="D260" s="7"/>
      <c r="E260" s="11">
        <v>258</v>
      </c>
      <c r="F260" s="8"/>
      <c r="G260" s="8"/>
      <c r="H260" s="9"/>
      <c r="I260" s="10"/>
      <c r="J260" s="9"/>
      <c r="K260" s="10"/>
      <c r="L260" s="8"/>
      <c r="M260" s="8"/>
      <c r="N260" s="10"/>
      <c r="O260" s="10"/>
    </row>
    <row r="261" spans="1:15" x14ac:dyDescent="0.25">
      <c r="A261" s="7"/>
      <c r="B261" s="7"/>
      <c r="C261" s="7"/>
      <c r="D261" s="7"/>
      <c r="E261" s="11">
        <v>259</v>
      </c>
      <c r="F261" s="8"/>
      <c r="G261" s="8"/>
      <c r="H261" s="9"/>
      <c r="I261" s="10"/>
      <c r="J261" s="9"/>
      <c r="K261" s="10"/>
      <c r="L261" s="8"/>
      <c r="M261" s="8"/>
      <c r="N261" s="10"/>
      <c r="O261" s="10"/>
    </row>
    <row r="262" spans="1:15" x14ac:dyDescent="0.25">
      <c r="A262" s="7"/>
      <c r="B262" s="7"/>
      <c r="C262" s="7"/>
      <c r="D262" s="7"/>
      <c r="E262" s="11">
        <v>260</v>
      </c>
      <c r="F262" s="8"/>
      <c r="G262" s="8"/>
      <c r="H262" s="9"/>
      <c r="I262" s="10"/>
      <c r="J262" s="9"/>
      <c r="K262" s="10"/>
      <c r="L262" s="8"/>
      <c r="M262" s="8"/>
      <c r="N262" s="10"/>
      <c r="O262" s="10"/>
    </row>
    <row r="263" spans="1:15" x14ac:dyDescent="0.25">
      <c r="A263" s="7"/>
      <c r="B263" s="7"/>
      <c r="C263" s="7"/>
      <c r="D263" s="7"/>
      <c r="E263" s="11">
        <v>261</v>
      </c>
      <c r="F263" s="8"/>
      <c r="G263" s="8"/>
      <c r="H263" s="9"/>
      <c r="I263" s="10"/>
      <c r="J263" s="9"/>
      <c r="K263" s="10"/>
      <c r="L263" s="8"/>
      <c r="M263" s="8"/>
      <c r="N263" s="10"/>
      <c r="O263" s="10"/>
    </row>
    <row r="264" spans="1:15" x14ac:dyDescent="0.25">
      <c r="A264" s="7"/>
      <c r="B264" s="7"/>
      <c r="C264" s="7"/>
      <c r="D264" s="7"/>
      <c r="E264" s="11">
        <v>262</v>
      </c>
      <c r="F264" s="8"/>
      <c r="G264" s="8"/>
      <c r="H264" s="9"/>
      <c r="I264" s="10"/>
      <c r="J264" s="9"/>
      <c r="K264" s="10"/>
      <c r="L264" s="8"/>
      <c r="M264" s="8"/>
      <c r="N264" s="10"/>
      <c r="O264" s="10"/>
    </row>
    <row r="265" spans="1:15" x14ac:dyDescent="0.25">
      <c r="A265" s="7"/>
      <c r="B265" s="7"/>
      <c r="C265" s="7"/>
      <c r="D265" s="7"/>
      <c r="E265" s="11">
        <v>263</v>
      </c>
      <c r="F265" s="8"/>
      <c r="G265" s="8"/>
      <c r="H265" s="9"/>
      <c r="I265" s="10"/>
      <c r="J265" s="9"/>
      <c r="K265" s="10"/>
      <c r="L265" s="8"/>
      <c r="M265" s="8"/>
      <c r="N265" s="10"/>
      <c r="O265" s="10"/>
    </row>
    <row r="266" spans="1:15" x14ac:dyDescent="0.25">
      <c r="A266" s="7"/>
      <c r="B266" s="7"/>
      <c r="C266" s="7"/>
      <c r="D266" s="7"/>
      <c r="E266" s="11">
        <v>264</v>
      </c>
      <c r="F266" s="8"/>
      <c r="G266" s="8"/>
      <c r="H266" s="9"/>
      <c r="I266" s="10"/>
      <c r="J266" s="9"/>
      <c r="K266" s="10"/>
      <c r="L266" s="8"/>
      <c r="M266" s="8"/>
      <c r="N266" s="10"/>
      <c r="O266" s="10"/>
    </row>
    <row r="267" spans="1:15" x14ac:dyDescent="0.25">
      <c r="A267" s="7"/>
      <c r="B267" s="7"/>
      <c r="C267" s="7"/>
      <c r="D267" s="7"/>
      <c r="E267" s="11">
        <v>265</v>
      </c>
      <c r="F267" s="8"/>
      <c r="G267" s="8"/>
      <c r="H267" s="9"/>
      <c r="I267" s="10"/>
      <c r="J267" s="9"/>
      <c r="K267" s="10"/>
      <c r="L267" s="8"/>
      <c r="M267" s="8"/>
      <c r="N267" s="10"/>
      <c r="O267" s="10"/>
    </row>
    <row r="268" spans="1:15" x14ac:dyDescent="0.25">
      <c r="A268" s="7"/>
      <c r="B268" s="7"/>
      <c r="C268" s="7"/>
      <c r="D268" s="7"/>
      <c r="E268" s="11">
        <v>266</v>
      </c>
      <c r="F268" s="8"/>
      <c r="G268" s="8"/>
      <c r="H268" s="9"/>
      <c r="I268" s="10"/>
      <c r="J268" s="9"/>
      <c r="K268" s="10"/>
      <c r="L268" s="8"/>
      <c r="M268" s="8"/>
      <c r="N268" s="10"/>
      <c r="O268" s="10"/>
    </row>
    <row r="269" spans="1:15" x14ac:dyDescent="0.25">
      <c r="A269" s="7"/>
      <c r="B269" s="7"/>
      <c r="C269" s="7"/>
      <c r="D269" s="7"/>
      <c r="E269" s="11">
        <v>267</v>
      </c>
      <c r="F269" s="8"/>
      <c r="G269" s="8"/>
      <c r="H269" s="9"/>
      <c r="I269" s="10"/>
      <c r="J269" s="9"/>
      <c r="K269" s="10"/>
      <c r="L269" s="8"/>
      <c r="M269" s="8"/>
      <c r="N269" s="10"/>
      <c r="O269" s="10"/>
    </row>
    <row r="270" spans="1:15" x14ac:dyDescent="0.25">
      <c r="A270" s="7"/>
      <c r="B270" s="7"/>
      <c r="C270" s="7"/>
      <c r="D270" s="7"/>
      <c r="E270" s="11">
        <v>268</v>
      </c>
      <c r="F270" s="8"/>
      <c r="G270" s="8"/>
      <c r="H270" s="9"/>
      <c r="I270" s="10"/>
      <c r="J270" s="9"/>
      <c r="K270" s="10"/>
      <c r="L270" s="8"/>
      <c r="M270" s="8"/>
      <c r="N270" s="10"/>
      <c r="O270" s="10"/>
    </row>
    <row r="271" spans="1:15" x14ac:dyDescent="0.25">
      <c r="A271" s="7"/>
      <c r="B271" s="7"/>
      <c r="C271" s="7"/>
      <c r="D271" s="7"/>
      <c r="E271" s="11">
        <v>269</v>
      </c>
      <c r="F271" s="8"/>
      <c r="G271" s="8"/>
      <c r="H271" s="9"/>
      <c r="I271" s="10"/>
      <c r="J271" s="9"/>
      <c r="K271" s="10"/>
      <c r="L271" s="8"/>
      <c r="M271" s="8"/>
      <c r="N271" s="10"/>
      <c r="O271" s="10"/>
    </row>
    <row r="272" spans="1:15" x14ac:dyDescent="0.25">
      <c r="A272" s="7"/>
      <c r="B272" s="7"/>
      <c r="C272" s="7"/>
      <c r="D272" s="7"/>
      <c r="E272" s="11">
        <v>270</v>
      </c>
      <c r="F272" s="8"/>
      <c r="G272" s="8"/>
      <c r="H272" s="9"/>
      <c r="I272" s="10"/>
      <c r="J272" s="9"/>
      <c r="K272" s="10"/>
      <c r="L272" s="8"/>
      <c r="M272" s="8"/>
      <c r="N272" s="10"/>
      <c r="O272" s="10"/>
    </row>
    <row r="273" spans="1:15" x14ac:dyDescent="0.25">
      <c r="A273" s="7"/>
      <c r="B273" s="7"/>
      <c r="C273" s="7"/>
      <c r="D273" s="7"/>
      <c r="E273" s="11">
        <v>271</v>
      </c>
      <c r="F273" s="8"/>
      <c r="G273" s="8"/>
      <c r="H273" s="9"/>
      <c r="I273" s="10"/>
      <c r="J273" s="9"/>
      <c r="K273" s="10"/>
      <c r="L273" s="8"/>
      <c r="M273" s="8"/>
      <c r="N273" s="10"/>
      <c r="O273" s="10"/>
    </row>
    <row r="274" spans="1:15" x14ac:dyDescent="0.25">
      <c r="A274" s="7"/>
      <c r="B274" s="7"/>
      <c r="C274" s="7"/>
      <c r="D274" s="7"/>
      <c r="E274" s="11">
        <v>272</v>
      </c>
      <c r="F274" s="8"/>
      <c r="G274" s="8"/>
      <c r="H274" s="9"/>
      <c r="I274" s="10"/>
      <c r="J274" s="9"/>
      <c r="K274" s="10"/>
      <c r="L274" s="8"/>
      <c r="M274" s="8"/>
      <c r="N274" s="10"/>
      <c r="O274" s="10"/>
    </row>
    <row r="275" spans="1:15" x14ac:dyDescent="0.25">
      <c r="A275" s="7"/>
      <c r="B275" s="7"/>
      <c r="C275" s="7"/>
      <c r="D275" s="7"/>
      <c r="E275" s="11">
        <v>273</v>
      </c>
      <c r="F275" s="8"/>
      <c r="G275" s="8"/>
      <c r="H275" s="9"/>
      <c r="I275" s="10"/>
      <c r="J275" s="9"/>
      <c r="K275" s="10"/>
      <c r="L275" s="8"/>
      <c r="M275" s="8"/>
      <c r="N275" s="10"/>
      <c r="O275" s="10"/>
    </row>
    <row r="276" spans="1:15" x14ac:dyDescent="0.25">
      <c r="A276" s="7"/>
      <c r="B276" s="7"/>
      <c r="C276" s="7"/>
      <c r="D276" s="7"/>
      <c r="E276" s="11">
        <v>274</v>
      </c>
      <c r="F276" s="8"/>
      <c r="G276" s="8"/>
      <c r="H276" s="9"/>
      <c r="I276" s="10"/>
      <c r="J276" s="9"/>
      <c r="K276" s="10"/>
      <c r="L276" s="8"/>
      <c r="M276" s="8"/>
      <c r="N276" s="10"/>
      <c r="O276" s="10"/>
    </row>
    <row r="277" spans="1:15" x14ac:dyDescent="0.25">
      <c r="A277" s="7"/>
      <c r="B277" s="7"/>
      <c r="C277" s="7"/>
      <c r="D277" s="7"/>
      <c r="E277" s="11">
        <v>275</v>
      </c>
      <c r="F277" s="8"/>
      <c r="G277" s="8"/>
      <c r="H277" s="9"/>
      <c r="I277" s="10"/>
      <c r="J277" s="9"/>
      <c r="K277" s="10"/>
      <c r="L277" s="8"/>
      <c r="M277" s="8"/>
      <c r="N277" s="10"/>
      <c r="O277" s="10"/>
    </row>
    <row r="278" spans="1:15" x14ac:dyDescent="0.25">
      <c r="A278" s="7"/>
      <c r="B278" s="7"/>
      <c r="C278" s="7"/>
      <c r="D278" s="7"/>
      <c r="E278" s="11">
        <v>276</v>
      </c>
      <c r="F278" s="8"/>
      <c r="G278" s="8"/>
      <c r="H278" s="9"/>
      <c r="I278" s="10"/>
      <c r="J278" s="9"/>
      <c r="K278" s="10"/>
      <c r="L278" s="8"/>
      <c r="M278" s="8"/>
      <c r="N278" s="10"/>
      <c r="O278" s="10"/>
    </row>
    <row r="279" spans="1:15" x14ac:dyDescent="0.25">
      <c r="A279" s="7"/>
      <c r="B279" s="7"/>
      <c r="C279" s="7"/>
      <c r="D279" s="7"/>
      <c r="E279" s="11">
        <v>277</v>
      </c>
      <c r="F279" s="8"/>
      <c r="G279" s="8"/>
      <c r="H279" s="9"/>
      <c r="I279" s="10"/>
      <c r="J279" s="9"/>
      <c r="K279" s="10"/>
      <c r="L279" s="8"/>
      <c r="M279" s="8"/>
      <c r="N279" s="10"/>
      <c r="O279" s="10"/>
    </row>
    <row r="280" spans="1:15" x14ac:dyDescent="0.25">
      <c r="A280" s="7"/>
      <c r="B280" s="7"/>
      <c r="C280" s="7"/>
      <c r="D280" s="7"/>
      <c r="E280" s="11">
        <v>278</v>
      </c>
      <c r="F280" s="8"/>
      <c r="G280" s="8"/>
      <c r="H280" s="9"/>
      <c r="I280" s="10"/>
      <c r="J280" s="9"/>
      <c r="K280" s="10"/>
      <c r="L280" s="8"/>
      <c r="M280" s="8"/>
      <c r="N280" s="10"/>
      <c r="O280" s="10"/>
    </row>
    <row r="281" spans="1:15" x14ac:dyDescent="0.25">
      <c r="A281" s="7"/>
      <c r="B281" s="7"/>
      <c r="C281" s="7"/>
      <c r="D281" s="7"/>
      <c r="E281" s="11">
        <v>279</v>
      </c>
      <c r="F281" s="8"/>
      <c r="G281" s="8"/>
      <c r="H281" s="9"/>
      <c r="I281" s="10"/>
      <c r="J281" s="9"/>
      <c r="K281" s="10"/>
      <c r="L281" s="8"/>
      <c r="M281" s="8"/>
      <c r="N281" s="10"/>
      <c r="O281" s="10"/>
    </row>
    <row r="282" spans="1:15" x14ac:dyDescent="0.25">
      <c r="A282" s="7"/>
      <c r="B282" s="7"/>
      <c r="C282" s="7"/>
      <c r="D282" s="7"/>
      <c r="E282" s="11">
        <v>280</v>
      </c>
      <c r="F282" s="8"/>
      <c r="G282" s="8"/>
      <c r="H282" s="9"/>
      <c r="I282" s="10"/>
      <c r="J282" s="9"/>
      <c r="K282" s="10"/>
      <c r="L282" s="8"/>
      <c r="M282" s="8"/>
      <c r="N282" s="10"/>
      <c r="O282" s="10"/>
    </row>
    <row r="283" spans="1:15" x14ac:dyDescent="0.25">
      <c r="A283" s="7"/>
      <c r="B283" s="7"/>
      <c r="C283" s="7"/>
      <c r="D283" s="7"/>
      <c r="E283" s="11">
        <v>281</v>
      </c>
      <c r="F283" s="8"/>
      <c r="G283" s="8"/>
      <c r="H283" s="9"/>
      <c r="I283" s="10"/>
      <c r="J283" s="9"/>
      <c r="K283" s="10"/>
      <c r="L283" s="8"/>
      <c r="M283" s="8"/>
      <c r="N283" s="10"/>
      <c r="O283" s="10"/>
    </row>
    <row r="284" spans="1:15" x14ac:dyDescent="0.25">
      <c r="A284" s="7"/>
      <c r="B284" s="7"/>
      <c r="C284" s="7"/>
      <c r="D284" s="7"/>
      <c r="E284" s="11">
        <v>282</v>
      </c>
      <c r="F284" s="8"/>
      <c r="G284" s="8"/>
      <c r="H284" s="9"/>
      <c r="I284" s="10"/>
      <c r="J284" s="9"/>
      <c r="K284" s="10"/>
      <c r="L284" s="8"/>
      <c r="M284" s="8"/>
      <c r="N284" s="10"/>
      <c r="O284" s="10"/>
    </row>
    <row r="285" spans="1:15" x14ac:dyDescent="0.25">
      <c r="A285" s="7"/>
      <c r="B285" s="7"/>
      <c r="C285" s="7"/>
      <c r="D285" s="7"/>
      <c r="E285" s="11">
        <v>283</v>
      </c>
      <c r="F285" s="8"/>
      <c r="G285" s="8"/>
      <c r="H285" s="9"/>
      <c r="I285" s="10"/>
      <c r="J285" s="9"/>
      <c r="K285" s="10"/>
      <c r="L285" s="8"/>
      <c r="M285" s="8"/>
      <c r="N285" s="10"/>
      <c r="O285" s="10"/>
    </row>
    <row r="286" spans="1:15" x14ac:dyDescent="0.25">
      <c r="A286" s="7"/>
      <c r="B286" s="7"/>
      <c r="C286" s="7"/>
      <c r="D286" s="7"/>
      <c r="E286" s="11">
        <v>284</v>
      </c>
      <c r="F286" s="8"/>
      <c r="G286" s="8"/>
      <c r="H286" s="9"/>
      <c r="I286" s="10"/>
      <c r="J286" s="9"/>
      <c r="K286" s="10"/>
      <c r="L286" s="8"/>
      <c r="M286" s="8"/>
      <c r="N286" s="10"/>
      <c r="O286" s="10"/>
    </row>
    <row r="287" spans="1:15" x14ac:dyDescent="0.25">
      <c r="A287" s="7"/>
      <c r="B287" s="7"/>
      <c r="C287" s="7"/>
      <c r="D287" s="7"/>
      <c r="E287" s="11">
        <v>285</v>
      </c>
      <c r="F287" s="8"/>
      <c r="G287" s="8"/>
      <c r="H287" s="9"/>
      <c r="I287" s="10"/>
      <c r="J287" s="9"/>
      <c r="K287" s="10"/>
      <c r="L287" s="8"/>
      <c r="M287" s="8"/>
      <c r="N287" s="10"/>
      <c r="O287" s="10"/>
    </row>
    <row r="288" spans="1:15" x14ac:dyDescent="0.25">
      <c r="A288" s="7"/>
      <c r="B288" s="7"/>
      <c r="C288" s="7"/>
      <c r="D288" s="7"/>
      <c r="E288" s="11">
        <v>286</v>
      </c>
      <c r="F288" s="8"/>
      <c r="G288" s="8"/>
      <c r="H288" s="9"/>
      <c r="I288" s="10"/>
      <c r="J288" s="9"/>
      <c r="K288" s="10"/>
      <c r="L288" s="8"/>
      <c r="M288" s="8"/>
      <c r="N288" s="10"/>
      <c r="O288" s="10"/>
    </row>
    <row r="289" spans="1:15" x14ac:dyDescent="0.25">
      <c r="A289" s="7"/>
      <c r="B289" s="7"/>
      <c r="C289" s="7"/>
      <c r="D289" s="7"/>
      <c r="E289" s="11">
        <v>287</v>
      </c>
      <c r="F289" s="8"/>
      <c r="G289" s="8"/>
      <c r="H289" s="9"/>
      <c r="I289" s="10"/>
      <c r="J289" s="9"/>
      <c r="K289" s="10"/>
      <c r="L289" s="8"/>
      <c r="M289" s="8"/>
      <c r="N289" s="10"/>
      <c r="O289" s="10"/>
    </row>
    <row r="290" spans="1:15" x14ac:dyDescent="0.25">
      <c r="A290" s="7"/>
      <c r="B290" s="7"/>
      <c r="C290" s="7"/>
      <c r="D290" s="7"/>
      <c r="E290" s="11">
        <v>288</v>
      </c>
      <c r="F290" s="8"/>
      <c r="G290" s="8"/>
      <c r="H290" s="9"/>
      <c r="I290" s="10"/>
      <c r="J290" s="9"/>
      <c r="K290" s="10"/>
      <c r="L290" s="8"/>
      <c r="M290" s="8"/>
      <c r="N290" s="10"/>
      <c r="O290" s="10"/>
    </row>
    <row r="291" spans="1:15" x14ac:dyDescent="0.25">
      <c r="A291" s="7"/>
      <c r="B291" s="7"/>
      <c r="C291" s="7"/>
      <c r="D291" s="7"/>
      <c r="E291" s="11">
        <v>289</v>
      </c>
      <c r="F291" s="8"/>
      <c r="G291" s="8"/>
      <c r="H291" s="9"/>
      <c r="I291" s="10"/>
      <c r="J291" s="9"/>
      <c r="K291" s="10"/>
      <c r="L291" s="8"/>
      <c r="M291" s="8"/>
      <c r="N291" s="10"/>
      <c r="O291" s="10"/>
    </row>
    <row r="292" spans="1:15" x14ac:dyDescent="0.25">
      <c r="A292" s="7"/>
      <c r="B292" s="7"/>
      <c r="C292" s="7"/>
      <c r="D292" s="7"/>
      <c r="E292" s="11">
        <v>290</v>
      </c>
      <c r="F292" s="8"/>
      <c r="G292" s="8"/>
      <c r="H292" s="9"/>
      <c r="I292" s="10"/>
      <c r="J292" s="9"/>
      <c r="K292" s="10"/>
      <c r="L292" s="8"/>
      <c r="M292" s="8"/>
      <c r="N292" s="10"/>
      <c r="O292" s="10"/>
    </row>
    <row r="293" spans="1:15" x14ac:dyDescent="0.25">
      <c r="A293" s="7"/>
      <c r="B293" s="7"/>
      <c r="C293" s="7"/>
      <c r="D293" s="7"/>
      <c r="E293" s="11">
        <v>291</v>
      </c>
      <c r="F293" s="8"/>
      <c r="G293" s="8"/>
      <c r="H293" s="9"/>
      <c r="I293" s="10"/>
      <c r="J293" s="9"/>
      <c r="K293" s="10"/>
      <c r="L293" s="8"/>
      <c r="M293" s="8"/>
      <c r="N293" s="10"/>
      <c r="O293" s="10"/>
    </row>
    <row r="294" spans="1:15" x14ac:dyDescent="0.25">
      <c r="A294" s="7"/>
      <c r="B294" s="7"/>
      <c r="C294" s="7"/>
      <c r="D294" s="7"/>
      <c r="E294" s="11">
        <v>292</v>
      </c>
      <c r="F294" s="8"/>
      <c r="G294" s="8"/>
      <c r="H294" s="9"/>
      <c r="I294" s="10"/>
      <c r="J294" s="9"/>
      <c r="K294" s="10"/>
      <c r="L294" s="8"/>
      <c r="M294" s="8"/>
      <c r="N294" s="10"/>
      <c r="O294" s="10"/>
    </row>
    <row r="295" spans="1:15" x14ac:dyDescent="0.25">
      <c r="A295" s="7"/>
      <c r="B295" s="7"/>
      <c r="C295" s="7"/>
      <c r="D295" s="7"/>
      <c r="E295" s="11">
        <v>293</v>
      </c>
      <c r="F295" s="8"/>
      <c r="G295" s="8"/>
      <c r="H295" s="9"/>
      <c r="I295" s="10"/>
      <c r="J295" s="9"/>
      <c r="K295" s="10"/>
      <c r="L295" s="8"/>
      <c r="M295" s="8"/>
      <c r="N295" s="10"/>
      <c r="O295" s="10"/>
    </row>
    <row r="296" spans="1:15" x14ac:dyDescent="0.25">
      <c r="A296" s="7"/>
      <c r="B296" s="7"/>
      <c r="C296" s="7"/>
      <c r="D296" s="7"/>
      <c r="E296" s="11">
        <v>294</v>
      </c>
      <c r="F296" s="8"/>
      <c r="G296" s="8"/>
      <c r="H296" s="9"/>
      <c r="I296" s="10"/>
      <c r="J296" s="9"/>
      <c r="K296" s="10"/>
      <c r="L296" s="8"/>
      <c r="M296" s="8"/>
      <c r="N296" s="10"/>
      <c r="O296" s="10"/>
    </row>
    <row r="297" spans="1:15" x14ac:dyDescent="0.25">
      <c r="A297" s="7"/>
      <c r="B297" s="7"/>
      <c r="C297" s="7"/>
      <c r="D297" s="7"/>
      <c r="E297" s="11">
        <v>295</v>
      </c>
      <c r="F297" s="8"/>
      <c r="G297" s="8"/>
      <c r="H297" s="9"/>
      <c r="I297" s="10"/>
      <c r="J297" s="9"/>
      <c r="K297" s="10"/>
      <c r="L297" s="8"/>
      <c r="M297" s="8"/>
      <c r="N297" s="10"/>
      <c r="O297" s="10"/>
    </row>
    <row r="298" spans="1:15" x14ac:dyDescent="0.25">
      <c r="A298" s="7"/>
      <c r="B298" s="7"/>
      <c r="C298" s="7"/>
      <c r="D298" s="7"/>
      <c r="E298" s="11">
        <v>296</v>
      </c>
      <c r="F298" s="8"/>
      <c r="G298" s="8"/>
      <c r="H298" s="9"/>
      <c r="I298" s="10"/>
      <c r="J298" s="9"/>
      <c r="K298" s="10"/>
      <c r="L298" s="8"/>
      <c r="M298" s="8"/>
      <c r="N298" s="10"/>
      <c r="O298" s="10"/>
    </row>
    <row r="299" spans="1:15" x14ac:dyDescent="0.25">
      <c r="A299" s="7"/>
      <c r="B299" s="7"/>
      <c r="C299" s="7"/>
      <c r="D299" s="7"/>
      <c r="E299" s="11">
        <v>297</v>
      </c>
      <c r="F299" s="8"/>
      <c r="G299" s="8"/>
      <c r="H299" s="9"/>
      <c r="I299" s="10"/>
      <c r="J299" s="9"/>
      <c r="K299" s="10"/>
      <c r="L299" s="8"/>
      <c r="M299" s="8"/>
      <c r="N299" s="10"/>
      <c r="O299" s="10"/>
    </row>
    <row r="300" spans="1:15" x14ac:dyDescent="0.25">
      <c r="A300" s="7"/>
      <c r="B300" s="7"/>
      <c r="C300" s="7"/>
      <c r="D300" s="7"/>
      <c r="E300" s="11">
        <v>298</v>
      </c>
      <c r="F300" s="8"/>
      <c r="G300" s="8"/>
      <c r="H300" s="9"/>
      <c r="I300" s="10"/>
      <c r="J300" s="9"/>
      <c r="K300" s="10"/>
      <c r="L300" s="8"/>
      <c r="M300" s="8"/>
      <c r="N300" s="10"/>
      <c r="O300" s="10"/>
    </row>
    <row r="301" spans="1:15" x14ac:dyDescent="0.25">
      <c r="A301" s="7"/>
      <c r="B301" s="7"/>
      <c r="C301" s="7"/>
      <c r="D301" s="7"/>
      <c r="E301" s="11">
        <v>299</v>
      </c>
      <c r="F301" s="8"/>
      <c r="G301" s="8"/>
      <c r="H301" s="9"/>
      <c r="I301" s="10"/>
      <c r="J301" s="9"/>
      <c r="K301" s="10"/>
      <c r="L301" s="8"/>
      <c r="M301" s="8"/>
      <c r="N301" s="10"/>
      <c r="O301" s="10"/>
    </row>
    <row r="302" spans="1:15" x14ac:dyDescent="0.25">
      <c r="A302" s="7"/>
      <c r="B302" s="7"/>
      <c r="C302" s="7"/>
      <c r="D302" s="7"/>
      <c r="E302" s="11">
        <v>300</v>
      </c>
      <c r="F302" s="8"/>
      <c r="G302" s="8"/>
      <c r="H302" s="9"/>
      <c r="I302" s="10"/>
      <c r="J302" s="9"/>
      <c r="K302" s="10"/>
      <c r="L302" s="8"/>
      <c r="M302" s="8"/>
      <c r="N302" s="10"/>
      <c r="O302" s="10"/>
    </row>
    <row r="303" spans="1:15" x14ac:dyDescent="0.25">
      <c r="A303" s="7"/>
      <c r="B303" s="7"/>
      <c r="C303" s="7"/>
      <c r="D303" s="7"/>
      <c r="E303" s="11">
        <v>301</v>
      </c>
      <c r="F303" s="8"/>
      <c r="G303" s="8"/>
      <c r="H303" s="9"/>
      <c r="I303" s="10"/>
      <c r="J303" s="9"/>
      <c r="K303" s="10"/>
      <c r="L303" s="8"/>
      <c r="M303" s="8"/>
      <c r="N303" s="10"/>
      <c r="O303" s="10"/>
    </row>
    <row r="304" spans="1:15" x14ac:dyDescent="0.25">
      <c r="A304" s="7"/>
      <c r="B304" s="7"/>
      <c r="C304" s="7"/>
      <c r="D304" s="7"/>
      <c r="E304" s="11">
        <v>302</v>
      </c>
      <c r="F304" s="8"/>
      <c r="G304" s="8"/>
      <c r="H304" s="9"/>
      <c r="I304" s="10"/>
      <c r="J304" s="9"/>
      <c r="K304" s="10"/>
      <c r="L304" s="8"/>
      <c r="M304" s="8"/>
      <c r="N304" s="10"/>
      <c r="O304" s="10"/>
    </row>
    <row r="305" spans="1:15" x14ac:dyDescent="0.25">
      <c r="A305" s="7"/>
      <c r="B305" s="7"/>
      <c r="C305" s="7"/>
      <c r="D305" s="7"/>
      <c r="E305" s="11">
        <v>303</v>
      </c>
      <c r="F305" s="8"/>
      <c r="G305" s="8"/>
      <c r="H305" s="9"/>
      <c r="I305" s="10"/>
      <c r="J305" s="9"/>
      <c r="K305" s="10"/>
      <c r="L305" s="8"/>
      <c r="M305" s="8"/>
      <c r="N305" s="10"/>
      <c r="O305" s="10"/>
    </row>
    <row r="306" spans="1:15" x14ac:dyDescent="0.25">
      <c r="A306" s="7"/>
      <c r="B306" s="7"/>
      <c r="C306" s="7"/>
      <c r="D306" s="7"/>
      <c r="E306" s="11">
        <v>304</v>
      </c>
      <c r="F306" s="8"/>
      <c r="G306" s="8"/>
      <c r="H306" s="9"/>
      <c r="I306" s="10"/>
      <c r="J306" s="9"/>
      <c r="K306" s="10"/>
      <c r="L306" s="8"/>
      <c r="M306" s="8"/>
      <c r="N306" s="10"/>
      <c r="O306" s="10"/>
    </row>
    <row r="307" spans="1:15" x14ac:dyDescent="0.25">
      <c r="A307" s="7"/>
      <c r="B307" s="7"/>
      <c r="C307" s="7"/>
      <c r="D307" s="7"/>
      <c r="E307" s="11">
        <v>305</v>
      </c>
      <c r="F307" s="8"/>
      <c r="G307" s="8"/>
      <c r="H307" s="9"/>
      <c r="I307" s="10"/>
      <c r="J307" s="9"/>
      <c r="K307" s="10"/>
      <c r="L307" s="8"/>
      <c r="M307" s="8"/>
      <c r="N307" s="10"/>
      <c r="O307" s="10"/>
    </row>
    <row r="308" spans="1:15" x14ac:dyDescent="0.25">
      <c r="A308" s="7"/>
      <c r="B308" s="7"/>
      <c r="C308" s="7"/>
      <c r="D308" s="7"/>
      <c r="E308" s="11">
        <v>306</v>
      </c>
      <c r="F308" s="8"/>
      <c r="G308" s="8"/>
      <c r="H308" s="9"/>
      <c r="I308" s="10"/>
      <c r="J308" s="9"/>
      <c r="K308" s="10"/>
      <c r="L308" s="8"/>
      <c r="M308" s="8"/>
      <c r="N308" s="10"/>
      <c r="O308" s="10"/>
    </row>
    <row r="309" spans="1:15" x14ac:dyDescent="0.25">
      <c r="A309" s="7"/>
      <c r="B309" s="7"/>
      <c r="C309" s="7"/>
      <c r="D309" s="7"/>
      <c r="E309" s="11">
        <v>307</v>
      </c>
      <c r="F309" s="8"/>
      <c r="G309" s="8"/>
      <c r="H309" s="9"/>
      <c r="I309" s="10"/>
      <c r="J309" s="9"/>
      <c r="K309" s="10"/>
      <c r="L309" s="8"/>
      <c r="M309" s="8"/>
      <c r="N309" s="10"/>
      <c r="O309" s="10"/>
    </row>
    <row r="310" spans="1:15" x14ac:dyDescent="0.25">
      <c r="A310" s="7"/>
      <c r="B310" s="7"/>
      <c r="C310" s="7"/>
      <c r="D310" s="7"/>
      <c r="E310" s="11">
        <v>308</v>
      </c>
      <c r="F310" s="8"/>
      <c r="G310" s="8"/>
      <c r="H310" s="9"/>
      <c r="I310" s="10"/>
      <c r="J310" s="9"/>
      <c r="K310" s="10"/>
      <c r="L310" s="8"/>
      <c r="M310" s="8"/>
      <c r="N310" s="10"/>
      <c r="O310" s="10"/>
    </row>
    <row r="311" spans="1:15" x14ac:dyDescent="0.25">
      <c r="A311" s="7"/>
      <c r="B311" s="7"/>
      <c r="C311" s="7"/>
      <c r="D311" s="7"/>
      <c r="E311" s="11">
        <v>309</v>
      </c>
      <c r="F311" s="8"/>
      <c r="G311" s="8"/>
      <c r="H311" s="9"/>
      <c r="I311" s="10"/>
      <c r="J311" s="9"/>
      <c r="K311" s="10"/>
      <c r="L311" s="8"/>
      <c r="M311" s="8"/>
      <c r="N311" s="10"/>
      <c r="O311" s="10"/>
    </row>
    <row r="312" spans="1:15" x14ac:dyDescent="0.25">
      <c r="A312" s="7"/>
      <c r="B312" s="7"/>
      <c r="C312" s="7"/>
      <c r="D312" s="7"/>
      <c r="E312" s="11">
        <v>310</v>
      </c>
      <c r="F312" s="8"/>
      <c r="G312" s="8"/>
      <c r="H312" s="9"/>
      <c r="I312" s="10"/>
      <c r="J312" s="9"/>
      <c r="K312" s="10"/>
      <c r="L312" s="8"/>
      <c r="M312" s="8"/>
      <c r="N312" s="10"/>
      <c r="O312" s="10"/>
    </row>
    <row r="313" spans="1:15" x14ac:dyDescent="0.25">
      <c r="A313" s="7"/>
      <c r="B313" s="7"/>
      <c r="C313" s="7"/>
      <c r="D313" s="7"/>
      <c r="E313" s="11">
        <v>311</v>
      </c>
      <c r="F313" s="8"/>
      <c r="G313" s="8"/>
      <c r="H313" s="9"/>
      <c r="I313" s="10"/>
      <c r="J313" s="9"/>
      <c r="K313" s="10"/>
      <c r="L313" s="8"/>
      <c r="M313" s="8"/>
      <c r="N313" s="10"/>
      <c r="O313" s="10"/>
    </row>
    <row r="314" spans="1:15" x14ac:dyDescent="0.25">
      <c r="A314" s="7"/>
      <c r="B314" s="7"/>
      <c r="C314" s="7"/>
      <c r="D314" s="7"/>
      <c r="E314" s="11">
        <v>312</v>
      </c>
      <c r="F314" s="8"/>
      <c r="G314" s="8"/>
      <c r="H314" s="9"/>
      <c r="I314" s="10"/>
      <c r="J314" s="9"/>
      <c r="K314" s="10"/>
      <c r="L314" s="8"/>
      <c r="M314" s="8"/>
      <c r="N314" s="10"/>
      <c r="O314" s="10"/>
    </row>
    <row r="315" spans="1:15" x14ac:dyDescent="0.25">
      <c r="A315" s="7"/>
      <c r="B315" s="7"/>
      <c r="C315" s="7"/>
      <c r="D315" s="7"/>
      <c r="E315" s="11">
        <v>313</v>
      </c>
      <c r="F315" s="8"/>
      <c r="G315" s="8"/>
      <c r="H315" s="9"/>
      <c r="I315" s="10"/>
      <c r="J315" s="9"/>
      <c r="K315" s="10"/>
      <c r="L315" s="8"/>
      <c r="M315" s="8"/>
      <c r="N315" s="10"/>
      <c r="O315" s="10"/>
    </row>
    <row r="316" spans="1:15" x14ac:dyDescent="0.25">
      <c r="A316" s="7"/>
      <c r="B316" s="7"/>
      <c r="C316" s="7"/>
      <c r="D316" s="7"/>
      <c r="E316" s="11">
        <v>314</v>
      </c>
      <c r="F316" s="8"/>
      <c r="G316" s="8"/>
      <c r="H316" s="9"/>
      <c r="I316" s="10"/>
      <c r="J316" s="9"/>
      <c r="K316" s="10"/>
      <c r="L316" s="8"/>
      <c r="M316" s="8"/>
      <c r="N316" s="10"/>
      <c r="O316" s="10"/>
    </row>
    <row r="317" spans="1:15" x14ac:dyDescent="0.25">
      <c r="A317" s="7"/>
      <c r="B317" s="7"/>
      <c r="C317" s="7"/>
      <c r="D317" s="7"/>
      <c r="E317" s="11">
        <v>315</v>
      </c>
      <c r="F317" s="8"/>
      <c r="G317" s="8"/>
      <c r="H317" s="9"/>
      <c r="I317" s="10"/>
      <c r="J317" s="9"/>
      <c r="K317" s="10"/>
      <c r="L317" s="8"/>
      <c r="M317" s="8"/>
      <c r="N317" s="10"/>
      <c r="O317" s="10"/>
    </row>
    <row r="318" spans="1:15" x14ac:dyDescent="0.25">
      <c r="A318" s="7"/>
      <c r="B318" s="7"/>
      <c r="C318" s="7"/>
      <c r="D318" s="7"/>
      <c r="E318" s="11">
        <v>316</v>
      </c>
      <c r="F318" s="8"/>
      <c r="G318" s="8"/>
      <c r="H318" s="9"/>
      <c r="I318" s="10"/>
      <c r="J318" s="9"/>
      <c r="K318" s="10"/>
      <c r="L318" s="8"/>
      <c r="M318" s="8"/>
      <c r="N318" s="10"/>
      <c r="O318" s="10"/>
    </row>
    <row r="319" spans="1:15" x14ac:dyDescent="0.25">
      <c r="A319" s="7"/>
      <c r="B319" s="7"/>
      <c r="C319" s="7"/>
      <c r="D319" s="7"/>
      <c r="E319" s="11">
        <v>317</v>
      </c>
      <c r="F319" s="8"/>
      <c r="G319" s="8"/>
      <c r="H319" s="9"/>
      <c r="I319" s="10"/>
      <c r="J319" s="9"/>
      <c r="K319" s="10"/>
      <c r="L319" s="8"/>
      <c r="M319" s="8"/>
      <c r="N319" s="10"/>
      <c r="O319" s="10"/>
    </row>
    <row r="320" spans="1:15" x14ac:dyDescent="0.25">
      <c r="A320" s="7"/>
      <c r="B320" s="7"/>
      <c r="C320" s="7"/>
      <c r="D320" s="7"/>
      <c r="E320" s="11">
        <v>318</v>
      </c>
      <c r="F320" s="8"/>
      <c r="G320" s="8"/>
      <c r="H320" s="9"/>
      <c r="I320" s="10"/>
      <c r="J320" s="9"/>
      <c r="K320" s="10"/>
      <c r="L320" s="8"/>
      <c r="M320" s="8"/>
      <c r="N320" s="10"/>
      <c r="O320" s="10"/>
    </row>
    <row r="321" spans="1:15" x14ac:dyDescent="0.25">
      <c r="A321" s="7"/>
      <c r="B321" s="7"/>
      <c r="C321" s="7"/>
      <c r="D321" s="7"/>
      <c r="E321" s="11">
        <v>319</v>
      </c>
      <c r="F321" s="8"/>
      <c r="G321" s="8"/>
      <c r="H321" s="9"/>
      <c r="I321" s="10"/>
      <c r="J321" s="9"/>
      <c r="K321" s="10"/>
      <c r="L321" s="8"/>
      <c r="M321" s="8"/>
      <c r="N321" s="10"/>
      <c r="O321" s="10"/>
    </row>
    <row r="322" spans="1:15" x14ac:dyDescent="0.25">
      <c r="A322" s="7"/>
      <c r="B322" s="7"/>
      <c r="C322" s="7"/>
      <c r="D322" s="7"/>
      <c r="E322" s="11">
        <v>320</v>
      </c>
      <c r="F322" s="8"/>
      <c r="G322" s="8"/>
      <c r="H322" s="9"/>
      <c r="I322" s="10"/>
      <c r="J322" s="9"/>
      <c r="K322" s="10"/>
      <c r="L322" s="8"/>
      <c r="M322" s="8"/>
      <c r="N322" s="10"/>
      <c r="O322" s="10"/>
    </row>
    <row r="323" spans="1:15" x14ac:dyDescent="0.25">
      <c r="A323" s="7"/>
      <c r="B323" s="7"/>
      <c r="C323" s="7"/>
      <c r="D323" s="7"/>
      <c r="E323" s="11">
        <v>321</v>
      </c>
      <c r="F323" s="8"/>
      <c r="G323" s="8"/>
      <c r="H323" s="9"/>
      <c r="I323" s="10"/>
      <c r="J323" s="9"/>
      <c r="K323" s="10"/>
      <c r="L323" s="8"/>
      <c r="M323" s="8"/>
      <c r="N323" s="10"/>
      <c r="O323" s="10"/>
    </row>
    <row r="324" spans="1:15" x14ac:dyDescent="0.25">
      <c r="A324" s="7"/>
      <c r="B324" s="7"/>
      <c r="C324" s="7"/>
      <c r="D324" s="7"/>
      <c r="E324" s="11">
        <v>322</v>
      </c>
      <c r="F324" s="8"/>
      <c r="G324" s="8"/>
      <c r="H324" s="9"/>
      <c r="I324" s="10"/>
      <c r="J324" s="9"/>
      <c r="K324" s="10"/>
      <c r="L324" s="8"/>
      <c r="M324" s="8"/>
      <c r="N324" s="10"/>
      <c r="O324" s="10"/>
    </row>
    <row r="325" spans="1:15" x14ac:dyDescent="0.25">
      <c r="A325" s="7"/>
      <c r="B325" s="7"/>
      <c r="C325" s="7"/>
      <c r="D325" s="7"/>
      <c r="E325" s="11">
        <v>323</v>
      </c>
      <c r="F325" s="8"/>
      <c r="G325" s="8"/>
      <c r="H325" s="9"/>
      <c r="I325" s="10"/>
      <c r="J325" s="9"/>
      <c r="K325" s="10"/>
      <c r="L325" s="8"/>
      <c r="M325" s="8"/>
      <c r="N325" s="10"/>
      <c r="O325" s="10"/>
    </row>
    <row r="326" spans="1:15" x14ac:dyDescent="0.25">
      <c r="A326" s="7"/>
      <c r="B326" s="7"/>
      <c r="C326" s="7"/>
      <c r="D326" s="7"/>
      <c r="E326" s="11">
        <v>324</v>
      </c>
      <c r="F326" s="8"/>
      <c r="G326" s="8"/>
      <c r="H326" s="9"/>
      <c r="I326" s="10"/>
      <c r="J326" s="9"/>
      <c r="K326" s="10"/>
      <c r="L326" s="8"/>
      <c r="M326" s="8"/>
      <c r="N326" s="10"/>
      <c r="O326" s="10"/>
    </row>
    <row r="327" spans="1:15" x14ac:dyDescent="0.25">
      <c r="A327" s="7"/>
      <c r="B327" s="7"/>
      <c r="C327" s="7"/>
      <c r="D327" s="7"/>
      <c r="E327" s="11">
        <v>325</v>
      </c>
      <c r="F327" s="8"/>
      <c r="G327" s="8"/>
      <c r="H327" s="9"/>
      <c r="I327" s="10"/>
      <c r="J327" s="9"/>
      <c r="K327" s="10"/>
      <c r="L327" s="8"/>
      <c r="M327" s="8"/>
      <c r="N327" s="10"/>
      <c r="O327" s="10"/>
    </row>
    <row r="328" spans="1:15" x14ac:dyDescent="0.25">
      <c r="A328" s="7"/>
      <c r="B328" s="7"/>
      <c r="C328" s="7"/>
      <c r="D328" s="7"/>
      <c r="E328" s="11">
        <v>326</v>
      </c>
      <c r="F328" s="8"/>
      <c r="G328" s="8"/>
      <c r="H328" s="9"/>
      <c r="I328" s="10"/>
      <c r="J328" s="9"/>
      <c r="K328" s="10"/>
      <c r="L328" s="8"/>
      <c r="M328" s="8"/>
      <c r="N328" s="10"/>
      <c r="O328" s="10"/>
    </row>
    <row r="329" spans="1:15" x14ac:dyDescent="0.25">
      <c r="A329" s="7"/>
      <c r="B329" s="7"/>
      <c r="C329" s="7"/>
      <c r="D329" s="7"/>
      <c r="E329" s="11">
        <v>327</v>
      </c>
      <c r="F329" s="8"/>
      <c r="G329" s="8"/>
      <c r="H329" s="9"/>
      <c r="I329" s="10"/>
      <c r="J329" s="9"/>
      <c r="K329" s="10"/>
      <c r="L329" s="8"/>
      <c r="M329" s="8"/>
      <c r="N329" s="10"/>
      <c r="O329" s="10"/>
    </row>
    <row r="330" spans="1:15" x14ac:dyDescent="0.25">
      <c r="A330" s="7"/>
      <c r="B330" s="7"/>
      <c r="C330" s="7"/>
      <c r="D330" s="7"/>
      <c r="E330" s="11">
        <v>328</v>
      </c>
      <c r="F330" s="8"/>
      <c r="G330" s="8"/>
      <c r="H330" s="9"/>
      <c r="I330" s="10"/>
      <c r="J330" s="9"/>
      <c r="K330" s="10"/>
      <c r="L330" s="8"/>
      <c r="M330" s="8"/>
      <c r="N330" s="10"/>
      <c r="O330" s="10"/>
    </row>
    <row r="331" spans="1:15" x14ac:dyDescent="0.25">
      <c r="A331" s="7"/>
      <c r="B331" s="7"/>
      <c r="C331" s="7"/>
      <c r="D331" s="7"/>
      <c r="E331" s="11">
        <v>329</v>
      </c>
      <c r="F331" s="8"/>
      <c r="G331" s="8"/>
      <c r="H331" s="9"/>
      <c r="I331" s="10"/>
      <c r="J331" s="9"/>
      <c r="K331" s="10"/>
      <c r="L331" s="8"/>
      <c r="M331" s="8"/>
      <c r="N331" s="10"/>
      <c r="O331" s="10"/>
    </row>
    <row r="332" spans="1:15" x14ac:dyDescent="0.25">
      <c r="A332" s="7"/>
      <c r="B332" s="7"/>
      <c r="C332" s="7"/>
      <c r="D332" s="7"/>
      <c r="E332" s="11">
        <v>330</v>
      </c>
      <c r="F332" s="8"/>
      <c r="G332" s="8"/>
      <c r="H332" s="9"/>
      <c r="I332" s="10"/>
      <c r="J332" s="9"/>
      <c r="K332" s="10"/>
      <c r="L332" s="8"/>
      <c r="M332" s="8"/>
      <c r="N332" s="10"/>
      <c r="O332" s="10"/>
    </row>
    <row r="333" spans="1:15" x14ac:dyDescent="0.25">
      <c r="A333" s="7"/>
      <c r="B333" s="7"/>
      <c r="C333" s="7"/>
      <c r="D333" s="7"/>
      <c r="E333" s="11">
        <v>331</v>
      </c>
      <c r="F333" s="8"/>
      <c r="G333" s="8"/>
      <c r="H333" s="9"/>
      <c r="I333" s="10"/>
      <c r="J333" s="9"/>
      <c r="K333" s="10"/>
      <c r="L333" s="8"/>
      <c r="M333" s="8"/>
      <c r="N333" s="10"/>
      <c r="O333" s="10"/>
    </row>
    <row r="334" spans="1:15" x14ac:dyDescent="0.25">
      <c r="A334" s="7"/>
      <c r="B334" s="7"/>
      <c r="C334" s="7"/>
      <c r="D334" s="7"/>
      <c r="E334" s="11">
        <v>332</v>
      </c>
      <c r="F334" s="8"/>
      <c r="G334" s="8"/>
      <c r="H334" s="9"/>
      <c r="I334" s="10"/>
      <c r="J334" s="9"/>
      <c r="K334" s="10"/>
      <c r="L334" s="8"/>
      <c r="M334" s="8"/>
      <c r="N334" s="10"/>
      <c r="O334" s="10"/>
    </row>
    <row r="335" spans="1:15" x14ac:dyDescent="0.25">
      <c r="A335" s="7"/>
      <c r="B335" s="7"/>
      <c r="C335" s="7"/>
      <c r="D335" s="7"/>
      <c r="E335" s="11">
        <v>333</v>
      </c>
      <c r="F335" s="8"/>
      <c r="G335" s="8"/>
      <c r="H335" s="9"/>
      <c r="I335" s="10"/>
      <c r="J335" s="9"/>
      <c r="K335" s="10"/>
      <c r="L335" s="8"/>
      <c r="M335" s="8"/>
      <c r="N335" s="10"/>
      <c r="O335" s="10"/>
    </row>
    <row r="336" spans="1:15" x14ac:dyDescent="0.25">
      <c r="A336" s="7"/>
      <c r="B336" s="7"/>
      <c r="C336" s="7"/>
      <c r="D336" s="7"/>
      <c r="E336" s="11">
        <v>334</v>
      </c>
      <c r="F336" s="8"/>
      <c r="G336" s="8"/>
      <c r="H336" s="9"/>
      <c r="I336" s="10"/>
      <c r="J336" s="9"/>
      <c r="K336" s="10"/>
      <c r="L336" s="8"/>
      <c r="M336" s="8"/>
      <c r="N336" s="10"/>
      <c r="O336" s="10"/>
    </row>
    <row r="337" spans="1:15" x14ac:dyDescent="0.25">
      <c r="A337" s="7"/>
      <c r="B337" s="7"/>
      <c r="C337" s="7"/>
      <c r="D337" s="7"/>
      <c r="E337" s="11">
        <v>335</v>
      </c>
      <c r="F337" s="8"/>
      <c r="G337" s="8"/>
      <c r="H337" s="9"/>
      <c r="I337" s="10"/>
      <c r="J337" s="9"/>
      <c r="K337" s="10"/>
      <c r="L337" s="8"/>
      <c r="M337" s="8"/>
      <c r="N337" s="10"/>
      <c r="O337" s="10"/>
    </row>
    <row r="338" spans="1:15" x14ac:dyDescent="0.25">
      <c r="A338" s="7"/>
      <c r="B338" s="7"/>
      <c r="C338" s="7"/>
      <c r="D338" s="7"/>
      <c r="E338" s="11">
        <v>336</v>
      </c>
      <c r="F338" s="8"/>
      <c r="G338" s="8"/>
      <c r="H338" s="9"/>
      <c r="I338" s="10"/>
      <c r="J338" s="9"/>
      <c r="K338" s="10"/>
      <c r="L338" s="8"/>
      <c r="M338" s="8"/>
      <c r="N338" s="10"/>
      <c r="O338" s="10"/>
    </row>
    <row r="339" spans="1:15" x14ac:dyDescent="0.25">
      <c r="A339" s="7"/>
      <c r="B339" s="7"/>
      <c r="C339" s="7"/>
      <c r="D339" s="7"/>
      <c r="E339" s="11">
        <v>337</v>
      </c>
      <c r="F339" s="8"/>
      <c r="G339" s="8"/>
      <c r="H339" s="9"/>
      <c r="I339" s="10"/>
      <c r="J339" s="9"/>
      <c r="K339" s="10"/>
      <c r="L339" s="8"/>
      <c r="M339" s="8"/>
      <c r="N339" s="10"/>
      <c r="O339" s="10"/>
    </row>
    <row r="340" spans="1:15" x14ac:dyDescent="0.25">
      <c r="A340" s="7"/>
      <c r="B340" s="7"/>
      <c r="C340" s="7"/>
      <c r="D340" s="7"/>
      <c r="E340" s="11">
        <v>338</v>
      </c>
      <c r="F340" s="8"/>
      <c r="G340" s="8"/>
      <c r="H340" s="9"/>
      <c r="I340" s="10"/>
      <c r="J340" s="9"/>
      <c r="K340" s="10"/>
      <c r="L340" s="8"/>
      <c r="M340" s="8"/>
      <c r="N340" s="10"/>
      <c r="O340" s="10"/>
    </row>
    <row r="341" spans="1:15" x14ac:dyDescent="0.25">
      <c r="A341" s="7"/>
      <c r="B341" s="7"/>
      <c r="C341" s="7"/>
      <c r="D341" s="7"/>
      <c r="E341" s="11">
        <v>339</v>
      </c>
      <c r="F341" s="8"/>
      <c r="G341" s="8"/>
      <c r="H341" s="9"/>
      <c r="I341" s="10"/>
      <c r="J341" s="9"/>
      <c r="K341" s="10"/>
      <c r="L341" s="8"/>
      <c r="M341" s="8"/>
      <c r="N341" s="10"/>
      <c r="O341" s="10"/>
    </row>
    <row r="342" spans="1:15" x14ac:dyDescent="0.25">
      <c r="A342" s="7"/>
      <c r="B342" s="7"/>
      <c r="C342" s="7"/>
      <c r="D342" s="7"/>
      <c r="E342" s="11">
        <v>340</v>
      </c>
      <c r="F342" s="8"/>
      <c r="G342" s="8"/>
      <c r="H342" s="9"/>
      <c r="I342" s="10"/>
      <c r="J342" s="9"/>
      <c r="K342" s="10"/>
      <c r="L342" s="8"/>
      <c r="M342" s="8"/>
      <c r="N342" s="10"/>
      <c r="O342" s="10"/>
    </row>
    <row r="343" spans="1:15" x14ac:dyDescent="0.25">
      <c r="A343" s="7"/>
      <c r="B343" s="7"/>
      <c r="C343" s="7"/>
      <c r="D343" s="7"/>
      <c r="E343" s="11">
        <v>341</v>
      </c>
      <c r="F343" s="8"/>
      <c r="G343" s="8"/>
      <c r="H343" s="9"/>
      <c r="I343" s="10"/>
      <c r="J343" s="9"/>
      <c r="K343" s="10"/>
      <c r="L343" s="8"/>
      <c r="M343" s="8"/>
      <c r="N343" s="10"/>
      <c r="O343" s="10"/>
    </row>
    <row r="344" spans="1:15" x14ac:dyDescent="0.25">
      <c r="A344" s="7"/>
      <c r="B344" s="7"/>
      <c r="C344" s="7"/>
      <c r="D344" s="7"/>
      <c r="E344" s="11">
        <v>342</v>
      </c>
      <c r="F344" s="8"/>
      <c r="G344" s="8"/>
      <c r="H344" s="9"/>
      <c r="I344" s="10"/>
      <c r="J344" s="9"/>
      <c r="K344" s="10"/>
      <c r="L344" s="8"/>
      <c r="M344" s="8"/>
      <c r="N344" s="10"/>
      <c r="O344" s="10"/>
    </row>
    <row r="345" spans="1:15" x14ac:dyDescent="0.25">
      <c r="A345" s="7"/>
      <c r="B345" s="7"/>
      <c r="C345" s="7"/>
      <c r="D345" s="7"/>
      <c r="E345" s="11">
        <v>343</v>
      </c>
      <c r="F345" s="8"/>
      <c r="G345" s="8"/>
      <c r="H345" s="9"/>
      <c r="I345" s="10"/>
      <c r="J345" s="9"/>
      <c r="K345" s="10"/>
      <c r="L345" s="8"/>
      <c r="M345" s="8"/>
      <c r="N345" s="10"/>
      <c r="O345" s="10"/>
    </row>
    <row r="346" spans="1:15" x14ac:dyDescent="0.25">
      <c r="A346" s="7"/>
      <c r="B346" s="7"/>
      <c r="C346" s="7"/>
      <c r="D346" s="7"/>
      <c r="E346" s="11">
        <v>344</v>
      </c>
      <c r="F346" s="8"/>
      <c r="G346" s="8"/>
      <c r="H346" s="9"/>
      <c r="I346" s="10"/>
      <c r="J346" s="9"/>
      <c r="K346" s="10"/>
      <c r="L346" s="8"/>
      <c r="M346" s="8"/>
      <c r="N346" s="10"/>
      <c r="O346" s="10"/>
    </row>
    <row r="347" spans="1:15" x14ac:dyDescent="0.25">
      <c r="A347" s="7"/>
      <c r="B347" s="7"/>
      <c r="C347" s="7"/>
      <c r="D347" s="7"/>
      <c r="E347" s="11">
        <v>345</v>
      </c>
      <c r="F347" s="8"/>
      <c r="G347" s="8"/>
      <c r="H347" s="9"/>
      <c r="I347" s="10"/>
      <c r="J347" s="9"/>
      <c r="K347" s="10"/>
      <c r="L347" s="8"/>
      <c r="M347" s="8"/>
      <c r="N347" s="10"/>
      <c r="O347" s="10"/>
    </row>
    <row r="348" spans="1:15" x14ac:dyDescent="0.25">
      <c r="A348" s="7"/>
      <c r="B348" s="7"/>
      <c r="C348" s="7"/>
      <c r="D348" s="7"/>
      <c r="E348" s="11">
        <v>346</v>
      </c>
      <c r="F348" s="8"/>
      <c r="G348" s="8"/>
      <c r="H348" s="9"/>
      <c r="I348" s="10"/>
      <c r="J348" s="9"/>
      <c r="K348" s="10"/>
      <c r="L348" s="8"/>
      <c r="M348" s="8"/>
      <c r="N348" s="10"/>
      <c r="O348" s="10"/>
    </row>
    <row r="349" spans="1:15" x14ac:dyDescent="0.25">
      <c r="A349" s="7"/>
      <c r="B349" s="7"/>
      <c r="C349" s="7"/>
      <c r="D349" s="7"/>
      <c r="E349" s="11">
        <v>347</v>
      </c>
      <c r="F349" s="8"/>
      <c r="G349" s="8"/>
      <c r="H349" s="9"/>
      <c r="I349" s="10"/>
      <c r="J349" s="9"/>
      <c r="K349" s="10"/>
      <c r="L349" s="8"/>
      <c r="M349" s="8"/>
      <c r="N349" s="10"/>
      <c r="O349" s="10"/>
    </row>
    <row r="350" spans="1:15" x14ac:dyDescent="0.25">
      <c r="A350" s="7"/>
      <c r="B350" s="7"/>
      <c r="C350" s="7"/>
      <c r="D350" s="7"/>
      <c r="E350" s="11">
        <v>348</v>
      </c>
      <c r="F350" s="8"/>
      <c r="G350" s="8"/>
      <c r="H350" s="9"/>
      <c r="I350" s="10"/>
      <c r="J350" s="9"/>
      <c r="K350" s="10"/>
      <c r="L350" s="8"/>
      <c r="M350" s="8"/>
      <c r="N350" s="10"/>
      <c r="O350" s="10"/>
    </row>
    <row r="351" spans="1:15" x14ac:dyDescent="0.25">
      <c r="A351" s="7"/>
      <c r="B351" s="7"/>
      <c r="C351" s="7"/>
      <c r="D351" s="7"/>
      <c r="E351" s="11">
        <v>349</v>
      </c>
      <c r="F351" s="8"/>
      <c r="G351" s="8"/>
      <c r="H351" s="9"/>
      <c r="I351" s="10"/>
      <c r="J351" s="9"/>
      <c r="K351" s="10"/>
      <c r="L351" s="8"/>
      <c r="M351" s="8"/>
      <c r="N351" s="10"/>
      <c r="O351" s="10"/>
    </row>
    <row r="352" spans="1:15" x14ac:dyDescent="0.25">
      <c r="A352" s="7"/>
      <c r="B352" s="7"/>
      <c r="C352" s="7"/>
      <c r="D352" s="7"/>
      <c r="E352" s="11">
        <v>350</v>
      </c>
      <c r="F352" s="8"/>
      <c r="G352" s="8"/>
      <c r="H352" s="9"/>
      <c r="I352" s="10"/>
      <c r="J352" s="9"/>
      <c r="K352" s="10"/>
      <c r="L352" s="8"/>
      <c r="M352" s="8"/>
      <c r="N352" s="10"/>
      <c r="O352" s="10"/>
    </row>
    <row r="353" spans="1:15" x14ac:dyDescent="0.25">
      <c r="A353" s="7"/>
      <c r="B353" s="7"/>
      <c r="C353" s="7"/>
      <c r="D353" s="7"/>
      <c r="E353" s="11">
        <v>351</v>
      </c>
      <c r="F353" s="8"/>
      <c r="G353" s="8"/>
      <c r="H353" s="9"/>
      <c r="I353" s="10"/>
      <c r="J353" s="9"/>
      <c r="K353" s="10"/>
      <c r="L353" s="8"/>
      <c r="M353" s="8"/>
      <c r="N353" s="10"/>
      <c r="O353" s="10"/>
    </row>
    <row r="354" spans="1:15" x14ac:dyDescent="0.25">
      <c r="A354" s="7"/>
      <c r="B354" s="7"/>
      <c r="C354" s="7"/>
      <c r="D354" s="7"/>
      <c r="E354" s="11">
        <v>352</v>
      </c>
      <c r="F354" s="8"/>
      <c r="G354" s="8"/>
      <c r="H354" s="9"/>
      <c r="I354" s="10"/>
      <c r="J354" s="9"/>
      <c r="K354" s="10"/>
      <c r="L354" s="8"/>
      <c r="M354" s="8"/>
      <c r="N354" s="10"/>
      <c r="O354" s="10"/>
    </row>
    <row r="355" spans="1:15" x14ac:dyDescent="0.25">
      <c r="A355" s="7"/>
      <c r="B355" s="7"/>
      <c r="C355" s="7"/>
      <c r="D355" s="7"/>
      <c r="E355" s="11">
        <v>353</v>
      </c>
      <c r="F355" s="8"/>
      <c r="G355" s="8"/>
      <c r="H355" s="9"/>
      <c r="I355" s="10"/>
      <c r="J355" s="9"/>
      <c r="K355" s="10"/>
      <c r="L355" s="8"/>
      <c r="M355" s="8"/>
      <c r="N355" s="10"/>
      <c r="O355" s="10"/>
    </row>
    <row r="356" spans="1:15" x14ac:dyDescent="0.25">
      <c r="A356" s="7"/>
      <c r="B356" s="7"/>
      <c r="C356" s="7"/>
      <c r="D356" s="7"/>
      <c r="E356" s="11">
        <v>354</v>
      </c>
      <c r="F356" s="8"/>
      <c r="G356" s="8"/>
      <c r="H356" s="9"/>
      <c r="I356" s="10"/>
      <c r="J356" s="9"/>
      <c r="K356" s="10"/>
      <c r="L356" s="8"/>
      <c r="M356" s="8"/>
      <c r="N356" s="10"/>
      <c r="O356" s="10"/>
    </row>
    <row r="357" spans="1:15" x14ac:dyDescent="0.25">
      <c r="A357" s="7"/>
      <c r="B357" s="7"/>
      <c r="C357" s="7"/>
      <c r="D357" s="7"/>
      <c r="E357" s="11">
        <v>355</v>
      </c>
      <c r="F357" s="8"/>
      <c r="G357" s="8"/>
      <c r="H357" s="9"/>
      <c r="I357" s="10"/>
      <c r="J357" s="9"/>
      <c r="K357" s="10"/>
      <c r="L357" s="8"/>
      <c r="M357" s="8"/>
      <c r="N357" s="10"/>
      <c r="O357" s="10"/>
    </row>
    <row r="358" spans="1:15" x14ac:dyDescent="0.25">
      <c r="A358" s="7"/>
      <c r="B358" s="7"/>
      <c r="C358" s="7"/>
      <c r="D358" s="7"/>
      <c r="E358" s="11">
        <v>356</v>
      </c>
      <c r="F358" s="8"/>
      <c r="G358" s="8"/>
      <c r="H358" s="9"/>
      <c r="I358" s="10"/>
      <c r="J358" s="9"/>
      <c r="K358" s="10"/>
      <c r="L358" s="8"/>
      <c r="M358" s="8"/>
      <c r="N358" s="10"/>
      <c r="O358" s="10"/>
    </row>
    <row r="359" spans="1:15" x14ac:dyDescent="0.25">
      <c r="A359" s="7"/>
      <c r="B359" s="7"/>
      <c r="C359" s="7"/>
      <c r="D359" s="7"/>
      <c r="E359" s="11">
        <v>357</v>
      </c>
      <c r="F359" s="8"/>
      <c r="G359" s="8"/>
      <c r="H359" s="9"/>
      <c r="I359" s="10"/>
      <c r="J359" s="9"/>
      <c r="K359" s="10"/>
      <c r="L359" s="8"/>
      <c r="M359" s="8"/>
      <c r="N359" s="10"/>
      <c r="O359" s="10"/>
    </row>
    <row r="360" spans="1:15" x14ac:dyDescent="0.25">
      <c r="A360" s="7"/>
      <c r="B360" s="7"/>
      <c r="C360" s="7"/>
      <c r="D360" s="7"/>
      <c r="E360" s="11">
        <v>358</v>
      </c>
      <c r="F360" s="8"/>
      <c r="G360" s="8"/>
      <c r="H360" s="9"/>
      <c r="I360" s="10"/>
      <c r="J360" s="9"/>
      <c r="K360" s="10"/>
      <c r="L360" s="8"/>
      <c r="M360" s="8"/>
      <c r="N360" s="10"/>
      <c r="O360" s="10"/>
    </row>
    <row r="361" spans="1:15" x14ac:dyDescent="0.25">
      <c r="A361" s="7"/>
      <c r="B361" s="7"/>
      <c r="C361" s="7"/>
      <c r="D361" s="7"/>
      <c r="E361" s="11">
        <v>359</v>
      </c>
      <c r="F361" s="8"/>
      <c r="G361" s="8"/>
      <c r="H361" s="9"/>
      <c r="I361" s="10"/>
      <c r="J361" s="9"/>
      <c r="K361" s="10"/>
      <c r="L361" s="8"/>
      <c r="M361" s="8"/>
      <c r="N361" s="10"/>
      <c r="O361" s="10"/>
    </row>
    <row r="362" spans="1:15" x14ac:dyDescent="0.25">
      <c r="A362" s="7"/>
      <c r="B362" s="7"/>
      <c r="C362" s="7"/>
      <c r="D362" s="7"/>
      <c r="E362" s="11">
        <v>360</v>
      </c>
      <c r="F362" s="8"/>
      <c r="G362" s="8"/>
      <c r="H362" s="9"/>
      <c r="I362" s="10"/>
      <c r="J362" s="9"/>
      <c r="K362" s="10"/>
      <c r="L362" s="8"/>
      <c r="M362" s="8"/>
      <c r="N362" s="10"/>
      <c r="O362" s="10"/>
    </row>
    <row r="363" spans="1:15" x14ac:dyDescent="0.25">
      <c r="A363" s="7"/>
      <c r="B363" s="7"/>
      <c r="C363" s="7"/>
      <c r="D363" s="7"/>
      <c r="E363" s="11">
        <v>361</v>
      </c>
      <c r="F363" s="8"/>
      <c r="G363" s="8"/>
      <c r="H363" s="9"/>
      <c r="I363" s="10"/>
      <c r="J363" s="9"/>
      <c r="K363" s="10"/>
      <c r="L363" s="8"/>
      <c r="M363" s="8"/>
      <c r="N363" s="10"/>
      <c r="O363" s="10"/>
    </row>
    <row r="364" spans="1:15" x14ac:dyDescent="0.25">
      <c r="A364" s="7"/>
      <c r="B364" s="7"/>
      <c r="C364" s="7"/>
      <c r="D364" s="7"/>
      <c r="E364" s="11">
        <v>362</v>
      </c>
      <c r="F364" s="8"/>
      <c r="G364" s="8"/>
      <c r="H364" s="9"/>
      <c r="I364" s="10"/>
      <c r="J364" s="9"/>
      <c r="K364" s="10"/>
      <c r="L364" s="8"/>
      <c r="M364" s="8"/>
      <c r="N364" s="10"/>
      <c r="O364" s="10"/>
    </row>
    <row r="365" spans="1:15" x14ac:dyDescent="0.25">
      <c r="A365" s="7"/>
      <c r="B365" s="7"/>
      <c r="C365" s="7"/>
      <c r="D365" s="7"/>
      <c r="E365" s="11">
        <v>363</v>
      </c>
      <c r="F365" s="8"/>
      <c r="G365" s="8"/>
      <c r="H365" s="9"/>
      <c r="I365" s="10"/>
      <c r="J365" s="9"/>
      <c r="K365" s="10"/>
      <c r="L365" s="8"/>
      <c r="M365" s="8"/>
      <c r="N365" s="10"/>
      <c r="O365" s="10"/>
    </row>
    <row r="366" spans="1:15" x14ac:dyDescent="0.25">
      <c r="A366" s="7"/>
      <c r="B366" s="7"/>
      <c r="C366" s="7"/>
      <c r="D366" s="7"/>
      <c r="E366" s="11">
        <v>364</v>
      </c>
      <c r="F366" s="8"/>
      <c r="G366" s="8"/>
      <c r="H366" s="9"/>
      <c r="I366" s="10"/>
      <c r="J366" s="9"/>
      <c r="K366" s="10"/>
      <c r="L366" s="8"/>
      <c r="M366" s="8"/>
      <c r="N366" s="10"/>
      <c r="O366" s="10"/>
    </row>
    <row r="367" spans="1:15" x14ac:dyDescent="0.25">
      <c r="A367" s="7"/>
      <c r="B367" s="7"/>
      <c r="C367" s="7"/>
      <c r="D367" s="7"/>
      <c r="E367" s="11">
        <v>365</v>
      </c>
      <c r="F367" s="8"/>
      <c r="G367" s="8"/>
      <c r="H367" s="9"/>
      <c r="I367" s="10"/>
      <c r="J367" s="9"/>
      <c r="K367" s="10"/>
      <c r="L367" s="8"/>
      <c r="M367" s="8"/>
      <c r="N367" s="10"/>
      <c r="O367" s="10"/>
    </row>
    <row r="368" spans="1:15" x14ac:dyDescent="0.25">
      <c r="A368" s="7"/>
      <c r="B368" s="7"/>
      <c r="C368" s="7"/>
      <c r="D368" s="7"/>
      <c r="E368" s="11">
        <v>366</v>
      </c>
      <c r="F368" s="8"/>
      <c r="G368" s="8"/>
      <c r="H368" s="9"/>
      <c r="I368" s="10"/>
      <c r="J368" s="9"/>
      <c r="K368" s="10"/>
      <c r="L368" s="8"/>
      <c r="M368" s="8"/>
      <c r="N368" s="10"/>
      <c r="O368" s="10"/>
    </row>
    <row r="369" spans="1:15" x14ac:dyDescent="0.25">
      <c r="A369" s="7"/>
      <c r="B369" s="7"/>
      <c r="C369" s="7"/>
      <c r="D369" s="7"/>
      <c r="E369" s="11">
        <v>367</v>
      </c>
      <c r="F369" s="8"/>
      <c r="G369" s="8"/>
      <c r="H369" s="9"/>
      <c r="I369" s="10"/>
      <c r="J369" s="9"/>
      <c r="K369" s="10"/>
      <c r="L369" s="8"/>
      <c r="M369" s="8"/>
      <c r="N369" s="10"/>
      <c r="O369" s="10"/>
    </row>
    <row r="370" spans="1:15" x14ac:dyDescent="0.25">
      <c r="A370" s="7"/>
      <c r="B370" s="7"/>
      <c r="C370" s="7"/>
      <c r="D370" s="7"/>
      <c r="E370" s="11">
        <v>368</v>
      </c>
      <c r="F370" s="8"/>
      <c r="G370" s="8"/>
      <c r="H370" s="9"/>
      <c r="I370" s="10"/>
      <c r="J370" s="9"/>
      <c r="K370" s="10"/>
      <c r="L370" s="8"/>
      <c r="M370" s="8"/>
      <c r="N370" s="10"/>
      <c r="O370" s="10"/>
    </row>
    <row r="371" spans="1:15" x14ac:dyDescent="0.25">
      <c r="A371" s="7"/>
      <c r="B371" s="7"/>
      <c r="C371" s="7"/>
      <c r="D371" s="7"/>
      <c r="E371" s="11">
        <v>369</v>
      </c>
      <c r="F371" s="8"/>
      <c r="G371" s="8"/>
      <c r="H371" s="9"/>
      <c r="I371" s="10"/>
      <c r="J371" s="9"/>
      <c r="K371" s="10"/>
      <c r="L371" s="8"/>
      <c r="M371" s="8"/>
      <c r="N371" s="10"/>
      <c r="O371" s="10"/>
    </row>
    <row r="372" spans="1:15" x14ac:dyDescent="0.25">
      <c r="A372" s="7"/>
      <c r="B372" s="7"/>
      <c r="C372" s="7"/>
      <c r="D372" s="7"/>
      <c r="E372" s="11">
        <v>370</v>
      </c>
      <c r="F372" s="8"/>
      <c r="G372" s="8"/>
      <c r="H372" s="9"/>
      <c r="I372" s="10"/>
      <c r="J372" s="9"/>
      <c r="K372" s="10"/>
      <c r="L372" s="8"/>
      <c r="M372" s="8"/>
      <c r="N372" s="10"/>
      <c r="O372" s="10"/>
    </row>
    <row r="373" spans="1:15" x14ac:dyDescent="0.25">
      <c r="A373" s="7"/>
      <c r="B373" s="7"/>
      <c r="C373" s="7"/>
      <c r="D373" s="7"/>
      <c r="E373" s="11">
        <v>371</v>
      </c>
      <c r="F373" s="8"/>
      <c r="G373" s="8"/>
      <c r="H373" s="9"/>
      <c r="I373" s="10"/>
      <c r="J373" s="9"/>
      <c r="K373" s="10"/>
      <c r="L373" s="8"/>
      <c r="M373" s="8"/>
      <c r="N373" s="10"/>
      <c r="O373" s="10"/>
    </row>
    <row r="374" spans="1:15" x14ac:dyDescent="0.25">
      <c r="A374" s="7"/>
      <c r="B374" s="7"/>
      <c r="C374" s="7"/>
      <c r="D374" s="7"/>
      <c r="E374" s="11">
        <v>372</v>
      </c>
      <c r="F374" s="8"/>
      <c r="G374" s="8"/>
      <c r="H374" s="9"/>
      <c r="I374" s="10"/>
      <c r="J374" s="9"/>
      <c r="K374" s="10"/>
      <c r="L374" s="8"/>
      <c r="M374" s="8"/>
      <c r="N374" s="10"/>
      <c r="O374" s="10"/>
    </row>
    <row r="375" spans="1:15" x14ac:dyDescent="0.25">
      <c r="A375" s="7"/>
      <c r="B375" s="7"/>
      <c r="C375" s="7"/>
      <c r="D375" s="7"/>
      <c r="E375" s="11">
        <v>373</v>
      </c>
      <c r="F375" s="8"/>
      <c r="G375" s="8"/>
      <c r="H375" s="9"/>
      <c r="I375" s="10"/>
      <c r="J375" s="9"/>
      <c r="K375" s="10"/>
      <c r="L375" s="8"/>
      <c r="M375" s="8"/>
      <c r="N375" s="10"/>
      <c r="O375" s="10"/>
    </row>
    <row r="376" spans="1:15" x14ac:dyDescent="0.25">
      <c r="A376" s="7"/>
      <c r="B376" s="7"/>
      <c r="C376" s="7"/>
      <c r="D376" s="7"/>
      <c r="E376" s="11">
        <v>374</v>
      </c>
      <c r="F376" s="8"/>
      <c r="G376" s="8"/>
      <c r="H376" s="9"/>
      <c r="I376" s="10"/>
      <c r="J376" s="9"/>
      <c r="K376" s="10"/>
      <c r="L376" s="8"/>
      <c r="M376" s="8"/>
      <c r="N376" s="10"/>
      <c r="O376" s="10"/>
    </row>
    <row r="377" spans="1:15" x14ac:dyDescent="0.25">
      <c r="A377" s="7"/>
      <c r="B377" s="7"/>
      <c r="C377" s="7"/>
      <c r="D377" s="7"/>
      <c r="E377" s="11">
        <v>375</v>
      </c>
      <c r="F377" s="8"/>
      <c r="G377" s="8"/>
      <c r="H377" s="9"/>
      <c r="I377" s="10"/>
      <c r="J377" s="9"/>
      <c r="K377" s="10"/>
      <c r="L377" s="8"/>
      <c r="M377" s="8"/>
      <c r="N377" s="10"/>
      <c r="O377" s="10"/>
    </row>
    <row r="378" spans="1:15" x14ac:dyDescent="0.25">
      <c r="A378" s="7"/>
      <c r="B378" s="7"/>
      <c r="C378" s="7"/>
      <c r="D378" s="7"/>
      <c r="E378" s="11">
        <v>376</v>
      </c>
      <c r="F378" s="8"/>
      <c r="G378" s="8"/>
      <c r="H378" s="9"/>
      <c r="I378" s="10"/>
      <c r="J378" s="9"/>
      <c r="K378" s="10"/>
      <c r="L378" s="8"/>
      <c r="M378" s="8"/>
      <c r="N378" s="10"/>
      <c r="O378" s="10"/>
    </row>
    <row r="379" spans="1:15" x14ac:dyDescent="0.25">
      <c r="A379" s="7"/>
      <c r="B379" s="7"/>
      <c r="C379" s="7"/>
      <c r="D379" s="7"/>
      <c r="E379" s="11">
        <v>377</v>
      </c>
      <c r="F379" s="8"/>
      <c r="G379" s="8"/>
      <c r="H379" s="9"/>
      <c r="I379" s="10"/>
      <c r="J379" s="9"/>
      <c r="K379" s="10"/>
      <c r="L379" s="8"/>
      <c r="M379" s="8"/>
      <c r="N379" s="10"/>
      <c r="O379" s="10"/>
    </row>
    <row r="380" spans="1:15" x14ac:dyDescent="0.25">
      <c r="A380" s="7"/>
      <c r="B380" s="7"/>
      <c r="C380" s="7"/>
      <c r="D380" s="7"/>
      <c r="E380" s="11">
        <v>378</v>
      </c>
      <c r="F380" s="8"/>
      <c r="G380" s="8"/>
      <c r="H380" s="9"/>
      <c r="I380" s="10"/>
      <c r="J380" s="9"/>
      <c r="K380" s="10"/>
      <c r="L380" s="8"/>
      <c r="M380" s="8"/>
      <c r="N380" s="10"/>
      <c r="O380" s="10"/>
    </row>
    <row r="381" spans="1:15" x14ac:dyDescent="0.25">
      <c r="A381" s="7"/>
      <c r="B381" s="7"/>
      <c r="C381" s="7"/>
      <c r="D381" s="7"/>
      <c r="E381" s="11">
        <v>379</v>
      </c>
      <c r="F381" s="8"/>
      <c r="G381" s="8"/>
      <c r="H381" s="9"/>
      <c r="I381" s="10"/>
      <c r="J381" s="9"/>
      <c r="K381" s="10"/>
      <c r="L381" s="8"/>
      <c r="M381" s="8"/>
      <c r="N381" s="10"/>
      <c r="O381" s="10"/>
    </row>
    <row r="382" spans="1:15" x14ac:dyDescent="0.25">
      <c r="A382" s="7"/>
      <c r="B382" s="7"/>
      <c r="C382" s="7"/>
      <c r="D382" s="7"/>
      <c r="E382" s="11">
        <v>380</v>
      </c>
      <c r="F382" s="8"/>
      <c r="G382" s="8"/>
      <c r="H382" s="9"/>
      <c r="I382" s="10"/>
      <c r="J382" s="9"/>
      <c r="K382" s="10"/>
      <c r="L382" s="8"/>
      <c r="M382" s="8"/>
      <c r="N382" s="10"/>
      <c r="O382" s="10"/>
    </row>
    <row r="383" spans="1:15" x14ac:dyDescent="0.25">
      <c r="A383" s="7"/>
      <c r="B383" s="7"/>
      <c r="C383" s="7"/>
      <c r="D383" s="7"/>
      <c r="E383" s="11">
        <v>381</v>
      </c>
      <c r="F383" s="8"/>
      <c r="G383" s="8"/>
      <c r="H383" s="9"/>
      <c r="I383" s="10"/>
      <c r="J383" s="9"/>
      <c r="K383" s="10"/>
      <c r="L383" s="8"/>
      <c r="M383" s="8"/>
      <c r="N383" s="10"/>
      <c r="O383" s="10"/>
    </row>
    <row r="384" spans="1:15" x14ac:dyDescent="0.25">
      <c r="A384" s="7"/>
      <c r="B384" s="7"/>
      <c r="C384" s="7"/>
      <c r="D384" s="7"/>
      <c r="E384" s="11">
        <v>382</v>
      </c>
      <c r="F384" s="8"/>
      <c r="G384" s="8"/>
      <c r="H384" s="9"/>
      <c r="I384" s="10"/>
      <c r="J384" s="9"/>
      <c r="K384" s="10"/>
      <c r="L384" s="8"/>
      <c r="M384" s="8"/>
      <c r="N384" s="10"/>
      <c r="O384" s="10"/>
    </row>
    <row r="385" spans="1:15" x14ac:dyDescent="0.25">
      <c r="A385" s="7"/>
      <c r="B385" s="7"/>
      <c r="C385" s="7"/>
      <c r="D385" s="7"/>
      <c r="E385" s="11">
        <v>383</v>
      </c>
      <c r="F385" s="8"/>
      <c r="G385" s="8"/>
      <c r="H385" s="9"/>
      <c r="I385" s="10"/>
      <c r="J385" s="9"/>
      <c r="K385" s="10"/>
      <c r="L385" s="8"/>
      <c r="M385" s="8"/>
      <c r="N385" s="10"/>
      <c r="O385" s="10"/>
    </row>
    <row r="386" spans="1:15" x14ac:dyDescent="0.25">
      <c r="A386" s="7"/>
      <c r="B386" s="7"/>
      <c r="C386" s="7"/>
      <c r="D386" s="7"/>
      <c r="E386" s="11">
        <v>384</v>
      </c>
      <c r="F386" s="8"/>
      <c r="G386" s="8"/>
      <c r="H386" s="9"/>
      <c r="I386" s="10"/>
      <c r="J386" s="9"/>
      <c r="K386" s="10"/>
      <c r="L386" s="8"/>
      <c r="M386" s="8"/>
      <c r="N386" s="10"/>
      <c r="O386" s="10"/>
    </row>
    <row r="387" spans="1:15" x14ac:dyDescent="0.25">
      <c r="A387" s="7"/>
      <c r="B387" s="7"/>
      <c r="C387" s="7"/>
      <c r="D387" s="7"/>
      <c r="E387" s="11">
        <v>385</v>
      </c>
      <c r="F387" s="8"/>
      <c r="G387" s="8"/>
      <c r="H387" s="9"/>
      <c r="I387" s="10"/>
      <c r="J387" s="9"/>
      <c r="K387" s="10"/>
      <c r="L387" s="8"/>
      <c r="M387" s="8"/>
      <c r="N387" s="10"/>
      <c r="O387" s="10"/>
    </row>
    <row r="388" spans="1:15" x14ac:dyDescent="0.25">
      <c r="A388" s="7"/>
      <c r="B388" s="7"/>
      <c r="C388" s="7"/>
      <c r="D388" s="7"/>
      <c r="E388" s="11">
        <v>386</v>
      </c>
      <c r="F388" s="8"/>
      <c r="G388" s="8"/>
      <c r="H388" s="9"/>
      <c r="I388" s="10"/>
      <c r="J388" s="9"/>
      <c r="K388" s="10"/>
      <c r="L388" s="8"/>
      <c r="M388" s="8"/>
      <c r="N388" s="10"/>
      <c r="O388" s="10"/>
    </row>
    <row r="389" spans="1:15" x14ac:dyDescent="0.25">
      <c r="A389" s="7"/>
      <c r="B389" s="7"/>
      <c r="C389" s="7"/>
      <c r="D389" s="7"/>
      <c r="E389" s="11">
        <v>387</v>
      </c>
      <c r="F389" s="8"/>
      <c r="G389" s="8"/>
      <c r="H389" s="9"/>
      <c r="I389" s="10"/>
      <c r="J389" s="9"/>
      <c r="K389" s="10"/>
      <c r="L389" s="8"/>
      <c r="M389" s="8"/>
      <c r="N389" s="10"/>
      <c r="O389" s="10"/>
    </row>
    <row r="390" spans="1:15" x14ac:dyDescent="0.25">
      <c r="A390" s="7"/>
      <c r="B390" s="7"/>
      <c r="C390" s="7"/>
      <c r="D390" s="7"/>
      <c r="E390" s="11">
        <v>388</v>
      </c>
      <c r="F390" s="8"/>
      <c r="G390" s="8"/>
      <c r="H390" s="9"/>
      <c r="I390" s="10"/>
      <c r="J390" s="9"/>
      <c r="K390" s="10"/>
      <c r="L390" s="8"/>
      <c r="M390" s="8"/>
      <c r="N390" s="10"/>
      <c r="O390" s="10"/>
    </row>
    <row r="391" spans="1:15" x14ac:dyDescent="0.25">
      <c r="A391" s="7"/>
      <c r="B391" s="7"/>
      <c r="C391" s="7"/>
      <c r="D391" s="7"/>
      <c r="E391" s="11">
        <v>389</v>
      </c>
      <c r="F391" s="8"/>
      <c r="G391" s="8"/>
      <c r="H391" s="9"/>
      <c r="I391" s="10"/>
      <c r="J391" s="9"/>
      <c r="K391" s="10"/>
      <c r="L391" s="8"/>
      <c r="M391" s="8"/>
      <c r="N391" s="10"/>
      <c r="O391" s="10"/>
    </row>
    <row r="392" spans="1:15" x14ac:dyDescent="0.25">
      <c r="A392" s="7"/>
      <c r="B392" s="7"/>
      <c r="C392" s="7"/>
      <c r="D392" s="7"/>
      <c r="E392" s="11">
        <v>390</v>
      </c>
      <c r="F392" s="8"/>
      <c r="G392" s="8"/>
      <c r="H392" s="9"/>
      <c r="I392" s="10"/>
      <c r="J392" s="9"/>
      <c r="K392" s="10"/>
      <c r="L392" s="8"/>
      <c r="M392" s="8"/>
      <c r="N392" s="10"/>
      <c r="O392" s="10"/>
    </row>
    <row r="393" spans="1:15" x14ac:dyDescent="0.25">
      <c r="A393" s="7"/>
      <c r="B393" s="7"/>
      <c r="C393" s="7"/>
      <c r="D393" s="7"/>
      <c r="E393" s="11">
        <v>391</v>
      </c>
      <c r="F393" s="8"/>
      <c r="G393" s="8"/>
      <c r="H393" s="9"/>
      <c r="I393" s="10"/>
      <c r="J393" s="9"/>
      <c r="K393" s="10"/>
      <c r="L393" s="8"/>
      <c r="M393" s="8"/>
      <c r="N393" s="10"/>
      <c r="O393" s="10"/>
    </row>
    <row r="394" spans="1:15" x14ac:dyDescent="0.25">
      <c r="A394" s="7"/>
      <c r="B394" s="7"/>
      <c r="C394" s="7"/>
      <c r="D394" s="7"/>
      <c r="E394" s="11">
        <v>392</v>
      </c>
      <c r="F394" s="8"/>
      <c r="G394" s="8"/>
      <c r="H394" s="9"/>
      <c r="I394" s="10"/>
      <c r="J394" s="9"/>
      <c r="K394" s="10"/>
      <c r="L394" s="8"/>
      <c r="M394" s="8"/>
      <c r="N394" s="10"/>
      <c r="O394" s="10"/>
    </row>
    <row r="395" spans="1:15" x14ac:dyDescent="0.25">
      <c r="A395" s="7"/>
      <c r="B395" s="7"/>
      <c r="C395" s="7"/>
      <c r="D395" s="7"/>
      <c r="E395" s="11">
        <v>393</v>
      </c>
      <c r="F395" s="8"/>
      <c r="G395" s="8"/>
      <c r="H395" s="9"/>
      <c r="I395" s="10"/>
      <c r="J395" s="9"/>
      <c r="K395" s="10"/>
      <c r="L395" s="8"/>
      <c r="M395" s="8"/>
      <c r="N395" s="10"/>
      <c r="O395" s="10"/>
    </row>
    <row r="396" spans="1:15" x14ac:dyDescent="0.25">
      <c r="A396" s="7"/>
      <c r="B396" s="7"/>
      <c r="C396" s="7"/>
      <c r="D396" s="7"/>
      <c r="E396" s="11">
        <v>394</v>
      </c>
      <c r="F396" s="8"/>
      <c r="G396" s="8"/>
      <c r="H396" s="9"/>
      <c r="I396" s="10"/>
      <c r="J396" s="9"/>
      <c r="K396" s="10"/>
      <c r="L396" s="8"/>
      <c r="M396" s="8"/>
      <c r="N396" s="10"/>
      <c r="O396" s="10"/>
    </row>
    <row r="397" spans="1:15" x14ac:dyDescent="0.25">
      <c r="A397" s="7"/>
      <c r="B397" s="7"/>
      <c r="C397" s="7"/>
      <c r="D397" s="7"/>
      <c r="E397" s="11">
        <v>395</v>
      </c>
      <c r="F397" s="8"/>
      <c r="G397" s="8"/>
      <c r="H397" s="9"/>
      <c r="I397" s="10"/>
      <c r="J397" s="9"/>
      <c r="K397" s="10"/>
      <c r="L397" s="8"/>
      <c r="M397" s="8"/>
      <c r="N397" s="10"/>
      <c r="O397" s="10"/>
    </row>
    <row r="398" spans="1:15" x14ac:dyDescent="0.25">
      <c r="A398" s="7"/>
      <c r="B398" s="7"/>
      <c r="C398" s="7"/>
      <c r="D398" s="7"/>
      <c r="E398" s="11">
        <v>396</v>
      </c>
      <c r="F398" s="8"/>
      <c r="G398" s="8"/>
      <c r="H398" s="9"/>
      <c r="I398" s="10"/>
      <c r="J398" s="9"/>
      <c r="K398" s="10"/>
      <c r="L398" s="8"/>
      <c r="M398" s="8"/>
      <c r="N398" s="10"/>
      <c r="O398" s="10"/>
    </row>
    <row r="399" spans="1:15" x14ac:dyDescent="0.25">
      <c r="A399" s="7"/>
      <c r="B399" s="7"/>
      <c r="C399" s="7"/>
      <c r="D399" s="7"/>
      <c r="E399" s="11">
        <v>397</v>
      </c>
      <c r="F399" s="8"/>
      <c r="G399" s="8"/>
      <c r="H399" s="9"/>
      <c r="I399" s="10"/>
      <c r="J399" s="9"/>
      <c r="K399" s="10"/>
      <c r="L399" s="8"/>
      <c r="M399" s="8"/>
      <c r="N399" s="10"/>
      <c r="O399" s="10"/>
    </row>
    <row r="400" spans="1:15" x14ac:dyDescent="0.25">
      <c r="A400" s="7"/>
      <c r="B400" s="7"/>
      <c r="C400" s="7"/>
      <c r="D400" s="7"/>
      <c r="E400" s="11">
        <v>398</v>
      </c>
      <c r="F400" s="8"/>
      <c r="G400" s="8"/>
      <c r="H400" s="9"/>
      <c r="I400" s="10"/>
      <c r="J400" s="9"/>
      <c r="K400" s="10"/>
      <c r="L400" s="8"/>
      <c r="M400" s="8"/>
      <c r="N400" s="10"/>
      <c r="O400" s="10"/>
    </row>
    <row r="401" spans="1:15" x14ac:dyDescent="0.25">
      <c r="A401" s="7"/>
      <c r="B401" s="7"/>
      <c r="C401" s="7"/>
      <c r="D401" s="7"/>
      <c r="E401" s="11">
        <v>399</v>
      </c>
      <c r="F401" s="8"/>
      <c r="G401" s="8"/>
      <c r="H401" s="9"/>
      <c r="I401" s="10"/>
      <c r="J401" s="9"/>
      <c r="K401" s="10"/>
      <c r="L401" s="8"/>
      <c r="M401" s="8"/>
      <c r="N401" s="10"/>
      <c r="O401" s="10"/>
    </row>
    <row r="402" spans="1:15" x14ac:dyDescent="0.25">
      <c r="A402" s="7"/>
      <c r="B402" s="7"/>
      <c r="C402" s="7"/>
      <c r="D402" s="7"/>
      <c r="E402" s="11">
        <v>400</v>
      </c>
      <c r="F402" s="8"/>
      <c r="G402" s="8"/>
      <c r="H402" s="9"/>
      <c r="I402" s="10"/>
      <c r="J402" s="9"/>
      <c r="K402" s="10"/>
      <c r="L402" s="8"/>
      <c r="M402" s="8"/>
      <c r="N402" s="10"/>
      <c r="O402" s="10"/>
    </row>
    <row r="403" spans="1:15" x14ac:dyDescent="0.25">
      <c r="A403" s="7"/>
      <c r="B403" s="7"/>
      <c r="C403" s="7"/>
      <c r="D403" s="7"/>
      <c r="E403" s="11">
        <v>401</v>
      </c>
      <c r="F403" s="8"/>
      <c r="G403" s="8"/>
      <c r="H403" s="9"/>
      <c r="I403" s="10"/>
      <c r="J403" s="9"/>
      <c r="K403" s="10"/>
      <c r="L403" s="8"/>
      <c r="M403" s="8"/>
      <c r="N403" s="10"/>
      <c r="O403" s="10"/>
    </row>
    <row r="404" spans="1:15" x14ac:dyDescent="0.25">
      <c r="A404" s="7"/>
      <c r="B404" s="7"/>
      <c r="C404" s="7"/>
      <c r="D404" s="7"/>
      <c r="E404" s="11">
        <v>402</v>
      </c>
      <c r="F404" s="8"/>
      <c r="G404" s="8"/>
      <c r="H404" s="9"/>
      <c r="I404" s="10"/>
      <c r="J404" s="9"/>
      <c r="K404" s="10"/>
      <c r="L404" s="8"/>
      <c r="M404" s="8"/>
      <c r="N404" s="10"/>
      <c r="O404" s="10"/>
    </row>
    <row r="405" spans="1:15" x14ac:dyDescent="0.25">
      <c r="A405" s="7"/>
      <c r="B405" s="7"/>
      <c r="C405" s="7"/>
      <c r="D405" s="7"/>
      <c r="E405" s="11">
        <v>403</v>
      </c>
      <c r="F405" s="8"/>
      <c r="G405" s="8"/>
      <c r="H405" s="9"/>
      <c r="I405" s="10"/>
      <c r="J405" s="9"/>
      <c r="K405" s="10"/>
      <c r="L405" s="8"/>
      <c r="M405" s="8"/>
      <c r="N405" s="10"/>
      <c r="O405" s="10"/>
    </row>
    <row r="406" spans="1:15" x14ac:dyDescent="0.25">
      <c r="A406" s="7"/>
      <c r="B406" s="7"/>
      <c r="C406" s="7"/>
      <c r="D406" s="7"/>
      <c r="E406" s="11">
        <v>404</v>
      </c>
      <c r="F406" s="8"/>
      <c r="G406" s="8"/>
      <c r="H406" s="9"/>
      <c r="I406" s="10"/>
      <c r="J406" s="9"/>
      <c r="K406" s="10"/>
      <c r="L406" s="8"/>
      <c r="M406" s="8"/>
      <c r="N406" s="10"/>
      <c r="O406" s="10"/>
    </row>
    <row r="407" spans="1:15" x14ac:dyDescent="0.25">
      <c r="A407" s="7"/>
      <c r="B407" s="7"/>
      <c r="C407" s="7"/>
      <c r="D407" s="7"/>
      <c r="E407" s="11">
        <v>405</v>
      </c>
      <c r="F407" s="8"/>
      <c r="G407" s="8"/>
      <c r="H407" s="9"/>
      <c r="I407" s="10"/>
      <c r="J407" s="9"/>
      <c r="K407" s="10"/>
      <c r="L407" s="8"/>
      <c r="M407" s="8"/>
      <c r="N407" s="10"/>
      <c r="O407" s="10"/>
    </row>
    <row r="408" spans="1:15" x14ac:dyDescent="0.25">
      <c r="A408" s="7"/>
      <c r="B408" s="7"/>
      <c r="C408" s="7"/>
      <c r="D408" s="7"/>
      <c r="E408" s="11">
        <v>406</v>
      </c>
      <c r="F408" s="8"/>
      <c r="G408" s="8"/>
      <c r="H408" s="9"/>
      <c r="I408" s="10"/>
      <c r="J408" s="9"/>
      <c r="K408" s="10"/>
      <c r="L408" s="8"/>
      <c r="M408" s="8"/>
      <c r="N408" s="10"/>
      <c r="O408" s="10"/>
    </row>
    <row r="409" spans="1:15" x14ac:dyDescent="0.25">
      <c r="A409" s="7"/>
      <c r="B409" s="7"/>
      <c r="C409" s="7"/>
      <c r="D409" s="7"/>
      <c r="E409" s="11">
        <v>407</v>
      </c>
      <c r="F409" s="8"/>
      <c r="G409" s="8"/>
      <c r="H409" s="9"/>
      <c r="I409" s="10"/>
      <c r="J409" s="9"/>
      <c r="K409" s="10"/>
      <c r="L409" s="8"/>
      <c r="M409" s="8"/>
      <c r="N409" s="10"/>
      <c r="O409" s="10"/>
    </row>
    <row r="410" spans="1:15" x14ac:dyDescent="0.25">
      <c r="A410" s="7"/>
      <c r="B410" s="7"/>
      <c r="C410" s="7"/>
      <c r="D410" s="7"/>
      <c r="E410" s="11">
        <v>408</v>
      </c>
      <c r="F410" s="8"/>
      <c r="G410" s="8"/>
      <c r="H410" s="9"/>
      <c r="I410" s="10"/>
      <c r="J410" s="9"/>
      <c r="K410" s="10"/>
      <c r="L410" s="8"/>
      <c r="M410" s="8"/>
      <c r="N410" s="10"/>
      <c r="O410" s="10"/>
    </row>
    <row r="411" spans="1:15" x14ac:dyDescent="0.25">
      <c r="A411" s="7"/>
      <c r="B411" s="7"/>
      <c r="C411" s="7"/>
      <c r="D411" s="7"/>
      <c r="E411" s="11">
        <v>409</v>
      </c>
      <c r="F411" s="8"/>
      <c r="G411" s="8"/>
      <c r="H411" s="9"/>
      <c r="I411" s="10"/>
      <c r="J411" s="9"/>
      <c r="K411" s="10"/>
      <c r="L411" s="8"/>
      <c r="M411" s="8"/>
      <c r="N411" s="10"/>
      <c r="O411" s="10"/>
    </row>
    <row r="412" spans="1:15" x14ac:dyDescent="0.25">
      <c r="A412" s="7"/>
      <c r="B412" s="7"/>
      <c r="C412" s="7"/>
      <c r="D412" s="7"/>
      <c r="E412" s="11">
        <v>410</v>
      </c>
      <c r="F412" s="8"/>
      <c r="G412" s="8"/>
      <c r="H412" s="9"/>
      <c r="I412" s="10"/>
      <c r="J412" s="9"/>
      <c r="K412" s="10"/>
      <c r="L412" s="8"/>
      <c r="M412" s="8"/>
      <c r="N412" s="10"/>
      <c r="O412" s="10"/>
    </row>
    <row r="413" spans="1:15" x14ac:dyDescent="0.25">
      <c r="A413" s="7"/>
      <c r="B413" s="7"/>
      <c r="C413" s="7"/>
      <c r="D413" s="7"/>
      <c r="E413" s="11">
        <v>411</v>
      </c>
      <c r="F413" s="8"/>
      <c r="G413" s="8"/>
      <c r="H413" s="9"/>
      <c r="I413" s="10"/>
      <c r="J413" s="9"/>
      <c r="K413" s="10"/>
      <c r="L413" s="8"/>
      <c r="M413" s="8"/>
      <c r="N413" s="10"/>
      <c r="O413" s="10"/>
    </row>
    <row r="414" spans="1:15" x14ac:dyDescent="0.25">
      <c r="A414" s="7"/>
      <c r="B414" s="7"/>
      <c r="C414" s="7"/>
      <c r="D414" s="7"/>
      <c r="E414" s="11">
        <v>412</v>
      </c>
      <c r="F414" s="8"/>
      <c r="G414" s="8"/>
      <c r="H414" s="9"/>
      <c r="I414" s="10"/>
      <c r="J414" s="9"/>
      <c r="K414" s="10"/>
      <c r="L414" s="8"/>
      <c r="M414" s="8"/>
      <c r="N414" s="10"/>
      <c r="O414" s="10"/>
    </row>
    <row r="415" spans="1:15" x14ac:dyDescent="0.25">
      <c r="A415" s="7"/>
      <c r="B415" s="7"/>
      <c r="C415" s="7"/>
      <c r="D415" s="7"/>
      <c r="E415" s="11">
        <v>413</v>
      </c>
      <c r="F415" s="8"/>
      <c r="G415" s="8"/>
      <c r="H415" s="9"/>
      <c r="I415" s="10"/>
      <c r="J415" s="9"/>
      <c r="K415" s="10"/>
      <c r="L415" s="8"/>
      <c r="M415" s="8"/>
      <c r="N415" s="10"/>
      <c r="O415" s="10"/>
    </row>
    <row r="416" spans="1:15" x14ac:dyDescent="0.25">
      <c r="A416" s="7"/>
      <c r="B416" s="7"/>
      <c r="C416" s="7"/>
      <c r="D416" s="7"/>
      <c r="E416" s="11">
        <v>414</v>
      </c>
      <c r="F416" s="8"/>
      <c r="G416" s="8"/>
      <c r="H416" s="9"/>
      <c r="I416" s="10"/>
      <c r="J416" s="9"/>
      <c r="K416" s="10"/>
      <c r="L416" s="8"/>
      <c r="M416" s="8"/>
      <c r="N416" s="10"/>
      <c r="O416" s="10"/>
    </row>
    <row r="417" spans="1:15" x14ac:dyDescent="0.25">
      <c r="A417" s="7"/>
      <c r="B417" s="7"/>
      <c r="C417" s="7"/>
      <c r="D417" s="7"/>
      <c r="E417" s="11">
        <v>415</v>
      </c>
      <c r="F417" s="8"/>
      <c r="G417" s="8"/>
      <c r="H417" s="9"/>
      <c r="I417" s="10"/>
      <c r="J417" s="9"/>
      <c r="K417" s="10"/>
      <c r="L417" s="8"/>
      <c r="M417" s="8"/>
      <c r="N417" s="10"/>
      <c r="O417" s="10"/>
    </row>
    <row r="418" spans="1:15" x14ac:dyDescent="0.25">
      <c r="A418" s="7"/>
      <c r="B418" s="7"/>
      <c r="C418" s="7"/>
      <c r="D418" s="7"/>
      <c r="E418" s="11">
        <v>416</v>
      </c>
      <c r="F418" s="8"/>
      <c r="G418" s="8"/>
      <c r="H418" s="9"/>
      <c r="I418" s="10"/>
      <c r="J418" s="9"/>
      <c r="K418" s="10"/>
      <c r="L418" s="8"/>
      <c r="M418" s="8"/>
      <c r="N418" s="10"/>
      <c r="O418" s="10"/>
    </row>
    <row r="419" spans="1:15" x14ac:dyDescent="0.25">
      <c r="A419" s="7"/>
      <c r="B419" s="7"/>
      <c r="C419" s="7"/>
      <c r="D419" s="7"/>
      <c r="E419" s="11">
        <v>417</v>
      </c>
      <c r="F419" s="8"/>
      <c r="G419" s="8"/>
      <c r="H419" s="9"/>
      <c r="I419" s="10"/>
      <c r="J419" s="9"/>
      <c r="K419" s="10"/>
      <c r="L419" s="8"/>
      <c r="M419" s="8"/>
      <c r="N419" s="10"/>
      <c r="O419" s="10"/>
    </row>
    <row r="420" spans="1:15" x14ac:dyDescent="0.25">
      <c r="A420" s="7"/>
      <c r="B420" s="7"/>
      <c r="C420" s="7"/>
      <c r="D420" s="7"/>
      <c r="E420" s="11">
        <v>418</v>
      </c>
      <c r="F420" s="8"/>
      <c r="G420" s="8"/>
      <c r="H420" s="9"/>
      <c r="I420" s="10"/>
      <c r="J420" s="9"/>
      <c r="K420" s="10"/>
      <c r="L420" s="8"/>
      <c r="M420" s="8"/>
      <c r="N420" s="10"/>
      <c r="O420" s="10"/>
    </row>
    <row r="421" spans="1:15" x14ac:dyDescent="0.25">
      <c r="A421" s="7"/>
      <c r="B421" s="7"/>
      <c r="C421" s="7"/>
      <c r="D421" s="7"/>
      <c r="E421" s="11">
        <v>419</v>
      </c>
      <c r="F421" s="8"/>
      <c r="G421" s="8"/>
      <c r="H421" s="9"/>
      <c r="I421" s="10"/>
      <c r="J421" s="9"/>
      <c r="K421" s="10"/>
      <c r="L421" s="8"/>
      <c r="M421" s="8"/>
      <c r="N421" s="10"/>
      <c r="O421" s="10"/>
    </row>
    <row r="422" spans="1:15" x14ac:dyDescent="0.25">
      <c r="A422" s="7"/>
      <c r="B422" s="7"/>
      <c r="C422" s="7"/>
      <c r="D422" s="7"/>
      <c r="E422" s="11">
        <v>420</v>
      </c>
      <c r="F422" s="8"/>
      <c r="G422" s="8"/>
      <c r="H422" s="9"/>
      <c r="I422" s="10"/>
      <c r="J422" s="9"/>
      <c r="K422" s="10"/>
      <c r="L422" s="8"/>
      <c r="M422" s="8"/>
      <c r="N422" s="10"/>
      <c r="O422" s="10"/>
    </row>
    <row r="423" spans="1:15" x14ac:dyDescent="0.25">
      <c r="A423" s="7"/>
      <c r="B423" s="7"/>
      <c r="C423" s="7"/>
      <c r="D423" s="7"/>
      <c r="E423" s="11">
        <v>421</v>
      </c>
      <c r="F423" s="8"/>
      <c r="G423" s="8"/>
      <c r="H423" s="9"/>
      <c r="I423" s="10"/>
      <c r="J423" s="9"/>
      <c r="K423" s="10"/>
      <c r="L423" s="8"/>
      <c r="M423" s="8"/>
      <c r="N423" s="10"/>
      <c r="O423" s="10"/>
    </row>
    <row r="424" spans="1:15" x14ac:dyDescent="0.25">
      <c r="A424" s="7"/>
      <c r="B424" s="7"/>
      <c r="C424" s="7"/>
      <c r="D424" s="7"/>
      <c r="E424" s="11">
        <v>422</v>
      </c>
      <c r="F424" s="8"/>
      <c r="G424" s="8"/>
      <c r="H424" s="9"/>
      <c r="I424" s="10"/>
      <c r="J424" s="9"/>
      <c r="K424" s="10"/>
      <c r="L424" s="8"/>
      <c r="M424" s="8"/>
      <c r="N424" s="10"/>
      <c r="O424" s="10"/>
    </row>
    <row r="425" spans="1:15" x14ac:dyDescent="0.25">
      <c r="A425" s="7"/>
      <c r="B425" s="7"/>
      <c r="C425" s="7"/>
      <c r="D425" s="7"/>
      <c r="E425" s="11">
        <v>423</v>
      </c>
      <c r="F425" s="8"/>
      <c r="G425" s="8"/>
      <c r="H425" s="9"/>
      <c r="I425" s="10"/>
      <c r="J425" s="9"/>
      <c r="K425" s="10"/>
      <c r="L425" s="8"/>
      <c r="M425" s="8"/>
      <c r="N425" s="10"/>
      <c r="O425" s="10"/>
    </row>
    <row r="426" spans="1:15" x14ac:dyDescent="0.25">
      <c r="A426" s="7"/>
      <c r="B426" s="7"/>
      <c r="C426" s="7"/>
      <c r="D426" s="7"/>
      <c r="E426" s="11">
        <v>424</v>
      </c>
      <c r="F426" s="8"/>
      <c r="G426" s="8"/>
      <c r="H426" s="9"/>
      <c r="I426" s="10"/>
      <c r="J426" s="9"/>
      <c r="K426" s="10"/>
      <c r="L426" s="8"/>
      <c r="M426" s="8"/>
      <c r="N426" s="10"/>
      <c r="O426" s="10"/>
    </row>
    <row r="427" spans="1:15" x14ac:dyDescent="0.25">
      <c r="A427" s="7"/>
      <c r="B427" s="7"/>
      <c r="C427" s="7"/>
      <c r="D427" s="7"/>
      <c r="E427" s="11">
        <v>425</v>
      </c>
      <c r="F427" s="8"/>
      <c r="G427" s="8"/>
      <c r="H427" s="9"/>
      <c r="I427" s="10"/>
      <c r="J427" s="9"/>
      <c r="K427" s="10"/>
      <c r="L427" s="8"/>
      <c r="M427" s="8"/>
      <c r="N427" s="10"/>
      <c r="O427" s="10"/>
    </row>
    <row r="428" spans="1:15" x14ac:dyDescent="0.25">
      <c r="A428" s="7"/>
      <c r="B428" s="7"/>
      <c r="C428" s="7"/>
      <c r="D428" s="7"/>
      <c r="E428" s="11">
        <v>426</v>
      </c>
      <c r="F428" s="8"/>
      <c r="G428" s="8"/>
      <c r="H428" s="9"/>
      <c r="I428" s="10"/>
      <c r="J428" s="9"/>
      <c r="K428" s="10"/>
      <c r="L428" s="8"/>
      <c r="M428" s="8"/>
      <c r="N428" s="10"/>
      <c r="O428" s="10"/>
    </row>
    <row r="429" spans="1:15" x14ac:dyDescent="0.25">
      <c r="A429" s="7"/>
      <c r="B429" s="7"/>
      <c r="C429" s="7"/>
      <c r="D429" s="7"/>
      <c r="E429" s="11">
        <v>427</v>
      </c>
      <c r="F429" s="8"/>
      <c r="G429" s="8"/>
      <c r="H429" s="9"/>
      <c r="I429" s="10"/>
      <c r="J429" s="9"/>
      <c r="K429" s="10"/>
      <c r="L429" s="8"/>
      <c r="M429" s="8"/>
      <c r="N429" s="10"/>
      <c r="O429" s="10"/>
    </row>
    <row r="430" spans="1:15" x14ac:dyDescent="0.25">
      <c r="A430" s="7"/>
      <c r="B430" s="7"/>
      <c r="C430" s="7"/>
      <c r="D430" s="7"/>
      <c r="E430" s="11">
        <v>428</v>
      </c>
      <c r="F430" s="8"/>
      <c r="G430" s="8"/>
      <c r="H430" s="9"/>
      <c r="I430" s="10"/>
      <c r="J430" s="9"/>
      <c r="K430" s="10"/>
      <c r="L430" s="8"/>
      <c r="M430" s="8"/>
      <c r="N430" s="10"/>
      <c r="O430" s="10"/>
    </row>
    <row r="431" spans="1:15" x14ac:dyDescent="0.25">
      <c r="A431" s="7"/>
      <c r="B431" s="7"/>
      <c r="C431" s="7"/>
      <c r="D431" s="7"/>
      <c r="E431" s="11">
        <v>429</v>
      </c>
      <c r="F431" s="8"/>
      <c r="G431" s="8"/>
      <c r="H431" s="9"/>
      <c r="I431" s="10"/>
      <c r="J431" s="9"/>
      <c r="K431" s="10"/>
      <c r="L431" s="8"/>
      <c r="M431" s="8"/>
      <c r="N431" s="10"/>
      <c r="O431" s="10"/>
    </row>
    <row r="432" spans="1:15" x14ac:dyDescent="0.25">
      <c r="A432" s="7"/>
      <c r="B432" s="7"/>
      <c r="C432" s="7"/>
      <c r="D432" s="7"/>
      <c r="E432" s="11">
        <v>430</v>
      </c>
      <c r="F432" s="8"/>
      <c r="G432" s="8"/>
      <c r="H432" s="9"/>
      <c r="I432" s="10"/>
      <c r="J432" s="9"/>
      <c r="K432" s="10"/>
      <c r="L432" s="8"/>
      <c r="M432" s="8"/>
      <c r="N432" s="10"/>
      <c r="O432" s="10"/>
    </row>
    <row r="433" spans="1:15" x14ac:dyDescent="0.25">
      <c r="A433" s="7"/>
      <c r="B433" s="7"/>
      <c r="C433" s="7"/>
      <c r="D433" s="7"/>
      <c r="E433" s="11">
        <v>431</v>
      </c>
      <c r="F433" s="8"/>
      <c r="G433" s="8"/>
      <c r="H433" s="9"/>
      <c r="I433" s="10"/>
      <c r="J433" s="9"/>
      <c r="K433" s="10"/>
      <c r="L433" s="8"/>
      <c r="M433" s="8"/>
      <c r="N433" s="10"/>
      <c r="O433" s="10"/>
    </row>
    <row r="434" spans="1:15" x14ac:dyDescent="0.25">
      <c r="A434" s="7"/>
      <c r="B434" s="7"/>
      <c r="C434" s="7"/>
      <c r="D434" s="7"/>
      <c r="E434" s="11">
        <v>432</v>
      </c>
      <c r="F434" s="8"/>
      <c r="G434" s="8"/>
      <c r="H434" s="9"/>
      <c r="I434" s="10"/>
      <c r="J434" s="9"/>
      <c r="K434" s="10"/>
      <c r="L434" s="8"/>
      <c r="M434" s="8"/>
      <c r="N434" s="10"/>
      <c r="O434" s="10"/>
    </row>
    <row r="435" spans="1:15" x14ac:dyDescent="0.25">
      <c r="A435" s="7"/>
      <c r="B435" s="7"/>
      <c r="C435" s="7"/>
      <c r="D435" s="7"/>
      <c r="E435" s="11">
        <v>433</v>
      </c>
      <c r="F435" s="8"/>
      <c r="G435" s="8"/>
      <c r="H435" s="9"/>
      <c r="I435" s="10"/>
      <c r="J435" s="9"/>
      <c r="K435" s="10"/>
      <c r="L435" s="8"/>
      <c r="M435" s="8"/>
      <c r="N435" s="10"/>
      <c r="O435" s="10"/>
    </row>
    <row r="436" spans="1:15" x14ac:dyDescent="0.25">
      <c r="A436" s="7"/>
      <c r="B436" s="7"/>
      <c r="C436" s="7"/>
      <c r="D436" s="7"/>
      <c r="E436" s="11">
        <v>434</v>
      </c>
      <c r="F436" s="8"/>
      <c r="G436" s="8"/>
      <c r="H436" s="9"/>
      <c r="I436" s="10"/>
      <c r="J436" s="9"/>
      <c r="K436" s="10"/>
      <c r="L436" s="8"/>
      <c r="M436" s="8"/>
      <c r="N436" s="10"/>
      <c r="O436" s="10"/>
    </row>
    <row r="437" spans="1:15" x14ac:dyDescent="0.25">
      <c r="A437" s="7"/>
      <c r="B437" s="7"/>
      <c r="C437" s="7"/>
      <c r="D437" s="7"/>
      <c r="E437" s="11">
        <v>435</v>
      </c>
      <c r="F437" s="8"/>
      <c r="G437" s="8"/>
      <c r="H437" s="9"/>
      <c r="I437" s="10"/>
      <c r="J437" s="9"/>
      <c r="K437" s="10"/>
      <c r="L437" s="8"/>
      <c r="M437" s="8"/>
      <c r="N437" s="10"/>
      <c r="O437" s="10"/>
    </row>
    <row r="438" spans="1:15" x14ac:dyDescent="0.25">
      <c r="A438" s="7"/>
      <c r="B438" s="7"/>
      <c r="C438" s="7"/>
      <c r="D438" s="7"/>
      <c r="E438" s="11">
        <v>436</v>
      </c>
      <c r="F438" s="8"/>
      <c r="G438" s="8"/>
      <c r="H438" s="9"/>
      <c r="I438" s="10"/>
      <c r="J438" s="9"/>
      <c r="K438" s="10"/>
      <c r="L438" s="8"/>
      <c r="M438" s="8"/>
      <c r="N438" s="10"/>
      <c r="O438" s="10"/>
    </row>
    <row r="439" spans="1:15" x14ac:dyDescent="0.25">
      <c r="A439" s="7"/>
      <c r="B439" s="7"/>
      <c r="C439" s="7"/>
      <c r="D439" s="7"/>
      <c r="E439" s="11">
        <v>437</v>
      </c>
      <c r="F439" s="8"/>
      <c r="G439" s="8"/>
      <c r="H439" s="9"/>
      <c r="I439" s="10"/>
      <c r="J439" s="9"/>
      <c r="K439" s="10"/>
      <c r="L439" s="8"/>
      <c r="M439" s="8"/>
      <c r="N439" s="10"/>
      <c r="O439" s="10"/>
    </row>
    <row r="440" spans="1:15" x14ac:dyDescent="0.25">
      <c r="A440" s="7"/>
      <c r="B440" s="7"/>
      <c r="C440" s="7"/>
      <c r="D440" s="7"/>
      <c r="E440" s="11">
        <v>438</v>
      </c>
      <c r="F440" s="8"/>
      <c r="G440" s="8"/>
      <c r="H440" s="9"/>
      <c r="I440" s="10"/>
      <c r="J440" s="9"/>
      <c r="K440" s="10"/>
      <c r="L440" s="8"/>
      <c r="M440" s="8"/>
      <c r="N440" s="10"/>
      <c r="O440" s="10"/>
    </row>
    <row r="441" spans="1:15" x14ac:dyDescent="0.25">
      <c r="A441" s="7"/>
      <c r="B441" s="7"/>
      <c r="C441" s="7"/>
      <c r="D441" s="7"/>
      <c r="E441" s="11">
        <v>439</v>
      </c>
      <c r="F441" s="8"/>
      <c r="G441" s="8"/>
      <c r="H441" s="9"/>
      <c r="I441" s="10"/>
      <c r="J441" s="9"/>
      <c r="K441" s="10"/>
      <c r="L441" s="8"/>
      <c r="M441" s="8"/>
      <c r="N441" s="10"/>
      <c r="O441" s="10"/>
    </row>
    <row r="442" spans="1:15" x14ac:dyDescent="0.25">
      <c r="A442" s="7"/>
      <c r="B442" s="7"/>
      <c r="C442" s="7"/>
      <c r="D442" s="7"/>
      <c r="E442" s="11">
        <v>440</v>
      </c>
      <c r="F442" s="8"/>
      <c r="G442" s="8"/>
      <c r="H442" s="9"/>
      <c r="I442" s="10"/>
      <c r="J442" s="9"/>
      <c r="K442" s="10"/>
      <c r="L442" s="8"/>
      <c r="M442" s="8"/>
      <c r="N442" s="10"/>
      <c r="O442" s="10"/>
    </row>
    <row r="443" spans="1:15" x14ac:dyDescent="0.25">
      <c r="A443" s="7"/>
      <c r="B443" s="7"/>
      <c r="C443" s="7"/>
      <c r="D443" s="7"/>
      <c r="E443" s="11">
        <v>441</v>
      </c>
      <c r="F443" s="8"/>
      <c r="G443" s="8"/>
      <c r="H443" s="9"/>
      <c r="I443" s="10"/>
      <c r="J443" s="9"/>
      <c r="K443" s="10"/>
      <c r="L443" s="8"/>
      <c r="M443" s="8"/>
      <c r="N443" s="10"/>
      <c r="O443" s="10"/>
    </row>
    <row r="444" spans="1:15" x14ac:dyDescent="0.25">
      <c r="A444" s="7"/>
      <c r="B444" s="7"/>
      <c r="C444" s="7"/>
      <c r="D444" s="7"/>
      <c r="E444" s="11">
        <v>442</v>
      </c>
      <c r="F444" s="8"/>
      <c r="G444" s="8"/>
      <c r="H444" s="9"/>
      <c r="I444" s="10"/>
      <c r="J444" s="9"/>
      <c r="K444" s="10"/>
      <c r="L444" s="8"/>
      <c r="M444" s="8"/>
      <c r="N444" s="10"/>
      <c r="O444" s="10"/>
    </row>
    <row r="445" spans="1:15" x14ac:dyDescent="0.25">
      <c r="A445" s="7"/>
      <c r="B445" s="7"/>
      <c r="C445" s="7"/>
      <c r="D445" s="7"/>
      <c r="E445" s="11">
        <v>443</v>
      </c>
      <c r="F445" s="8"/>
      <c r="G445" s="8"/>
      <c r="H445" s="9"/>
      <c r="I445" s="10"/>
      <c r="J445" s="9"/>
      <c r="K445" s="10"/>
      <c r="L445" s="8"/>
      <c r="M445" s="8"/>
      <c r="N445" s="10"/>
      <c r="O445" s="10"/>
    </row>
    <row r="446" spans="1:15" x14ac:dyDescent="0.25">
      <c r="A446" s="7"/>
      <c r="B446" s="7"/>
      <c r="C446" s="7"/>
      <c r="D446" s="7"/>
      <c r="E446" s="11">
        <v>444</v>
      </c>
      <c r="F446" s="8"/>
      <c r="G446" s="8"/>
      <c r="H446" s="9"/>
      <c r="I446" s="10"/>
      <c r="J446" s="9"/>
      <c r="K446" s="10"/>
      <c r="L446" s="8"/>
      <c r="M446" s="8"/>
      <c r="N446" s="10"/>
      <c r="O446" s="10"/>
    </row>
    <row r="447" spans="1:15" x14ac:dyDescent="0.25">
      <c r="A447" s="7"/>
      <c r="B447" s="7"/>
      <c r="C447" s="7"/>
      <c r="D447" s="7"/>
      <c r="E447" s="11">
        <v>445</v>
      </c>
      <c r="F447" s="8"/>
      <c r="G447" s="8"/>
      <c r="H447" s="9"/>
      <c r="I447" s="10"/>
      <c r="J447" s="9"/>
      <c r="K447" s="10"/>
      <c r="L447" s="8"/>
      <c r="M447" s="8"/>
      <c r="N447" s="10"/>
      <c r="O447" s="10"/>
    </row>
    <row r="448" spans="1:15" x14ac:dyDescent="0.25">
      <c r="A448" s="7"/>
      <c r="B448" s="7"/>
      <c r="C448" s="7"/>
      <c r="D448" s="7"/>
      <c r="E448" s="11">
        <v>446</v>
      </c>
      <c r="F448" s="8"/>
      <c r="G448" s="8"/>
      <c r="H448" s="9"/>
      <c r="I448" s="10"/>
      <c r="J448" s="9"/>
      <c r="K448" s="10"/>
      <c r="L448" s="8"/>
      <c r="M448" s="8"/>
      <c r="N448" s="10"/>
      <c r="O448" s="10"/>
    </row>
    <row r="449" spans="1:15" x14ac:dyDescent="0.25">
      <c r="A449" s="7"/>
      <c r="B449" s="7"/>
      <c r="C449" s="7"/>
      <c r="D449" s="7"/>
      <c r="E449" s="11">
        <v>447</v>
      </c>
      <c r="F449" s="8"/>
      <c r="G449" s="8"/>
      <c r="H449" s="9"/>
      <c r="I449" s="10"/>
      <c r="J449" s="9"/>
      <c r="K449" s="10"/>
      <c r="L449" s="8"/>
      <c r="M449" s="8"/>
      <c r="N449" s="10"/>
      <c r="O449" s="10"/>
    </row>
    <row r="450" spans="1:15" x14ac:dyDescent="0.25">
      <c r="A450" s="7"/>
      <c r="B450" s="7"/>
      <c r="C450" s="7"/>
      <c r="D450" s="7"/>
      <c r="E450" s="11">
        <v>448</v>
      </c>
      <c r="F450" s="8"/>
      <c r="G450" s="8"/>
      <c r="H450" s="9"/>
      <c r="I450" s="10"/>
      <c r="J450" s="9"/>
      <c r="K450" s="10"/>
      <c r="L450" s="8"/>
      <c r="M450" s="8"/>
      <c r="N450" s="10"/>
      <c r="O450" s="10"/>
    </row>
    <row r="451" spans="1:15" x14ac:dyDescent="0.25">
      <c r="A451" s="7"/>
      <c r="B451" s="7"/>
      <c r="C451" s="7"/>
      <c r="D451" s="7"/>
      <c r="E451" s="11">
        <v>449</v>
      </c>
      <c r="F451" s="8"/>
      <c r="G451" s="8"/>
      <c r="H451" s="9"/>
      <c r="I451" s="10"/>
      <c r="J451" s="9"/>
      <c r="K451" s="10"/>
      <c r="L451" s="8"/>
      <c r="M451" s="8"/>
      <c r="N451" s="10"/>
      <c r="O451" s="10"/>
    </row>
    <row r="452" spans="1:15" x14ac:dyDescent="0.25">
      <c r="A452" s="7"/>
      <c r="B452" s="7"/>
      <c r="C452" s="7"/>
      <c r="D452" s="7"/>
      <c r="E452" s="11">
        <v>450</v>
      </c>
      <c r="F452" s="8"/>
      <c r="G452" s="8"/>
      <c r="H452" s="9"/>
      <c r="I452" s="10"/>
      <c r="J452" s="9"/>
      <c r="K452" s="10"/>
      <c r="L452" s="8"/>
      <c r="M452" s="8"/>
      <c r="N452" s="10"/>
      <c r="O452" s="10"/>
    </row>
    <row r="453" spans="1:15" x14ac:dyDescent="0.25">
      <c r="A453" s="7"/>
      <c r="B453" s="7"/>
      <c r="C453" s="7"/>
      <c r="D453" s="7"/>
      <c r="E453" s="11">
        <v>451</v>
      </c>
      <c r="F453" s="8"/>
      <c r="G453" s="8"/>
      <c r="H453" s="9"/>
      <c r="I453" s="10"/>
      <c r="J453" s="9"/>
      <c r="K453" s="10"/>
      <c r="L453" s="8"/>
      <c r="M453" s="8"/>
      <c r="N453" s="10"/>
      <c r="O453" s="10"/>
    </row>
    <row r="454" spans="1:15" x14ac:dyDescent="0.25">
      <c r="A454" s="7"/>
      <c r="B454" s="7"/>
      <c r="C454" s="7"/>
      <c r="D454" s="7"/>
      <c r="E454" s="11">
        <v>452</v>
      </c>
      <c r="F454" s="8"/>
      <c r="G454" s="8"/>
      <c r="H454" s="9"/>
      <c r="I454" s="10"/>
      <c r="J454" s="9"/>
      <c r="K454" s="10"/>
      <c r="L454" s="8"/>
      <c r="M454" s="8"/>
      <c r="N454" s="10"/>
      <c r="O454" s="10"/>
    </row>
    <row r="455" spans="1:15" x14ac:dyDescent="0.25">
      <c r="A455" s="7"/>
      <c r="B455" s="7"/>
      <c r="C455" s="7"/>
      <c r="D455" s="7"/>
      <c r="E455" s="11">
        <v>453</v>
      </c>
      <c r="F455" s="8"/>
      <c r="G455" s="8"/>
      <c r="H455" s="9"/>
      <c r="I455" s="10"/>
      <c r="J455" s="9"/>
      <c r="K455" s="10"/>
      <c r="L455" s="8"/>
      <c r="M455" s="8"/>
      <c r="N455" s="10"/>
      <c r="O455" s="10"/>
    </row>
    <row r="456" spans="1:15" x14ac:dyDescent="0.25">
      <c r="A456" s="7"/>
      <c r="B456" s="7"/>
      <c r="C456" s="7"/>
      <c r="D456" s="7"/>
      <c r="E456" s="11">
        <v>454</v>
      </c>
      <c r="F456" s="8"/>
      <c r="G456" s="8"/>
      <c r="H456" s="9"/>
      <c r="I456" s="10"/>
      <c r="J456" s="9"/>
      <c r="K456" s="10"/>
      <c r="L456" s="8"/>
      <c r="M456" s="8"/>
      <c r="N456" s="10"/>
      <c r="O456" s="10"/>
    </row>
    <row r="457" spans="1:15" x14ac:dyDescent="0.25">
      <c r="A457" s="7"/>
      <c r="B457" s="7"/>
      <c r="C457" s="7"/>
      <c r="D457" s="7"/>
      <c r="E457" s="11">
        <v>455</v>
      </c>
      <c r="F457" s="8"/>
      <c r="G457" s="8"/>
      <c r="H457" s="9"/>
      <c r="I457" s="10"/>
      <c r="J457" s="9"/>
      <c r="K457" s="10"/>
      <c r="L457" s="8"/>
      <c r="M457" s="8"/>
      <c r="N457" s="10"/>
      <c r="O457" s="10"/>
    </row>
    <row r="458" spans="1:15" x14ac:dyDescent="0.25">
      <c r="A458" s="7"/>
      <c r="B458" s="7"/>
      <c r="C458" s="7"/>
      <c r="D458" s="7"/>
      <c r="E458" s="11">
        <v>456</v>
      </c>
      <c r="F458" s="8"/>
      <c r="G458" s="8"/>
      <c r="H458" s="9"/>
      <c r="I458" s="10"/>
      <c r="J458" s="9"/>
      <c r="K458" s="10"/>
      <c r="L458" s="8"/>
      <c r="M458" s="8"/>
      <c r="N458" s="10"/>
      <c r="O458" s="10"/>
    </row>
    <row r="459" spans="1:15" x14ac:dyDescent="0.25">
      <c r="A459" s="7"/>
      <c r="B459" s="7"/>
      <c r="C459" s="7"/>
      <c r="D459" s="7"/>
      <c r="E459" s="11">
        <v>457</v>
      </c>
      <c r="F459" s="8"/>
      <c r="G459" s="8"/>
      <c r="H459" s="9"/>
      <c r="I459" s="10"/>
      <c r="J459" s="9"/>
      <c r="K459" s="10"/>
      <c r="L459" s="8"/>
      <c r="M459" s="8"/>
      <c r="N459" s="10"/>
      <c r="O459" s="10"/>
    </row>
    <row r="460" spans="1:15" x14ac:dyDescent="0.25">
      <c r="A460" s="7"/>
      <c r="B460" s="7"/>
      <c r="C460" s="7"/>
      <c r="D460" s="7"/>
      <c r="E460" s="11">
        <v>458</v>
      </c>
      <c r="F460" s="8"/>
      <c r="G460" s="8"/>
      <c r="H460" s="9"/>
      <c r="I460" s="10"/>
      <c r="J460" s="9"/>
      <c r="K460" s="10"/>
      <c r="L460" s="8"/>
      <c r="M460" s="8"/>
      <c r="N460" s="10"/>
      <c r="O460" s="10"/>
    </row>
    <row r="461" spans="1:15" x14ac:dyDescent="0.25">
      <c r="A461" s="7"/>
      <c r="B461" s="7"/>
      <c r="C461" s="7"/>
      <c r="D461" s="7"/>
      <c r="E461" s="11">
        <v>459</v>
      </c>
      <c r="F461" s="8"/>
      <c r="G461" s="8"/>
      <c r="H461" s="9"/>
      <c r="I461" s="10"/>
      <c r="J461" s="9"/>
      <c r="K461" s="10"/>
      <c r="L461" s="8"/>
      <c r="M461" s="8"/>
      <c r="N461" s="10"/>
      <c r="O461" s="10"/>
    </row>
    <row r="462" spans="1:15" x14ac:dyDescent="0.25">
      <c r="A462" s="7"/>
      <c r="B462" s="7"/>
      <c r="C462" s="7"/>
      <c r="D462" s="7"/>
      <c r="E462" s="11">
        <v>460</v>
      </c>
      <c r="F462" s="8"/>
      <c r="G462" s="8"/>
      <c r="H462" s="9"/>
      <c r="I462" s="10"/>
      <c r="J462" s="9"/>
      <c r="K462" s="10"/>
      <c r="L462" s="8"/>
      <c r="M462" s="8"/>
      <c r="N462" s="10"/>
      <c r="O462" s="10"/>
    </row>
    <row r="463" spans="1:15" x14ac:dyDescent="0.25">
      <c r="A463" s="7"/>
      <c r="B463" s="7"/>
      <c r="C463" s="7"/>
      <c r="D463" s="7"/>
      <c r="E463" s="11">
        <v>461</v>
      </c>
      <c r="F463" s="8"/>
      <c r="G463" s="8"/>
      <c r="H463" s="9"/>
      <c r="I463" s="10"/>
      <c r="J463" s="9"/>
      <c r="K463" s="10"/>
      <c r="L463" s="8"/>
      <c r="M463" s="8"/>
      <c r="N463" s="10"/>
      <c r="O463" s="10"/>
    </row>
    <row r="464" spans="1:15" x14ac:dyDescent="0.25">
      <c r="A464" s="7"/>
      <c r="B464" s="7"/>
      <c r="C464" s="7"/>
      <c r="D464" s="7"/>
      <c r="E464" s="11">
        <v>462</v>
      </c>
      <c r="F464" s="8"/>
      <c r="G464" s="8"/>
      <c r="H464" s="9"/>
      <c r="I464" s="10"/>
      <c r="J464" s="9"/>
      <c r="K464" s="10"/>
      <c r="L464" s="8"/>
      <c r="M464" s="8"/>
      <c r="N464" s="10"/>
      <c r="O464" s="10"/>
    </row>
    <row r="465" spans="1:15" x14ac:dyDescent="0.25">
      <c r="A465" s="7"/>
      <c r="B465" s="7"/>
      <c r="C465" s="7"/>
      <c r="D465" s="7"/>
      <c r="E465" s="11">
        <v>463</v>
      </c>
      <c r="F465" s="8"/>
      <c r="G465" s="8"/>
      <c r="H465" s="9"/>
      <c r="I465" s="10"/>
      <c r="J465" s="9"/>
      <c r="K465" s="10"/>
      <c r="L465" s="8"/>
      <c r="M465" s="8"/>
      <c r="N465" s="10"/>
      <c r="O465" s="10"/>
    </row>
    <row r="466" spans="1:15" x14ac:dyDescent="0.25">
      <c r="A466" s="7"/>
      <c r="B466" s="7"/>
      <c r="C466" s="7"/>
      <c r="D466" s="7"/>
      <c r="E466" s="11">
        <v>464</v>
      </c>
      <c r="F466" s="8"/>
      <c r="G466" s="8"/>
      <c r="H466" s="9"/>
      <c r="I466" s="10"/>
      <c r="J466" s="9"/>
      <c r="K466" s="10"/>
      <c r="L466" s="8"/>
      <c r="M466" s="8"/>
      <c r="N466" s="10"/>
      <c r="O466" s="10"/>
    </row>
    <row r="467" spans="1:15" x14ac:dyDescent="0.25">
      <c r="A467" s="7"/>
      <c r="B467" s="7"/>
      <c r="C467" s="7"/>
      <c r="D467" s="7"/>
      <c r="E467" s="11">
        <v>465</v>
      </c>
      <c r="F467" s="8"/>
      <c r="G467" s="8"/>
      <c r="H467" s="9"/>
      <c r="I467" s="10"/>
      <c r="J467" s="9"/>
      <c r="K467" s="10"/>
      <c r="L467" s="8"/>
      <c r="M467" s="8"/>
      <c r="N467" s="10"/>
      <c r="O467" s="10"/>
    </row>
    <row r="468" spans="1:15" x14ac:dyDescent="0.25">
      <c r="A468" s="7"/>
      <c r="B468" s="7"/>
      <c r="C468" s="7"/>
      <c r="D468" s="7"/>
      <c r="E468" s="11">
        <v>466</v>
      </c>
      <c r="F468" s="8"/>
      <c r="G468" s="8"/>
      <c r="H468" s="9"/>
      <c r="I468" s="10"/>
      <c r="J468" s="9"/>
      <c r="K468" s="10"/>
      <c r="L468" s="8"/>
      <c r="M468" s="8"/>
      <c r="N468" s="10"/>
      <c r="O468" s="10"/>
    </row>
    <row r="469" spans="1:15" x14ac:dyDescent="0.25">
      <c r="A469" s="7"/>
      <c r="B469" s="7"/>
      <c r="C469" s="7"/>
      <c r="D469" s="7"/>
      <c r="E469" s="11">
        <v>467</v>
      </c>
      <c r="F469" s="8"/>
      <c r="G469" s="8"/>
      <c r="H469" s="9"/>
      <c r="I469" s="10"/>
      <c r="J469" s="9"/>
      <c r="K469" s="10"/>
      <c r="L469" s="8"/>
      <c r="M469" s="8"/>
      <c r="N469" s="10"/>
      <c r="O469" s="10"/>
    </row>
    <row r="470" spans="1:15" x14ac:dyDescent="0.25">
      <c r="A470" s="7"/>
      <c r="B470" s="7"/>
      <c r="C470" s="7"/>
      <c r="D470" s="7"/>
      <c r="E470" s="11">
        <v>468</v>
      </c>
      <c r="F470" s="8"/>
      <c r="G470" s="8"/>
      <c r="H470" s="9"/>
      <c r="I470" s="10"/>
      <c r="J470" s="9"/>
      <c r="K470" s="10"/>
      <c r="L470" s="8"/>
      <c r="M470" s="8"/>
      <c r="N470" s="10"/>
      <c r="O470" s="10"/>
    </row>
    <row r="471" spans="1:15" x14ac:dyDescent="0.25">
      <c r="A471" s="7"/>
      <c r="B471" s="7"/>
      <c r="C471" s="7"/>
      <c r="D471" s="7"/>
      <c r="E471" s="11">
        <v>469</v>
      </c>
      <c r="F471" s="8"/>
      <c r="G471" s="8"/>
      <c r="H471" s="9"/>
      <c r="I471" s="10"/>
      <c r="J471" s="9"/>
      <c r="K471" s="10"/>
      <c r="L471" s="8"/>
      <c r="M471" s="8"/>
      <c r="N471" s="10"/>
      <c r="O471" s="10"/>
    </row>
    <row r="472" spans="1:15" x14ac:dyDescent="0.25">
      <c r="A472" s="7"/>
      <c r="B472" s="7"/>
      <c r="C472" s="7"/>
      <c r="D472" s="7"/>
      <c r="E472" s="11">
        <v>470</v>
      </c>
      <c r="F472" s="8"/>
      <c r="G472" s="8"/>
      <c r="H472" s="9"/>
      <c r="I472" s="10"/>
      <c r="J472" s="9"/>
      <c r="K472" s="10"/>
      <c r="L472" s="8"/>
      <c r="M472" s="8"/>
      <c r="N472" s="10"/>
      <c r="O472" s="10"/>
    </row>
    <row r="473" spans="1:15" x14ac:dyDescent="0.25">
      <c r="A473" s="7"/>
      <c r="B473" s="7"/>
      <c r="C473" s="7"/>
      <c r="D473" s="7"/>
      <c r="E473" s="11">
        <v>471</v>
      </c>
      <c r="F473" s="8"/>
      <c r="G473" s="8"/>
      <c r="H473" s="9"/>
      <c r="I473" s="10"/>
      <c r="J473" s="9"/>
      <c r="K473" s="10"/>
      <c r="L473" s="8"/>
      <c r="M473" s="8"/>
      <c r="N473" s="10"/>
      <c r="O473" s="10"/>
    </row>
    <row r="474" spans="1:15" x14ac:dyDescent="0.25">
      <c r="A474" s="7"/>
      <c r="B474" s="7"/>
      <c r="C474" s="7"/>
      <c r="D474" s="7"/>
      <c r="E474" s="11">
        <v>472</v>
      </c>
      <c r="F474" s="8"/>
      <c r="G474" s="8"/>
      <c r="H474" s="9"/>
      <c r="I474" s="10"/>
      <c r="J474" s="9"/>
      <c r="K474" s="10"/>
      <c r="L474" s="8"/>
      <c r="M474" s="8"/>
      <c r="N474" s="10"/>
      <c r="O474" s="10"/>
    </row>
    <row r="475" spans="1:15" x14ac:dyDescent="0.25">
      <c r="A475" s="7"/>
      <c r="B475" s="7"/>
      <c r="C475" s="7"/>
      <c r="D475" s="7"/>
      <c r="E475" s="11">
        <v>473</v>
      </c>
      <c r="F475" s="8"/>
      <c r="G475" s="8"/>
      <c r="H475" s="9"/>
      <c r="I475" s="10"/>
      <c r="J475" s="9"/>
      <c r="K475" s="10"/>
      <c r="L475" s="8"/>
      <c r="M475" s="8"/>
      <c r="N475" s="10"/>
      <c r="O475" s="10"/>
    </row>
    <row r="476" spans="1:15" x14ac:dyDescent="0.25">
      <c r="A476" s="7"/>
      <c r="B476" s="7"/>
      <c r="C476" s="7"/>
      <c r="D476" s="7"/>
      <c r="E476" s="11">
        <v>474</v>
      </c>
      <c r="F476" s="8"/>
      <c r="G476" s="8"/>
      <c r="H476" s="9"/>
      <c r="I476" s="10"/>
      <c r="J476" s="9"/>
      <c r="K476" s="10"/>
      <c r="L476" s="8"/>
      <c r="M476" s="8"/>
      <c r="N476" s="10"/>
      <c r="O476" s="10"/>
    </row>
    <row r="477" spans="1:15" x14ac:dyDescent="0.25">
      <c r="A477" s="7"/>
      <c r="B477" s="7"/>
      <c r="C477" s="7"/>
      <c r="D477" s="7"/>
      <c r="E477" s="11">
        <v>475</v>
      </c>
      <c r="F477" s="8"/>
      <c r="G477" s="8"/>
      <c r="H477" s="9"/>
      <c r="I477" s="10"/>
      <c r="J477" s="9"/>
      <c r="K477" s="10"/>
      <c r="L477" s="8"/>
      <c r="M477" s="8"/>
      <c r="N477" s="10"/>
      <c r="O477" s="10"/>
    </row>
    <row r="478" spans="1:15" x14ac:dyDescent="0.25">
      <c r="A478" s="7"/>
      <c r="B478" s="7"/>
      <c r="C478" s="7"/>
      <c r="D478" s="7"/>
      <c r="E478" s="11">
        <v>476</v>
      </c>
      <c r="F478" s="8"/>
      <c r="G478" s="8"/>
      <c r="H478" s="9"/>
      <c r="I478" s="10"/>
      <c r="J478" s="9"/>
      <c r="K478" s="10"/>
      <c r="L478" s="8"/>
      <c r="M478" s="8"/>
      <c r="N478" s="10"/>
      <c r="O478" s="10"/>
    </row>
    <row r="479" spans="1:15" x14ac:dyDescent="0.25">
      <c r="A479" s="7"/>
      <c r="B479" s="7"/>
      <c r="C479" s="7"/>
      <c r="D479" s="7"/>
      <c r="E479" s="11">
        <v>477</v>
      </c>
      <c r="F479" s="8"/>
      <c r="G479" s="8"/>
      <c r="H479" s="9"/>
      <c r="I479" s="10"/>
      <c r="J479" s="9"/>
      <c r="K479" s="10"/>
      <c r="L479" s="8"/>
      <c r="M479" s="8"/>
      <c r="N479" s="10"/>
      <c r="O479" s="10"/>
    </row>
    <row r="480" spans="1:15" x14ac:dyDescent="0.25">
      <c r="A480" s="7"/>
      <c r="B480" s="7"/>
      <c r="C480" s="7"/>
      <c r="D480" s="7"/>
      <c r="E480" s="11">
        <v>478</v>
      </c>
      <c r="F480" s="8"/>
      <c r="G480" s="8"/>
      <c r="H480" s="9"/>
      <c r="I480" s="10"/>
      <c r="J480" s="9"/>
      <c r="K480" s="10"/>
      <c r="L480" s="8"/>
      <c r="M480" s="8"/>
      <c r="N480" s="10"/>
      <c r="O480" s="10"/>
    </row>
    <row r="481" spans="1:15" x14ac:dyDescent="0.25">
      <c r="A481" s="7"/>
      <c r="B481" s="7"/>
      <c r="C481" s="7"/>
      <c r="D481" s="7"/>
      <c r="E481" s="11">
        <v>479</v>
      </c>
      <c r="F481" s="8"/>
      <c r="G481" s="8"/>
      <c r="H481" s="9"/>
      <c r="I481" s="10"/>
      <c r="J481" s="9"/>
      <c r="K481" s="10"/>
      <c r="L481" s="8"/>
      <c r="M481" s="8"/>
      <c r="N481" s="10"/>
      <c r="O481" s="10"/>
    </row>
    <row r="482" spans="1:15" x14ac:dyDescent="0.25">
      <c r="A482" s="7"/>
      <c r="B482" s="7"/>
      <c r="C482" s="7"/>
      <c r="D482" s="7"/>
      <c r="E482" s="11">
        <v>480</v>
      </c>
      <c r="F482" s="8"/>
      <c r="G482" s="8"/>
      <c r="H482" s="9"/>
      <c r="I482" s="10"/>
      <c r="J482" s="9"/>
      <c r="K482" s="10"/>
      <c r="L482" s="8"/>
      <c r="M482" s="8"/>
      <c r="N482" s="10"/>
      <c r="O482" s="10"/>
    </row>
    <row r="483" spans="1:15" x14ac:dyDescent="0.25">
      <c r="A483" s="7"/>
      <c r="B483" s="7"/>
      <c r="C483" s="7"/>
      <c r="D483" s="7"/>
      <c r="E483" s="11">
        <v>481</v>
      </c>
      <c r="F483" s="8"/>
      <c r="G483" s="8"/>
      <c r="H483" s="9"/>
      <c r="I483" s="10"/>
      <c r="J483" s="9"/>
      <c r="K483" s="10"/>
      <c r="L483" s="8"/>
      <c r="M483" s="8"/>
      <c r="N483" s="10"/>
      <c r="O483" s="10"/>
    </row>
    <row r="484" spans="1:15" x14ac:dyDescent="0.25">
      <c r="A484" s="7"/>
      <c r="B484" s="7"/>
      <c r="C484" s="7"/>
      <c r="D484" s="7"/>
      <c r="E484" s="11">
        <v>482</v>
      </c>
      <c r="F484" s="8"/>
      <c r="G484" s="8"/>
      <c r="H484" s="9"/>
      <c r="I484" s="10"/>
      <c r="J484" s="9"/>
      <c r="K484" s="10"/>
      <c r="L484" s="8"/>
      <c r="M484" s="8"/>
      <c r="N484" s="10"/>
      <c r="O484" s="10"/>
    </row>
    <row r="485" spans="1:15" x14ac:dyDescent="0.25">
      <c r="A485" s="7"/>
      <c r="B485" s="7"/>
      <c r="C485" s="7"/>
      <c r="D485" s="7"/>
      <c r="E485" s="11">
        <v>483</v>
      </c>
      <c r="F485" s="8"/>
      <c r="G485" s="8"/>
      <c r="H485" s="9"/>
      <c r="I485" s="10"/>
      <c r="J485" s="9"/>
      <c r="K485" s="10"/>
      <c r="L485" s="8"/>
      <c r="M485" s="8"/>
      <c r="N485" s="10"/>
      <c r="O485" s="10"/>
    </row>
    <row r="486" spans="1:15" x14ac:dyDescent="0.25">
      <c r="A486" s="7"/>
      <c r="B486" s="7"/>
      <c r="C486" s="7"/>
      <c r="D486" s="7"/>
      <c r="E486" s="11">
        <v>484</v>
      </c>
      <c r="F486" s="8"/>
      <c r="G486" s="8"/>
      <c r="H486" s="9"/>
      <c r="I486" s="10"/>
      <c r="J486" s="9"/>
      <c r="K486" s="10"/>
      <c r="L486" s="8"/>
      <c r="M486" s="8"/>
      <c r="N486" s="10"/>
      <c r="O486" s="10"/>
    </row>
    <row r="487" spans="1:15" x14ac:dyDescent="0.25">
      <c r="A487" s="7"/>
      <c r="B487" s="7"/>
      <c r="C487" s="7"/>
      <c r="D487" s="7"/>
      <c r="E487" s="11">
        <v>485</v>
      </c>
      <c r="F487" s="8"/>
      <c r="G487" s="8"/>
      <c r="H487" s="9"/>
      <c r="I487" s="10"/>
      <c r="J487" s="9"/>
      <c r="K487" s="10"/>
      <c r="L487" s="8"/>
      <c r="M487" s="8"/>
      <c r="N487" s="10"/>
      <c r="O487" s="10"/>
    </row>
    <row r="488" spans="1:15" x14ac:dyDescent="0.25">
      <c r="A488" s="7"/>
      <c r="B488" s="7"/>
      <c r="C488" s="7"/>
      <c r="D488" s="7"/>
      <c r="E488" s="11">
        <v>486</v>
      </c>
      <c r="F488" s="8"/>
      <c r="G488" s="8"/>
      <c r="H488" s="9"/>
      <c r="I488" s="10"/>
      <c r="J488" s="9"/>
      <c r="K488" s="10"/>
      <c r="L488" s="8"/>
      <c r="M488" s="8"/>
      <c r="N488" s="10"/>
      <c r="O488" s="10"/>
    </row>
    <row r="489" spans="1:15" x14ac:dyDescent="0.25">
      <c r="A489" s="7"/>
      <c r="B489" s="7"/>
      <c r="C489" s="7"/>
      <c r="D489" s="7"/>
      <c r="E489" s="11">
        <v>487</v>
      </c>
      <c r="F489" s="8"/>
      <c r="G489" s="8"/>
      <c r="H489" s="9"/>
      <c r="I489" s="10"/>
      <c r="J489" s="9"/>
      <c r="K489" s="10"/>
      <c r="L489" s="8"/>
      <c r="M489" s="8"/>
      <c r="N489" s="10"/>
      <c r="O489" s="10"/>
    </row>
    <row r="490" spans="1:15" x14ac:dyDescent="0.25">
      <c r="A490" s="7"/>
      <c r="B490" s="7"/>
      <c r="C490" s="7"/>
      <c r="D490" s="7"/>
      <c r="E490" s="11">
        <v>488</v>
      </c>
      <c r="F490" s="8"/>
      <c r="G490" s="8"/>
      <c r="H490" s="9"/>
      <c r="I490" s="10"/>
      <c r="J490" s="9"/>
      <c r="K490" s="10"/>
      <c r="L490" s="8"/>
      <c r="M490" s="8"/>
      <c r="N490" s="10"/>
      <c r="O490" s="10"/>
    </row>
    <row r="491" spans="1:15" x14ac:dyDescent="0.25">
      <c r="A491" s="7"/>
      <c r="B491" s="7"/>
      <c r="C491" s="7"/>
      <c r="D491" s="7"/>
      <c r="E491" s="11">
        <v>489</v>
      </c>
      <c r="F491" s="8"/>
      <c r="G491" s="8"/>
      <c r="H491" s="9"/>
      <c r="I491" s="10"/>
      <c r="J491" s="9"/>
      <c r="K491" s="10"/>
      <c r="L491" s="8"/>
      <c r="M491" s="8"/>
      <c r="N491" s="10"/>
      <c r="O491" s="10"/>
    </row>
    <row r="492" spans="1:15" x14ac:dyDescent="0.25">
      <c r="A492" s="7"/>
      <c r="B492" s="7"/>
      <c r="C492" s="7"/>
      <c r="D492" s="7"/>
      <c r="E492" s="11">
        <v>490</v>
      </c>
      <c r="F492" s="8"/>
      <c r="G492" s="8"/>
      <c r="H492" s="9"/>
      <c r="I492" s="10"/>
      <c r="J492" s="9"/>
      <c r="K492" s="10"/>
      <c r="L492" s="8"/>
      <c r="M492" s="8"/>
      <c r="N492" s="10"/>
      <c r="O492" s="10"/>
    </row>
    <row r="493" spans="1:15" x14ac:dyDescent="0.25">
      <c r="A493" s="7"/>
      <c r="B493" s="7"/>
      <c r="C493" s="7"/>
      <c r="D493" s="7"/>
      <c r="E493" s="11">
        <v>491</v>
      </c>
      <c r="F493" s="8"/>
      <c r="G493" s="8"/>
      <c r="H493" s="9"/>
      <c r="I493" s="10"/>
      <c r="J493" s="9"/>
      <c r="K493" s="10"/>
      <c r="L493" s="8"/>
      <c r="M493" s="8"/>
      <c r="N493" s="10"/>
      <c r="O493" s="10"/>
    </row>
    <row r="494" spans="1:15" x14ac:dyDescent="0.25">
      <c r="A494" s="7"/>
      <c r="B494" s="7"/>
      <c r="C494" s="7"/>
      <c r="D494" s="7"/>
      <c r="E494" s="11">
        <v>492</v>
      </c>
      <c r="F494" s="8"/>
      <c r="G494" s="8"/>
      <c r="H494" s="9"/>
      <c r="I494" s="10"/>
      <c r="J494" s="9"/>
      <c r="K494" s="10"/>
      <c r="L494" s="8"/>
      <c r="M494" s="8"/>
      <c r="N494" s="10"/>
      <c r="O494" s="10"/>
    </row>
    <row r="495" spans="1:15" x14ac:dyDescent="0.25">
      <c r="A495" s="7"/>
      <c r="B495" s="7"/>
      <c r="C495" s="7"/>
      <c r="D495" s="7"/>
      <c r="E495" s="11">
        <v>493</v>
      </c>
      <c r="F495" s="8"/>
      <c r="G495" s="8"/>
      <c r="H495" s="9"/>
      <c r="I495" s="10"/>
      <c r="J495" s="9"/>
      <c r="K495" s="10"/>
      <c r="L495" s="8"/>
      <c r="M495" s="8"/>
      <c r="N495" s="10"/>
      <c r="O495" s="10"/>
    </row>
    <row r="496" spans="1:15" x14ac:dyDescent="0.25">
      <c r="A496" s="7"/>
      <c r="B496" s="7"/>
      <c r="C496" s="7"/>
      <c r="D496" s="7"/>
      <c r="E496" s="11">
        <v>494</v>
      </c>
      <c r="F496" s="8"/>
      <c r="G496" s="8"/>
      <c r="H496" s="9"/>
      <c r="I496" s="10"/>
      <c r="J496" s="9"/>
      <c r="K496" s="10"/>
      <c r="L496" s="8"/>
      <c r="M496" s="8"/>
      <c r="N496" s="10"/>
      <c r="O496" s="10"/>
    </row>
    <row r="497" spans="1:15" x14ac:dyDescent="0.25">
      <c r="A497" s="7"/>
      <c r="B497" s="7"/>
      <c r="C497" s="7"/>
      <c r="D497" s="7"/>
      <c r="E497" s="11">
        <v>495</v>
      </c>
      <c r="F497" s="8"/>
      <c r="G497" s="8"/>
      <c r="H497" s="9"/>
      <c r="I497" s="10"/>
      <c r="J497" s="9"/>
      <c r="K497" s="10"/>
      <c r="L497" s="8"/>
      <c r="M497" s="8"/>
      <c r="N497" s="10"/>
      <c r="O497" s="10"/>
    </row>
    <row r="498" spans="1:15" x14ac:dyDescent="0.25">
      <c r="A498" s="7"/>
      <c r="B498" s="7"/>
      <c r="C498" s="7"/>
      <c r="D498" s="7"/>
      <c r="E498" s="11">
        <v>496</v>
      </c>
      <c r="F498" s="8"/>
      <c r="G498" s="8"/>
      <c r="H498" s="9"/>
      <c r="I498" s="10"/>
      <c r="J498" s="9"/>
      <c r="K498" s="10"/>
      <c r="L498" s="8"/>
      <c r="M498" s="8"/>
      <c r="N498" s="10"/>
      <c r="O498" s="10"/>
    </row>
    <row r="499" spans="1:15" x14ac:dyDescent="0.25">
      <c r="A499" s="7"/>
      <c r="B499" s="7"/>
      <c r="C499" s="7"/>
      <c r="D499" s="7"/>
      <c r="E499" s="11">
        <v>497</v>
      </c>
      <c r="F499" s="8"/>
      <c r="G499" s="8"/>
      <c r="H499" s="9"/>
      <c r="I499" s="10"/>
      <c r="J499" s="9"/>
      <c r="K499" s="10"/>
      <c r="L499" s="8"/>
      <c r="M499" s="8"/>
      <c r="N499" s="10"/>
      <c r="O499" s="10"/>
    </row>
    <row r="500" spans="1:15" x14ac:dyDescent="0.25">
      <c r="A500" s="7"/>
      <c r="B500" s="7"/>
      <c r="C500" s="7"/>
      <c r="D500" s="7"/>
      <c r="E500" s="11">
        <v>498</v>
      </c>
      <c r="F500" s="8"/>
      <c r="G500" s="8"/>
      <c r="H500" s="9"/>
      <c r="I500" s="10"/>
      <c r="J500" s="9"/>
      <c r="K500" s="10"/>
      <c r="L500" s="8"/>
      <c r="M500" s="8"/>
      <c r="N500" s="10"/>
      <c r="O500" s="10"/>
    </row>
    <row r="501" spans="1:15" x14ac:dyDescent="0.25">
      <c r="A501" s="7"/>
      <c r="B501" s="7"/>
      <c r="C501" s="7"/>
      <c r="D501" s="7"/>
      <c r="E501" s="11">
        <v>499</v>
      </c>
      <c r="F501" s="8"/>
      <c r="G501" s="8"/>
      <c r="H501" s="9"/>
      <c r="I501" s="10"/>
      <c r="J501" s="9"/>
      <c r="K501" s="10"/>
      <c r="L501" s="8"/>
      <c r="M501" s="8"/>
      <c r="N501" s="10"/>
      <c r="O501" s="10"/>
    </row>
    <row r="502" spans="1:15" x14ac:dyDescent="0.25">
      <c r="A502" s="7"/>
      <c r="B502" s="7"/>
      <c r="C502" s="7"/>
      <c r="D502" s="7"/>
      <c r="E502" s="11">
        <v>500</v>
      </c>
      <c r="F502" s="8"/>
      <c r="G502" s="8"/>
      <c r="H502" s="9"/>
      <c r="I502" s="10"/>
      <c r="J502" s="9"/>
      <c r="K502" s="10"/>
      <c r="L502" s="8"/>
      <c r="M502" s="8"/>
      <c r="N502" s="10"/>
      <c r="O502" s="10"/>
    </row>
    <row r="503" spans="1:15" x14ac:dyDescent="0.25">
      <c r="A503" s="7"/>
      <c r="B503" s="7"/>
      <c r="C503" s="7"/>
      <c r="D503" s="7"/>
      <c r="E503" s="11">
        <v>501</v>
      </c>
      <c r="F503" s="8"/>
      <c r="G503" s="8"/>
      <c r="H503" s="9"/>
      <c r="I503" s="10"/>
      <c r="J503" s="9"/>
      <c r="K503" s="10"/>
      <c r="L503" s="8"/>
      <c r="M503" s="8"/>
      <c r="N503" s="10"/>
      <c r="O503" s="10"/>
    </row>
    <row r="504" spans="1:15" x14ac:dyDescent="0.25">
      <c r="A504" s="7"/>
      <c r="B504" s="7"/>
      <c r="C504" s="7"/>
      <c r="D504" s="7"/>
      <c r="E504" s="11">
        <v>502</v>
      </c>
      <c r="F504" s="8"/>
      <c r="G504" s="8"/>
      <c r="H504" s="9"/>
      <c r="I504" s="10"/>
      <c r="J504" s="9"/>
      <c r="K504" s="10"/>
      <c r="L504" s="8"/>
      <c r="M504" s="8"/>
      <c r="N504" s="10"/>
      <c r="O504" s="10"/>
    </row>
    <row r="505" spans="1:15" x14ac:dyDescent="0.25">
      <c r="A505" s="7"/>
      <c r="B505" s="7"/>
      <c r="C505" s="7"/>
      <c r="D505" s="7"/>
      <c r="E505" s="11">
        <v>503</v>
      </c>
      <c r="F505" s="8"/>
      <c r="G505" s="8"/>
      <c r="H505" s="9"/>
      <c r="I505" s="10"/>
      <c r="J505" s="9"/>
      <c r="K505" s="10"/>
      <c r="L505" s="8"/>
      <c r="M505" s="8"/>
      <c r="N505" s="10"/>
      <c r="O505" s="10"/>
    </row>
    <row r="506" spans="1:15" x14ac:dyDescent="0.25">
      <c r="A506" s="7"/>
      <c r="B506" s="7"/>
      <c r="C506" s="7"/>
      <c r="D506" s="7"/>
      <c r="E506" s="11">
        <v>504</v>
      </c>
      <c r="F506" s="8"/>
      <c r="G506" s="8"/>
      <c r="H506" s="9"/>
      <c r="I506" s="10"/>
      <c r="J506" s="9"/>
      <c r="K506" s="10"/>
      <c r="L506" s="8"/>
      <c r="M506" s="8"/>
      <c r="N506" s="10"/>
      <c r="O506" s="10"/>
    </row>
    <row r="507" spans="1:15" x14ac:dyDescent="0.25">
      <c r="A507" s="7"/>
      <c r="B507" s="7"/>
      <c r="C507" s="7"/>
      <c r="D507" s="7"/>
      <c r="E507" s="11">
        <v>505</v>
      </c>
      <c r="F507" s="8"/>
      <c r="G507" s="8"/>
      <c r="H507" s="9"/>
      <c r="I507" s="10"/>
      <c r="J507" s="9"/>
      <c r="K507" s="10"/>
      <c r="L507" s="8"/>
      <c r="M507" s="8"/>
      <c r="N507" s="10"/>
      <c r="O507" s="10"/>
    </row>
    <row r="508" spans="1:15" x14ac:dyDescent="0.25">
      <c r="A508" s="7"/>
      <c r="B508" s="7"/>
      <c r="C508" s="7"/>
      <c r="D508" s="7"/>
      <c r="E508" s="11">
        <v>506</v>
      </c>
      <c r="F508" s="8"/>
      <c r="G508" s="8"/>
      <c r="H508" s="9"/>
      <c r="I508" s="10"/>
      <c r="J508" s="9"/>
      <c r="K508" s="10"/>
      <c r="L508" s="8"/>
      <c r="M508" s="8"/>
      <c r="N508" s="10"/>
      <c r="O508" s="10"/>
    </row>
    <row r="509" spans="1:15" x14ac:dyDescent="0.25">
      <c r="A509" s="7"/>
      <c r="B509" s="7"/>
      <c r="C509" s="7"/>
      <c r="D509" s="7"/>
      <c r="E509" s="11">
        <v>507</v>
      </c>
      <c r="F509" s="8"/>
      <c r="G509" s="8"/>
      <c r="H509" s="9"/>
      <c r="I509" s="10"/>
      <c r="J509" s="9"/>
      <c r="K509" s="10"/>
      <c r="L509" s="8"/>
      <c r="M509" s="8"/>
      <c r="N509" s="10"/>
      <c r="O509" s="10"/>
    </row>
    <row r="510" spans="1:15" x14ac:dyDescent="0.25">
      <c r="A510" s="7"/>
      <c r="B510" s="7"/>
      <c r="C510" s="7"/>
      <c r="D510" s="7"/>
      <c r="E510" s="11">
        <v>508</v>
      </c>
      <c r="F510" s="8"/>
      <c r="G510" s="8"/>
      <c r="H510" s="9"/>
      <c r="I510" s="10"/>
      <c r="J510" s="9"/>
      <c r="K510" s="10"/>
      <c r="L510" s="8"/>
      <c r="M510" s="8"/>
      <c r="N510" s="10"/>
      <c r="O510" s="10"/>
    </row>
    <row r="511" spans="1:15" x14ac:dyDescent="0.25">
      <c r="A511" s="7"/>
      <c r="B511" s="7"/>
      <c r="C511" s="7"/>
      <c r="D511" s="7"/>
      <c r="E511" s="11">
        <v>509</v>
      </c>
      <c r="F511" s="8"/>
      <c r="G511" s="8"/>
      <c r="H511" s="9"/>
      <c r="I511" s="10"/>
      <c r="J511" s="9"/>
      <c r="K511" s="10"/>
      <c r="L511" s="8"/>
      <c r="M511" s="8"/>
      <c r="N511" s="10"/>
      <c r="O511" s="10"/>
    </row>
    <row r="512" spans="1:15" x14ac:dyDescent="0.25">
      <c r="A512" s="7"/>
      <c r="B512" s="7"/>
      <c r="C512" s="7"/>
      <c r="D512" s="7"/>
      <c r="E512" s="11">
        <v>510</v>
      </c>
      <c r="F512" s="8"/>
      <c r="G512" s="8"/>
      <c r="H512" s="9"/>
      <c r="I512" s="10"/>
      <c r="J512" s="9"/>
      <c r="K512" s="10"/>
      <c r="L512" s="8"/>
      <c r="M512" s="8"/>
      <c r="N512" s="10"/>
      <c r="O512" s="10"/>
    </row>
    <row r="513" spans="1:15" x14ac:dyDescent="0.25">
      <c r="A513" s="7"/>
      <c r="B513" s="7"/>
      <c r="C513" s="7"/>
      <c r="D513" s="7"/>
      <c r="E513" s="11">
        <v>511</v>
      </c>
      <c r="F513" s="8"/>
      <c r="G513" s="8"/>
      <c r="H513" s="9"/>
      <c r="I513" s="10"/>
      <c r="J513" s="9"/>
      <c r="K513" s="10"/>
      <c r="L513" s="8"/>
      <c r="M513" s="8"/>
      <c r="N513" s="10"/>
      <c r="O513" s="10"/>
    </row>
    <row r="514" spans="1:15" x14ac:dyDescent="0.25">
      <c r="A514" s="7"/>
      <c r="B514" s="7"/>
      <c r="C514" s="7"/>
      <c r="D514" s="7"/>
      <c r="E514" s="11">
        <v>512</v>
      </c>
      <c r="F514" s="8"/>
      <c r="G514" s="8"/>
      <c r="H514" s="9"/>
      <c r="I514" s="10"/>
      <c r="J514" s="9"/>
      <c r="K514" s="10"/>
      <c r="L514" s="8"/>
      <c r="M514" s="8"/>
      <c r="N514" s="10"/>
      <c r="O514" s="10"/>
    </row>
    <row r="515" spans="1:15" x14ac:dyDescent="0.25">
      <c r="A515" s="7"/>
      <c r="B515" s="7"/>
      <c r="C515" s="7"/>
      <c r="D515" s="7"/>
      <c r="E515" s="11">
        <v>513</v>
      </c>
      <c r="F515" s="8"/>
      <c r="G515" s="8"/>
      <c r="H515" s="9"/>
      <c r="I515" s="10"/>
      <c r="J515" s="9"/>
      <c r="K515" s="10"/>
      <c r="L515" s="8"/>
      <c r="M515" s="8"/>
      <c r="N515" s="10"/>
      <c r="O515" s="10"/>
    </row>
    <row r="516" spans="1:15" x14ac:dyDescent="0.25">
      <c r="A516" s="7"/>
      <c r="B516" s="7"/>
      <c r="C516" s="7"/>
      <c r="D516" s="7"/>
      <c r="E516" s="11">
        <v>514</v>
      </c>
      <c r="F516" s="8"/>
      <c r="G516" s="8"/>
      <c r="H516" s="9"/>
      <c r="I516" s="10"/>
      <c r="J516" s="9"/>
      <c r="K516" s="10"/>
      <c r="L516" s="8"/>
      <c r="M516" s="8"/>
      <c r="N516" s="10"/>
      <c r="O516" s="10"/>
    </row>
    <row r="517" spans="1:15" x14ac:dyDescent="0.25">
      <c r="A517" s="7"/>
      <c r="B517" s="7"/>
      <c r="C517" s="7"/>
      <c r="D517" s="7"/>
      <c r="E517" s="11">
        <v>515</v>
      </c>
      <c r="F517" s="8"/>
      <c r="G517" s="8"/>
      <c r="H517" s="9"/>
      <c r="I517" s="10"/>
      <c r="J517" s="9"/>
      <c r="K517" s="10"/>
      <c r="L517" s="8"/>
      <c r="M517" s="8"/>
      <c r="N517" s="10"/>
      <c r="O517" s="10"/>
    </row>
    <row r="518" spans="1:15" x14ac:dyDescent="0.25">
      <c r="A518" s="7"/>
      <c r="B518" s="7"/>
      <c r="C518" s="7"/>
      <c r="D518" s="7"/>
      <c r="E518" s="11">
        <v>516</v>
      </c>
      <c r="F518" s="8"/>
      <c r="G518" s="8"/>
      <c r="H518" s="9"/>
      <c r="I518" s="10"/>
      <c r="J518" s="9"/>
      <c r="K518" s="10"/>
      <c r="L518" s="8"/>
      <c r="M518" s="8"/>
      <c r="N518" s="10"/>
      <c r="O518" s="10"/>
    </row>
    <row r="519" spans="1:15" x14ac:dyDescent="0.25">
      <c r="A519" s="7"/>
      <c r="B519" s="7"/>
      <c r="C519" s="7"/>
      <c r="D519" s="7"/>
      <c r="E519" s="11">
        <v>517</v>
      </c>
      <c r="F519" s="8"/>
      <c r="G519" s="8"/>
      <c r="H519" s="9"/>
      <c r="I519" s="10"/>
      <c r="J519" s="9"/>
      <c r="K519" s="10"/>
      <c r="L519" s="8"/>
      <c r="M519" s="8"/>
      <c r="N519" s="10"/>
      <c r="O519" s="10"/>
    </row>
    <row r="520" spans="1:15" x14ac:dyDescent="0.25">
      <c r="A520" s="7"/>
      <c r="B520" s="7"/>
      <c r="C520" s="7"/>
      <c r="D520" s="7"/>
      <c r="E520" s="11">
        <v>518</v>
      </c>
      <c r="F520" s="8"/>
      <c r="G520" s="8"/>
      <c r="H520" s="9"/>
      <c r="I520" s="10"/>
      <c r="J520" s="9"/>
      <c r="K520" s="10"/>
      <c r="L520" s="8"/>
      <c r="M520" s="8"/>
      <c r="N520" s="10"/>
      <c r="O520" s="10"/>
    </row>
    <row r="521" spans="1:15" x14ac:dyDescent="0.25">
      <c r="A521" s="7"/>
      <c r="B521" s="7"/>
      <c r="C521" s="7"/>
      <c r="D521" s="7"/>
      <c r="E521" s="11">
        <v>519</v>
      </c>
      <c r="F521" s="8"/>
      <c r="G521" s="8"/>
      <c r="H521" s="9"/>
      <c r="I521" s="10"/>
      <c r="J521" s="9"/>
      <c r="K521" s="10"/>
      <c r="L521" s="8"/>
      <c r="M521" s="8"/>
      <c r="N521" s="10"/>
      <c r="O521" s="10"/>
    </row>
    <row r="522" spans="1:15" x14ac:dyDescent="0.25">
      <c r="A522" s="7"/>
      <c r="B522" s="7"/>
      <c r="C522" s="7"/>
      <c r="D522" s="7"/>
      <c r="E522" s="11">
        <v>520</v>
      </c>
      <c r="F522" s="8"/>
      <c r="G522" s="8"/>
      <c r="H522" s="9"/>
      <c r="I522" s="10"/>
      <c r="J522" s="9"/>
      <c r="K522" s="10"/>
      <c r="L522" s="8"/>
      <c r="M522" s="8"/>
      <c r="N522" s="10"/>
      <c r="O522" s="10"/>
    </row>
    <row r="523" spans="1:15" x14ac:dyDescent="0.25">
      <c r="A523" s="7"/>
      <c r="B523" s="7"/>
      <c r="C523" s="7"/>
      <c r="D523" s="7"/>
      <c r="E523" s="11">
        <v>521</v>
      </c>
      <c r="F523" s="8"/>
      <c r="G523" s="8"/>
      <c r="H523" s="9"/>
      <c r="I523" s="10"/>
      <c r="J523" s="9"/>
      <c r="K523" s="10"/>
      <c r="L523" s="8"/>
      <c r="M523" s="8"/>
      <c r="N523" s="10"/>
      <c r="O523" s="10"/>
    </row>
    <row r="524" spans="1:15" x14ac:dyDescent="0.25">
      <c r="A524" s="7"/>
      <c r="B524" s="7"/>
      <c r="C524" s="7"/>
      <c r="D524" s="7"/>
      <c r="E524" s="11">
        <v>522</v>
      </c>
      <c r="F524" s="8"/>
      <c r="G524" s="8"/>
      <c r="H524" s="9"/>
      <c r="I524" s="10"/>
      <c r="J524" s="9"/>
      <c r="K524" s="10"/>
      <c r="L524" s="8"/>
      <c r="M524" s="8"/>
      <c r="N524" s="10"/>
      <c r="O524" s="10"/>
    </row>
    <row r="525" spans="1:15" x14ac:dyDescent="0.25">
      <c r="A525" s="7"/>
      <c r="B525" s="7"/>
      <c r="C525" s="7"/>
      <c r="D525" s="7"/>
      <c r="E525" s="11">
        <v>523</v>
      </c>
      <c r="F525" s="8"/>
      <c r="G525" s="8"/>
      <c r="H525" s="9"/>
      <c r="I525" s="10"/>
      <c r="J525" s="9"/>
      <c r="K525" s="10"/>
      <c r="L525" s="8"/>
      <c r="M525" s="8"/>
      <c r="N525" s="10"/>
      <c r="O525" s="10"/>
    </row>
    <row r="526" spans="1:15" x14ac:dyDescent="0.25">
      <c r="A526" s="7"/>
      <c r="B526" s="7"/>
      <c r="C526" s="7"/>
      <c r="D526" s="7"/>
      <c r="E526" s="11">
        <v>524</v>
      </c>
      <c r="F526" s="8"/>
      <c r="G526" s="8"/>
      <c r="H526" s="9"/>
      <c r="I526" s="10"/>
      <c r="J526" s="9"/>
      <c r="K526" s="10"/>
      <c r="L526" s="8"/>
      <c r="M526" s="8"/>
      <c r="N526" s="10"/>
      <c r="O526" s="10"/>
    </row>
    <row r="527" spans="1:15" x14ac:dyDescent="0.25">
      <c r="A527" s="7"/>
      <c r="B527" s="7"/>
      <c r="C527" s="7"/>
      <c r="D527" s="7"/>
      <c r="E527" s="11">
        <v>525</v>
      </c>
      <c r="F527" s="8"/>
      <c r="G527" s="8"/>
      <c r="H527" s="9"/>
      <c r="I527" s="10"/>
      <c r="J527" s="9"/>
      <c r="K527" s="10"/>
      <c r="L527" s="8"/>
      <c r="M527" s="8"/>
      <c r="N527" s="10"/>
      <c r="O527" s="10"/>
    </row>
    <row r="528" spans="1:15" x14ac:dyDescent="0.25">
      <c r="A528" s="7"/>
      <c r="B528" s="7"/>
      <c r="C528" s="7"/>
      <c r="D528" s="7"/>
      <c r="E528" s="11">
        <v>526</v>
      </c>
      <c r="F528" s="8"/>
      <c r="G528" s="8"/>
      <c r="H528" s="9"/>
      <c r="I528" s="10"/>
      <c r="J528" s="9"/>
      <c r="K528" s="10"/>
      <c r="L528" s="8"/>
      <c r="M528" s="8"/>
      <c r="N528" s="10"/>
      <c r="O528" s="10"/>
    </row>
    <row r="529" spans="1:15" x14ac:dyDescent="0.25">
      <c r="A529" s="7"/>
      <c r="B529" s="7"/>
      <c r="C529" s="7"/>
      <c r="D529" s="7"/>
      <c r="E529" s="11">
        <v>527</v>
      </c>
      <c r="F529" s="8"/>
      <c r="G529" s="8"/>
      <c r="H529" s="9"/>
      <c r="I529" s="10"/>
      <c r="J529" s="9"/>
      <c r="K529" s="10"/>
      <c r="L529" s="8"/>
      <c r="M529" s="8"/>
      <c r="N529" s="10"/>
      <c r="O529" s="10"/>
    </row>
    <row r="530" spans="1:15" x14ac:dyDescent="0.25">
      <c r="A530" s="7"/>
      <c r="B530" s="7"/>
      <c r="C530" s="7"/>
      <c r="D530" s="7"/>
      <c r="E530" s="11">
        <v>528</v>
      </c>
      <c r="F530" s="8"/>
      <c r="G530" s="8"/>
      <c r="H530" s="9"/>
      <c r="I530" s="10"/>
      <c r="J530" s="9"/>
      <c r="K530" s="10"/>
      <c r="L530" s="8"/>
      <c r="M530" s="8"/>
      <c r="N530" s="10"/>
      <c r="O530" s="10"/>
    </row>
    <row r="531" spans="1:15" x14ac:dyDescent="0.25">
      <c r="A531" s="7"/>
      <c r="B531" s="7"/>
      <c r="C531" s="7"/>
      <c r="D531" s="7"/>
      <c r="E531" s="11">
        <v>529</v>
      </c>
      <c r="F531" s="8"/>
      <c r="G531" s="8"/>
      <c r="H531" s="9"/>
      <c r="I531" s="10"/>
      <c r="J531" s="9"/>
      <c r="K531" s="10"/>
      <c r="L531" s="8"/>
      <c r="M531" s="8"/>
      <c r="N531" s="10"/>
      <c r="O531" s="10"/>
    </row>
    <row r="532" spans="1:15" x14ac:dyDescent="0.25">
      <c r="A532" s="7"/>
      <c r="B532" s="7"/>
      <c r="C532" s="7"/>
      <c r="D532" s="7"/>
      <c r="E532" s="11">
        <v>530</v>
      </c>
      <c r="F532" s="8"/>
      <c r="G532" s="8"/>
      <c r="H532" s="9"/>
      <c r="I532" s="10"/>
      <c r="J532" s="9"/>
      <c r="K532" s="10"/>
      <c r="L532" s="8"/>
      <c r="M532" s="8"/>
      <c r="N532" s="10"/>
      <c r="O532" s="10"/>
    </row>
    <row r="533" spans="1:15" x14ac:dyDescent="0.25">
      <c r="A533" s="7"/>
      <c r="B533" s="7"/>
      <c r="C533" s="7"/>
      <c r="D533" s="7"/>
      <c r="E533" s="11">
        <v>531</v>
      </c>
      <c r="F533" s="8"/>
      <c r="G533" s="8"/>
      <c r="H533" s="9"/>
      <c r="I533" s="10"/>
      <c r="J533" s="9"/>
      <c r="K533" s="10"/>
      <c r="L533" s="8"/>
      <c r="M533" s="8"/>
      <c r="N533" s="10"/>
      <c r="O533" s="10"/>
    </row>
    <row r="534" spans="1:15" x14ac:dyDescent="0.25">
      <c r="A534" s="7"/>
      <c r="B534" s="7"/>
      <c r="C534" s="7"/>
      <c r="D534" s="7"/>
      <c r="E534" s="11">
        <v>532</v>
      </c>
      <c r="F534" s="8"/>
      <c r="G534" s="8"/>
      <c r="H534" s="9"/>
      <c r="I534" s="10"/>
      <c r="J534" s="9"/>
      <c r="K534" s="10"/>
      <c r="L534" s="8"/>
      <c r="M534" s="8"/>
      <c r="N534" s="10"/>
      <c r="O534" s="10"/>
    </row>
    <row r="535" spans="1:15" x14ac:dyDescent="0.25">
      <c r="A535" s="7"/>
      <c r="B535" s="7"/>
      <c r="C535" s="7"/>
      <c r="D535" s="7"/>
      <c r="E535" s="11">
        <v>533</v>
      </c>
      <c r="F535" s="8"/>
      <c r="G535" s="8"/>
      <c r="H535" s="9"/>
      <c r="I535" s="10"/>
      <c r="J535" s="9"/>
      <c r="K535" s="10"/>
      <c r="L535" s="8"/>
      <c r="M535" s="8"/>
      <c r="N535" s="10"/>
      <c r="O535" s="10"/>
    </row>
    <row r="536" spans="1:15" x14ac:dyDescent="0.25">
      <c r="A536" s="7"/>
      <c r="B536" s="7"/>
      <c r="C536" s="7"/>
      <c r="D536" s="7"/>
      <c r="E536" s="11">
        <v>534</v>
      </c>
      <c r="F536" s="8"/>
      <c r="G536" s="8"/>
      <c r="H536" s="9"/>
      <c r="I536" s="10"/>
      <c r="J536" s="9"/>
      <c r="K536" s="10"/>
      <c r="L536" s="8"/>
      <c r="M536" s="8"/>
      <c r="N536" s="10"/>
      <c r="O536" s="10"/>
    </row>
    <row r="537" spans="1:15" x14ac:dyDescent="0.25">
      <c r="A537" s="7"/>
      <c r="B537" s="7"/>
      <c r="C537" s="7"/>
      <c r="D537" s="7"/>
      <c r="E537" s="11">
        <v>535</v>
      </c>
      <c r="F537" s="8"/>
      <c r="G537" s="8"/>
      <c r="H537" s="9"/>
      <c r="I537" s="10"/>
      <c r="J537" s="9"/>
      <c r="K537" s="10"/>
      <c r="L537" s="8"/>
      <c r="M537" s="8"/>
      <c r="N537" s="10"/>
      <c r="O537" s="10"/>
    </row>
    <row r="538" spans="1:15" x14ac:dyDescent="0.25">
      <c r="A538" s="7"/>
      <c r="B538" s="7"/>
      <c r="C538" s="7"/>
      <c r="D538" s="7"/>
      <c r="E538" s="11">
        <v>536</v>
      </c>
      <c r="F538" s="8"/>
      <c r="G538" s="8"/>
      <c r="H538" s="9"/>
      <c r="I538" s="10"/>
      <c r="J538" s="9"/>
      <c r="K538" s="10"/>
      <c r="L538" s="8"/>
      <c r="M538" s="8"/>
      <c r="N538" s="10"/>
      <c r="O538" s="10"/>
    </row>
    <row r="539" spans="1:15" x14ac:dyDescent="0.25">
      <c r="A539" s="7"/>
      <c r="B539" s="7"/>
      <c r="C539" s="7"/>
      <c r="D539" s="7"/>
      <c r="E539" s="11">
        <v>537</v>
      </c>
      <c r="F539" s="8"/>
      <c r="G539" s="8"/>
      <c r="H539" s="9"/>
      <c r="I539" s="10"/>
      <c r="J539" s="9"/>
      <c r="K539" s="10"/>
      <c r="L539" s="8"/>
      <c r="M539" s="8"/>
      <c r="N539" s="10"/>
      <c r="O539" s="10"/>
    </row>
    <row r="540" spans="1:15" x14ac:dyDescent="0.25">
      <c r="A540" s="7"/>
      <c r="B540" s="7"/>
      <c r="C540" s="7"/>
      <c r="D540" s="7"/>
      <c r="E540" s="11">
        <v>538</v>
      </c>
      <c r="F540" s="8"/>
      <c r="G540" s="8"/>
      <c r="H540" s="9"/>
      <c r="I540" s="10"/>
      <c r="J540" s="9"/>
      <c r="K540" s="10"/>
      <c r="L540" s="8"/>
      <c r="M540" s="8"/>
      <c r="N540" s="10"/>
      <c r="O540" s="10"/>
    </row>
    <row r="541" spans="1:15" x14ac:dyDescent="0.25">
      <c r="A541" s="7"/>
      <c r="B541" s="7"/>
      <c r="C541" s="7"/>
      <c r="D541" s="7"/>
      <c r="E541" s="11">
        <v>539</v>
      </c>
      <c r="F541" s="8"/>
      <c r="G541" s="8"/>
      <c r="H541" s="9"/>
      <c r="I541" s="10"/>
      <c r="J541" s="9"/>
      <c r="K541" s="10"/>
      <c r="L541" s="8"/>
      <c r="M541" s="8"/>
      <c r="N541" s="10"/>
      <c r="O541" s="10"/>
    </row>
    <row r="542" spans="1:15" x14ac:dyDescent="0.25">
      <c r="A542" s="7"/>
      <c r="B542" s="7"/>
      <c r="C542" s="7"/>
      <c r="D542" s="7"/>
      <c r="E542" s="11">
        <v>540</v>
      </c>
      <c r="F542" s="8"/>
      <c r="G542" s="8"/>
      <c r="H542" s="9"/>
      <c r="I542" s="10"/>
      <c r="J542" s="9"/>
      <c r="K542" s="10"/>
      <c r="L542" s="8"/>
      <c r="M542" s="8"/>
      <c r="N542" s="10"/>
      <c r="O542" s="10"/>
    </row>
    <row r="543" spans="1:15" x14ac:dyDescent="0.25">
      <c r="A543" s="7"/>
      <c r="B543" s="7"/>
      <c r="C543" s="7"/>
      <c r="D543" s="7"/>
      <c r="E543" s="11">
        <v>541</v>
      </c>
      <c r="F543" s="8"/>
      <c r="G543" s="8"/>
      <c r="H543" s="9"/>
      <c r="I543" s="10"/>
      <c r="J543" s="9"/>
      <c r="K543" s="10"/>
      <c r="L543" s="8"/>
      <c r="M543" s="8"/>
      <c r="N543" s="10"/>
      <c r="O543" s="10"/>
    </row>
    <row r="544" spans="1:15" x14ac:dyDescent="0.25">
      <c r="A544" s="7"/>
      <c r="B544" s="7"/>
      <c r="C544" s="7"/>
      <c r="D544" s="7"/>
      <c r="E544" s="11">
        <v>542</v>
      </c>
      <c r="F544" s="8"/>
      <c r="G544" s="8"/>
      <c r="H544" s="9"/>
      <c r="I544" s="10"/>
      <c r="J544" s="9"/>
      <c r="K544" s="10"/>
      <c r="L544" s="8"/>
      <c r="M544" s="8"/>
      <c r="N544" s="10"/>
      <c r="O544" s="10"/>
    </row>
    <row r="545" spans="1:15" x14ac:dyDescent="0.25">
      <c r="A545" s="7"/>
      <c r="B545" s="7"/>
      <c r="C545" s="7"/>
      <c r="D545" s="7"/>
      <c r="E545" s="11">
        <v>543</v>
      </c>
      <c r="F545" s="8"/>
      <c r="G545" s="8"/>
      <c r="H545" s="9"/>
      <c r="I545" s="10"/>
      <c r="J545" s="9"/>
      <c r="K545" s="10"/>
      <c r="L545" s="8"/>
      <c r="M545" s="8"/>
      <c r="N545" s="10"/>
      <c r="O545" s="10"/>
    </row>
    <row r="546" spans="1:15" x14ac:dyDescent="0.25">
      <c r="A546" s="7"/>
      <c r="B546" s="7"/>
      <c r="C546" s="7"/>
      <c r="D546" s="7"/>
      <c r="E546" s="11">
        <v>544</v>
      </c>
      <c r="F546" s="8"/>
      <c r="G546" s="8"/>
      <c r="H546" s="9"/>
      <c r="I546" s="10"/>
      <c r="J546" s="9"/>
      <c r="K546" s="10"/>
      <c r="L546" s="8"/>
      <c r="M546" s="8"/>
      <c r="N546" s="10"/>
      <c r="O546" s="10"/>
    </row>
    <row r="547" spans="1:15" x14ac:dyDescent="0.25">
      <c r="A547" s="7"/>
      <c r="B547" s="7"/>
      <c r="C547" s="7"/>
      <c r="D547" s="7"/>
      <c r="E547" s="11">
        <v>545</v>
      </c>
      <c r="F547" s="8"/>
      <c r="G547" s="8"/>
      <c r="H547" s="9"/>
      <c r="I547" s="10"/>
      <c r="J547" s="9"/>
      <c r="K547" s="10"/>
      <c r="L547" s="8"/>
      <c r="M547" s="8"/>
      <c r="N547" s="10"/>
      <c r="O547" s="10"/>
    </row>
    <row r="548" spans="1:15" x14ac:dyDescent="0.25">
      <c r="A548" s="7"/>
      <c r="B548" s="7"/>
      <c r="C548" s="7"/>
      <c r="D548" s="7"/>
      <c r="E548" s="11">
        <v>546</v>
      </c>
      <c r="F548" s="8"/>
      <c r="G548" s="8"/>
      <c r="H548" s="9"/>
      <c r="I548" s="10"/>
      <c r="J548" s="9"/>
      <c r="K548" s="10"/>
      <c r="L548" s="8"/>
      <c r="M548" s="8"/>
      <c r="N548" s="10"/>
      <c r="O548" s="10"/>
    </row>
    <row r="549" spans="1:15" x14ac:dyDescent="0.25">
      <c r="A549" s="7"/>
      <c r="B549" s="7"/>
      <c r="C549" s="7"/>
      <c r="D549" s="7"/>
      <c r="E549" s="11">
        <v>547</v>
      </c>
      <c r="F549" s="8"/>
      <c r="G549" s="8"/>
      <c r="H549" s="9"/>
      <c r="I549" s="10"/>
      <c r="J549" s="9"/>
      <c r="K549" s="10"/>
      <c r="L549" s="8"/>
      <c r="M549" s="8"/>
      <c r="N549" s="10"/>
      <c r="O549" s="10"/>
    </row>
    <row r="550" spans="1:15" x14ac:dyDescent="0.25">
      <c r="A550" s="7"/>
      <c r="B550" s="7"/>
      <c r="C550" s="7"/>
      <c r="D550" s="7"/>
      <c r="E550" s="11">
        <v>548</v>
      </c>
      <c r="F550" s="8"/>
      <c r="G550" s="8"/>
      <c r="H550" s="9"/>
      <c r="I550" s="10"/>
      <c r="J550" s="9"/>
      <c r="K550" s="10"/>
      <c r="L550" s="8"/>
      <c r="M550" s="8"/>
      <c r="N550" s="10"/>
      <c r="O550" s="10"/>
    </row>
    <row r="551" spans="1:15" x14ac:dyDescent="0.25">
      <c r="A551" s="7"/>
      <c r="B551" s="7"/>
      <c r="C551" s="7"/>
      <c r="D551" s="7"/>
      <c r="E551" s="11">
        <v>549</v>
      </c>
      <c r="F551" s="8"/>
      <c r="G551" s="8"/>
      <c r="H551" s="9"/>
      <c r="I551" s="10"/>
      <c r="J551" s="9"/>
      <c r="K551" s="10"/>
      <c r="L551" s="8"/>
      <c r="M551" s="8"/>
      <c r="N551" s="10"/>
      <c r="O551" s="10"/>
    </row>
    <row r="552" spans="1:15" x14ac:dyDescent="0.25">
      <c r="A552" s="7"/>
      <c r="B552" s="7"/>
      <c r="C552" s="7"/>
      <c r="D552" s="7"/>
      <c r="E552" s="11">
        <v>550</v>
      </c>
      <c r="F552" s="8"/>
      <c r="G552" s="8"/>
      <c r="H552" s="9"/>
      <c r="I552" s="10"/>
      <c r="J552" s="9"/>
      <c r="K552" s="10"/>
      <c r="L552" s="8"/>
      <c r="M552" s="8"/>
      <c r="N552" s="10"/>
      <c r="O552" s="10"/>
    </row>
    <row r="553" spans="1:15" x14ac:dyDescent="0.25">
      <c r="A553" s="7"/>
      <c r="B553" s="7"/>
      <c r="C553" s="7"/>
      <c r="D553" s="7"/>
      <c r="E553" s="11">
        <v>551</v>
      </c>
      <c r="F553" s="8"/>
      <c r="G553" s="8"/>
      <c r="H553" s="9"/>
      <c r="I553" s="10"/>
      <c r="J553" s="9"/>
      <c r="K553" s="10"/>
      <c r="L553" s="8"/>
      <c r="M553" s="8"/>
      <c r="N553" s="10"/>
      <c r="O553" s="10"/>
    </row>
    <row r="554" spans="1:15" x14ac:dyDescent="0.25">
      <c r="A554" s="7"/>
      <c r="B554" s="7"/>
      <c r="C554" s="7"/>
      <c r="D554" s="7"/>
      <c r="E554" s="11">
        <v>552</v>
      </c>
      <c r="F554" s="8"/>
      <c r="G554" s="8"/>
      <c r="H554" s="9"/>
      <c r="I554" s="10"/>
      <c r="J554" s="9"/>
      <c r="K554" s="10"/>
      <c r="L554" s="8"/>
      <c r="M554" s="8"/>
      <c r="N554" s="10"/>
      <c r="O554" s="10"/>
    </row>
    <row r="555" spans="1:15" x14ac:dyDescent="0.25">
      <c r="A555" s="7"/>
      <c r="B555" s="7"/>
      <c r="C555" s="7"/>
      <c r="D555" s="7"/>
      <c r="E555" s="11">
        <v>553</v>
      </c>
      <c r="F555" s="8"/>
      <c r="G555" s="8"/>
      <c r="H555" s="9"/>
      <c r="I555" s="10"/>
      <c r="J555" s="9"/>
      <c r="K555" s="10"/>
      <c r="L555" s="8"/>
      <c r="M555" s="8"/>
      <c r="N555" s="10"/>
      <c r="O555" s="10"/>
    </row>
    <row r="556" spans="1:15" x14ac:dyDescent="0.25">
      <c r="A556" s="7"/>
      <c r="B556" s="7"/>
      <c r="C556" s="7"/>
      <c r="D556" s="7"/>
      <c r="E556" s="11">
        <v>554</v>
      </c>
      <c r="F556" s="8"/>
      <c r="G556" s="8"/>
      <c r="H556" s="9"/>
      <c r="I556" s="10"/>
      <c r="J556" s="9"/>
      <c r="K556" s="10"/>
      <c r="L556" s="8"/>
      <c r="M556" s="8"/>
      <c r="N556" s="10"/>
      <c r="O556" s="10"/>
    </row>
    <row r="557" spans="1:15" x14ac:dyDescent="0.25">
      <c r="A557" s="7"/>
      <c r="B557" s="7"/>
      <c r="C557" s="7"/>
      <c r="D557" s="7"/>
      <c r="E557" s="11">
        <v>555</v>
      </c>
      <c r="F557" s="8"/>
      <c r="G557" s="8"/>
      <c r="H557" s="9"/>
      <c r="I557" s="10"/>
      <c r="J557" s="9"/>
      <c r="K557" s="10"/>
      <c r="L557" s="8"/>
      <c r="M557" s="8"/>
      <c r="N557" s="10"/>
      <c r="O557" s="10"/>
    </row>
    <row r="558" spans="1:15" x14ac:dyDescent="0.25">
      <c r="A558" s="7"/>
      <c r="B558" s="7"/>
      <c r="C558" s="7"/>
      <c r="D558" s="7"/>
      <c r="E558" s="11">
        <v>556</v>
      </c>
      <c r="F558" s="8"/>
      <c r="G558" s="8"/>
      <c r="H558" s="9"/>
      <c r="I558" s="10"/>
      <c r="J558" s="9"/>
      <c r="K558" s="10"/>
      <c r="L558" s="8"/>
      <c r="M558" s="8"/>
      <c r="N558" s="10"/>
      <c r="O558" s="10"/>
    </row>
    <row r="559" spans="1:15" x14ac:dyDescent="0.25">
      <c r="A559" s="7"/>
      <c r="B559" s="7"/>
      <c r="C559" s="7"/>
      <c r="D559" s="7"/>
      <c r="E559" s="11">
        <v>557</v>
      </c>
      <c r="F559" s="8"/>
      <c r="G559" s="8"/>
      <c r="H559" s="9"/>
      <c r="I559" s="10"/>
      <c r="J559" s="9"/>
      <c r="K559" s="10"/>
      <c r="L559" s="8"/>
      <c r="M559" s="8"/>
      <c r="N559" s="10"/>
      <c r="O559" s="10"/>
    </row>
    <row r="560" spans="1:15" x14ac:dyDescent="0.25">
      <c r="A560" s="7"/>
      <c r="B560" s="7"/>
      <c r="C560" s="7"/>
      <c r="D560" s="7"/>
      <c r="E560" s="11">
        <v>558</v>
      </c>
      <c r="F560" s="8"/>
      <c r="G560" s="8"/>
      <c r="H560" s="9"/>
      <c r="I560" s="10"/>
      <c r="J560" s="9"/>
      <c r="K560" s="10"/>
      <c r="L560" s="8"/>
      <c r="M560" s="8"/>
      <c r="N560" s="10"/>
      <c r="O560" s="10"/>
    </row>
    <row r="561" spans="1:15" x14ac:dyDescent="0.25">
      <c r="A561" s="7"/>
      <c r="B561" s="7"/>
      <c r="C561" s="7"/>
      <c r="D561" s="7"/>
      <c r="E561" s="11">
        <v>559</v>
      </c>
      <c r="F561" s="8"/>
      <c r="G561" s="8"/>
      <c r="H561" s="9"/>
      <c r="I561" s="10"/>
      <c r="J561" s="9"/>
      <c r="K561" s="10"/>
      <c r="L561" s="8"/>
      <c r="M561" s="8"/>
      <c r="N561" s="10"/>
      <c r="O561" s="10"/>
    </row>
    <row r="562" spans="1:15" x14ac:dyDescent="0.25">
      <c r="A562" s="7"/>
      <c r="B562" s="7"/>
      <c r="C562" s="7"/>
      <c r="D562" s="7"/>
      <c r="E562" s="11">
        <v>560</v>
      </c>
      <c r="F562" s="8"/>
      <c r="G562" s="8"/>
      <c r="H562" s="9"/>
      <c r="I562" s="10"/>
      <c r="J562" s="9"/>
      <c r="K562" s="10"/>
      <c r="L562" s="8"/>
      <c r="M562" s="8"/>
      <c r="N562" s="10"/>
      <c r="O562" s="10"/>
    </row>
    <row r="563" spans="1:15" x14ac:dyDescent="0.25">
      <c r="A563" s="7"/>
      <c r="B563" s="7"/>
      <c r="C563" s="7"/>
      <c r="D563" s="7"/>
      <c r="E563" s="11">
        <v>561</v>
      </c>
      <c r="F563" s="8"/>
      <c r="G563" s="8"/>
      <c r="H563" s="9"/>
      <c r="I563" s="10"/>
      <c r="J563" s="9"/>
      <c r="K563" s="10"/>
      <c r="L563" s="8"/>
      <c r="M563" s="8"/>
      <c r="N563" s="10"/>
      <c r="O563" s="10"/>
    </row>
    <row r="564" spans="1:15" x14ac:dyDescent="0.25">
      <c r="A564" s="7"/>
      <c r="B564" s="7"/>
      <c r="C564" s="7"/>
      <c r="D564" s="7"/>
      <c r="E564" s="11">
        <v>562</v>
      </c>
      <c r="F564" s="8"/>
      <c r="G564" s="8"/>
      <c r="H564" s="9"/>
      <c r="I564" s="10"/>
      <c r="J564" s="9"/>
      <c r="K564" s="10"/>
      <c r="L564" s="8"/>
      <c r="M564" s="8"/>
      <c r="N564" s="10"/>
      <c r="O564" s="10"/>
    </row>
    <row r="565" spans="1:15" x14ac:dyDescent="0.25">
      <c r="A565" s="7"/>
      <c r="B565" s="7"/>
      <c r="C565" s="7"/>
      <c r="D565" s="7"/>
      <c r="E565" s="11">
        <v>563</v>
      </c>
      <c r="F565" s="8"/>
      <c r="G565" s="8"/>
      <c r="H565" s="9"/>
      <c r="I565" s="10"/>
      <c r="J565" s="9"/>
      <c r="K565" s="10"/>
      <c r="L565" s="8"/>
      <c r="M565" s="8"/>
      <c r="N565" s="10"/>
      <c r="O565" s="10"/>
    </row>
    <row r="566" spans="1:15" x14ac:dyDescent="0.25">
      <c r="A566" s="7"/>
      <c r="B566" s="7"/>
      <c r="C566" s="7"/>
      <c r="D566" s="7"/>
      <c r="E566" s="11">
        <v>564</v>
      </c>
      <c r="F566" s="8"/>
      <c r="G566" s="8"/>
      <c r="H566" s="9"/>
      <c r="I566" s="10"/>
      <c r="J566" s="9"/>
      <c r="K566" s="10"/>
      <c r="L566" s="8"/>
      <c r="M566" s="8"/>
      <c r="N566" s="10"/>
      <c r="O566" s="10"/>
    </row>
    <row r="567" spans="1:15" x14ac:dyDescent="0.25">
      <c r="A567" s="7"/>
      <c r="B567" s="7"/>
      <c r="C567" s="7"/>
      <c r="D567" s="7"/>
      <c r="E567" s="11">
        <v>565</v>
      </c>
      <c r="F567" s="8"/>
      <c r="G567" s="8"/>
      <c r="H567" s="9"/>
      <c r="I567" s="10"/>
      <c r="J567" s="9"/>
      <c r="K567" s="10"/>
      <c r="L567" s="8"/>
      <c r="M567" s="8"/>
      <c r="N567" s="10"/>
      <c r="O567" s="10"/>
    </row>
    <row r="568" spans="1:15" x14ac:dyDescent="0.25">
      <c r="A568" s="7"/>
      <c r="B568" s="7"/>
      <c r="C568" s="7"/>
      <c r="D568" s="7"/>
      <c r="E568" s="11">
        <v>566</v>
      </c>
      <c r="F568" s="8"/>
      <c r="G568" s="8"/>
      <c r="H568" s="9"/>
      <c r="I568" s="10"/>
      <c r="J568" s="9"/>
      <c r="K568" s="10"/>
      <c r="L568" s="8"/>
      <c r="M568" s="8"/>
      <c r="N568" s="10"/>
      <c r="O568" s="10"/>
    </row>
    <row r="569" spans="1:15" x14ac:dyDescent="0.25">
      <c r="A569" s="7"/>
      <c r="B569" s="7"/>
      <c r="C569" s="7"/>
      <c r="D569" s="7"/>
      <c r="E569" s="11">
        <v>567</v>
      </c>
      <c r="F569" s="8"/>
      <c r="G569" s="8"/>
      <c r="H569" s="9"/>
      <c r="I569" s="10"/>
      <c r="J569" s="9"/>
      <c r="K569" s="10"/>
      <c r="L569" s="8"/>
      <c r="M569" s="8"/>
      <c r="N569" s="10"/>
      <c r="O569" s="10"/>
    </row>
    <row r="570" spans="1:15" x14ac:dyDescent="0.25">
      <c r="A570" s="7"/>
      <c r="B570" s="7"/>
      <c r="C570" s="7"/>
      <c r="D570" s="7"/>
      <c r="E570" s="11">
        <v>568</v>
      </c>
      <c r="F570" s="8"/>
      <c r="G570" s="8"/>
      <c r="H570" s="9"/>
      <c r="I570" s="10"/>
      <c r="J570" s="9"/>
      <c r="K570" s="10"/>
      <c r="L570" s="8"/>
      <c r="M570" s="8"/>
      <c r="N570" s="10"/>
      <c r="O570" s="10"/>
    </row>
    <row r="571" spans="1:15" x14ac:dyDescent="0.25">
      <c r="A571" s="7"/>
      <c r="B571" s="7"/>
      <c r="C571" s="7"/>
      <c r="D571" s="7"/>
      <c r="E571" s="11">
        <v>569</v>
      </c>
      <c r="F571" s="8"/>
      <c r="G571" s="8"/>
      <c r="H571" s="9"/>
      <c r="I571" s="10"/>
      <c r="J571" s="9"/>
      <c r="K571" s="10"/>
      <c r="L571" s="8"/>
      <c r="M571" s="8"/>
      <c r="N571" s="10"/>
      <c r="O571" s="10"/>
    </row>
    <row r="572" spans="1:15" x14ac:dyDescent="0.25">
      <c r="A572" s="7"/>
      <c r="B572" s="7"/>
      <c r="C572" s="7"/>
      <c r="D572" s="7"/>
      <c r="E572" s="11">
        <v>570</v>
      </c>
      <c r="F572" s="8"/>
      <c r="G572" s="8"/>
      <c r="H572" s="9"/>
      <c r="I572" s="10"/>
      <c r="J572" s="9"/>
      <c r="K572" s="10"/>
      <c r="L572" s="8"/>
      <c r="M572" s="8"/>
      <c r="N572" s="10"/>
      <c r="O572" s="10"/>
    </row>
    <row r="573" spans="1:15" x14ac:dyDescent="0.25">
      <c r="A573" s="7"/>
      <c r="B573" s="7"/>
      <c r="C573" s="7"/>
      <c r="D573" s="7"/>
      <c r="E573" s="11">
        <v>571</v>
      </c>
      <c r="F573" s="8"/>
      <c r="G573" s="8"/>
      <c r="H573" s="9"/>
      <c r="I573" s="10"/>
      <c r="J573" s="9"/>
      <c r="K573" s="10"/>
      <c r="L573" s="8"/>
      <c r="M573" s="8"/>
      <c r="N573" s="10"/>
      <c r="O573" s="10"/>
    </row>
    <row r="574" spans="1:15" x14ac:dyDescent="0.25">
      <c r="A574" s="7"/>
      <c r="B574" s="7"/>
      <c r="C574" s="7"/>
      <c r="D574" s="7"/>
      <c r="E574" s="11">
        <v>572</v>
      </c>
      <c r="F574" s="8"/>
      <c r="G574" s="8"/>
      <c r="H574" s="9"/>
      <c r="I574" s="10"/>
      <c r="J574" s="9"/>
      <c r="K574" s="10"/>
      <c r="L574" s="8"/>
      <c r="M574" s="8"/>
      <c r="N574" s="10"/>
      <c r="O574" s="10"/>
    </row>
    <row r="575" spans="1:15" x14ac:dyDescent="0.25">
      <c r="A575" s="7"/>
      <c r="B575" s="7"/>
      <c r="C575" s="7"/>
      <c r="D575" s="7"/>
      <c r="E575" s="11">
        <v>573</v>
      </c>
      <c r="F575" s="8"/>
      <c r="G575" s="8"/>
      <c r="H575" s="9"/>
      <c r="I575" s="10"/>
      <c r="J575" s="9"/>
      <c r="K575" s="10"/>
      <c r="L575" s="8"/>
      <c r="M575" s="8"/>
      <c r="N575" s="10"/>
      <c r="O575" s="10"/>
    </row>
    <row r="576" spans="1:15" x14ac:dyDescent="0.25">
      <c r="A576" s="7"/>
      <c r="B576" s="7"/>
      <c r="C576" s="7"/>
      <c r="D576" s="7"/>
      <c r="E576" s="11">
        <v>574</v>
      </c>
      <c r="F576" s="8"/>
      <c r="G576" s="8"/>
      <c r="H576" s="9"/>
      <c r="I576" s="10"/>
      <c r="J576" s="9"/>
      <c r="K576" s="10"/>
      <c r="L576" s="8"/>
      <c r="M576" s="8"/>
      <c r="N576" s="10"/>
      <c r="O576" s="10"/>
    </row>
    <row r="577" spans="1:15" x14ac:dyDescent="0.25">
      <c r="A577" s="7"/>
      <c r="B577" s="7"/>
      <c r="C577" s="7"/>
      <c r="D577" s="7"/>
      <c r="E577" s="11">
        <v>575</v>
      </c>
      <c r="F577" s="8"/>
      <c r="G577" s="8"/>
      <c r="H577" s="9"/>
      <c r="I577" s="10"/>
      <c r="J577" s="9"/>
      <c r="K577" s="10"/>
      <c r="L577" s="8"/>
      <c r="M577" s="8"/>
      <c r="N577" s="10"/>
      <c r="O577" s="10"/>
    </row>
    <row r="578" spans="1:15" x14ac:dyDescent="0.25">
      <c r="A578" s="7"/>
      <c r="B578" s="7"/>
      <c r="C578" s="7"/>
      <c r="D578" s="7"/>
      <c r="E578" s="11">
        <v>576</v>
      </c>
      <c r="F578" s="8"/>
      <c r="G578" s="8"/>
      <c r="H578" s="9"/>
      <c r="I578" s="10"/>
      <c r="J578" s="9"/>
      <c r="K578" s="10"/>
      <c r="L578" s="8"/>
      <c r="M578" s="8"/>
      <c r="N578" s="10"/>
      <c r="O578" s="10"/>
    </row>
    <row r="579" spans="1:15" x14ac:dyDescent="0.25">
      <c r="A579" s="7"/>
      <c r="B579" s="7"/>
      <c r="C579" s="7"/>
      <c r="D579" s="7"/>
      <c r="E579" s="11">
        <v>577</v>
      </c>
      <c r="F579" s="8"/>
      <c r="G579" s="8"/>
      <c r="H579" s="9"/>
      <c r="I579" s="10"/>
      <c r="J579" s="9"/>
      <c r="K579" s="10"/>
      <c r="L579" s="8"/>
      <c r="M579" s="8"/>
      <c r="N579" s="10"/>
      <c r="O579" s="10"/>
    </row>
    <row r="580" spans="1:15" x14ac:dyDescent="0.25">
      <c r="A580" s="7"/>
      <c r="B580" s="7"/>
      <c r="C580" s="7"/>
      <c r="D580" s="7"/>
      <c r="E580" s="11">
        <v>578</v>
      </c>
      <c r="F580" s="8"/>
      <c r="G580" s="8"/>
      <c r="H580" s="9"/>
      <c r="I580" s="10"/>
      <c r="J580" s="9"/>
      <c r="K580" s="10"/>
      <c r="L580" s="8"/>
      <c r="M580" s="8"/>
      <c r="N580" s="10"/>
      <c r="O580" s="10"/>
    </row>
    <row r="581" spans="1:15" x14ac:dyDescent="0.25">
      <c r="A581" s="7"/>
      <c r="B581" s="7"/>
      <c r="C581" s="7"/>
      <c r="D581" s="7"/>
      <c r="E581" s="11">
        <v>579</v>
      </c>
      <c r="F581" s="8"/>
      <c r="G581" s="8"/>
      <c r="H581" s="9"/>
      <c r="I581" s="10"/>
      <c r="J581" s="9"/>
      <c r="K581" s="10"/>
      <c r="L581" s="8"/>
      <c r="M581" s="8"/>
      <c r="N581" s="10"/>
      <c r="O581" s="10"/>
    </row>
    <row r="582" spans="1:15" x14ac:dyDescent="0.25">
      <c r="A582" s="7"/>
      <c r="B582" s="7"/>
      <c r="C582" s="7"/>
      <c r="D582" s="7"/>
      <c r="E582" s="11">
        <v>580</v>
      </c>
      <c r="F582" s="8"/>
      <c r="G582" s="8"/>
      <c r="H582" s="9"/>
      <c r="I582" s="10"/>
      <c r="J582" s="9"/>
      <c r="K582" s="10"/>
      <c r="L582" s="8"/>
      <c r="M582" s="8"/>
      <c r="N582" s="10"/>
      <c r="O582" s="10"/>
    </row>
    <row r="583" spans="1:15" x14ac:dyDescent="0.25">
      <c r="A583" s="7"/>
      <c r="B583" s="7"/>
      <c r="C583" s="7"/>
      <c r="D583" s="7"/>
      <c r="E583" s="11">
        <v>581</v>
      </c>
      <c r="F583" s="8"/>
      <c r="G583" s="8"/>
      <c r="H583" s="9"/>
      <c r="I583" s="10"/>
      <c r="J583" s="9"/>
      <c r="K583" s="10"/>
      <c r="L583" s="8"/>
      <c r="M583" s="8"/>
      <c r="N583" s="10"/>
      <c r="O583" s="10"/>
    </row>
    <row r="584" spans="1:15" x14ac:dyDescent="0.25">
      <c r="A584" s="7"/>
      <c r="B584" s="7"/>
      <c r="C584" s="7"/>
      <c r="D584" s="7"/>
      <c r="E584" s="11">
        <v>582</v>
      </c>
      <c r="F584" s="8"/>
      <c r="G584" s="8"/>
      <c r="H584" s="9"/>
      <c r="I584" s="10"/>
      <c r="J584" s="9"/>
      <c r="K584" s="10"/>
      <c r="L584" s="8"/>
      <c r="M584" s="8"/>
      <c r="N584" s="10"/>
      <c r="O584" s="10"/>
    </row>
    <row r="585" spans="1:15" x14ac:dyDescent="0.25">
      <c r="A585" s="7"/>
      <c r="B585" s="7"/>
      <c r="C585" s="7"/>
      <c r="D585" s="7"/>
      <c r="E585" s="11">
        <v>583</v>
      </c>
      <c r="F585" s="8"/>
      <c r="G585" s="8"/>
      <c r="H585" s="9"/>
      <c r="I585" s="10"/>
      <c r="J585" s="9"/>
      <c r="K585" s="10"/>
      <c r="L585" s="8"/>
      <c r="M585" s="8"/>
      <c r="N585" s="10"/>
      <c r="O585" s="10"/>
    </row>
    <row r="586" spans="1:15" x14ac:dyDescent="0.25">
      <c r="A586" s="7"/>
      <c r="B586" s="7"/>
      <c r="C586" s="7"/>
      <c r="D586" s="7"/>
      <c r="E586" s="11">
        <v>584</v>
      </c>
      <c r="F586" s="8"/>
      <c r="G586" s="8"/>
      <c r="H586" s="9"/>
      <c r="I586" s="10"/>
      <c r="J586" s="9"/>
      <c r="K586" s="10"/>
      <c r="L586" s="8"/>
      <c r="M586" s="8"/>
      <c r="N586" s="10"/>
      <c r="O586" s="10"/>
    </row>
    <row r="587" spans="1:15" x14ac:dyDescent="0.25">
      <c r="A587" s="7"/>
      <c r="B587" s="7"/>
      <c r="C587" s="7"/>
      <c r="D587" s="7"/>
      <c r="E587" s="11">
        <v>585</v>
      </c>
      <c r="F587" s="8"/>
      <c r="G587" s="8"/>
      <c r="H587" s="9"/>
      <c r="I587" s="10"/>
      <c r="J587" s="9"/>
      <c r="K587" s="10"/>
      <c r="L587" s="8"/>
      <c r="M587" s="8"/>
      <c r="N587" s="10"/>
      <c r="O587" s="10"/>
    </row>
    <row r="588" spans="1:15" x14ac:dyDescent="0.25">
      <c r="A588" s="7"/>
      <c r="B588" s="7"/>
      <c r="C588" s="7"/>
      <c r="D588" s="7"/>
      <c r="E588" s="11">
        <v>586</v>
      </c>
      <c r="F588" s="8"/>
      <c r="G588" s="8"/>
      <c r="H588" s="9"/>
      <c r="I588" s="10"/>
      <c r="J588" s="9"/>
      <c r="K588" s="10"/>
      <c r="L588" s="8"/>
      <c r="M588" s="8"/>
      <c r="N588" s="10"/>
      <c r="O588" s="10"/>
    </row>
    <row r="589" spans="1:15" x14ac:dyDescent="0.25">
      <c r="A589" s="7"/>
      <c r="B589" s="7"/>
      <c r="C589" s="7"/>
      <c r="D589" s="7"/>
      <c r="E589" s="11">
        <v>587</v>
      </c>
      <c r="F589" s="8"/>
      <c r="G589" s="8"/>
      <c r="H589" s="9"/>
      <c r="I589" s="10"/>
      <c r="J589" s="9"/>
      <c r="K589" s="10"/>
      <c r="L589" s="8"/>
      <c r="M589" s="8"/>
      <c r="N589" s="10"/>
      <c r="O589" s="10"/>
    </row>
    <row r="590" spans="1:15" x14ac:dyDescent="0.25">
      <c r="A590" s="7"/>
      <c r="B590" s="7"/>
      <c r="C590" s="7"/>
      <c r="D590" s="7"/>
      <c r="E590" s="11">
        <v>588</v>
      </c>
      <c r="F590" s="8"/>
      <c r="G590" s="8"/>
      <c r="H590" s="9"/>
      <c r="I590" s="10"/>
      <c r="J590" s="9"/>
      <c r="K590" s="10"/>
      <c r="L590" s="8"/>
      <c r="M590" s="8"/>
      <c r="N590" s="10"/>
      <c r="O590" s="10"/>
    </row>
    <row r="591" spans="1:15" x14ac:dyDescent="0.25">
      <c r="A591" s="7"/>
      <c r="B591" s="7"/>
      <c r="C591" s="7"/>
      <c r="D591" s="7"/>
      <c r="E591" s="11">
        <v>589</v>
      </c>
      <c r="F591" s="8"/>
      <c r="G591" s="8"/>
      <c r="H591" s="9"/>
      <c r="I591" s="10"/>
      <c r="J591" s="9"/>
      <c r="K591" s="10"/>
      <c r="L591" s="8"/>
      <c r="M591" s="8"/>
      <c r="N591" s="10"/>
      <c r="O591" s="10"/>
    </row>
    <row r="592" spans="1:15" x14ac:dyDescent="0.25">
      <c r="A592" s="7"/>
      <c r="B592" s="7"/>
      <c r="C592" s="7"/>
      <c r="D592" s="7"/>
      <c r="E592" s="11">
        <v>590</v>
      </c>
      <c r="F592" s="8"/>
      <c r="G592" s="8"/>
      <c r="H592" s="9"/>
      <c r="I592" s="10"/>
      <c r="J592" s="9"/>
      <c r="K592" s="10"/>
      <c r="L592" s="8"/>
      <c r="M592" s="8"/>
      <c r="N592" s="10"/>
      <c r="O592" s="10"/>
    </row>
    <row r="593" spans="1:15" x14ac:dyDescent="0.25">
      <c r="A593" s="7"/>
      <c r="B593" s="7"/>
      <c r="C593" s="7"/>
      <c r="D593" s="7"/>
      <c r="E593" s="11">
        <v>591</v>
      </c>
      <c r="F593" s="8"/>
      <c r="G593" s="8"/>
      <c r="H593" s="9"/>
      <c r="I593" s="10"/>
      <c r="J593" s="9"/>
      <c r="K593" s="10"/>
      <c r="L593" s="8"/>
      <c r="M593" s="8"/>
      <c r="N593" s="10"/>
      <c r="O593" s="10"/>
    </row>
    <row r="594" spans="1:15" x14ac:dyDescent="0.25">
      <c r="A594" s="7"/>
      <c r="B594" s="7"/>
      <c r="C594" s="7"/>
      <c r="D594" s="7"/>
      <c r="E594" s="11">
        <v>592</v>
      </c>
      <c r="F594" s="8"/>
      <c r="G594" s="8"/>
      <c r="H594" s="9"/>
      <c r="I594" s="10"/>
      <c r="J594" s="9"/>
      <c r="K594" s="10"/>
      <c r="L594" s="8"/>
      <c r="M594" s="8"/>
      <c r="N594" s="10"/>
      <c r="O594" s="10"/>
    </row>
    <row r="595" spans="1:15" x14ac:dyDescent="0.25">
      <c r="A595" s="7"/>
      <c r="B595" s="7"/>
      <c r="C595" s="7"/>
      <c r="D595" s="7"/>
      <c r="E595" s="11">
        <v>593</v>
      </c>
      <c r="F595" s="8"/>
      <c r="G595" s="8"/>
      <c r="H595" s="9"/>
      <c r="I595" s="10"/>
      <c r="J595" s="9"/>
      <c r="K595" s="10"/>
      <c r="L595" s="8"/>
      <c r="M595" s="8"/>
      <c r="N595" s="10"/>
      <c r="O595" s="10"/>
    </row>
    <row r="596" spans="1:15" x14ac:dyDescent="0.25">
      <c r="A596" s="7"/>
      <c r="B596" s="7"/>
      <c r="C596" s="7"/>
      <c r="D596" s="7"/>
      <c r="E596" s="11">
        <v>594</v>
      </c>
      <c r="F596" s="8"/>
      <c r="G596" s="8"/>
      <c r="H596" s="9"/>
      <c r="I596" s="10"/>
      <c r="J596" s="9"/>
      <c r="K596" s="10"/>
      <c r="L596" s="8"/>
      <c r="M596" s="8"/>
      <c r="N596" s="10"/>
      <c r="O596" s="10"/>
    </row>
    <row r="597" spans="1:15" x14ac:dyDescent="0.25">
      <c r="A597" s="7"/>
      <c r="B597" s="7"/>
      <c r="C597" s="7"/>
      <c r="D597" s="7"/>
      <c r="E597" s="11">
        <v>595</v>
      </c>
      <c r="F597" s="8"/>
      <c r="G597" s="8"/>
      <c r="H597" s="9"/>
      <c r="I597" s="10"/>
      <c r="J597" s="9"/>
      <c r="K597" s="10"/>
      <c r="L597" s="8"/>
      <c r="M597" s="8"/>
      <c r="N597" s="10"/>
      <c r="O597" s="10"/>
    </row>
    <row r="598" spans="1:15" x14ac:dyDescent="0.25">
      <c r="A598" s="7"/>
      <c r="B598" s="7"/>
      <c r="C598" s="7"/>
      <c r="D598" s="7"/>
      <c r="E598" s="11">
        <v>596</v>
      </c>
      <c r="F598" s="8"/>
      <c r="G598" s="8"/>
      <c r="H598" s="9"/>
      <c r="I598" s="10"/>
      <c r="J598" s="9"/>
      <c r="K598" s="10"/>
      <c r="L598" s="8"/>
      <c r="M598" s="8"/>
      <c r="N598" s="10"/>
      <c r="O598" s="10"/>
    </row>
    <row r="599" spans="1:15" x14ac:dyDescent="0.25">
      <c r="A599" s="7"/>
      <c r="B599" s="7"/>
      <c r="C599" s="7"/>
      <c r="D599" s="7"/>
      <c r="E599" s="11">
        <v>597</v>
      </c>
      <c r="F599" s="8"/>
      <c r="G599" s="8"/>
      <c r="H599" s="9"/>
      <c r="I599" s="10"/>
      <c r="J599" s="9"/>
      <c r="K599" s="10"/>
      <c r="L599" s="8"/>
      <c r="M599" s="8"/>
      <c r="N599" s="10"/>
      <c r="O599" s="10"/>
    </row>
    <row r="600" spans="1:15" x14ac:dyDescent="0.25">
      <c r="A600" s="7"/>
      <c r="B600" s="7"/>
      <c r="C600" s="7"/>
      <c r="D600" s="7"/>
      <c r="E600" s="11">
        <v>598</v>
      </c>
      <c r="F600" s="8"/>
      <c r="G600" s="8"/>
      <c r="H600" s="9"/>
      <c r="I600" s="10"/>
      <c r="J600" s="9"/>
      <c r="K600" s="10"/>
      <c r="L600" s="8"/>
      <c r="M600" s="8"/>
      <c r="N600" s="10"/>
      <c r="O600" s="10"/>
    </row>
    <row r="601" spans="1:15" x14ac:dyDescent="0.25">
      <c r="A601" s="7"/>
      <c r="B601" s="7"/>
      <c r="C601" s="7"/>
      <c r="D601" s="7"/>
      <c r="E601" s="11">
        <v>599</v>
      </c>
      <c r="F601" s="8"/>
      <c r="G601" s="8"/>
      <c r="H601" s="9"/>
      <c r="I601" s="10"/>
      <c r="J601" s="9"/>
      <c r="K601" s="10"/>
      <c r="L601" s="8"/>
      <c r="M601" s="8"/>
      <c r="N601" s="10"/>
      <c r="O601" s="10"/>
    </row>
    <row r="602" spans="1:15" x14ac:dyDescent="0.25">
      <c r="A602" s="7"/>
      <c r="B602" s="7"/>
      <c r="C602" s="7"/>
      <c r="D602" s="7"/>
      <c r="E602" s="11">
        <v>600</v>
      </c>
      <c r="F602" s="8"/>
      <c r="G602" s="8"/>
      <c r="H602" s="9"/>
      <c r="I602" s="10"/>
      <c r="J602" s="9"/>
      <c r="K602" s="10"/>
      <c r="L602" s="8"/>
      <c r="M602" s="8"/>
      <c r="N602" s="10"/>
      <c r="O602" s="10"/>
    </row>
    <row r="603" spans="1:15" x14ac:dyDescent="0.25">
      <c r="A603" s="7"/>
      <c r="B603" s="7"/>
      <c r="C603" s="7"/>
      <c r="D603" s="7"/>
      <c r="E603" s="11">
        <v>601</v>
      </c>
      <c r="F603" s="8"/>
      <c r="G603" s="8"/>
      <c r="H603" s="9"/>
      <c r="I603" s="10"/>
      <c r="J603" s="9"/>
      <c r="K603" s="10"/>
      <c r="L603" s="8"/>
      <c r="M603" s="8"/>
      <c r="N603" s="10"/>
      <c r="O603" s="10"/>
    </row>
    <row r="604" spans="1:15" x14ac:dyDescent="0.25">
      <c r="A604" s="7"/>
      <c r="B604" s="7"/>
      <c r="C604" s="7"/>
      <c r="D604" s="7"/>
      <c r="E604" s="11">
        <v>602</v>
      </c>
      <c r="F604" s="8"/>
      <c r="G604" s="8"/>
      <c r="H604" s="9"/>
      <c r="I604" s="10"/>
      <c r="J604" s="9"/>
      <c r="K604" s="10"/>
      <c r="L604" s="8"/>
      <c r="M604" s="8"/>
      <c r="N604" s="10"/>
      <c r="O604" s="10"/>
    </row>
    <row r="605" spans="1:15" x14ac:dyDescent="0.25">
      <c r="A605" s="7"/>
      <c r="B605" s="7"/>
      <c r="C605" s="7"/>
      <c r="D605" s="7"/>
      <c r="E605" s="11">
        <v>603</v>
      </c>
      <c r="F605" s="8"/>
      <c r="G605" s="8"/>
      <c r="H605" s="9"/>
      <c r="I605" s="10"/>
      <c r="J605" s="9"/>
      <c r="K605" s="10"/>
      <c r="L605" s="8"/>
      <c r="M605" s="8"/>
      <c r="N605" s="10"/>
      <c r="O605" s="10"/>
    </row>
    <row r="606" spans="1:15" x14ac:dyDescent="0.25">
      <c r="A606" s="7"/>
      <c r="B606" s="7"/>
      <c r="C606" s="7"/>
      <c r="D606" s="7"/>
      <c r="E606" s="11">
        <v>604</v>
      </c>
      <c r="F606" s="8"/>
      <c r="G606" s="8"/>
      <c r="H606" s="9"/>
      <c r="I606" s="10"/>
      <c r="J606" s="9"/>
      <c r="K606" s="10"/>
      <c r="L606" s="8"/>
      <c r="M606" s="8"/>
      <c r="N606" s="10"/>
      <c r="O606" s="10"/>
    </row>
    <row r="607" spans="1:15" x14ac:dyDescent="0.25">
      <c r="A607" s="7"/>
      <c r="B607" s="7"/>
      <c r="C607" s="7"/>
      <c r="D607" s="7"/>
      <c r="E607" s="11">
        <v>605</v>
      </c>
      <c r="F607" s="8"/>
      <c r="G607" s="8"/>
      <c r="H607" s="9"/>
      <c r="I607" s="10"/>
      <c r="J607" s="9"/>
      <c r="K607" s="10"/>
      <c r="L607" s="8"/>
      <c r="M607" s="8"/>
      <c r="N607" s="10"/>
      <c r="O607" s="10"/>
    </row>
    <row r="608" spans="1:15" x14ac:dyDescent="0.25">
      <c r="A608" s="7"/>
      <c r="B608" s="7"/>
      <c r="C608" s="7"/>
      <c r="D608" s="7"/>
      <c r="E608" s="11">
        <v>606</v>
      </c>
      <c r="F608" s="8"/>
      <c r="G608" s="8"/>
      <c r="H608" s="9"/>
      <c r="I608" s="10"/>
      <c r="J608" s="9"/>
      <c r="K608" s="10"/>
      <c r="L608" s="8"/>
      <c r="M608" s="8"/>
      <c r="N608" s="10"/>
      <c r="O608" s="10"/>
    </row>
    <row r="609" spans="1:15" x14ac:dyDescent="0.25">
      <c r="A609" s="7"/>
      <c r="B609" s="7"/>
      <c r="C609" s="7"/>
      <c r="D609" s="7"/>
      <c r="E609" s="11">
        <v>607</v>
      </c>
      <c r="F609" s="8"/>
      <c r="G609" s="8"/>
      <c r="H609" s="9"/>
      <c r="I609" s="10"/>
      <c r="J609" s="9"/>
      <c r="K609" s="10"/>
      <c r="L609" s="8"/>
      <c r="M609" s="8"/>
      <c r="N609" s="10"/>
      <c r="O609" s="10"/>
    </row>
    <row r="610" spans="1:15" x14ac:dyDescent="0.25">
      <c r="A610" s="7"/>
      <c r="B610" s="7"/>
      <c r="C610" s="7"/>
      <c r="D610" s="7"/>
      <c r="E610" s="11">
        <v>608</v>
      </c>
      <c r="F610" s="8"/>
      <c r="G610" s="8"/>
      <c r="H610" s="9"/>
      <c r="I610" s="10"/>
      <c r="J610" s="9"/>
      <c r="K610" s="10"/>
      <c r="L610" s="8"/>
      <c r="M610" s="8"/>
      <c r="N610" s="10"/>
      <c r="O610" s="10"/>
    </row>
    <row r="611" spans="1:15" x14ac:dyDescent="0.25">
      <c r="A611" s="7"/>
      <c r="B611" s="7"/>
      <c r="C611" s="7"/>
      <c r="D611" s="7"/>
      <c r="E611" s="11">
        <v>609</v>
      </c>
      <c r="F611" s="8"/>
      <c r="G611" s="8"/>
      <c r="H611" s="9"/>
      <c r="I611" s="10"/>
      <c r="J611" s="9"/>
      <c r="K611" s="10"/>
      <c r="L611" s="8"/>
      <c r="M611" s="8"/>
      <c r="N611" s="10"/>
      <c r="O611" s="10"/>
    </row>
    <row r="612" spans="1:15" x14ac:dyDescent="0.25">
      <c r="A612" s="7"/>
      <c r="B612" s="7"/>
      <c r="C612" s="7"/>
      <c r="D612" s="7"/>
      <c r="E612" s="11">
        <v>610</v>
      </c>
      <c r="F612" s="8"/>
      <c r="G612" s="8"/>
      <c r="H612" s="9"/>
      <c r="I612" s="10"/>
      <c r="J612" s="9"/>
      <c r="K612" s="10"/>
      <c r="L612" s="8"/>
      <c r="M612" s="8"/>
      <c r="N612" s="10"/>
      <c r="O612" s="10"/>
    </row>
    <row r="613" spans="1:15" x14ac:dyDescent="0.25">
      <c r="A613" s="7"/>
      <c r="B613" s="7"/>
      <c r="C613" s="7"/>
      <c r="D613" s="7"/>
      <c r="E613" s="11">
        <v>611</v>
      </c>
      <c r="F613" s="8"/>
      <c r="G613" s="8"/>
      <c r="H613" s="9"/>
      <c r="I613" s="10"/>
      <c r="J613" s="9"/>
      <c r="K613" s="10"/>
      <c r="L613" s="8"/>
      <c r="M613" s="8"/>
      <c r="N613" s="10"/>
      <c r="O613" s="10"/>
    </row>
    <row r="614" spans="1:15" x14ac:dyDescent="0.25">
      <c r="A614" s="7"/>
      <c r="B614" s="7"/>
      <c r="C614" s="7"/>
      <c r="D614" s="7"/>
      <c r="E614" s="11">
        <v>612</v>
      </c>
      <c r="F614" s="8"/>
      <c r="G614" s="8"/>
      <c r="H614" s="9"/>
      <c r="I614" s="10"/>
      <c r="J614" s="9"/>
      <c r="K614" s="10"/>
      <c r="L614" s="8"/>
      <c r="M614" s="8"/>
      <c r="N614" s="10"/>
      <c r="O614" s="10"/>
    </row>
    <row r="615" spans="1:15" x14ac:dyDescent="0.25">
      <c r="A615" s="7"/>
      <c r="B615" s="7"/>
      <c r="C615" s="7"/>
      <c r="D615" s="7"/>
      <c r="E615" s="11">
        <v>613</v>
      </c>
      <c r="F615" s="8"/>
      <c r="G615" s="8"/>
      <c r="H615" s="9"/>
      <c r="I615" s="10"/>
      <c r="J615" s="9"/>
      <c r="K615" s="10"/>
      <c r="L615" s="8"/>
      <c r="M615" s="8"/>
      <c r="N615" s="10"/>
      <c r="O615" s="10"/>
    </row>
    <row r="616" spans="1:15" x14ac:dyDescent="0.25">
      <c r="A616" s="7"/>
      <c r="B616" s="7"/>
      <c r="C616" s="7"/>
      <c r="D616" s="7"/>
      <c r="E616" s="11">
        <v>614</v>
      </c>
      <c r="F616" s="8"/>
      <c r="G616" s="8"/>
      <c r="H616" s="9"/>
      <c r="I616" s="10"/>
      <c r="J616" s="9"/>
      <c r="K616" s="10"/>
      <c r="L616" s="8"/>
      <c r="M616" s="8"/>
      <c r="N616" s="10"/>
      <c r="O616" s="10"/>
    </row>
    <row r="617" spans="1:15" x14ac:dyDescent="0.25">
      <c r="A617" s="7"/>
      <c r="B617" s="7"/>
      <c r="C617" s="7"/>
      <c r="D617" s="7"/>
      <c r="E617" s="11">
        <v>615</v>
      </c>
      <c r="F617" s="8"/>
      <c r="G617" s="8"/>
      <c r="H617" s="9"/>
      <c r="I617" s="10"/>
      <c r="J617" s="9"/>
      <c r="K617" s="10"/>
      <c r="L617" s="8"/>
      <c r="M617" s="8"/>
      <c r="N617" s="10"/>
      <c r="O617" s="10"/>
    </row>
    <row r="618" spans="1:15" x14ac:dyDescent="0.25">
      <c r="A618" s="7"/>
      <c r="B618" s="7"/>
      <c r="C618" s="7"/>
      <c r="D618" s="7"/>
      <c r="E618" s="11">
        <v>616</v>
      </c>
      <c r="F618" s="8"/>
      <c r="G618" s="8"/>
      <c r="H618" s="9"/>
      <c r="I618" s="10"/>
      <c r="J618" s="9"/>
      <c r="K618" s="10"/>
      <c r="L618" s="8"/>
      <c r="M618" s="8"/>
      <c r="N618" s="10"/>
      <c r="O618" s="10"/>
    </row>
    <row r="619" spans="1:15" x14ac:dyDescent="0.25">
      <c r="A619" s="7"/>
      <c r="B619" s="7"/>
      <c r="C619" s="7"/>
      <c r="D619" s="7"/>
      <c r="E619" s="11">
        <v>617</v>
      </c>
      <c r="F619" s="8"/>
      <c r="G619" s="8"/>
      <c r="H619" s="9"/>
      <c r="I619" s="10"/>
      <c r="J619" s="9"/>
      <c r="K619" s="10"/>
      <c r="L619" s="8"/>
      <c r="M619" s="8"/>
      <c r="N619" s="10"/>
      <c r="O619" s="10"/>
    </row>
    <row r="620" spans="1:15" x14ac:dyDescent="0.25">
      <c r="A620" s="7"/>
      <c r="B620" s="7"/>
      <c r="C620" s="7"/>
      <c r="D620" s="7"/>
      <c r="E620" s="11">
        <v>618</v>
      </c>
      <c r="F620" s="8"/>
      <c r="G620" s="8"/>
      <c r="H620" s="9"/>
      <c r="I620" s="10"/>
      <c r="J620" s="9"/>
      <c r="K620" s="10"/>
      <c r="L620" s="8"/>
      <c r="M620" s="8"/>
      <c r="N620" s="10"/>
      <c r="O620" s="10"/>
    </row>
    <row r="621" spans="1:15" x14ac:dyDescent="0.25">
      <c r="A621" s="7"/>
      <c r="B621" s="7"/>
      <c r="C621" s="7"/>
      <c r="D621" s="7"/>
      <c r="E621" s="11">
        <v>619</v>
      </c>
      <c r="F621" s="8"/>
      <c r="G621" s="8"/>
      <c r="H621" s="9"/>
      <c r="I621" s="10"/>
      <c r="J621" s="9"/>
      <c r="K621" s="10"/>
      <c r="L621" s="8"/>
      <c r="M621" s="8"/>
      <c r="N621" s="10"/>
      <c r="O621" s="10"/>
    </row>
    <row r="622" spans="1:15" x14ac:dyDescent="0.25">
      <c r="A622" s="7"/>
      <c r="B622" s="7"/>
      <c r="C622" s="7"/>
      <c r="D622" s="7"/>
      <c r="E622" s="11">
        <v>620</v>
      </c>
      <c r="F622" s="8"/>
      <c r="G622" s="8"/>
      <c r="H622" s="9"/>
      <c r="I622" s="10"/>
      <c r="J622" s="9"/>
      <c r="K622" s="10"/>
      <c r="L622" s="8"/>
      <c r="M622" s="8"/>
      <c r="N622" s="10"/>
      <c r="O622" s="10"/>
    </row>
    <row r="623" spans="1:15" x14ac:dyDescent="0.25">
      <c r="A623" s="7"/>
      <c r="B623" s="7"/>
      <c r="C623" s="7"/>
      <c r="D623" s="7"/>
      <c r="E623" s="11">
        <v>621</v>
      </c>
      <c r="F623" s="8"/>
      <c r="G623" s="8"/>
      <c r="H623" s="9"/>
      <c r="I623" s="10"/>
      <c r="J623" s="9"/>
      <c r="K623" s="10"/>
      <c r="L623" s="8"/>
      <c r="M623" s="8"/>
      <c r="N623" s="10"/>
      <c r="O623" s="10"/>
    </row>
    <row r="624" spans="1:15" x14ac:dyDescent="0.25">
      <c r="A624" s="7"/>
      <c r="B624" s="7"/>
      <c r="C624" s="7"/>
      <c r="D624" s="7"/>
      <c r="E624" s="11">
        <v>622</v>
      </c>
      <c r="F624" s="8"/>
      <c r="G624" s="8"/>
      <c r="H624" s="9"/>
      <c r="I624" s="10"/>
      <c r="J624" s="9"/>
      <c r="K624" s="10"/>
      <c r="L624" s="8"/>
      <c r="M624" s="8"/>
      <c r="N624" s="10"/>
      <c r="O624" s="10"/>
    </row>
    <row r="625" spans="1:15" x14ac:dyDescent="0.25">
      <c r="A625" s="7"/>
      <c r="B625" s="7"/>
      <c r="C625" s="7"/>
      <c r="D625" s="7"/>
      <c r="E625" s="11">
        <v>623</v>
      </c>
      <c r="F625" s="8"/>
      <c r="G625" s="8"/>
      <c r="H625" s="9"/>
      <c r="I625" s="10"/>
      <c r="J625" s="9"/>
      <c r="K625" s="10"/>
      <c r="L625" s="8"/>
      <c r="M625" s="8"/>
      <c r="N625" s="10"/>
      <c r="O625" s="10"/>
    </row>
    <row r="626" spans="1:15" x14ac:dyDescent="0.25">
      <c r="A626" s="7"/>
      <c r="B626" s="7"/>
      <c r="C626" s="7"/>
      <c r="D626" s="7"/>
      <c r="E626" s="11">
        <v>624</v>
      </c>
      <c r="F626" s="8"/>
      <c r="G626" s="8"/>
      <c r="H626" s="9"/>
      <c r="I626" s="10"/>
      <c r="J626" s="9"/>
      <c r="K626" s="10"/>
      <c r="L626" s="8"/>
      <c r="M626" s="8"/>
      <c r="N626" s="10"/>
      <c r="O626" s="10"/>
    </row>
    <row r="627" spans="1:15" x14ac:dyDescent="0.25">
      <c r="A627" s="7"/>
      <c r="B627" s="7"/>
      <c r="C627" s="7"/>
      <c r="D627" s="7"/>
      <c r="E627" s="11">
        <v>625</v>
      </c>
      <c r="F627" s="8"/>
      <c r="G627" s="8"/>
      <c r="H627" s="9"/>
      <c r="I627" s="10"/>
      <c r="J627" s="9"/>
      <c r="K627" s="10"/>
      <c r="L627" s="8"/>
      <c r="M627" s="8"/>
      <c r="N627" s="10"/>
      <c r="O627" s="10"/>
    </row>
    <row r="628" spans="1:15" x14ac:dyDescent="0.25">
      <c r="A628" s="7"/>
      <c r="B628" s="7"/>
      <c r="C628" s="7"/>
      <c r="D628" s="7"/>
      <c r="E628" s="11">
        <v>626</v>
      </c>
      <c r="F628" s="8"/>
      <c r="G628" s="8"/>
      <c r="H628" s="9"/>
      <c r="I628" s="10"/>
      <c r="J628" s="9"/>
      <c r="K628" s="10"/>
      <c r="L628" s="8"/>
      <c r="M628" s="8"/>
      <c r="N628" s="10"/>
      <c r="O628" s="10"/>
    </row>
    <row r="629" spans="1:15" x14ac:dyDescent="0.25">
      <c r="A629" s="7"/>
      <c r="B629" s="7"/>
      <c r="C629" s="7"/>
      <c r="D629" s="7"/>
      <c r="E629" s="11">
        <v>627</v>
      </c>
      <c r="F629" s="8"/>
      <c r="G629" s="8"/>
      <c r="H629" s="9"/>
      <c r="I629" s="10"/>
      <c r="J629" s="9"/>
      <c r="K629" s="10"/>
      <c r="L629" s="8"/>
      <c r="M629" s="8"/>
      <c r="N629" s="10"/>
      <c r="O629" s="10"/>
    </row>
    <row r="630" spans="1:15" x14ac:dyDescent="0.25">
      <c r="A630" s="7"/>
      <c r="B630" s="7"/>
      <c r="C630" s="7"/>
      <c r="D630" s="7"/>
      <c r="E630" s="11">
        <v>628</v>
      </c>
      <c r="F630" s="8"/>
      <c r="G630" s="8"/>
      <c r="H630" s="9"/>
      <c r="I630" s="10"/>
      <c r="J630" s="9"/>
      <c r="K630" s="10"/>
      <c r="L630" s="8"/>
      <c r="M630" s="8"/>
      <c r="N630" s="10"/>
      <c r="O630" s="10"/>
    </row>
    <row r="631" spans="1:15" x14ac:dyDescent="0.25">
      <c r="A631" s="7"/>
      <c r="B631" s="7"/>
      <c r="C631" s="7"/>
      <c r="D631" s="7"/>
      <c r="E631" s="11">
        <v>629</v>
      </c>
      <c r="F631" s="8"/>
      <c r="G631" s="8"/>
      <c r="H631" s="9"/>
      <c r="I631" s="10"/>
      <c r="J631" s="9"/>
      <c r="K631" s="10"/>
      <c r="L631" s="8"/>
      <c r="M631" s="8"/>
      <c r="N631" s="10"/>
      <c r="O631" s="10"/>
    </row>
    <row r="632" spans="1:15" x14ac:dyDescent="0.25">
      <c r="A632" s="7"/>
      <c r="B632" s="7"/>
      <c r="C632" s="7"/>
      <c r="D632" s="7"/>
      <c r="E632" s="11">
        <v>630</v>
      </c>
      <c r="F632" s="8"/>
      <c r="G632" s="8"/>
      <c r="H632" s="9"/>
      <c r="I632" s="10"/>
      <c r="J632" s="9"/>
      <c r="K632" s="10"/>
      <c r="L632" s="8"/>
      <c r="M632" s="8"/>
      <c r="N632" s="10"/>
      <c r="O632" s="10"/>
    </row>
    <row r="633" spans="1:15" x14ac:dyDescent="0.25">
      <c r="A633" s="7"/>
      <c r="B633" s="7"/>
      <c r="C633" s="7"/>
      <c r="D633" s="7"/>
      <c r="E633" s="11">
        <v>631</v>
      </c>
      <c r="F633" s="8"/>
      <c r="G633" s="8"/>
      <c r="H633" s="9"/>
      <c r="I633" s="10"/>
      <c r="J633" s="9"/>
      <c r="K633" s="10"/>
      <c r="L633" s="8"/>
      <c r="M633" s="8"/>
      <c r="N633" s="10"/>
      <c r="O633" s="10"/>
    </row>
    <row r="634" spans="1:15" x14ac:dyDescent="0.25">
      <c r="A634" s="7"/>
      <c r="B634" s="7"/>
      <c r="C634" s="7"/>
      <c r="D634" s="7"/>
      <c r="E634" s="11">
        <v>632</v>
      </c>
      <c r="F634" s="8"/>
      <c r="G634" s="8"/>
      <c r="H634" s="9"/>
      <c r="I634" s="10"/>
      <c r="J634" s="9"/>
      <c r="K634" s="10"/>
      <c r="L634" s="8"/>
      <c r="M634" s="8"/>
      <c r="N634" s="10"/>
      <c r="O634" s="10"/>
    </row>
    <row r="635" spans="1:15" x14ac:dyDescent="0.25">
      <c r="A635" s="7"/>
      <c r="B635" s="7"/>
      <c r="C635" s="7"/>
      <c r="D635" s="7"/>
      <c r="E635" s="11">
        <v>633</v>
      </c>
      <c r="F635" s="8"/>
      <c r="G635" s="8"/>
      <c r="H635" s="9"/>
      <c r="I635" s="10"/>
      <c r="J635" s="9"/>
      <c r="K635" s="10"/>
      <c r="L635" s="8"/>
      <c r="M635" s="8"/>
      <c r="N635" s="10"/>
      <c r="O635" s="10"/>
    </row>
    <row r="636" spans="1:15" x14ac:dyDescent="0.25">
      <c r="A636" s="7"/>
      <c r="B636" s="7"/>
      <c r="C636" s="7"/>
      <c r="D636" s="7"/>
      <c r="E636" s="11">
        <v>634</v>
      </c>
      <c r="F636" s="8"/>
      <c r="G636" s="8"/>
      <c r="H636" s="9"/>
      <c r="I636" s="10"/>
      <c r="J636" s="9"/>
      <c r="K636" s="10"/>
      <c r="L636" s="8"/>
      <c r="M636" s="8"/>
      <c r="N636" s="10"/>
      <c r="O636" s="10"/>
    </row>
    <row r="637" spans="1:15" x14ac:dyDescent="0.25">
      <c r="A637" s="7"/>
      <c r="B637" s="7"/>
      <c r="C637" s="7"/>
      <c r="D637" s="7"/>
      <c r="E637" s="11">
        <v>635</v>
      </c>
      <c r="F637" s="8"/>
      <c r="G637" s="8"/>
      <c r="H637" s="9"/>
      <c r="I637" s="10"/>
      <c r="J637" s="9"/>
      <c r="K637" s="10"/>
      <c r="L637" s="8"/>
      <c r="M637" s="8"/>
      <c r="N637" s="10"/>
      <c r="O637" s="10"/>
    </row>
    <row r="638" spans="1:15" x14ac:dyDescent="0.25">
      <c r="A638" s="7"/>
      <c r="B638" s="7"/>
      <c r="C638" s="7"/>
      <c r="D638" s="7"/>
      <c r="E638" s="11">
        <v>636</v>
      </c>
      <c r="F638" s="8"/>
      <c r="G638" s="8"/>
      <c r="H638" s="9"/>
      <c r="I638" s="10"/>
      <c r="J638" s="9"/>
      <c r="K638" s="10"/>
      <c r="L638" s="8"/>
      <c r="M638" s="8"/>
      <c r="N638" s="10"/>
      <c r="O638" s="10"/>
    </row>
    <row r="639" spans="1:15" x14ac:dyDescent="0.25">
      <c r="A639" s="7"/>
      <c r="B639" s="7"/>
      <c r="C639" s="7"/>
      <c r="D639" s="7"/>
      <c r="E639" s="11">
        <v>637</v>
      </c>
      <c r="F639" s="8"/>
      <c r="G639" s="8"/>
      <c r="H639" s="9"/>
      <c r="I639" s="10"/>
      <c r="J639" s="9"/>
      <c r="K639" s="10"/>
      <c r="L639" s="8"/>
      <c r="M639" s="8"/>
      <c r="N639" s="10"/>
      <c r="O639" s="10"/>
    </row>
    <row r="640" spans="1:15" x14ac:dyDescent="0.25">
      <c r="A640" s="7"/>
      <c r="B640" s="7"/>
      <c r="C640" s="7"/>
      <c r="D640" s="7"/>
      <c r="E640" s="11">
        <v>638</v>
      </c>
      <c r="F640" s="8"/>
      <c r="G640" s="8"/>
      <c r="H640" s="9"/>
      <c r="I640" s="10"/>
      <c r="J640" s="9"/>
      <c r="K640" s="10"/>
      <c r="L640" s="8"/>
      <c r="M640" s="8"/>
      <c r="N640" s="10"/>
      <c r="O640" s="10"/>
    </row>
    <row r="641" spans="1:15" x14ac:dyDescent="0.25">
      <c r="A641" s="7"/>
      <c r="B641" s="7"/>
      <c r="C641" s="7"/>
      <c r="D641" s="7"/>
      <c r="E641" s="11">
        <v>639</v>
      </c>
      <c r="F641" s="8"/>
      <c r="G641" s="8"/>
      <c r="H641" s="9"/>
      <c r="I641" s="10"/>
      <c r="J641" s="9"/>
      <c r="K641" s="10"/>
      <c r="L641" s="8"/>
      <c r="M641" s="8"/>
      <c r="N641" s="10"/>
      <c r="O641" s="10"/>
    </row>
    <row r="642" spans="1:15" x14ac:dyDescent="0.25">
      <c r="A642" s="7"/>
      <c r="B642" s="7"/>
      <c r="C642" s="7"/>
      <c r="D642" s="7"/>
      <c r="E642" s="11">
        <v>640</v>
      </c>
      <c r="F642" s="8"/>
      <c r="G642" s="8"/>
      <c r="H642" s="9"/>
      <c r="I642" s="10"/>
      <c r="J642" s="9"/>
      <c r="K642" s="10"/>
      <c r="L642" s="8"/>
      <c r="M642" s="8"/>
      <c r="N642" s="10"/>
      <c r="O642" s="10"/>
    </row>
    <row r="643" spans="1:15" x14ac:dyDescent="0.25">
      <c r="A643" s="7"/>
      <c r="B643" s="7"/>
      <c r="C643" s="7"/>
      <c r="D643" s="7"/>
      <c r="E643" s="11">
        <v>641</v>
      </c>
      <c r="F643" s="8"/>
      <c r="G643" s="8"/>
      <c r="H643" s="9"/>
      <c r="I643" s="10"/>
      <c r="J643" s="9"/>
      <c r="K643" s="10"/>
      <c r="L643" s="8"/>
      <c r="M643" s="8"/>
      <c r="N643" s="10"/>
      <c r="O643" s="10"/>
    </row>
    <row r="644" spans="1:15" x14ac:dyDescent="0.25">
      <c r="A644" s="7"/>
      <c r="B644" s="7"/>
      <c r="C644" s="7"/>
      <c r="D644" s="7"/>
      <c r="E644" s="11">
        <v>642</v>
      </c>
      <c r="F644" s="8"/>
      <c r="G644" s="8"/>
      <c r="H644" s="9"/>
      <c r="I644" s="10"/>
      <c r="J644" s="9"/>
      <c r="K644" s="10"/>
      <c r="L644" s="8"/>
      <c r="M644" s="8"/>
      <c r="N644" s="10"/>
      <c r="O644" s="10"/>
    </row>
    <row r="645" spans="1:15" x14ac:dyDescent="0.25">
      <c r="A645" s="7"/>
      <c r="B645" s="7"/>
      <c r="C645" s="7"/>
      <c r="D645" s="7"/>
      <c r="E645" s="11">
        <v>643</v>
      </c>
      <c r="F645" s="8"/>
      <c r="G645" s="8"/>
      <c r="H645" s="9"/>
      <c r="I645" s="10"/>
      <c r="J645" s="9"/>
      <c r="K645" s="10"/>
      <c r="L645" s="8"/>
      <c r="M645" s="8"/>
      <c r="N645" s="10"/>
      <c r="O645" s="10"/>
    </row>
    <row r="646" spans="1:15" x14ac:dyDescent="0.25">
      <c r="A646" s="7"/>
      <c r="B646" s="7"/>
      <c r="C646" s="7"/>
      <c r="D646" s="7"/>
      <c r="E646" s="11">
        <v>644</v>
      </c>
      <c r="F646" s="8"/>
      <c r="G646" s="8"/>
      <c r="H646" s="9"/>
      <c r="I646" s="10"/>
      <c r="J646" s="9"/>
      <c r="K646" s="10"/>
      <c r="L646" s="8"/>
      <c r="M646" s="8"/>
      <c r="N646" s="10"/>
      <c r="O646" s="10"/>
    </row>
    <row r="647" spans="1:15" x14ac:dyDescent="0.25">
      <c r="A647" s="7"/>
      <c r="B647" s="7"/>
      <c r="C647" s="7"/>
      <c r="D647" s="7"/>
      <c r="E647" s="11">
        <v>645</v>
      </c>
      <c r="F647" s="8"/>
      <c r="G647" s="8"/>
      <c r="H647" s="9"/>
      <c r="I647" s="10"/>
      <c r="J647" s="9"/>
      <c r="K647" s="10"/>
      <c r="L647" s="8"/>
      <c r="M647" s="8"/>
      <c r="N647" s="10"/>
      <c r="O647" s="10"/>
    </row>
    <row r="648" spans="1:15" x14ac:dyDescent="0.25">
      <c r="A648" s="7"/>
      <c r="B648" s="7"/>
      <c r="C648" s="7"/>
      <c r="D648" s="7"/>
      <c r="E648" s="11">
        <v>646</v>
      </c>
      <c r="F648" s="8"/>
      <c r="G648" s="8"/>
      <c r="H648" s="9"/>
      <c r="I648" s="10"/>
      <c r="J648" s="9"/>
      <c r="K648" s="10"/>
      <c r="L648" s="8"/>
      <c r="M648" s="8"/>
      <c r="N648" s="10"/>
      <c r="O648" s="10"/>
    </row>
    <row r="649" spans="1:15" x14ac:dyDescent="0.25">
      <c r="A649" s="7"/>
      <c r="B649" s="7"/>
      <c r="C649" s="7"/>
      <c r="D649" s="7"/>
      <c r="E649" s="11">
        <v>647</v>
      </c>
      <c r="F649" s="8"/>
      <c r="G649" s="8"/>
      <c r="H649" s="9"/>
      <c r="I649" s="10"/>
      <c r="J649" s="9"/>
      <c r="K649" s="10"/>
      <c r="L649" s="8"/>
      <c r="M649" s="8"/>
      <c r="N649" s="10"/>
      <c r="O649" s="10"/>
    </row>
    <row r="650" spans="1:15" x14ac:dyDescent="0.25">
      <c r="A650" s="7"/>
      <c r="B650" s="7"/>
      <c r="C650" s="7"/>
      <c r="D650" s="7"/>
      <c r="E650" s="11">
        <v>648</v>
      </c>
      <c r="F650" s="8"/>
      <c r="G650" s="8"/>
      <c r="H650" s="9"/>
      <c r="I650" s="10"/>
      <c r="J650" s="9"/>
      <c r="K650" s="10"/>
      <c r="L650" s="8"/>
      <c r="M650" s="8"/>
      <c r="N650" s="10"/>
      <c r="O650" s="10"/>
    </row>
    <row r="651" spans="1:15" x14ac:dyDescent="0.25">
      <c r="A651" s="7"/>
      <c r="B651" s="7"/>
      <c r="C651" s="7"/>
      <c r="D651" s="7"/>
      <c r="E651" s="11">
        <v>649</v>
      </c>
      <c r="F651" s="8"/>
      <c r="G651" s="8"/>
      <c r="H651" s="9"/>
      <c r="I651" s="10"/>
      <c r="J651" s="9"/>
      <c r="K651" s="10"/>
      <c r="L651" s="8"/>
      <c r="M651" s="8"/>
      <c r="N651" s="10"/>
      <c r="O651" s="10"/>
    </row>
    <row r="652" spans="1:15" x14ac:dyDescent="0.25">
      <c r="A652" s="7"/>
      <c r="B652" s="7"/>
      <c r="C652" s="7"/>
      <c r="D652" s="7"/>
      <c r="E652" s="11">
        <v>650</v>
      </c>
      <c r="F652" s="8"/>
      <c r="G652" s="8"/>
      <c r="H652" s="9"/>
      <c r="I652" s="10"/>
      <c r="J652" s="9"/>
      <c r="K652" s="10"/>
      <c r="L652" s="8"/>
      <c r="M652" s="8"/>
      <c r="N652" s="10"/>
      <c r="O652" s="10"/>
    </row>
    <row r="653" spans="1:15" x14ac:dyDescent="0.25">
      <c r="A653" s="7"/>
      <c r="B653" s="7"/>
      <c r="C653" s="7"/>
      <c r="D653" s="7"/>
      <c r="E653" s="11">
        <v>651</v>
      </c>
      <c r="F653" s="8"/>
      <c r="G653" s="8"/>
      <c r="H653" s="9"/>
      <c r="I653" s="10"/>
      <c r="J653" s="9"/>
      <c r="K653" s="10"/>
      <c r="L653" s="8"/>
      <c r="M653" s="8"/>
      <c r="N653" s="10"/>
      <c r="O653" s="10"/>
    </row>
    <row r="654" spans="1:15" x14ac:dyDescent="0.25">
      <c r="A654" s="7"/>
      <c r="B654" s="7"/>
      <c r="C654" s="7"/>
      <c r="D654" s="7"/>
      <c r="E654" s="11">
        <v>652</v>
      </c>
      <c r="F654" s="8"/>
      <c r="G654" s="8"/>
      <c r="H654" s="9"/>
      <c r="I654" s="10"/>
      <c r="J654" s="9"/>
      <c r="K654" s="10"/>
      <c r="L654" s="8"/>
      <c r="M654" s="8"/>
      <c r="N654" s="10"/>
      <c r="O654" s="10"/>
    </row>
    <row r="655" spans="1:15" x14ac:dyDescent="0.25">
      <c r="A655" s="7"/>
      <c r="B655" s="7"/>
      <c r="C655" s="7"/>
      <c r="D655" s="7"/>
      <c r="E655" s="11">
        <v>653</v>
      </c>
      <c r="F655" s="8"/>
      <c r="G655" s="8"/>
      <c r="H655" s="9"/>
      <c r="I655" s="10"/>
      <c r="J655" s="9"/>
      <c r="K655" s="10"/>
      <c r="L655" s="8"/>
      <c r="M655" s="8"/>
      <c r="N655" s="10"/>
      <c r="O655" s="10"/>
    </row>
    <row r="656" spans="1:15" x14ac:dyDescent="0.25">
      <c r="A656" s="7"/>
      <c r="B656" s="7"/>
      <c r="C656" s="7"/>
      <c r="D656" s="7"/>
      <c r="E656" s="11">
        <v>654</v>
      </c>
      <c r="F656" s="8"/>
      <c r="G656" s="8"/>
      <c r="H656" s="9"/>
      <c r="I656" s="10"/>
      <c r="J656" s="9"/>
      <c r="K656" s="10"/>
      <c r="L656" s="8"/>
      <c r="M656" s="8"/>
      <c r="N656" s="10"/>
      <c r="O656" s="10"/>
    </row>
    <row r="657" spans="1:15" x14ac:dyDescent="0.25">
      <c r="A657" s="7"/>
      <c r="B657" s="7"/>
      <c r="C657" s="7"/>
      <c r="D657" s="7"/>
      <c r="E657" s="11">
        <v>655</v>
      </c>
      <c r="F657" s="8"/>
      <c r="G657" s="8"/>
      <c r="H657" s="9"/>
      <c r="I657" s="10"/>
      <c r="J657" s="9"/>
      <c r="K657" s="10"/>
      <c r="L657" s="8"/>
      <c r="M657" s="8"/>
      <c r="N657" s="10"/>
      <c r="O657" s="10"/>
    </row>
    <row r="658" spans="1:15" x14ac:dyDescent="0.25">
      <c r="A658" s="7"/>
      <c r="B658" s="7"/>
      <c r="C658" s="7"/>
      <c r="D658" s="7"/>
      <c r="E658" s="11">
        <v>656</v>
      </c>
      <c r="F658" s="8"/>
      <c r="G658" s="8"/>
      <c r="H658" s="9"/>
      <c r="I658" s="10"/>
      <c r="J658" s="9"/>
      <c r="K658" s="10"/>
      <c r="L658" s="8"/>
      <c r="M658" s="8"/>
      <c r="N658" s="10"/>
      <c r="O658" s="10"/>
    </row>
    <row r="659" spans="1:15" x14ac:dyDescent="0.25">
      <c r="A659" s="7"/>
      <c r="B659" s="7"/>
      <c r="C659" s="7"/>
      <c r="D659" s="7"/>
      <c r="E659" s="11">
        <v>657</v>
      </c>
      <c r="F659" s="8"/>
      <c r="G659" s="8"/>
      <c r="H659" s="9"/>
      <c r="I659" s="10"/>
      <c r="J659" s="9"/>
      <c r="K659" s="10"/>
      <c r="L659" s="8"/>
      <c r="M659" s="8"/>
      <c r="N659" s="10"/>
      <c r="O659" s="10"/>
    </row>
    <row r="660" spans="1:15" x14ac:dyDescent="0.25">
      <c r="A660" s="7"/>
      <c r="B660" s="7"/>
      <c r="C660" s="7"/>
      <c r="D660" s="7"/>
      <c r="E660" s="11">
        <v>658</v>
      </c>
      <c r="F660" s="8"/>
      <c r="G660" s="8"/>
      <c r="H660" s="9"/>
      <c r="I660" s="10"/>
      <c r="J660" s="9"/>
      <c r="K660" s="10"/>
      <c r="L660" s="8"/>
      <c r="M660" s="8"/>
      <c r="N660" s="10"/>
      <c r="O660" s="10"/>
    </row>
    <row r="661" spans="1:15" x14ac:dyDescent="0.25">
      <c r="A661" s="7"/>
      <c r="B661" s="7"/>
      <c r="C661" s="7"/>
      <c r="D661" s="7"/>
      <c r="E661" s="11">
        <v>659</v>
      </c>
      <c r="F661" s="8"/>
      <c r="G661" s="8"/>
      <c r="H661" s="9"/>
      <c r="I661" s="10"/>
      <c r="J661" s="9"/>
      <c r="K661" s="10"/>
      <c r="L661" s="8"/>
      <c r="M661" s="8"/>
      <c r="N661" s="10"/>
      <c r="O661" s="10"/>
    </row>
    <row r="662" spans="1:15" x14ac:dyDescent="0.25">
      <c r="A662" s="7"/>
      <c r="B662" s="7"/>
      <c r="C662" s="7"/>
      <c r="D662" s="7"/>
      <c r="E662" s="11">
        <v>660</v>
      </c>
      <c r="F662" s="8"/>
      <c r="G662" s="8"/>
      <c r="H662" s="9"/>
      <c r="I662" s="10"/>
      <c r="J662" s="9"/>
      <c r="K662" s="10"/>
      <c r="L662" s="8"/>
      <c r="M662" s="8"/>
      <c r="N662" s="10"/>
      <c r="O662" s="10"/>
    </row>
    <row r="663" spans="1:15" x14ac:dyDescent="0.25">
      <c r="A663" s="7"/>
      <c r="B663" s="7"/>
      <c r="C663" s="7"/>
      <c r="D663" s="7"/>
      <c r="E663" s="11">
        <v>661</v>
      </c>
      <c r="F663" s="8"/>
      <c r="G663" s="8"/>
      <c r="H663" s="9"/>
      <c r="I663" s="10"/>
      <c r="J663" s="9"/>
      <c r="K663" s="10"/>
      <c r="L663" s="8"/>
      <c r="M663" s="8"/>
      <c r="N663" s="10"/>
      <c r="O663" s="10"/>
    </row>
    <row r="664" spans="1:15" x14ac:dyDescent="0.25">
      <c r="A664" s="7"/>
      <c r="B664" s="7"/>
      <c r="C664" s="7"/>
      <c r="D664" s="7"/>
      <c r="E664" s="11">
        <v>662</v>
      </c>
      <c r="F664" s="8"/>
      <c r="G664" s="8"/>
      <c r="H664" s="9"/>
      <c r="I664" s="10"/>
      <c r="J664" s="9"/>
      <c r="K664" s="10"/>
      <c r="L664" s="8"/>
      <c r="M664" s="8"/>
      <c r="N664" s="10"/>
      <c r="O664" s="10"/>
    </row>
    <row r="665" spans="1:15" x14ac:dyDescent="0.25">
      <c r="A665" s="7"/>
      <c r="B665" s="7"/>
      <c r="C665" s="7"/>
      <c r="D665" s="7"/>
      <c r="E665" s="11">
        <v>663</v>
      </c>
      <c r="F665" s="8"/>
      <c r="G665" s="8"/>
      <c r="H665" s="9"/>
      <c r="I665" s="10"/>
      <c r="J665" s="9"/>
      <c r="K665" s="10"/>
      <c r="L665" s="8"/>
      <c r="M665" s="8"/>
      <c r="N665" s="10"/>
      <c r="O665" s="10"/>
    </row>
    <row r="666" spans="1:15" x14ac:dyDescent="0.25">
      <c r="A666" s="7"/>
      <c r="B666" s="7"/>
      <c r="C666" s="7"/>
      <c r="D666" s="7"/>
      <c r="E666" s="11">
        <v>664</v>
      </c>
      <c r="F666" s="8"/>
      <c r="G666" s="8"/>
      <c r="H666" s="9"/>
      <c r="I666" s="10"/>
      <c r="J666" s="9"/>
      <c r="K666" s="10"/>
      <c r="L666" s="8"/>
      <c r="M666" s="8"/>
      <c r="N666" s="10"/>
      <c r="O666" s="10"/>
    </row>
    <row r="667" spans="1:15" x14ac:dyDescent="0.25">
      <c r="A667" s="7"/>
      <c r="B667" s="7"/>
      <c r="C667" s="7"/>
      <c r="D667" s="7"/>
      <c r="E667" s="11">
        <v>665</v>
      </c>
      <c r="F667" s="8"/>
      <c r="G667" s="8"/>
      <c r="H667" s="9"/>
      <c r="I667" s="10"/>
      <c r="J667" s="9"/>
      <c r="K667" s="10"/>
      <c r="L667" s="8"/>
      <c r="M667" s="8"/>
      <c r="N667" s="10"/>
      <c r="O667" s="10"/>
    </row>
    <row r="668" spans="1:15" x14ac:dyDescent="0.25">
      <c r="A668" s="7"/>
      <c r="B668" s="7"/>
      <c r="C668" s="7"/>
      <c r="D668" s="7"/>
      <c r="E668" s="11">
        <v>666</v>
      </c>
      <c r="F668" s="8"/>
      <c r="G668" s="8"/>
      <c r="H668" s="9"/>
      <c r="I668" s="10"/>
      <c r="J668" s="9"/>
      <c r="K668" s="10"/>
      <c r="L668" s="8"/>
      <c r="M668" s="8"/>
      <c r="N668" s="10"/>
      <c r="O668" s="10"/>
    </row>
    <row r="669" spans="1:15" x14ac:dyDescent="0.25">
      <c r="A669" s="7"/>
      <c r="B669" s="7"/>
      <c r="C669" s="7"/>
      <c r="D669" s="7"/>
      <c r="E669" s="11">
        <v>667</v>
      </c>
      <c r="F669" s="8"/>
      <c r="G669" s="8"/>
      <c r="H669" s="9"/>
      <c r="I669" s="10"/>
      <c r="J669" s="9"/>
      <c r="K669" s="10"/>
      <c r="L669" s="8"/>
      <c r="M669" s="8"/>
      <c r="N669" s="10"/>
      <c r="O669" s="10"/>
    </row>
    <row r="670" spans="1:15" x14ac:dyDescent="0.25">
      <c r="A670" s="7"/>
      <c r="B670" s="7"/>
      <c r="C670" s="7"/>
      <c r="D670" s="7"/>
      <c r="E670" s="11">
        <v>668</v>
      </c>
      <c r="F670" s="8"/>
      <c r="G670" s="8"/>
      <c r="H670" s="9"/>
      <c r="I670" s="10"/>
      <c r="J670" s="9"/>
      <c r="K670" s="10"/>
      <c r="L670" s="8"/>
      <c r="M670" s="8"/>
      <c r="N670" s="10"/>
      <c r="O670" s="10"/>
    </row>
    <row r="671" spans="1:15" x14ac:dyDescent="0.25">
      <c r="A671" s="7"/>
      <c r="B671" s="7"/>
      <c r="C671" s="7"/>
      <c r="D671" s="7"/>
      <c r="E671" s="11">
        <v>669</v>
      </c>
      <c r="F671" s="8"/>
      <c r="G671" s="8"/>
      <c r="H671" s="9"/>
      <c r="I671" s="10"/>
      <c r="J671" s="9"/>
      <c r="K671" s="10"/>
      <c r="L671" s="8"/>
      <c r="M671" s="8"/>
      <c r="N671" s="10"/>
      <c r="O671" s="10"/>
    </row>
    <row r="672" spans="1:15" x14ac:dyDescent="0.25">
      <c r="A672" s="7"/>
      <c r="B672" s="7"/>
      <c r="C672" s="7"/>
      <c r="D672" s="7"/>
      <c r="E672" s="11">
        <v>670</v>
      </c>
      <c r="F672" s="8"/>
      <c r="G672" s="8"/>
      <c r="H672" s="9"/>
      <c r="I672" s="10"/>
      <c r="J672" s="9"/>
      <c r="K672" s="10"/>
      <c r="L672" s="8"/>
      <c r="M672" s="8"/>
      <c r="N672" s="10"/>
      <c r="O672" s="10"/>
    </row>
    <row r="673" spans="1:15" x14ac:dyDescent="0.25">
      <c r="A673" s="7"/>
      <c r="B673" s="7"/>
      <c r="C673" s="7"/>
      <c r="D673" s="7"/>
      <c r="E673" s="11">
        <v>671</v>
      </c>
      <c r="F673" s="8"/>
      <c r="G673" s="8"/>
      <c r="H673" s="9"/>
      <c r="I673" s="10"/>
      <c r="J673" s="9"/>
      <c r="K673" s="10"/>
      <c r="L673" s="8"/>
      <c r="M673" s="8"/>
      <c r="N673" s="10"/>
      <c r="O673" s="10"/>
    </row>
    <row r="674" spans="1:15" x14ac:dyDescent="0.25">
      <c r="A674" s="7"/>
      <c r="B674" s="7"/>
      <c r="C674" s="7"/>
      <c r="D674" s="7"/>
      <c r="E674" s="11">
        <v>672</v>
      </c>
      <c r="F674" s="8"/>
      <c r="G674" s="8"/>
      <c r="H674" s="9"/>
      <c r="I674" s="10"/>
      <c r="J674" s="9"/>
      <c r="K674" s="10"/>
      <c r="L674" s="8"/>
      <c r="M674" s="8"/>
      <c r="N674" s="10"/>
      <c r="O674" s="10"/>
    </row>
    <row r="675" spans="1:15" x14ac:dyDescent="0.25">
      <c r="A675" s="7"/>
      <c r="B675" s="7"/>
      <c r="C675" s="7"/>
      <c r="D675" s="7"/>
      <c r="E675" s="11">
        <v>673</v>
      </c>
      <c r="F675" s="8"/>
      <c r="G675" s="8"/>
      <c r="H675" s="9"/>
      <c r="I675" s="10"/>
      <c r="J675" s="9"/>
      <c r="K675" s="10"/>
      <c r="L675" s="8"/>
      <c r="M675" s="8"/>
      <c r="N675" s="10"/>
      <c r="O675" s="10"/>
    </row>
    <row r="676" spans="1:15" x14ac:dyDescent="0.25">
      <c r="A676" s="7"/>
      <c r="B676" s="7"/>
      <c r="C676" s="7"/>
      <c r="D676" s="7"/>
      <c r="E676" s="11">
        <v>674</v>
      </c>
      <c r="F676" s="8"/>
      <c r="G676" s="8"/>
      <c r="H676" s="9"/>
      <c r="I676" s="10"/>
      <c r="J676" s="9"/>
      <c r="K676" s="10"/>
      <c r="L676" s="8"/>
      <c r="M676" s="8"/>
      <c r="N676" s="10"/>
      <c r="O676" s="10"/>
    </row>
    <row r="677" spans="1:15" x14ac:dyDescent="0.25">
      <c r="A677" s="7"/>
      <c r="B677" s="7"/>
      <c r="C677" s="7"/>
      <c r="D677" s="7"/>
      <c r="E677" s="11">
        <v>675</v>
      </c>
      <c r="F677" s="8"/>
      <c r="G677" s="8"/>
      <c r="H677" s="9"/>
      <c r="I677" s="10"/>
      <c r="J677" s="9"/>
      <c r="K677" s="10"/>
      <c r="L677" s="8"/>
      <c r="M677" s="8"/>
      <c r="N677" s="10"/>
      <c r="O677" s="10"/>
    </row>
    <row r="678" spans="1:15" x14ac:dyDescent="0.25">
      <c r="A678" s="7"/>
      <c r="B678" s="7"/>
      <c r="C678" s="7"/>
      <c r="D678" s="7"/>
      <c r="E678" s="11">
        <v>676</v>
      </c>
      <c r="F678" s="8"/>
      <c r="G678" s="8"/>
      <c r="H678" s="9"/>
      <c r="I678" s="10"/>
      <c r="J678" s="9"/>
      <c r="K678" s="10"/>
      <c r="L678" s="8"/>
      <c r="M678" s="8"/>
      <c r="N678" s="10"/>
      <c r="O678" s="10"/>
    </row>
    <row r="679" spans="1:15" x14ac:dyDescent="0.25">
      <c r="A679" s="7"/>
      <c r="B679" s="7"/>
      <c r="C679" s="7"/>
      <c r="D679" s="7"/>
      <c r="E679" s="11">
        <v>677</v>
      </c>
      <c r="F679" s="8"/>
      <c r="G679" s="8"/>
      <c r="H679" s="9"/>
      <c r="I679" s="10"/>
      <c r="J679" s="9"/>
      <c r="K679" s="10"/>
      <c r="L679" s="8"/>
      <c r="M679" s="8"/>
      <c r="N679" s="10"/>
      <c r="O679" s="10"/>
    </row>
    <row r="680" spans="1:15" x14ac:dyDescent="0.25">
      <c r="A680" s="7"/>
      <c r="B680" s="7"/>
      <c r="C680" s="7"/>
      <c r="D680" s="7"/>
      <c r="E680" s="11">
        <v>678</v>
      </c>
      <c r="F680" s="8"/>
      <c r="G680" s="8"/>
      <c r="H680" s="9"/>
      <c r="I680" s="10"/>
      <c r="J680" s="9"/>
      <c r="K680" s="10"/>
      <c r="L680" s="8"/>
      <c r="M680" s="8"/>
      <c r="N680" s="10"/>
      <c r="O680" s="10"/>
    </row>
    <row r="681" spans="1:15" x14ac:dyDescent="0.25">
      <c r="A681" s="7"/>
      <c r="B681" s="7"/>
      <c r="C681" s="7"/>
      <c r="D681" s="7"/>
      <c r="E681" s="11">
        <v>679</v>
      </c>
      <c r="F681" s="8"/>
      <c r="G681" s="8"/>
      <c r="H681" s="9"/>
      <c r="I681" s="10"/>
      <c r="J681" s="9"/>
      <c r="K681" s="10"/>
      <c r="L681" s="8"/>
      <c r="M681" s="8"/>
      <c r="N681" s="10"/>
      <c r="O681" s="10"/>
    </row>
    <row r="682" spans="1:15" x14ac:dyDescent="0.25">
      <c r="A682" s="7"/>
      <c r="B682" s="7"/>
      <c r="C682" s="7"/>
      <c r="D682" s="7"/>
      <c r="E682" s="11">
        <v>680</v>
      </c>
      <c r="F682" s="8"/>
      <c r="G682" s="8"/>
      <c r="H682" s="9"/>
      <c r="I682" s="10"/>
      <c r="J682" s="9"/>
      <c r="K682" s="10"/>
      <c r="L682" s="8"/>
      <c r="M682" s="8"/>
      <c r="N682" s="10"/>
      <c r="O682" s="10"/>
    </row>
    <row r="683" spans="1:15" x14ac:dyDescent="0.25">
      <c r="A683" s="7"/>
      <c r="B683" s="7"/>
      <c r="C683" s="7"/>
      <c r="D683" s="7"/>
      <c r="E683" s="11">
        <v>681</v>
      </c>
      <c r="F683" s="8"/>
      <c r="G683" s="8"/>
      <c r="H683" s="9"/>
      <c r="I683" s="10"/>
      <c r="J683" s="9"/>
      <c r="K683" s="10"/>
      <c r="L683" s="8"/>
      <c r="M683" s="8"/>
      <c r="N683" s="10"/>
      <c r="O683" s="10"/>
    </row>
    <row r="684" spans="1:15" x14ac:dyDescent="0.25">
      <c r="A684" s="7"/>
      <c r="B684" s="7"/>
      <c r="C684" s="7"/>
      <c r="D684" s="7"/>
      <c r="E684" s="11">
        <v>682</v>
      </c>
      <c r="F684" s="8"/>
      <c r="G684" s="8"/>
      <c r="H684" s="9"/>
      <c r="I684" s="10"/>
      <c r="J684" s="9"/>
      <c r="K684" s="10"/>
      <c r="L684" s="8"/>
      <c r="M684" s="8"/>
      <c r="N684" s="10"/>
      <c r="O684" s="10"/>
    </row>
    <row r="685" spans="1:15" x14ac:dyDescent="0.25">
      <c r="A685" s="7"/>
      <c r="B685" s="7"/>
      <c r="C685" s="7"/>
      <c r="D685" s="7"/>
      <c r="E685" s="11">
        <v>683</v>
      </c>
      <c r="F685" s="8"/>
      <c r="G685" s="8"/>
      <c r="H685" s="9"/>
      <c r="I685" s="10"/>
      <c r="J685" s="9"/>
      <c r="K685" s="10"/>
      <c r="L685" s="8"/>
      <c r="M685" s="8"/>
      <c r="N685" s="10"/>
      <c r="O685" s="10"/>
    </row>
    <row r="686" spans="1:15" x14ac:dyDescent="0.25">
      <c r="A686" s="7"/>
      <c r="B686" s="7"/>
      <c r="C686" s="7"/>
      <c r="D686" s="7"/>
      <c r="E686" s="11">
        <v>684</v>
      </c>
      <c r="F686" s="8"/>
      <c r="G686" s="8"/>
      <c r="H686" s="9"/>
      <c r="I686" s="10"/>
      <c r="J686" s="9"/>
      <c r="K686" s="10"/>
      <c r="L686" s="8"/>
      <c r="M686" s="8"/>
      <c r="N686" s="10"/>
      <c r="O686" s="10"/>
    </row>
    <row r="687" spans="1:15" x14ac:dyDescent="0.25">
      <c r="A687" s="7"/>
      <c r="B687" s="7"/>
      <c r="C687" s="7"/>
      <c r="D687" s="7"/>
      <c r="E687" s="11">
        <v>685</v>
      </c>
      <c r="F687" s="8"/>
      <c r="G687" s="8"/>
      <c r="H687" s="9"/>
      <c r="I687" s="10"/>
      <c r="J687" s="9"/>
      <c r="K687" s="10"/>
      <c r="L687" s="8"/>
      <c r="M687" s="8"/>
      <c r="N687" s="10"/>
      <c r="O687" s="10"/>
    </row>
    <row r="688" spans="1:15" x14ac:dyDescent="0.25">
      <c r="A688" s="7"/>
      <c r="B688" s="7"/>
      <c r="C688" s="7"/>
      <c r="D688" s="7"/>
      <c r="E688" s="11">
        <v>686</v>
      </c>
      <c r="F688" s="8"/>
      <c r="G688" s="8"/>
      <c r="H688" s="9"/>
      <c r="I688" s="10"/>
      <c r="J688" s="9"/>
      <c r="K688" s="10"/>
      <c r="L688" s="8"/>
      <c r="M688" s="8"/>
      <c r="N688" s="10"/>
      <c r="O688" s="10"/>
    </row>
    <row r="689" spans="1:15" x14ac:dyDescent="0.25">
      <c r="A689" s="7"/>
      <c r="B689" s="7"/>
      <c r="C689" s="7"/>
      <c r="D689" s="7"/>
      <c r="E689" s="11">
        <v>687</v>
      </c>
      <c r="F689" s="8"/>
      <c r="G689" s="8"/>
      <c r="H689" s="9"/>
      <c r="I689" s="10"/>
      <c r="J689" s="9"/>
      <c r="K689" s="10"/>
      <c r="L689" s="8"/>
      <c r="M689" s="8"/>
      <c r="N689" s="10"/>
      <c r="O689" s="10"/>
    </row>
    <row r="690" spans="1:15" x14ac:dyDescent="0.25">
      <c r="A690" s="7"/>
      <c r="B690" s="7"/>
      <c r="C690" s="7"/>
      <c r="D690" s="7"/>
      <c r="E690" s="11">
        <v>688</v>
      </c>
      <c r="F690" s="8"/>
      <c r="G690" s="8"/>
      <c r="H690" s="9"/>
      <c r="I690" s="10"/>
      <c r="J690" s="9"/>
      <c r="K690" s="10"/>
      <c r="L690" s="8"/>
      <c r="M690" s="8"/>
      <c r="N690" s="10"/>
      <c r="O690" s="10"/>
    </row>
    <row r="691" spans="1:15" x14ac:dyDescent="0.25">
      <c r="A691" s="7"/>
      <c r="B691" s="7"/>
      <c r="C691" s="7"/>
      <c r="D691" s="7"/>
      <c r="E691" s="11">
        <v>689</v>
      </c>
      <c r="F691" s="8"/>
      <c r="G691" s="8"/>
      <c r="H691" s="9"/>
      <c r="I691" s="10"/>
      <c r="J691" s="9"/>
      <c r="K691" s="10"/>
      <c r="L691" s="8"/>
      <c r="M691" s="8"/>
      <c r="N691" s="10"/>
      <c r="O691" s="10"/>
    </row>
    <row r="692" spans="1:15" x14ac:dyDescent="0.25">
      <c r="A692" s="7"/>
      <c r="B692" s="7"/>
      <c r="C692" s="7"/>
      <c r="D692" s="7"/>
      <c r="E692" s="11">
        <v>690</v>
      </c>
      <c r="F692" s="8"/>
      <c r="G692" s="8"/>
      <c r="H692" s="9"/>
      <c r="I692" s="10"/>
      <c r="J692" s="9"/>
      <c r="K692" s="10"/>
      <c r="L692" s="8"/>
      <c r="M692" s="8"/>
      <c r="N692" s="10"/>
      <c r="O692" s="10"/>
    </row>
    <row r="693" spans="1:15" x14ac:dyDescent="0.25">
      <c r="A693" s="7"/>
      <c r="B693" s="7"/>
      <c r="C693" s="7"/>
      <c r="D693" s="7"/>
      <c r="E693" s="11">
        <v>691</v>
      </c>
      <c r="F693" s="8"/>
      <c r="G693" s="8"/>
      <c r="H693" s="9"/>
      <c r="I693" s="10"/>
      <c r="J693" s="9"/>
      <c r="K693" s="10"/>
      <c r="L693" s="8"/>
      <c r="M693" s="8"/>
      <c r="N693" s="10"/>
      <c r="O693" s="10"/>
    </row>
    <row r="694" spans="1:15" x14ac:dyDescent="0.25">
      <c r="A694" s="7"/>
      <c r="B694" s="7"/>
      <c r="C694" s="7"/>
      <c r="D694" s="7"/>
      <c r="E694" s="11">
        <v>692</v>
      </c>
      <c r="F694" s="8"/>
      <c r="G694" s="8"/>
      <c r="H694" s="9"/>
      <c r="I694" s="10"/>
      <c r="J694" s="9"/>
      <c r="K694" s="10"/>
      <c r="L694" s="8"/>
      <c r="M694" s="8"/>
      <c r="N694" s="10"/>
      <c r="O694" s="10"/>
    </row>
    <row r="695" spans="1:15" x14ac:dyDescent="0.25">
      <c r="A695" s="7"/>
      <c r="B695" s="7"/>
      <c r="C695" s="7"/>
      <c r="D695" s="7"/>
      <c r="E695" s="11">
        <v>693</v>
      </c>
      <c r="F695" s="8"/>
      <c r="G695" s="8"/>
      <c r="H695" s="9"/>
      <c r="I695" s="10"/>
      <c r="J695" s="9"/>
      <c r="K695" s="10"/>
      <c r="L695" s="8"/>
      <c r="M695" s="8"/>
      <c r="N695" s="10"/>
      <c r="O695" s="10"/>
    </row>
    <row r="696" spans="1:15" x14ac:dyDescent="0.25">
      <c r="A696" s="7"/>
      <c r="B696" s="7"/>
      <c r="C696" s="7"/>
      <c r="D696" s="7"/>
      <c r="E696" s="11">
        <v>694</v>
      </c>
      <c r="F696" s="8"/>
      <c r="G696" s="8"/>
      <c r="H696" s="9"/>
      <c r="I696" s="10"/>
      <c r="J696" s="9"/>
      <c r="K696" s="10"/>
      <c r="L696" s="8"/>
      <c r="M696" s="8"/>
      <c r="N696" s="10"/>
      <c r="O696" s="10"/>
    </row>
    <row r="697" spans="1:15" x14ac:dyDescent="0.25">
      <c r="A697" s="7"/>
      <c r="B697" s="7"/>
      <c r="C697" s="7"/>
      <c r="D697" s="7"/>
      <c r="E697" s="11">
        <v>695</v>
      </c>
      <c r="F697" s="8"/>
      <c r="G697" s="8"/>
      <c r="H697" s="9"/>
      <c r="I697" s="10"/>
      <c r="J697" s="9"/>
      <c r="K697" s="10"/>
      <c r="L697" s="8"/>
      <c r="M697" s="8"/>
      <c r="N697" s="10"/>
      <c r="O697" s="10"/>
    </row>
    <row r="698" spans="1:15" x14ac:dyDescent="0.25">
      <c r="A698" s="7"/>
      <c r="B698" s="7"/>
      <c r="C698" s="7"/>
      <c r="D698" s="7"/>
      <c r="E698" s="11">
        <v>696</v>
      </c>
      <c r="F698" s="8"/>
      <c r="G698" s="8"/>
      <c r="H698" s="9"/>
      <c r="I698" s="10"/>
      <c r="J698" s="9"/>
      <c r="K698" s="10"/>
      <c r="L698" s="8"/>
      <c r="M698" s="8"/>
      <c r="N698" s="10"/>
      <c r="O698" s="10"/>
    </row>
    <row r="699" spans="1:15" x14ac:dyDescent="0.25">
      <c r="A699" s="7"/>
      <c r="B699" s="7"/>
      <c r="C699" s="7"/>
      <c r="D699" s="7"/>
      <c r="E699" s="11">
        <v>697</v>
      </c>
      <c r="F699" s="8"/>
      <c r="G699" s="8"/>
      <c r="H699" s="9"/>
      <c r="I699" s="10"/>
      <c r="J699" s="9"/>
      <c r="K699" s="10"/>
      <c r="L699" s="8"/>
      <c r="M699" s="8"/>
      <c r="N699" s="10"/>
      <c r="O699" s="10"/>
    </row>
    <row r="700" spans="1:15" x14ac:dyDescent="0.25">
      <c r="A700" s="7"/>
      <c r="B700" s="7"/>
      <c r="C700" s="7"/>
      <c r="D700" s="7"/>
      <c r="E700" s="11">
        <v>698</v>
      </c>
      <c r="F700" s="8"/>
      <c r="G700" s="8"/>
      <c r="H700" s="9"/>
      <c r="I700" s="10"/>
      <c r="J700" s="9"/>
      <c r="K700" s="10"/>
      <c r="L700" s="8"/>
      <c r="M700" s="8"/>
      <c r="N700" s="10"/>
      <c r="O700" s="10"/>
    </row>
    <row r="701" spans="1:15" x14ac:dyDescent="0.25">
      <c r="A701" s="7"/>
      <c r="B701" s="7"/>
      <c r="C701" s="7"/>
      <c r="D701" s="7"/>
      <c r="E701" s="11">
        <v>699</v>
      </c>
      <c r="F701" s="8"/>
      <c r="G701" s="8"/>
      <c r="H701" s="9"/>
      <c r="I701" s="10"/>
      <c r="J701" s="9"/>
      <c r="K701" s="10"/>
      <c r="L701" s="8"/>
      <c r="M701" s="8"/>
      <c r="N701" s="10"/>
      <c r="O701" s="10"/>
    </row>
    <row r="702" spans="1:15" x14ac:dyDescent="0.25">
      <c r="A702" s="7"/>
      <c r="B702" s="7"/>
      <c r="C702" s="7"/>
      <c r="D702" s="7"/>
      <c r="E702" s="11">
        <v>700</v>
      </c>
      <c r="F702" s="8"/>
      <c r="G702" s="8"/>
      <c r="H702" s="9"/>
      <c r="I702" s="10"/>
      <c r="J702" s="9"/>
      <c r="K702" s="10"/>
      <c r="L702" s="8"/>
      <c r="M702" s="8"/>
      <c r="N702" s="10"/>
      <c r="O702" s="10"/>
    </row>
    <row r="703" spans="1:15" x14ac:dyDescent="0.25">
      <c r="A703" s="7"/>
      <c r="B703" s="7"/>
      <c r="C703" s="7"/>
      <c r="D703" s="7"/>
      <c r="E703" s="11">
        <v>701</v>
      </c>
      <c r="F703" s="8"/>
      <c r="G703" s="8"/>
      <c r="H703" s="9"/>
      <c r="I703" s="10"/>
      <c r="J703" s="9"/>
      <c r="K703" s="10"/>
      <c r="L703" s="8"/>
      <c r="M703" s="8"/>
      <c r="N703" s="10"/>
      <c r="O703" s="10"/>
    </row>
    <row r="704" spans="1:15" x14ac:dyDescent="0.25">
      <c r="A704" s="7"/>
      <c r="B704" s="7"/>
      <c r="C704" s="7"/>
      <c r="D704" s="7"/>
      <c r="E704" s="11">
        <v>702</v>
      </c>
      <c r="F704" s="8"/>
      <c r="G704" s="8"/>
      <c r="H704" s="9"/>
      <c r="I704" s="10"/>
      <c r="J704" s="9"/>
      <c r="K704" s="10"/>
      <c r="L704" s="8"/>
      <c r="M704" s="8"/>
      <c r="N704" s="10"/>
      <c r="O704" s="10"/>
    </row>
    <row r="705" spans="1:15" x14ac:dyDescent="0.25">
      <c r="A705" s="7"/>
      <c r="B705" s="7"/>
      <c r="C705" s="7"/>
      <c r="D705" s="7"/>
      <c r="E705" s="11">
        <v>703</v>
      </c>
      <c r="F705" s="8"/>
      <c r="G705" s="8"/>
      <c r="H705" s="9"/>
      <c r="I705" s="10"/>
      <c r="J705" s="9"/>
      <c r="K705" s="10"/>
      <c r="L705" s="8"/>
      <c r="M705" s="8"/>
      <c r="N705" s="10"/>
      <c r="O705" s="10"/>
    </row>
    <row r="706" spans="1:15" x14ac:dyDescent="0.25">
      <c r="A706" s="7"/>
      <c r="B706" s="7"/>
      <c r="C706" s="7"/>
      <c r="D706" s="7"/>
      <c r="E706" s="11">
        <v>704</v>
      </c>
      <c r="F706" s="8"/>
      <c r="G706" s="8"/>
      <c r="H706" s="9"/>
      <c r="I706" s="10"/>
      <c r="J706" s="9"/>
      <c r="K706" s="10"/>
      <c r="L706" s="8"/>
      <c r="M706" s="8"/>
      <c r="N706" s="10"/>
      <c r="O706" s="10"/>
    </row>
    <row r="707" spans="1:15" x14ac:dyDescent="0.25">
      <c r="A707" s="7"/>
      <c r="B707" s="7"/>
      <c r="C707" s="7"/>
      <c r="D707" s="7"/>
      <c r="E707" s="11">
        <v>705</v>
      </c>
      <c r="F707" s="8"/>
      <c r="G707" s="8"/>
      <c r="H707" s="9"/>
      <c r="I707" s="10"/>
      <c r="J707" s="9"/>
      <c r="K707" s="10"/>
      <c r="L707" s="8"/>
      <c r="M707" s="8"/>
      <c r="N707" s="10"/>
      <c r="O707" s="10"/>
    </row>
    <row r="708" spans="1:15" x14ac:dyDescent="0.25">
      <c r="A708" s="7"/>
      <c r="B708" s="7"/>
      <c r="C708" s="7"/>
      <c r="D708" s="7"/>
      <c r="E708" s="11">
        <v>706</v>
      </c>
      <c r="F708" s="8"/>
      <c r="G708" s="8"/>
      <c r="H708" s="9"/>
      <c r="I708" s="10"/>
      <c r="J708" s="9"/>
      <c r="K708" s="10"/>
      <c r="L708" s="8"/>
      <c r="M708" s="8"/>
      <c r="N708" s="10"/>
      <c r="O708" s="10"/>
    </row>
    <row r="709" spans="1:15" x14ac:dyDescent="0.25">
      <c r="A709" s="7"/>
      <c r="B709" s="7"/>
      <c r="C709" s="7"/>
      <c r="D709" s="7"/>
      <c r="E709" s="11">
        <v>707</v>
      </c>
      <c r="F709" s="8"/>
      <c r="G709" s="8"/>
      <c r="H709" s="9"/>
      <c r="I709" s="10"/>
      <c r="J709" s="9"/>
      <c r="K709" s="10"/>
      <c r="L709" s="8"/>
      <c r="M709" s="8"/>
      <c r="N709" s="10"/>
      <c r="O709" s="10"/>
    </row>
    <row r="710" spans="1:15" x14ac:dyDescent="0.25">
      <c r="A710" s="7"/>
      <c r="B710" s="7"/>
      <c r="C710" s="7"/>
      <c r="D710" s="7"/>
      <c r="E710" s="11">
        <v>708</v>
      </c>
      <c r="F710" s="8"/>
      <c r="G710" s="8"/>
      <c r="H710" s="9"/>
      <c r="I710" s="10"/>
      <c r="J710" s="9"/>
      <c r="K710" s="10"/>
      <c r="L710" s="8"/>
      <c r="M710" s="8"/>
      <c r="N710" s="10"/>
      <c r="O710" s="10"/>
    </row>
    <row r="711" spans="1:15" x14ac:dyDescent="0.25">
      <c r="A711" s="7"/>
      <c r="B711" s="7"/>
      <c r="C711" s="7"/>
      <c r="D711" s="7"/>
      <c r="E711" s="11">
        <v>709</v>
      </c>
      <c r="F711" s="8"/>
      <c r="G711" s="8"/>
      <c r="H711" s="9"/>
      <c r="I711" s="10"/>
      <c r="J711" s="9"/>
      <c r="K711" s="10"/>
      <c r="L711" s="8"/>
      <c r="M711" s="8"/>
      <c r="N711" s="10"/>
      <c r="O711" s="10"/>
    </row>
    <row r="712" spans="1:15" x14ac:dyDescent="0.25">
      <c r="A712" s="7"/>
      <c r="B712" s="7"/>
      <c r="C712" s="7"/>
      <c r="D712" s="7"/>
      <c r="E712" s="11">
        <v>710</v>
      </c>
      <c r="F712" s="8"/>
      <c r="G712" s="8"/>
      <c r="H712" s="9"/>
      <c r="I712" s="10"/>
      <c r="J712" s="9"/>
      <c r="K712" s="10"/>
      <c r="L712" s="8"/>
      <c r="M712" s="8"/>
      <c r="N712" s="10"/>
      <c r="O712" s="10"/>
    </row>
    <row r="713" spans="1:15" x14ac:dyDescent="0.25">
      <c r="A713" s="7"/>
      <c r="B713" s="7"/>
      <c r="C713" s="7"/>
      <c r="D713" s="7"/>
      <c r="E713" s="11">
        <v>711</v>
      </c>
      <c r="F713" s="8"/>
      <c r="G713" s="8"/>
      <c r="H713" s="9"/>
      <c r="I713" s="10"/>
      <c r="J713" s="9"/>
      <c r="K713" s="10"/>
      <c r="L713" s="8"/>
      <c r="M713" s="8"/>
      <c r="N713" s="10"/>
      <c r="O713" s="10"/>
    </row>
    <row r="714" spans="1:15" x14ac:dyDescent="0.25">
      <c r="A714" s="7"/>
      <c r="B714" s="7"/>
      <c r="C714" s="7"/>
      <c r="D714" s="7"/>
      <c r="E714" s="11">
        <v>712</v>
      </c>
      <c r="F714" s="8"/>
      <c r="G714" s="8"/>
      <c r="H714" s="9"/>
      <c r="I714" s="10"/>
      <c r="J714" s="9"/>
      <c r="K714" s="10"/>
      <c r="L714" s="8"/>
      <c r="M714" s="8"/>
      <c r="N714" s="10"/>
      <c r="O714" s="10"/>
    </row>
    <row r="715" spans="1:15" x14ac:dyDescent="0.25">
      <c r="A715" s="7"/>
      <c r="B715" s="7"/>
      <c r="C715" s="7"/>
      <c r="D715" s="7"/>
      <c r="E715" s="11">
        <v>713</v>
      </c>
      <c r="F715" s="8"/>
      <c r="G715" s="8"/>
      <c r="H715" s="9"/>
      <c r="I715" s="10"/>
      <c r="J715" s="9"/>
      <c r="K715" s="10"/>
      <c r="L715" s="8"/>
      <c r="M715" s="8"/>
      <c r="N715" s="10"/>
      <c r="O715" s="10"/>
    </row>
    <row r="716" spans="1:15" x14ac:dyDescent="0.25">
      <c r="A716" s="7"/>
      <c r="B716" s="7"/>
      <c r="C716" s="7"/>
      <c r="D716" s="7"/>
      <c r="E716" s="11">
        <v>714</v>
      </c>
      <c r="F716" s="8"/>
      <c r="G716" s="8"/>
      <c r="H716" s="9"/>
      <c r="I716" s="10"/>
      <c r="J716" s="9"/>
      <c r="K716" s="10"/>
      <c r="L716" s="8"/>
      <c r="M716" s="8"/>
      <c r="N716" s="10"/>
      <c r="O716" s="10"/>
    </row>
    <row r="717" spans="1:15" x14ac:dyDescent="0.25">
      <c r="A717" s="7"/>
      <c r="B717" s="7"/>
      <c r="C717" s="7"/>
      <c r="D717" s="7"/>
      <c r="E717" s="11">
        <v>715</v>
      </c>
      <c r="F717" s="8"/>
      <c r="G717" s="8"/>
      <c r="H717" s="9"/>
      <c r="I717" s="10"/>
      <c r="J717" s="9"/>
      <c r="K717" s="10"/>
      <c r="L717" s="8"/>
      <c r="M717" s="8"/>
      <c r="N717" s="10"/>
      <c r="O717" s="10"/>
    </row>
    <row r="718" spans="1:15" x14ac:dyDescent="0.25">
      <c r="A718" s="7"/>
      <c r="B718" s="7"/>
      <c r="C718" s="7"/>
      <c r="D718" s="7"/>
      <c r="E718" s="11">
        <v>716</v>
      </c>
      <c r="F718" s="8"/>
      <c r="G718" s="8"/>
      <c r="H718" s="9"/>
      <c r="I718" s="10"/>
      <c r="J718" s="9"/>
      <c r="K718" s="10"/>
      <c r="L718" s="8"/>
      <c r="M718" s="8"/>
      <c r="N718" s="10"/>
      <c r="O718" s="10"/>
    </row>
    <row r="719" spans="1:15" x14ac:dyDescent="0.25">
      <c r="A719" s="7"/>
      <c r="B719" s="7"/>
      <c r="C719" s="7"/>
      <c r="D719" s="7"/>
      <c r="E719" s="11">
        <v>717</v>
      </c>
      <c r="F719" s="8"/>
      <c r="G719" s="8"/>
      <c r="H719" s="9"/>
      <c r="I719" s="10"/>
      <c r="J719" s="9"/>
      <c r="K719" s="10"/>
      <c r="L719" s="8"/>
      <c r="M719" s="8"/>
      <c r="N719" s="10"/>
      <c r="O719" s="10"/>
    </row>
    <row r="720" spans="1:15" x14ac:dyDescent="0.25">
      <c r="A720" s="7"/>
      <c r="B720" s="7"/>
      <c r="C720" s="7"/>
      <c r="D720" s="7"/>
      <c r="E720" s="11">
        <v>718</v>
      </c>
      <c r="F720" s="8"/>
      <c r="G720" s="8"/>
      <c r="H720" s="9"/>
      <c r="I720" s="10"/>
      <c r="J720" s="9"/>
      <c r="K720" s="10"/>
      <c r="L720" s="8"/>
      <c r="M720" s="8"/>
      <c r="N720" s="10"/>
      <c r="O720" s="10"/>
    </row>
    <row r="721" spans="1:15" x14ac:dyDescent="0.25">
      <c r="A721" s="7"/>
      <c r="B721" s="7"/>
      <c r="C721" s="7"/>
      <c r="D721" s="7"/>
      <c r="E721" s="11">
        <v>719</v>
      </c>
      <c r="F721" s="8"/>
      <c r="G721" s="8"/>
      <c r="H721" s="9"/>
      <c r="I721" s="10"/>
      <c r="J721" s="9"/>
      <c r="K721" s="10"/>
      <c r="L721" s="8"/>
      <c r="M721" s="8"/>
      <c r="N721" s="10"/>
      <c r="O721" s="10"/>
    </row>
    <row r="722" spans="1:15" x14ac:dyDescent="0.25">
      <c r="A722" s="7"/>
      <c r="B722" s="7"/>
      <c r="C722" s="7"/>
      <c r="D722" s="7"/>
      <c r="E722" s="11">
        <v>720</v>
      </c>
      <c r="F722" s="8"/>
      <c r="G722" s="8"/>
      <c r="H722" s="9"/>
      <c r="I722" s="10"/>
      <c r="J722" s="9"/>
      <c r="K722" s="10"/>
      <c r="L722" s="8"/>
      <c r="M722" s="8"/>
      <c r="N722" s="10"/>
      <c r="O722" s="10"/>
    </row>
    <row r="723" spans="1:15" x14ac:dyDescent="0.25">
      <c r="A723" s="7"/>
      <c r="B723" s="7"/>
      <c r="C723" s="7"/>
      <c r="D723" s="7"/>
      <c r="E723" s="11">
        <v>721</v>
      </c>
      <c r="F723" s="8"/>
      <c r="G723" s="8"/>
      <c r="H723" s="9"/>
      <c r="I723" s="10"/>
      <c r="J723" s="9"/>
      <c r="K723" s="10"/>
      <c r="L723" s="8"/>
      <c r="M723" s="8"/>
      <c r="N723" s="10"/>
      <c r="O723" s="10"/>
    </row>
    <row r="724" spans="1:15" x14ac:dyDescent="0.25">
      <c r="A724" s="7"/>
      <c r="B724" s="7"/>
      <c r="C724" s="7"/>
      <c r="D724" s="7"/>
      <c r="E724" s="11">
        <v>722</v>
      </c>
      <c r="F724" s="8"/>
      <c r="G724" s="8"/>
      <c r="H724" s="9"/>
      <c r="I724" s="10"/>
      <c r="J724" s="9"/>
      <c r="K724" s="10"/>
      <c r="L724" s="8"/>
      <c r="M724" s="8"/>
      <c r="N724" s="10"/>
      <c r="O724" s="10"/>
    </row>
    <row r="725" spans="1:15" x14ac:dyDescent="0.25">
      <c r="A725" s="7"/>
      <c r="B725" s="7"/>
      <c r="C725" s="7"/>
      <c r="D725" s="7"/>
      <c r="E725" s="11">
        <v>723</v>
      </c>
      <c r="F725" s="8"/>
      <c r="G725" s="8"/>
      <c r="H725" s="9"/>
      <c r="I725" s="10"/>
      <c r="J725" s="9"/>
      <c r="K725" s="10"/>
      <c r="L725" s="8"/>
      <c r="M725" s="8"/>
      <c r="N725" s="10"/>
      <c r="O725" s="10"/>
    </row>
    <row r="726" spans="1:15" x14ac:dyDescent="0.25">
      <c r="A726" s="7"/>
      <c r="B726" s="7"/>
      <c r="C726" s="7"/>
      <c r="D726" s="7"/>
      <c r="E726" s="11">
        <v>724</v>
      </c>
      <c r="F726" s="8"/>
      <c r="G726" s="8"/>
      <c r="H726" s="9"/>
      <c r="I726" s="10"/>
      <c r="J726" s="9"/>
      <c r="K726" s="10"/>
      <c r="L726" s="8"/>
      <c r="M726" s="8"/>
      <c r="N726" s="10"/>
      <c r="O726" s="10"/>
    </row>
    <row r="727" spans="1:15" x14ac:dyDescent="0.25">
      <c r="A727" s="7"/>
      <c r="B727" s="7"/>
      <c r="C727" s="7"/>
      <c r="D727" s="7"/>
      <c r="E727" s="11">
        <v>725</v>
      </c>
      <c r="F727" s="8"/>
      <c r="G727" s="8"/>
      <c r="H727" s="9"/>
      <c r="I727" s="10"/>
      <c r="J727" s="9"/>
      <c r="K727" s="10"/>
      <c r="L727" s="8"/>
      <c r="M727" s="8"/>
      <c r="N727" s="10"/>
      <c r="O727" s="10"/>
    </row>
    <row r="728" spans="1:15" x14ac:dyDescent="0.25">
      <c r="A728" s="7"/>
      <c r="B728" s="7"/>
      <c r="C728" s="7"/>
      <c r="D728" s="7"/>
      <c r="E728" s="11">
        <v>726</v>
      </c>
      <c r="F728" s="8"/>
      <c r="G728" s="8"/>
      <c r="H728" s="9"/>
      <c r="I728" s="10"/>
      <c r="J728" s="9"/>
      <c r="K728" s="10"/>
      <c r="L728" s="8"/>
      <c r="M728" s="8"/>
      <c r="N728" s="10"/>
      <c r="O728" s="10"/>
    </row>
    <row r="729" spans="1:15" x14ac:dyDescent="0.25">
      <c r="A729" s="7"/>
      <c r="B729" s="7"/>
      <c r="C729" s="7"/>
      <c r="D729" s="7"/>
      <c r="E729" s="11">
        <v>727</v>
      </c>
      <c r="F729" s="8"/>
      <c r="G729" s="8"/>
      <c r="H729" s="9"/>
      <c r="I729" s="10"/>
      <c r="J729" s="9"/>
      <c r="K729" s="10"/>
      <c r="L729" s="8"/>
      <c r="M729" s="8"/>
      <c r="N729" s="10"/>
      <c r="O729" s="10"/>
    </row>
    <row r="730" spans="1:15" x14ac:dyDescent="0.25">
      <c r="A730" s="7"/>
      <c r="B730" s="7"/>
      <c r="C730" s="7"/>
      <c r="D730" s="7"/>
      <c r="E730" s="11">
        <v>728</v>
      </c>
      <c r="F730" s="8"/>
      <c r="G730" s="8"/>
      <c r="H730" s="9"/>
      <c r="I730" s="10"/>
      <c r="J730" s="9"/>
      <c r="K730" s="10"/>
      <c r="L730" s="8"/>
      <c r="M730" s="8"/>
      <c r="N730" s="10"/>
      <c r="O730" s="10"/>
    </row>
    <row r="731" spans="1:15" x14ac:dyDescent="0.25">
      <c r="A731" s="7"/>
      <c r="B731" s="7"/>
      <c r="C731" s="7"/>
      <c r="D731" s="7"/>
      <c r="E731" s="11">
        <v>729</v>
      </c>
      <c r="F731" s="8"/>
      <c r="G731" s="8"/>
      <c r="H731" s="9"/>
      <c r="I731" s="10"/>
      <c r="J731" s="9"/>
      <c r="K731" s="10"/>
      <c r="L731" s="8"/>
      <c r="M731" s="8"/>
      <c r="N731" s="10"/>
      <c r="O731" s="10"/>
    </row>
    <row r="732" spans="1:15" x14ac:dyDescent="0.25">
      <c r="A732" s="7"/>
      <c r="B732" s="7"/>
      <c r="C732" s="7"/>
      <c r="D732" s="7"/>
      <c r="E732" s="11">
        <v>730</v>
      </c>
      <c r="F732" s="8"/>
      <c r="G732" s="8"/>
      <c r="H732" s="9"/>
      <c r="I732" s="10"/>
      <c r="J732" s="9"/>
      <c r="K732" s="10"/>
      <c r="L732" s="8"/>
      <c r="M732" s="8"/>
      <c r="N732" s="10"/>
      <c r="O732" s="10"/>
    </row>
    <row r="733" spans="1:15" x14ac:dyDescent="0.25">
      <c r="A733" s="7"/>
      <c r="B733" s="7"/>
      <c r="C733" s="7"/>
      <c r="D733" s="7"/>
      <c r="E733" s="11">
        <v>731</v>
      </c>
      <c r="F733" s="8"/>
      <c r="G733" s="8"/>
      <c r="H733" s="9"/>
      <c r="I733" s="10"/>
      <c r="J733" s="9"/>
      <c r="K733" s="10"/>
      <c r="L733" s="8"/>
      <c r="M733" s="8"/>
      <c r="N733" s="10"/>
      <c r="O733" s="10"/>
    </row>
    <row r="734" spans="1:15" x14ac:dyDescent="0.25">
      <c r="A734" s="7"/>
      <c r="B734" s="7"/>
      <c r="C734" s="7"/>
      <c r="D734" s="7"/>
      <c r="E734" s="11">
        <v>732</v>
      </c>
      <c r="F734" s="8"/>
      <c r="G734" s="8"/>
      <c r="H734" s="9"/>
      <c r="I734" s="10"/>
      <c r="J734" s="9"/>
      <c r="K734" s="10"/>
      <c r="L734" s="8"/>
      <c r="M734" s="8"/>
      <c r="N734" s="10"/>
      <c r="O734" s="10"/>
    </row>
    <row r="735" spans="1:15" x14ac:dyDescent="0.25">
      <c r="A735" s="7"/>
      <c r="B735" s="7"/>
      <c r="C735" s="7"/>
      <c r="D735" s="7"/>
      <c r="E735" s="11">
        <v>733</v>
      </c>
      <c r="F735" s="8"/>
      <c r="G735" s="8"/>
      <c r="H735" s="9"/>
      <c r="I735" s="10"/>
      <c r="J735" s="9"/>
      <c r="K735" s="10"/>
      <c r="L735" s="8"/>
      <c r="M735" s="8"/>
      <c r="N735" s="10"/>
      <c r="O735" s="10"/>
    </row>
    <row r="736" spans="1:15" x14ac:dyDescent="0.25">
      <c r="A736" s="7"/>
      <c r="B736" s="7"/>
      <c r="C736" s="7"/>
      <c r="D736" s="7"/>
      <c r="E736" s="11">
        <v>734</v>
      </c>
      <c r="F736" s="8"/>
      <c r="G736" s="8"/>
      <c r="H736" s="9"/>
      <c r="I736" s="10"/>
      <c r="J736" s="9"/>
      <c r="K736" s="10"/>
      <c r="L736" s="8"/>
      <c r="M736" s="8"/>
      <c r="N736" s="10"/>
      <c r="O736" s="10"/>
    </row>
    <row r="737" spans="1:15" x14ac:dyDescent="0.25">
      <c r="A737" s="7"/>
      <c r="B737" s="7"/>
      <c r="C737" s="7"/>
      <c r="D737" s="7"/>
      <c r="E737" s="11">
        <v>735</v>
      </c>
      <c r="F737" s="8"/>
      <c r="G737" s="8"/>
      <c r="H737" s="9"/>
      <c r="I737" s="10"/>
      <c r="J737" s="9"/>
      <c r="K737" s="10"/>
      <c r="L737" s="8"/>
      <c r="M737" s="8"/>
      <c r="N737" s="10"/>
      <c r="O737" s="10"/>
    </row>
    <row r="738" spans="1:15" x14ac:dyDescent="0.25">
      <c r="A738" s="7"/>
      <c r="B738" s="7"/>
      <c r="C738" s="7"/>
      <c r="D738" s="7"/>
      <c r="E738" s="11">
        <v>736</v>
      </c>
      <c r="F738" s="8"/>
      <c r="G738" s="8"/>
      <c r="H738" s="9"/>
      <c r="I738" s="10"/>
      <c r="J738" s="9"/>
      <c r="K738" s="10"/>
      <c r="L738" s="8"/>
      <c r="M738" s="8"/>
      <c r="N738" s="10"/>
      <c r="O738" s="10"/>
    </row>
    <row r="739" spans="1:15" x14ac:dyDescent="0.25">
      <c r="A739" s="7"/>
      <c r="B739" s="7"/>
      <c r="C739" s="7"/>
      <c r="D739" s="7"/>
      <c r="E739" s="11">
        <v>737</v>
      </c>
      <c r="F739" s="8"/>
      <c r="G739" s="8"/>
      <c r="H739" s="9"/>
      <c r="I739" s="10"/>
      <c r="J739" s="9"/>
      <c r="K739" s="10"/>
      <c r="L739" s="8"/>
      <c r="M739" s="8"/>
      <c r="N739" s="10"/>
      <c r="O739" s="10"/>
    </row>
    <row r="740" spans="1:15" x14ac:dyDescent="0.25">
      <c r="A740" s="7"/>
      <c r="B740" s="7"/>
      <c r="C740" s="7"/>
      <c r="D740" s="7"/>
      <c r="E740" s="11">
        <v>738</v>
      </c>
      <c r="F740" s="8"/>
      <c r="G740" s="8"/>
      <c r="H740" s="9"/>
      <c r="I740" s="10"/>
      <c r="J740" s="9"/>
      <c r="K740" s="10"/>
      <c r="L740" s="8"/>
      <c r="M740" s="8"/>
      <c r="N740" s="10"/>
      <c r="O740" s="10"/>
    </row>
    <row r="741" spans="1:15" x14ac:dyDescent="0.25">
      <c r="A741" s="7"/>
      <c r="B741" s="7"/>
      <c r="C741" s="7"/>
      <c r="D741" s="7"/>
      <c r="E741" s="11">
        <v>739</v>
      </c>
      <c r="F741" s="8"/>
      <c r="G741" s="8"/>
      <c r="H741" s="9"/>
      <c r="I741" s="10"/>
      <c r="J741" s="9"/>
      <c r="K741" s="10"/>
      <c r="L741" s="8"/>
      <c r="M741" s="8"/>
      <c r="N741" s="10"/>
      <c r="O741" s="10"/>
    </row>
    <row r="742" spans="1:15" x14ac:dyDescent="0.25">
      <c r="A742" s="7"/>
      <c r="B742" s="7"/>
      <c r="C742" s="7"/>
      <c r="D742" s="7"/>
      <c r="E742" s="11">
        <v>740</v>
      </c>
      <c r="F742" s="8"/>
      <c r="G742" s="8"/>
      <c r="H742" s="9"/>
      <c r="I742" s="10"/>
      <c r="J742" s="9"/>
      <c r="K742" s="10"/>
      <c r="L742" s="8"/>
      <c r="M742" s="8"/>
      <c r="N742" s="10"/>
      <c r="O742" s="10"/>
    </row>
    <row r="743" spans="1:15" x14ac:dyDescent="0.25">
      <c r="A743" s="7"/>
      <c r="B743" s="7"/>
      <c r="C743" s="7"/>
      <c r="D743" s="7"/>
      <c r="E743" s="11">
        <v>741</v>
      </c>
      <c r="F743" s="8"/>
      <c r="G743" s="8"/>
      <c r="H743" s="9"/>
      <c r="I743" s="10"/>
      <c r="J743" s="9"/>
      <c r="K743" s="10"/>
      <c r="L743" s="8"/>
      <c r="M743" s="8"/>
      <c r="N743" s="10"/>
      <c r="O743" s="10"/>
    </row>
    <row r="744" spans="1:15" x14ac:dyDescent="0.25">
      <c r="A744" s="7"/>
      <c r="B744" s="7"/>
      <c r="C744" s="7"/>
      <c r="D744" s="7"/>
      <c r="E744" s="11">
        <v>742</v>
      </c>
      <c r="F744" s="8"/>
      <c r="G744" s="8"/>
      <c r="H744" s="9"/>
      <c r="I744" s="10"/>
      <c r="J744" s="9"/>
      <c r="K744" s="10"/>
      <c r="L744" s="8"/>
      <c r="M744" s="8"/>
      <c r="N744" s="10"/>
      <c r="O744" s="10"/>
    </row>
    <row r="745" spans="1:15" x14ac:dyDescent="0.25">
      <c r="A745" s="7"/>
      <c r="B745" s="7"/>
      <c r="C745" s="7"/>
      <c r="D745" s="7"/>
      <c r="E745" s="11">
        <v>743</v>
      </c>
      <c r="F745" s="8"/>
      <c r="G745" s="8"/>
      <c r="H745" s="9"/>
      <c r="I745" s="10"/>
      <c r="J745" s="9"/>
      <c r="K745" s="10"/>
      <c r="L745" s="8"/>
      <c r="M745" s="8"/>
      <c r="N745" s="10"/>
      <c r="O745" s="10"/>
    </row>
    <row r="746" spans="1:15" x14ac:dyDescent="0.25">
      <c r="A746" s="7"/>
      <c r="B746" s="7"/>
      <c r="C746" s="7"/>
      <c r="D746" s="7"/>
      <c r="E746" s="11">
        <v>744</v>
      </c>
      <c r="F746" s="8"/>
      <c r="G746" s="8"/>
      <c r="H746" s="9"/>
      <c r="I746" s="10"/>
      <c r="J746" s="9"/>
      <c r="K746" s="10"/>
      <c r="L746" s="8"/>
      <c r="M746" s="8"/>
      <c r="N746" s="10"/>
      <c r="O746" s="10"/>
    </row>
    <row r="747" spans="1:15" x14ac:dyDescent="0.25">
      <c r="A747" s="7"/>
      <c r="B747" s="7"/>
      <c r="C747" s="7"/>
      <c r="D747" s="7"/>
      <c r="E747" s="11">
        <v>745</v>
      </c>
      <c r="F747" s="8"/>
      <c r="G747" s="8"/>
      <c r="H747" s="9"/>
      <c r="I747" s="10"/>
      <c r="J747" s="9"/>
      <c r="K747" s="10"/>
      <c r="L747" s="8"/>
      <c r="M747" s="8"/>
      <c r="N747" s="10"/>
      <c r="O747" s="10"/>
    </row>
    <row r="748" spans="1:15" x14ac:dyDescent="0.25">
      <c r="A748" s="7"/>
      <c r="B748" s="7"/>
      <c r="C748" s="7"/>
      <c r="D748" s="7"/>
      <c r="E748" s="11">
        <v>746</v>
      </c>
      <c r="F748" s="8"/>
      <c r="G748" s="8"/>
      <c r="H748" s="9"/>
      <c r="I748" s="10"/>
      <c r="J748" s="9"/>
      <c r="K748" s="10"/>
      <c r="L748" s="8"/>
      <c r="M748" s="8"/>
      <c r="N748" s="10"/>
      <c r="O748" s="10"/>
    </row>
    <row r="749" spans="1:15" x14ac:dyDescent="0.25">
      <c r="A749" s="7"/>
      <c r="B749" s="7"/>
      <c r="C749" s="7"/>
      <c r="D749" s="7"/>
      <c r="E749" s="11">
        <v>747</v>
      </c>
      <c r="F749" s="8"/>
      <c r="G749" s="8"/>
      <c r="H749" s="9"/>
      <c r="I749" s="10"/>
      <c r="J749" s="9"/>
      <c r="K749" s="10"/>
      <c r="L749" s="8"/>
      <c r="M749" s="8"/>
      <c r="N749" s="10"/>
      <c r="O749" s="10"/>
    </row>
    <row r="750" spans="1:15" x14ac:dyDescent="0.25">
      <c r="A750" s="7"/>
      <c r="B750" s="7"/>
      <c r="C750" s="7"/>
      <c r="D750" s="7"/>
      <c r="E750" s="11">
        <v>748</v>
      </c>
      <c r="F750" s="8"/>
      <c r="G750" s="8"/>
      <c r="H750" s="9"/>
      <c r="I750" s="10"/>
      <c r="J750" s="9"/>
      <c r="K750" s="10"/>
      <c r="L750" s="8"/>
      <c r="M750" s="8"/>
      <c r="N750" s="10"/>
      <c r="O750" s="10"/>
    </row>
    <row r="751" spans="1:15" x14ac:dyDescent="0.25">
      <c r="A751" s="7"/>
      <c r="B751" s="7"/>
      <c r="C751" s="7"/>
      <c r="D751" s="7"/>
      <c r="E751" s="11">
        <v>749</v>
      </c>
      <c r="F751" s="8"/>
      <c r="G751" s="8"/>
      <c r="H751" s="9"/>
      <c r="I751" s="10"/>
      <c r="J751" s="9"/>
      <c r="K751" s="10"/>
      <c r="L751" s="8"/>
      <c r="M751" s="8"/>
      <c r="N751" s="10"/>
      <c r="O751" s="10"/>
    </row>
    <row r="752" spans="1:15" x14ac:dyDescent="0.25">
      <c r="A752" s="7"/>
      <c r="B752" s="7"/>
      <c r="C752" s="7"/>
      <c r="D752" s="7"/>
      <c r="E752" s="11">
        <v>750</v>
      </c>
      <c r="F752" s="8"/>
      <c r="G752" s="8"/>
      <c r="H752" s="9"/>
      <c r="I752" s="10"/>
      <c r="J752" s="9"/>
      <c r="K752" s="10"/>
      <c r="L752" s="8"/>
      <c r="M752" s="8"/>
      <c r="N752" s="10"/>
      <c r="O752" s="10"/>
    </row>
    <row r="753" spans="1:15" x14ac:dyDescent="0.25">
      <c r="A753" s="7"/>
      <c r="B753" s="7"/>
      <c r="C753" s="7"/>
      <c r="D753" s="7"/>
      <c r="E753" s="11">
        <v>751</v>
      </c>
      <c r="F753" s="8"/>
      <c r="G753" s="8"/>
      <c r="H753" s="9"/>
      <c r="I753" s="10"/>
      <c r="J753" s="9"/>
      <c r="K753" s="10"/>
      <c r="L753" s="8"/>
      <c r="M753" s="8"/>
      <c r="N753" s="10"/>
      <c r="O753" s="10"/>
    </row>
    <row r="754" spans="1:15" x14ac:dyDescent="0.25">
      <c r="A754" s="7"/>
      <c r="B754" s="7"/>
      <c r="C754" s="7"/>
      <c r="D754" s="7"/>
      <c r="E754" s="11">
        <v>752</v>
      </c>
      <c r="F754" s="8"/>
      <c r="G754" s="8"/>
      <c r="H754" s="9"/>
      <c r="I754" s="10"/>
      <c r="J754" s="9"/>
      <c r="K754" s="10"/>
      <c r="L754" s="8"/>
      <c r="M754" s="8"/>
      <c r="N754" s="10"/>
      <c r="O754" s="10"/>
    </row>
    <row r="755" spans="1:15" x14ac:dyDescent="0.25">
      <c r="A755" s="7"/>
      <c r="B755" s="7"/>
      <c r="C755" s="7"/>
      <c r="D755" s="7"/>
      <c r="E755" s="11">
        <v>753</v>
      </c>
      <c r="F755" s="8"/>
      <c r="G755" s="8"/>
      <c r="H755" s="9"/>
      <c r="I755" s="10"/>
      <c r="J755" s="9"/>
      <c r="K755" s="10"/>
      <c r="L755" s="8"/>
      <c r="M755" s="8"/>
      <c r="N755" s="10"/>
      <c r="O755" s="10"/>
    </row>
    <row r="756" spans="1:15" x14ac:dyDescent="0.25">
      <c r="A756" s="7"/>
      <c r="B756" s="7"/>
      <c r="C756" s="7"/>
      <c r="D756" s="7"/>
      <c r="E756" s="11">
        <v>754</v>
      </c>
      <c r="F756" s="8"/>
      <c r="G756" s="8"/>
      <c r="H756" s="9"/>
      <c r="I756" s="10"/>
      <c r="J756" s="9"/>
      <c r="K756" s="10"/>
      <c r="L756" s="8"/>
      <c r="M756" s="8"/>
      <c r="N756" s="10"/>
      <c r="O756" s="10"/>
    </row>
    <row r="757" spans="1:15" x14ac:dyDescent="0.25">
      <c r="A757" s="7"/>
      <c r="B757" s="7"/>
      <c r="C757" s="7"/>
      <c r="D757" s="7"/>
      <c r="E757" s="11">
        <v>755</v>
      </c>
      <c r="F757" s="8"/>
      <c r="G757" s="8"/>
      <c r="H757" s="9"/>
      <c r="I757" s="10"/>
      <c r="J757" s="9"/>
      <c r="K757" s="10"/>
      <c r="L757" s="8"/>
      <c r="M757" s="8"/>
      <c r="N757" s="10"/>
      <c r="O757" s="10"/>
    </row>
    <row r="758" spans="1:15" x14ac:dyDescent="0.25">
      <c r="A758" s="7"/>
      <c r="B758" s="7"/>
      <c r="C758" s="7"/>
      <c r="D758" s="7"/>
      <c r="E758" s="11">
        <v>756</v>
      </c>
      <c r="F758" s="8"/>
      <c r="G758" s="8"/>
      <c r="H758" s="9"/>
      <c r="I758" s="10"/>
      <c r="J758" s="9"/>
      <c r="K758" s="10"/>
      <c r="L758" s="8"/>
      <c r="M758" s="8"/>
      <c r="N758" s="10"/>
      <c r="O758" s="10"/>
    </row>
    <row r="759" spans="1:15" x14ac:dyDescent="0.25">
      <c r="A759" s="7"/>
      <c r="B759" s="7"/>
      <c r="C759" s="7"/>
      <c r="D759" s="7"/>
      <c r="E759" s="11">
        <v>757</v>
      </c>
      <c r="F759" s="8"/>
      <c r="G759" s="8"/>
      <c r="H759" s="9"/>
      <c r="I759" s="10"/>
      <c r="J759" s="9"/>
      <c r="K759" s="10"/>
      <c r="L759" s="8"/>
      <c r="M759" s="8"/>
      <c r="N759" s="10"/>
      <c r="O759" s="10"/>
    </row>
    <row r="760" spans="1:15" x14ac:dyDescent="0.25">
      <c r="A760" s="7"/>
      <c r="B760" s="7"/>
      <c r="C760" s="7"/>
      <c r="D760" s="7"/>
      <c r="E760" s="11">
        <v>758</v>
      </c>
      <c r="F760" s="8"/>
      <c r="G760" s="8"/>
      <c r="H760" s="9"/>
      <c r="I760" s="10"/>
      <c r="J760" s="9"/>
      <c r="K760" s="10"/>
      <c r="L760" s="8"/>
      <c r="M760" s="8"/>
      <c r="N760" s="10"/>
      <c r="O760" s="10"/>
    </row>
    <row r="761" spans="1:15" x14ac:dyDescent="0.25">
      <c r="A761" s="7"/>
      <c r="B761" s="7"/>
      <c r="C761" s="7"/>
      <c r="D761" s="7"/>
      <c r="E761" s="11">
        <v>759</v>
      </c>
      <c r="F761" s="8"/>
      <c r="G761" s="8"/>
      <c r="H761" s="9"/>
      <c r="I761" s="10"/>
      <c r="J761" s="9"/>
      <c r="K761" s="10"/>
      <c r="L761" s="8"/>
      <c r="M761" s="8"/>
      <c r="N761" s="10"/>
      <c r="O761" s="10"/>
    </row>
    <row r="762" spans="1:15" x14ac:dyDescent="0.25">
      <c r="A762" s="7"/>
      <c r="B762" s="7"/>
      <c r="C762" s="7"/>
      <c r="D762" s="7"/>
      <c r="E762" s="11">
        <v>760</v>
      </c>
      <c r="F762" s="8"/>
      <c r="G762" s="8"/>
      <c r="H762" s="9"/>
      <c r="I762" s="10"/>
      <c r="J762" s="9"/>
      <c r="K762" s="10"/>
      <c r="L762" s="8"/>
      <c r="M762" s="8"/>
      <c r="N762" s="10"/>
      <c r="O762" s="10"/>
    </row>
    <row r="763" spans="1:15" x14ac:dyDescent="0.25">
      <c r="A763" s="7"/>
      <c r="B763" s="7"/>
      <c r="C763" s="7"/>
      <c r="D763" s="7"/>
      <c r="E763" s="11">
        <v>761</v>
      </c>
      <c r="F763" s="8"/>
      <c r="G763" s="8"/>
      <c r="H763" s="9"/>
      <c r="I763" s="10"/>
      <c r="J763" s="9"/>
      <c r="K763" s="10"/>
      <c r="L763" s="8"/>
      <c r="M763" s="8"/>
      <c r="N763" s="10"/>
      <c r="O763" s="10"/>
    </row>
    <row r="764" spans="1:15" x14ac:dyDescent="0.25">
      <c r="A764" s="7"/>
      <c r="B764" s="7"/>
      <c r="C764" s="7"/>
      <c r="D764" s="7"/>
      <c r="E764" s="11">
        <v>762</v>
      </c>
      <c r="F764" s="8"/>
      <c r="G764" s="8"/>
      <c r="H764" s="9"/>
      <c r="I764" s="10"/>
      <c r="J764" s="9"/>
      <c r="K764" s="10"/>
      <c r="L764" s="8"/>
      <c r="M764" s="8"/>
      <c r="N764" s="10"/>
      <c r="O764" s="10"/>
    </row>
    <row r="765" spans="1:15" x14ac:dyDescent="0.25">
      <c r="A765" s="7"/>
      <c r="B765" s="7"/>
      <c r="C765" s="7"/>
      <c r="D765" s="7"/>
      <c r="E765" s="11">
        <v>763</v>
      </c>
      <c r="F765" s="8"/>
      <c r="G765" s="8"/>
      <c r="H765" s="9"/>
      <c r="I765" s="10"/>
      <c r="J765" s="9"/>
      <c r="K765" s="10"/>
      <c r="L765" s="8"/>
      <c r="M765" s="8"/>
      <c r="N765" s="10"/>
      <c r="O765" s="10"/>
    </row>
    <row r="766" spans="1:15" x14ac:dyDescent="0.25">
      <c r="A766" s="7"/>
      <c r="B766" s="7"/>
      <c r="C766" s="7"/>
      <c r="D766" s="7"/>
      <c r="E766" s="11">
        <v>764</v>
      </c>
      <c r="F766" s="8"/>
      <c r="G766" s="8"/>
      <c r="H766" s="9"/>
      <c r="I766" s="10"/>
      <c r="J766" s="9"/>
      <c r="K766" s="10"/>
      <c r="L766" s="8"/>
      <c r="M766" s="8"/>
      <c r="N766" s="10"/>
      <c r="O766" s="10"/>
    </row>
    <row r="767" spans="1:15" x14ac:dyDescent="0.25">
      <c r="A767" s="7"/>
      <c r="B767" s="7"/>
      <c r="C767" s="7"/>
      <c r="D767" s="7"/>
      <c r="E767" s="11">
        <v>765</v>
      </c>
      <c r="F767" s="8"/>
      <c r="G767" s="8"/>
      <c r="H767" s="9"/>
      <c r="I767" s="10"/>
      <c r="J767" s="9"/>
      <c r="K767" s="10"/>
      <c r="L767" s="8"/>
      <c r="M767" s="8"/>
      <c r="N767" s="10"/>
      <c r="O767" s="10"/>
    </row>
    <row r="768" spans="1:15" x14ac:dyDescent="0.25">
      <c r="A768" s="7"/>
      <c r="B768" s="7"/>
      <c r="C768" s="7"/>
      <c r="D768" s="7"/>
      <c r="E768" s="11">
        <v>766</v>
      </c>
      <c r="F768" s="8"/>
      <c r="G768" s="8"/>
      <c r="H768" s="9"/>
      <c r="I768" s="10"/>
      <c r="J768" s="9"/>
      <c r="K768" s="10"/>
      <c r="L768" s="8"/>
      <c r="M768" s="8"/>
      <c r="N768" s="10"/>
      <c r="O768" s="10"/>
    </row>
    <row r="769" spans="1:15" x14ac:dyDescent="0.25">
      <c r="A769" s="7"/>
      <c r="B769" s="7"/>
      <c r="C769" s="7"/>
      <c r="D769" s="7"/>
      <c r="E769" s="11">
        <v>767</v>
      </c>
      <c r="F769" s="8"/>
      <c r="G769" s="8"/>
      <c r="H769" s="9"/>
      <c r="I769" s="10"/>
      <c r="J769" s="9"/>
      <c r="K769" s="10"/>
      <c r="L769" s="8"/>
      <c r="M769" s="8"/>
      <c r="N769" s="10"/>
      <c r="O769" s="10"/>
    </row>
    <row r="770" spans="1:15" x14ac:dyDescent="0.25">
      <c r="A770" s="7"/>
      <c r="B770" s="7"/>
      <c r="C770" s="7"/>
      <c r="D770" s="7"/>
      <c r="E770" s="11">
        <v>768</v>
      </c>
      <c r="F770" s="8"/>
      <c r="G770" s="8"/>
      <c r="H770" s="9"/>
      <c r="I770" s="10"/>
      <c r="J770" s="9"/>
      <c r="K770" s="10"/>
      <c r="L770" s="8"/>
      <c r="M770" s="8"/>
      <c r="N770" s="10"/>
      <c r="O770" s="10"/>
    </row>
    <row r="771" spans="1:15" x14ac:dyDescent="0.25">
      <c r="A771" s="7"/>
      <c r="B771" s="7"/>
      <c r="C771" s="7"/>
      <c r="D771" s="7"/>
      <c r="E771" s="11">
        <v>769</v>
      </c>
      <c r="F771" s="8"/>
      <c r="G771" s="8"/>
      <c r="H771" s="9"/>
      <c r="I771" s="10"/>
      <c r="J771" s="9"/>
      <c r="K771" s="10"/>
      <c r="L771" s="8"/>
      <c r="M771" s="8"/>
      <c r="N771" s="10"/>
      <c r="O771" s="10"/>
    </row>
    <row r="772" spans="1:15" x14ac:dyDescent="0.25">
      <c r="A772" s="7"/>
      <c r="B772" s="7"/>
      <c r="C772" s="7"/>
      <c r="D772" s="7"/>
      <c r="E772" s="11">
        <v>770</v>
      </c>
      <c r="F772" s="8"/>
      <c r="G772" s="8"/>
      <c r="H772" s="9"/>
      <c r="I772" s="10"/>
      <c r="J772" s="9"/>
      <c r="K772" s="10"/>
      <c r="L772" s="8"/>
      <c r="M772" s="8"/>
      <c r="N772" s="10"/>
      <c r="O772" s="10"/>
    </row>
    <row r="773" spans="1:15" x14ac:dyDescent="0.25">
      <c r="A773" s="7"/>
      <c r="B773" s="7"/>
      <c r="C773" s="7"/>
      <c r="D773" s="7"/>
      <c r="E773" s="11">
        <v>771</v>
      </c>
      <c r="F773" s="8"/>
      <c r="G773" s="8"/>
      <c r="H773" s="9"/>
      <c r="I773" s="10"/>
      <c r="J773" s="9"/>
      <c r="K773" s="10"/>
      <c r="L773" s="8"/>
      <c r="M773" s="8"/>
      <c r="N773" s="10"/>
      <c r="O773" s="10"/>
    </row>
    <row r="774" spans="1:15" x14ac:dyDescent="0.25">
      <c r="A774" s="7"/>
      <c r="B774" s="7"/>
      <c r="C774" s="7"/>
      <c r="D774" s="7"/>
      <c r="E774" s="11">
        <v>772</v>
      </c>
      <c r="F774" s="8"/>
      <c r="G774" s="8"/>
      <c r="H774" s="9"/>
      <c r="I774" s="10"/>
      <c r="J774" s="9"/>
      <c r="K774" s="10"/>
      <c r="L774" s="8"/>
      <c r="M774" s="8"/>
      <c r="N774" s="10"/>
      <c r="O774" s="10"/>
    </row>
    <row r="775" spans="1:15" x14ac:dyDescent="0.25">
      <c r="A775" s="7"/>
      <c r="B775" s="7"/>
      <c r="C775" s="7"/>
      <c r="D775" s="7"/>
      <c r="E775" s="11">
        <v>773</v>
      </c>
      <c r="F775" s="8"/>
      <c r="G775" s="8"/>
      <c r="H775" s="9"/>
      <c r="I775" s="10"/>
      <c r="J775" s="9"/>
      <c r="K775" s="10"/>
      <c r="L775" s="8"/>
      <c r="M775" s="8"/>
      <c r="N775" s="10"/>
      <c r="O775" s="10"/>
    </row>
    <row r="776" spans="1:15" x14ac:dyDescent="0.25">
      <c r="A776" s="7"/>
      <c r="B776" s="7"/>
      <c r="C776" s="7"/>
      <c r="D776" s="7"/>
      <c r="E776" s="11">
        <v>774</v>
      </c>
      <c r="F776" s="8"/>
      <c r="G776" s="8"/>
      <c r="H776" s="9"/>
      <c r="I776" s="10"/>
      <c r="J776" s="9"/>
      <c r="K776" s="10"/>
      <c r="L776" s="8"/>
      <c r="M776" s="8"/>
      <c r="N776" s="10"/>
      <c r="O776" s="10"/>
    </row>
    <row r="777" spans="1:15" x14ac:dyDescent="0.25">
      <c r="A777" s="7"/>
      <c r="B777" s="7"/>
      <c r="C777" s="7"/>
      <c r="D777" s="7"/>
      <c r="E777" s="11">
        <v>775</v>
      </c>
      <c r="F777" s="8"/>
      <c r="G777" s="8"/>
      <c r="H777" s="9"/>
      <c r="I777" s="10"/>
      <c r="J777" s="9"/>
      <c r="K777" s="10"/>
      <c r="L777" s="8"/>
      <c r="M777" s="8"/>
      <c r="N777" s="10"/>
      <c r="O777" s="10"/>
    </row>
    <row r="778" spans="1:15" x14ac:dyDescent="0.25">
      <c r="A778" s="7"/>
      <c r="B778" s="7"/>
      <c r="C778" s="7"/>
      <c r="D778" s="7"/>
      <c r="E778" s="11">
        <v>776</v>
      </c>
      <c r="F778" s="8"/>
      <c r="G778" s="8"/>
      <c r="H778" s="9"/>
      <c r="I778" s="10"/>
      <c r="J778" s="9"/>
      <c r="K778" s="10"/>
      <c r="L778" s="8"/>
      <c r="M778" s="8"/>
      <c r="N778" s="10"/>
      <c r="O778" s="10"/>
    </row>
    <row r="779" spans="1:15" x14ac:dyDescent="0.25">
      <c r="A779" s="7"/>
      <c r="B779" s="7"/>
      <c r="C779" s="7"/>
      <c r="D779" s="7"/>
      <c r="E779" s="11">
        <v>777</v>
      </c>
      <c r="F779" s="8"/>
      <c r="G779" s="8"/>
      <c r="H779" s="9"/>
      <c r="I779" s="10"/>
      <c r="J779" s="9"/>
      <c r="K779" s="10"/>
      <c r="L779" s="8"/>
      <c r="M779" s="8"/>
      <c r="N779" s="10"/>
      <c r="O779" s="10"/>
    </row>
    <row r="780" spans="1:15" x14ac:dyDescent="0.25">
      <c r="A780" s="7"/>
      <c r="B780" s="7"/>
      <c r="C780" s="7"/>
      <c r="D780" s="7"/>
      <c r="E780" s="11">
        <v>778</v>
      </c>
      <c r="F780" s="8"/>
      <c r="G780" s="8"/>
      <c r="H780" s="9"/>
      <c r="I780" s="10"/>
      <c r="J780" s="9"/>
      <c r="K780" s="10"/>
      <c r="L780" s="8"/>
      <c r="M780" s="8"/>
      <c r="N780" s="10"/>
      <c r="O780" s="10"/>
    </row>
    <row r="781" spans="1:15" x14ac:dyDescent="0.25">
      <c r="A781" s="7"/>
      <c r="B781" s="7"/>
      <c r="C781" s="7"/>
      <c r="D781" s="7"/>
      <c r="E781" s="11">
        <v>779</v>
      </c>
      <c r="F781" s="8"/>
      <c r="G781" s="8"/>
      <c r="H781" s="9"/>
      <c r="I781" s="10"/>
      <c r="J781" s="9"/>
      <c r="K781" s="10"/>
      <c r="L781" s="8"/>
      <c r="M781" s="8"/>
      <c r="N781" s="10"/>
      <c r="O781" s="10"/>
    </row>
    <row r="782" spans="1:15" x14ac:dyDescent="0.25">
      <c r="A782" s="7"/>
      <c r="B782" s="7"/>
      <c r="C782" s="7"/>
      <c r="D782" s="7"/>
      <c r="E782" s="11">
        <v>780</v>
      </c>
      <c r="F782" s="8"/>
      <c r="G782" s="8"/>
      <c r="H782" s="9"/>
      <c r="I782" s="10"/>
      <c r="J782" s="9"/>
      <c r="K782" s="10"/>
      <c r="L782" s="8"/>
      <c r="M782" s="8"/>
      <c r="N782" s="10"/>
      <c r="O782" s="10"/>
    </row>
    <row r="783" spans="1:15" x14ac:dyDescent="0.25">
      <c r="A783" s="7"/>
      <c r="B783" s="7"/>
      <c r="C783" s="7"/>
      <c r="D783" s="7"/>
      <c r="E783" s="11">
        <v>781</v>
      </c>
      <c r="F783" s="8"/>
      <c r="G783" s="8"/>
      <c r="H783" s="9"/>
      <c r="I783" s="10"/>
      <c r="J783" s="9"/>
      <c r="K783" s="10"/>
      <c r="L783" s="8"/>
      <c r="M783" s="8"/>
      <c r="N783" s="10"/>
      <c r="O783" s="10"/>
    </row>
    <row r="784" spans="1:15" x14ac:dyDescent="0.25">
      <c r="A784" s="7"/>
      <c r="B784" s="7"/>
      <c r="C784" s="7"/>
      <c r="D784" s="7"/>
      <c r="E784" s="11">
        <v>782</v>
      </c>
      <c r="F784" s="8"/>
      <c r="G784" s="8"/>
      <c r="H784" s="9"/>
      <c r="I784" s="10"/>
      <c r="J784" s="9"/>
      <c r="K784" s="10"/>
      <c r="L784" s="8"/>
      <c r="M784" s="8"/>
      <c r="N784" s="10"/>
      <c r="O784" s="10"/>
    </row>
    <row r="785" spans="1:15" x14ac:dyDescent="0.25">
      <c r="A785" s="7"/>
      <c r="B785" s="7"/>
      <c r="C785" s="7"/>
      <c r="D785" s="7"/>
      <c r="E785" s="11">
        <v>783</v>
      </c>
      <c r="F785" s="8"/>
      <c r="G785" s="8"/>
      <c r="H785" s="9"/>
      <c r="I785" s="10"/>
      <c r="J785" s="9"/>
      <c r="K785" s="10"/>
      <c r="L785" s="8"/>
      <c r="M785" s="8"/>
      <c r="N785" s="10"/>
      <c r="O785" s="10"/>
    </row>
    <row r="786" spans="1:15" x14ac:dyDescent="0.25">
      <c r="A786" s="7"/>
      <c r="B786" s="7"/>
      <c r="C786" s="7"/>
      <c r="D786" s="7"/>
      <c r="E786" s="11">
        <v>784</v>
      </c>
      <c r="F786" s="8"/>
      <c r="G786" s="8"/>
      <c r="H786" s="9"/>
      <c r="I786" s="10"/>
      <c r="J786" s="9"/>
      <c r="K786" s="10"/>
      <c r="L786" s="8"/>
      <c r="M786" s="8"/>
      <c r="N786" s="10"/>
      <c r="O786" s="10"/>
    </row>
    <row r="787" spans="1:15" x14ac:dyDescent="0.25">
      <c r="A787" s="7"/>
      <c r="B787" s="7"/>
      <c r="C787" s="7"/>
      <c r="D787" s="7"/>
      <c r="E787" s="11">
        <v>785</v>
      </c>
      <c r="F787" s="8"/>
      <c r="G787" s="8"/>
      <c r="H787" s="9"/>
      <c r="I787" s="10"/>
      <c r="J787" s="9"/>
      <c r="K787" s="10"/>
      <c r="L787" s="8"/>
      <c r="M787" s="8"/>
      <c r="N787" s="10"/>
      <c r="O787" s="10"/>
    </row>
    <row r="788" spans="1:15" x14ac:dyDescent="0.25">
      <c r="A788" s="7"/>
      <c r="B788" s="7"/>
      <c r="C788" s="7"/>
      <c r="D788" s="7"/>
      <c r="E788" s="11">
        <v>786</v>
      </c>
      <c r="F788" s="8"/>
      <c r="G788" s="8"/>
      <c r="H788" s="9"/>
      <c r="I788" s="10"/>
      <c r="J788" s="9"/>
      <c r="K788" s="10"/>
      <c r="L788" s="8"/>
      <c r="M788" s="8"/>
      <c r="N788" s="10"/>
      <c r="O788" s="10"/>
    </row>
    <row r="789" spans="1:15" x14ac:dyDescent="0.25">
      <c r="A789" s="7"/>
      <c r="B789" s="7"/>
      <c r="C789" s="7"/>
      <c r="D789" s="7"/>
      <c r="E789" s="11">
        <v>787</v>
      </c>
      <c r="F789" s="8"/>
      <c r="G789" s="8"/>
      <c r="H789" s="9"/>
      <c r="I789" s="10"/>
      <c r="J789" s="9"/>
      <c r="K789" s="10"/>
      <c r="L789" s="8"/>
      <c r="M789" s="8"/>
      <c r="N789" s="10"/>
      <c r="O789" s="10"/>
    </row>
    <row r="790" spans="1:15" x14ac:dyDescent="0.25">
      <c r="A790" s="7"/>
      <c r="B790" s="7"/>
      <c r="C790" s="7"/>
      <c r="D790" s="7"/>
      <c r="E790" s="11">
        <v>788</v>
      </c>
      <c r="F790" s="8"/>
      <c r="G790" s="8"/>
      <c r="H790" s="9"/>
      <c r="I790" s="10"/>
      <c r="J790" s="9"/>
      <c r="K790" s="10"/>
      <c r="L790" s="8"/>
      <c r="M790" s="8"/>
      <c r="N790" s="10"/>
      <c r="O790" s="10"/>
    </row>
    <row r="791" spans="1:15" x14ac:dyDescent="0.25">
      <c r="A791" s="7"/>
      <c r="B791" s="7"/>
      <c r="C791" s="7"/>
      <c r="D791" s="7"/>
      <c r="E791" s="11">
        <v>789</v>
      </c>
      <c r="F791" s="8"/>
      <c r="G791" s="8"/>
      <c r="H791" s="9"/>
      <c r="I791" s="10"/>
      <c r="J791" s="9"/>
      <c r="K791" s="10"/>
      <c r="L791" s="8"/>
      <c r="M791" s="8"/>
      <c r="N791" s="10"/>
      <c r="O791" s="10"/>
    </row>
    <row r="792" spans="1:15" x14ac:dyDescent="0.25">
      <c r="A792" s="7"/>
      <c r="B792" s="7"/>
      <c r="C792" s="7"/>
      <c r="D792" s="7"/>
      <c r="E792" s="11">
        <v>790</v>
      </c>
      <c r="F792" s="8"/>
      <c r="G792" s="8"/>
      <c r="H792" s="9"/>
      <c r="I792" s="10"/>
      <c r="J792" s="9"/>
      <c r="K792" s="10"/>
      <c r="L792" s="8"/>
      <c r="M792" s="8"/>
      <c r="N792" s="10"/>
      <c r="O792" s="10"/>
    </row>
    <row r="793" spans="1:15" x14ac:dyDescent="0.25">
      <c r="A793" s="7"/>
      <c r="B793" s="7"/>
      <c r="C793" s="7"/>
      <c r="D793" s="7"/>
      <c r="E793" s="11">
        <v>791</v>
      </c>
      <c r="F793" s="8"/>
      <c r="G793" s="8"/>
      <c r="H793" s="9"/>
      <c r="I793" s="10"/>
      <c r="J793" s="9"/>
      <c r="K793" s="10"/>
      <c r="L793" s="8"/>
      <c r="M793" s="8"/>
      <c r="N793" s="10"/>
      <c r="O793" s="10"/>
    </row>
    <row r="794" spans="1:15" x14ac:dyDescent="0.25">
      <c r="A794" s="7"/>
      <c r="B794" s="7"/>
      <c r="C794" s="7"/>
      <c r="D794" s="7"/>
      <c r="E794" s="11">
        <v>792</v>
      </c>
      <c r="F794" s="8"/>
      <c r="G794" s="8"/>
      <c r="H794" s="9"/>
      <c r="I794" s="10"/>
      <c r="J794" s="9"/>
      <c r="K794" s="10"/>
      <c r="L794" s="8"/>
      <c r="M794" s="8"/>
      <c r="N794" s="10"/>
      <c r="O794" s="10"/>
    </row>
    <row r="795" spans="1:15" x14ac:dyDescent="0.25">
      <c r="A795" s="7"/>
      <c r="B795" s="7"/>
      <c r="C795" s="7"/>
      <c r="D795" s="7"/>
      <c r="E795" s="11">
        <v>793</v>
      </c>
      <c r="F795" s="8"/>
      <c r="G795" s="8"/>
      <c r="H795" s="9"/>
      <c r="I795" s="10"/>
      <c r="J795" s="9"/>
      <c r="K795" s="10"/>
      <c r="L795" s="8"/>
      <c r="M795" s="8"/>
      <c r="N795" s="10"/>
      <c r="O795" s="10"/>
    </row>
    <row r="796" spans="1:15" x14ac:dyDescent="0.25">
      <c r="A796" s="7"/>
      <c r="B796" s="7"/>
      <c r="C796" s="7"/>
      <c r="D796" s="7"/>
      <c r="E796" s="11">
        <v>794</v>
      </c>
      <c r="F796" s="8"/>
      <c r="G796" s="8"/>
      <c r="H796" s="9"/>
      <c r="I796" s="10"/>
      <c r="J796" s="9"/>
      <c r="K796" s="10"/>
      <c r="L796" s="8"/>
      <c r="M796" s="8"/>
      <c r="N796" s="10"/>
      <c r="O796" s="10"/>
    </row>
    <row r="797" spans="1:15" x14ac:dyDescent="0.25">
      <c r="A797" s="7"/>
      <c r="B797" s="7"/>
      <c r="C797" s="7"/>
      <c r="D797" s="7"/>
      <c r="E797" s="11">
        <v>795</v>
      </c>
      <c r="F797" s="8"/>
      <c r="G797" s="8"/>
      <c r="H797" s="9"/>
      <c r="I797" s="10"/>
      <c r="J797" s="9"/>
      <c r="K797" s="10"/>
      <c r="L797" s="8"/>
      <c r="M797" s="8"/>
      <c r="N797" s="10"/>
      <c r="O797" s="10"/>
    </row>
    <row r="798" spans="1:15" x14ac:dyDescent="0.25">
      <c r="A798" s="7"/>
      <c r="B798" s="7"/>
      <c r="C798" s="7"/>
      <c r="D798" s="7"/>
      <c r="E798" s="11">
        <v>796</v>
      </c>
      <c r="F798" s="8"/>
      <c r="G798" s="8"/>
      <c r="H798" s="9"/>
      <c r="I798" s="10"/>
      <c r="J798" s="9"/>
      <c r="K798" s="10"/>
      <c r="L798" s="8"/>
      <c r="M798" s="8"/>
      <c r="N798" s="10"/>
      <c r="O798" s="10"/>
    </row>
    <row r="799" spans="1:15" x14ac:dyDescent="0.25">
      <c r="A799" s="7"/>
      <c r="B799" s="7"/>
      <c r="C799" s="7"/>
      <c r="D799" s="7"/>
      <c r="E799" s="11">
        <v>797</v>
      </c>
      <c r="F799" s="8"/>
      <c r="G799" s="8"/>
      <c r="H799" s="9"/>
      <c r="I799" s="10"/>
      <c r="J799" s="9"/>
      <c r="K799" s="10"/>
      <c r="L799" s="8"/>
      <c r="M799" s="8"/>
      <c r="N799" s="10"/>
      <c r="O799" s="10"/>
    </row>
    <row r="800" spans="1:15" x14ac:dyDescent="0.25">
      <c r="A800" s="7"/>
      <c r="B800" s="7"/>
      <c r="C800" s="7"/>
      <c r="D800" s="7"/>
      <c r="E800" s="11">
        <v>798</v>
      </c>
      <c r="F800" s="8"/>
      <c r="G800" s="8"/>
      <c r="H800" s="9"/>
      <c r="I800" s="10"/>
      <c r="J800" s="9"/>
      <c r="K800" s="10"/>
      <c r="L800" s="8"/>
      <c r="M800" s="8"/>
      <c r="N800" s="10"/>
      <c r="O800" s="10"/>
    </row>
    <row r="801" spans="1:15" x14ac:dyDescent="0.25">
      <c r="A801" s="7"/>
      <c r="B801" s="7"/>
      <c r="C801" s="7"/>
      <c r="D801" s="7"/>
      <c r="E801" s="11">
        <v>799</v>
      </c>
      <c r="F801" s="8"/>
      <c r="G801" s="8"/>
      <c r="H801" s="9"/>
      <c r="I801" s="10"/>
      <c r="J801" s="9"/>
      <c r="K801" s="10"/>
      <c r="L801" s="8"/>
      <c r="M801" s="8"/>
      <c r="N801" s="10"/>
      <c r="O801" s="10"/>
    </row>
    <row r="802" spans="1:15" x14ac:dyDescent="0.25">
      <c r="A802" s="7"/>
      <c r="B802" s="7"/>
      <c r="C802" s="7"/>
      <c r="D802" s="7"/>
      <c r="E802" s="11">
        <v>800</v>
      </c>
      <c r="F802" s="8"/>
      <c r="G802" s="8"/>
      <c r="H802" s="9"/>
      <c r="I802" s="10"/>
      <c r="J802" s="9"/>
      <c r="K802" s="10"/>
      <c r="L802" s="8"/>
      <c r="M802" s="8"/>
      <c r="N802" s="10"/>
      <c r="O802" s="10"/>
    </row>
    <row r="803" spans="1:15" x14ac:dyDescent="0.25">
      <c r="A803" s="7"/>
      <c r="B803" s="7"/>
      <c r="C803" s="7"/>
      <c r="D803" s="7"/>
      <c r="E803" s="11">
        <v>801</v>
      </c>
      <c r="F803" s="8"/>
      <c r="G803" s="8"/>
      <c r="H803" s="9"/>
      <c r="I803" s="10"/>
      <c r="J803" s="9"/>
      <c r="K803" s="10"/>
      <c r="L803" s="8"/>
      <c r="M803" s="8"/>
      <c r="N803" s="10"/>
      <c r="O803" s="10"/>
    </row>
    <row r="804" spans="1:15" x14ac:dyDescent="0.25">
      <c r="A804" s="7"/>
      <c r="B804" s="7"/>
      <c r="C804" s="7"/>
      <c r="D804" s="7"/>
      <c r="E804" s="11">
        <v>802</v>
      </c>
      <c r="F804" s="8"/>
      <c r="G804" s="8"/>
      <c r="H804" s="9"/>
      <c r="I804" s="10"/>
      <c r="J804" s="9"/>
      <c r="K804" s="10"/>
      <c r="L804" s="8"/>
      <c r="M804" s="8"/>
      <c r="N804" s="10"/>
      <c r="O804" s="10"/>
    </row>
    <row r="805" spans="1:15" x14ac:dyDescent="0.25">
      <c r="A805" s="7"/>
      <c r="B805" s="7"/>
      <c r="C805" s="7"/>
      <c r="D805" s="7"/>
      <c r="E805" s="11">
        <v>803</v>
      </c>
      <c r="F805" s="8"/>
      <c r="G805" s="8"/>
      <c r="H805" s="9"/>
      <c r="I805" s="10"/>
      <c r="J805" s="9"/>
      <c r="K805" s="10"/>
      <c r="L805" s="8"/>
      <c r="M805" s="8"/>
      <c r="N805" s="10"/>
      <c r="O805" s="10"/>
    </row>
    <row r="806" spans="1:15" x14ac:dyDescent="0.25">
      <c r="A806" s="7"/>
      <c r="B806" s="7"/>
      <c r="C806" s="7"/>
      <c r="D806" s="7"/>
      <c r="E806" s="11">
        <v>804</v>
      </c>
      <c r="F806" s="8"/>
      <c r="G806" s="8"/>
      <c r="H806" s="9"/>
      <c r="I806" s="10"/>
      <c r="J806" s="9"/>
      <c r="K806" s="10"/>
      <c r="L806" s="8"/>
      <c r="M806" s="8"/>
      <c r="N806" s="10"/>
      <c r="O806" s="10"/>
    </row>
    <row r="807" spans="1:15" x14ac:dyDescent="0.25">
      <c r="A807" s="7"/>
      <c r="B807" s="7"/>
      <c r="C807" s="7"/>
      <c r="D807" s="7"/>
      <c r="E807" s="11">
        <v>805</v>
      </c>
      <c r="F807" s="8"/>
      <c r="G807" s="8"/>
      <c r="H807" s="9"/>
      <c r="I807" s="10"/>
      <c r="J807" s="9"/>
      <c r="K807" s="10"/>
      <c r="L807" s="8"/>
      <c r="M807" s="8"/>
      <c r="N807" s="10"/>
      <c r="O807" s="10"/>
    </row>
    <row r="808" spans="1:15" x14ac:dyDescent="0.25">
      <c r="A808" s="7"/>
      <c r="B808" s="7"/>
      <c r="C808" s="7"/>
      <c r="D808" s="7"/>
      <c r="E808" s="11">
        <v>806</v>
      </c>
      <c r="F808" s="8"/>
      <c r="G808" s="8"/>
      <c r="H808" s="9"/>
      <c r="I808" s="10"/>
      <c r="J808" s="9"/>
      <c r="K808" s="10"/>
      <c r="L808" s="8"/>
      <c r="M808" s="8"/>
      <c r="N808" s="10"/>
      <c r="O808" s="10"/>
    </row>
    <row r="809" spans="1:15" x14ac:dyDescent="0.25">
      <c r="A809" s="7"/>
      <c r="B809" s="7"/>
      <c r="C809" s="7"/>
      <c r="D809" s="7"/>
      <c r="E809" s="11">
        <v>807</v>
      </c>
      <c r="F809" s="8"/>
      <c r="G809" s="8"/>
      <c r="H809" s="9"/>
      <c r="I809" s="10"/>
      <c r="J809" s="9"/>
      <c r="K809" s="10"/>
      <c r="L809" s="8"/>
      <c r="M809" s="8"/>
      <c r="N809" s="10"/>
      <c r="O809" s="10"/>
    </row>
    <row r="810" spans="1:15" x14ac:dyDescent="0.25">
      <c r="A810" s="7"/>
      <c r="B810" s="7"/>
      <c r="C810" s="7"/>
      <c r="D810" s="7"/>
      <c r="E810" s="11">
        <v>808</v>
      </c>
      <c r="F810" s="8"/>
      <c r="G810" s="8"/>
      <c r="H810" s="9"/>
      <c r="I810" s="10"/>
      <c r="J810" s="9"/>
      <c r="K810" s="10"/>
      <c r="L810" s="8"/>
      <c r="M810" s="8"/>
      <c r="N810" s="10"/>
      <c r="O810" s="10"/>
    </row>
    <row r="811" spans="1:15" x14ac:dyDescent="0.25">
      <c r="A811" s="7"/>
      <c r="B811" s="7"/>
      <c r="C811" s="7"/>
      <c r="D811" s="7"/>
      <c r="E811" s="11">
        <v>809</v>
      </c>
      <c r="F811" s="8"/>
      <c r="G811" s="8"/>
      <c r="H811" s="9"/>
      <c r="I811" s="10"/>
      <c r="J811" s="9"/>
      <c r="K811" s="10"/>
      <c r="L811" s="8"/>
      <c r="M811" s="8"/>
      <c r="N811" s="10"/>
      <c r="O811" s="10"/>
    </row>
    <row r="812" spans="1:15" x14ac:dyDescent="0.25">
      <c r="A812" s="7"/>
      <c r="B812" s="7"/>
      <c r="C812" s="7"/>
      <c r="D812" s="7"/>
      <c r="E812" s="11">
        <v>810</v>
      </c>
      <c r="F812" s="8"/>
      <c r="G812" s="8"/>
      <c r="H812" s="9"/>
      <c r="I812" s="10"/>
      <c r="J812" s="9"/>
      <c r="K812" s="10"/>
      <c r="L812" s="8"/>
      <c r="M812" s="8"/>
      <c r="N812" s="10"/>
      <c r="O812" s="10"/>
    </row>
    <row r="813" spans="1:15" x14ac:dyDescent="0.25">
      <c r="A813" s="7"/>
      <c r="B813" s="7"/>
      <c r="C813" s="7"/>
      <c r="D813" s="7"/>
      <c r="E813" s="11">
        <v>811</v>
      </c>
      <c r="F813" s="8"/>
      <c r="G813" s="8"/>
      <c r="H813" s="9"/>
      <c r="I813" s="10"/>
      <c r="J813" s="9"/>
      <c r="K813" s="10"/>
      <c r="L813" s="8"/>
      <c r="M813" s="8"/>
      <c r="N813" s="10"/>
      <c r="O813" s="10"/>
    </row>
    <row r="814" spans="1:15" x14ac:dyDescent="0.25">
      <c r="A814" s="7"/>
      <c r="B814" s="7"/>
      <c r="C814" s="7"/>
      <c r="D814" s="7"/>
      <c r="E814" s="11">
        <v>812</v>
      </c>
      <c r="F814" s="8"/>
      <c r="G814" s="8"/>
      <c r="H814" s="9"/>
      <c r="I814" s="10"/>
      <c r="J814" s="9"/>
      <c r="K814" s="10"/>
      <c r="L814" s="8"/>
      <c r="M814" s="8"/>
      <c r="N814" s="10"/>
      <c r="O814" s="10"/>
    </row>
    <row r="815" spans="1:15" x14ac:dyDescent="0.25">
      <c r="A815" s="7"/>
      <c r="B815" s="7"/>
      <c r="C815" s="7"/>
      <c r="D815" s="7"/>
      <c r="E815" s="11">
        <v>813</v>
      </c>
      <c r="F815" s="8"/>
      <c r="G815" s="8"/>
      <c r="H815" s="9"/>
      <c r="I815" s="10"/>
      <c r="J815" s="9"/>
      <c r="K815" s="10"/>
      <c r="L815" s="8"/>
      <c r="M815" s="8"/>
      <c r="N815" s="10"/>
      <c r="O815" s="10"/>
    </row>
    <row r="816" spans="1:15" x14ac:dyDescent="0.25">
      <c r="A816" s="7"/>
      <c r="B816" s="7"/>
      <c r="C816" s="7"/>
      <c r="D816" s="7"/>
      <c r="E816" s="11">
        <v>814</v>
      </c>
      <c r="F816" s="8"/>
      <c r="G816" s="8"/>
      <c r="H816" s="9"/>
      <c r="I816" s="10"/>
      <c r="J816" s="9"/>
      <c r="K816" s="10"/>
      <c r="L816" s="8"/>
      <c r="M816" s="8"/>
      <c r="N816" s="10"/>
      <c r="O816" s="10"/>
    </row>
    <row r="817" spans="1:15" x14ac:dyDescent="0.25">
      <c r="A817" s="7"/>
      <c r="B817" s="7"/>
      <c r="C817" s="7"/>
      <c r="D817" s="7"/>
      <c r="E817" s="11">
        <v>815</v>
      </c>
      <c r="F817" s="8"/>
      <c r="G817" s="8"/>
      <c r="H817" s="9"/>
      <c r="I817" s="10"/>
      <c r="J817" s="9"/>
      <c r="K817" s="10"/>
      <c r="L817" s="8"/>
      <c r="M817" s="8"/>
      <c r="N817" s="10"/>
      <c r="O817" s="10"/>
    </row>
    <row r="818" spans="1:15" x14ac:dyDescent="0.25">
      <c r="A818" s="7"/>
      <c r="B818" s="7"/>
      <c r="C818" s="7"/>
      <c r="D818" s="7"/>
      <c r="E818" s="11">
        <v>816</v>
      </c>
      <c r="F818" s="8"/>
      <c r="G818" s="8"/>
      <c r="H818" s="9"/>
      <c r="I818" s="10"/>
      <c r="J818" s="9"/>
      <c r="K818" s="10"/>
      <c r="L818" s="8"/>
      <c r="M818" s="8"/>
      <c r="N818" s="10"/>
      <c r="O818" s="10"/>
    </row>
    <row r="819" spans="1:15" x14ac:dyDescent="0.25">
      <c r="A819" s="7"/>
      <c r="B819" s="7"/>
      <c r="C819" s="7"/>
      <c r="D819" s="7"/>
      <c r="E819" s="11">
        <v>817</v>
      </c>
      <c r="F819" s="8"/>
      <c r="G819" s="8"/>
      <c r="H819" s="9"/>
      <c r="I819" s="10"/>
      <c r="J819" s="9"/>
      <c r="K819" s="10"/>
      <c r="L819" s="8"/>
      <c r="M819" s="8"/>
      <c r="N819" s="10"/>
      <c r="O819" s="10"/>
    </row>
    <row r="820" spans="1:15" x14ac:dyDescent="0.25">
      <c r="A820" s="7"/>
      <c r="B820" s="7"/>
      <c r="C820" s="7"/>
      <c r="D820" s="7"/>
      <c r="E820" s="11">
        <v>818</v>
      </c>
      <c r="F820" s="8"/>
      <c r="G820" s="8"/>
      <c r="H820" s="9"/>
      <c r="I820" s="10"/>
      <c r="J820" s="9"/>
      <c r="K820" s="10"/>
      <c r="L820" s="8"/>
      <c r="M820" s="8"/>
      <c r="N820" s="10"/>
      <c r="O820" s="10"/>
    </row>
    <row r="821" spans="1:15" x14ac:dyDescent="0.25">
      <c r="A821" s="7"/>
      <c r="B821" s="7"/>
      <c r="C821" s="7"/>
      <c r="D821" s="7"/>
      <c r="E821" s="11">
        <v>819</v>
      </c>
      <c r="F821" s="8"/>
      <c r="G821" s="8"/>
      <c r="H821" s="9"/>
      <c r="I821" s="10"/>
      <c r="J821" s="9"/>
      <c r="K821" s="10"/>
      <c r="L821" s="8"/>
      <c r="M821" s="8"/>
      <c r="N821" s="10"/>
      <c r="O821" s="10"/>
    </row>
    <row r="822" spans="1:15" x14ac:dyDescent="0.25">
      <c r="A822" s="7"/>
      <c r="B822" s="7"/>
      <c r="C822" s="7"/>
      <c r="D822" s="7"/>
      <c r="E822" s="11">
        <v>820</v>
      </c>
      <c r="F822" s="8"/>
      <c r="G822" s="8"/>
      <c r="H822" s="9"/>
      <c r="I822" s="10"/>
      <c r="J822" s="9"/>
      <c r="K822" s="10"/>
      <c r="L822" s="8"/>
      <c r="M822" s="8"/>
      <c r="N822" s="10"/>
      <c r="O822" s="10"/>
    </row>
    <row r="823" spans="1:15" x14ac:dyDescent="0.25">
      <c r="A823" s="7"/>
      <c r="B823" s="7"/>
      <c r="C823" s="7"/>
      <c r="D823" s="7"/>
      <c r="E823" s="11">
        <v>821</v>
      </c>
      <c r="F823" s="8"/>
      <c r="G823" s="8"/>
      <c r="H823" s="9"/>
      <c r="I823" s="10"/>
      <c r="J823" s="9"/>
      <c r="K823" s="10"/>
      <c r="L823" s="8"/>
      <c r="M823" s="8"/>
      <c r="N823" s="10"/>
      <c r="O823" s="10"/>
    </row>
    <row r="824" spans="1:15" x14ac:dyDescent="0.25">
      <c r="A824" s="7"/>
      <c r="B824" s="7"/>
      <c r="C824" s="7"/>
      <c r="D824" s="7"/>
      <c r="E824" s="11">
        <v>822</v>
      </c>
      <c r="F824" s="8"/>
      <c r="G824" s="8"/>
      <c r="H824" s="9"/>
      <c r="I824" s="10"/>
      <c r="J824" s="9"/>
      <c r="K824" s="10"/>
      <c r="L824" s="8"/>
      <c r="M824" s="8"/>
      <c r="N824" s="10"/>
      <c r="O824" s="10"/>
    </row>
    <row r="825" spans="1:15" x14ac:dyDescent="0.25">
      <c r="A825" s="7"/>
      <c r="B825" s="7"/>
      <c r="C825" s="7"/>
      <c r="D825" s="7"/>
      <c r="E825" s="11">
        <v>823</v>
      </c>
      <c r="F825" s="8"/>
      <c r="G825" s="8"/>
      <c r="H825" s="9"/>
      <c r="I825" s="10"/>
      <c r="J825" s="9"/>
      <c r="K825" s="10"/>
      <c r="L825" s="8"/>
      <c r="M825" s="8"/>
      <c r="N825" s="10"/>
      <c r="O825" s="10"/>
    </row>
    <row r="826" spans="1:15" x14ac:dyDescent="0.25">
      <c r="A826" s="7"/>
      <c r="B826" s="7"/>
      <c r="C826" s="7"/>
      <c r="D826" s="7"/>
      <c r="E826" s="11">
        <v>824</v>
      </c>
      <c r="F826" s="8"/>
      <c r="G826" s="8"/>
      <c r="H826" s="9"/>
      <c r="I826" s="10"/>
      <c r="J826" s="9"/>
      <c r="K826" s="10"/>
      <c r="L826" s="8"/>
      <c r="M826" s="8"/>
      <c r="N826" s="10"/>
      <c r="O826" s="10"/>
    </row>
    <row r="827" spans="1:15" x14ac:dyDescent="0.25">
      <c r="A827" s="7"/>
      <c r="B827" s="7"/>
      <c r="C827" s="7"/>
      <c r="D827" s="7"/>
      <c r="E827" s="11">
        <v>825</v>
      </c>
      <c r="F827" s="8"/>
      <c r="G827" s="8"/>
      <c r="H827" s="9"/>
      <c r="I827" s="10"/>
      <c r="J827" s="9"/>
      <c r="K827" s="10"/>
      <c r="L827" s="8"/>
      <c r="M827" s="8"/>
      <c r="N827" s="10"/>
      <c r="O827" s="10"/>
    </row>
    <row r="828" spans="1:15" x14ac:dyDescent="0.25">
      <c r="A828" s="7"/>
      <c r="B828" s="7"/>
      <c r="C828" s="7"/>
      <c r="D828" s="7"/>
      <c r="E828" s="11">
        <v>826</v>
      </c>
      <c r="F828" s="8"/>
      <c r="G828" s="8"/>
      <c r="H828" s="9"/>
      <c r="I828" s="10"/>
      <c r="J828" s="9"/>
      <c r="K828" s="10"/>
      <c r="L828" s="8"/>
      <c r="M828" s="8"/>
      <c r="N828" s="10"/>
      <c r="O828" s="10"/>
    </row>
    <row r="829" spans="1:15" x14ac:dyDescent="0.25">
      <c r="A829" s="7"/>
      <c r="B829" s="7"/>
      <c r="C829" s="7"/>
      <c r="D829" s="7"/>
      <c r="E829" s="11">
        <v>827</v>
      </c>
      <c r="F829" s="8"/>
      <c r="G829" s="8"/>
      <c r="H829" s="9"/>
      <c r="I829" s="10"/>
      <c r="J829" s="9"/>
      <c r="K829" s="10"/>
      <c r="L829" s="8"/>
      <c r="M829" s="8"/>
      <c r="N829" s="10"/>
      <c r="O829" s="10"/>
    </row>
    <row r="830" spans="1:15" x14ac:dyDescent="0.25">
      <c r="A830" s="7"/>
      <c r="B830" s="7"/>
      <c r="C830" s="7"/>
      <c r="D830" s="7"/>
      <c r="E830" s="11">
        <v>828</v>
      </c>
      <c r="F830" s="8"/>
      <c r="G830" s="8"/>
      <c r="H830" s="9"/>
      <c r="I830" s="10"/>
      <c r="J830" s="9"/>
      <c r="K830" s="10"/>
      <c r="L830" s="8"/>
      <c r="M830" s="8"/>
      <c r="N830" s="10"/>
      <c r="O830" s="10"/>
    </row>
    <row r="831" spans="1:15" x14ac:dyDescent="0.25">
      <c r="A831" s="7"/>
      <c r="B831" s="7"/>
      <c r="C831" s="7"/>
      <c r="D831" s="7"/>
      <c r="E831" s="11">
        <v>829</v>
      </c>
      <c r="F831" s="8"/>
      <c r="G831" s="8"/>
      <c r="H831" s="9"/>
      <c r="I831" s="10"/>
      <c r="J831" s="9"/>
      <c r="K831" s="10"/>
      <c r="L831" s="8"/>
      <c r="M831" s="8"/>
      <c r="N831" s="10"/>
      <c r="O831" s="10"/>
    </row>
    <row r="832" spans="1:15" x14ac:dyDescent="0.25">
      <c r="A832" s="7"/>
      <c r="B832" s="7"/>
      <c r="C832" s="7"/>
      <c r="D832" s="7"/>
      <c r="E832" s="11">
        <v>830</v>
      </c>
      <c r="F832" s="8"/>
      <c r="G832" s="8"/>
      <c r="H832" s="9"/>
      <c r="I832" s="10"/>
      <c r="J832" s="9"/>
      <c r="K832" s="10"/>
      <c r="L832" s="8"/>
      <c r="M832" s="8"/>
      <c r="N832" s="10"/>
      <c r="O832" s="10"/>
    </row>
    <row r="833" spans="1:15" x14ac:dyDescent="0.25">
      <c r="A833" s="7"/>
      <c r="B833" s="7"/>
      <c r="C833" s="7"/>
      <c r="D833" s="7"/>
      <c r="E833" s="11">
        <v>831</v>
      </c>
      <c r="F833" s="8"/>
      <c r="G833" s="8"/>
      <c r="H833" s="9"/>
      <c r="I833" s="10"/>
      <c r="J833" s="9"/>
      <c r="K833" s="10"/>
      <c r="L833" s="8"/>
      <c r="M833" s="8"/>
      <c r="N833" s="10"/>
      <c r="O833" s="10"/>
    </row>
    <row r="834" spans="1:15" x14ac:dyDescent="0.25">
      <c r="A834" s="7"/>
      <c r="B834" s="7"/>
      <c r="C834" s="7"/>
      <c r="D834" s="7"/>
      <c r="E834" s="11">
        <v>832</v>
      </c>
      <c r="F834" s="8"/>
      <c r="G834" s="8"/>
      <c r="H834" s="9"/>
      <c r="I834" s="10"/>
      <c r="J834" s="9"/>
      <c r="K834" s="10"/>
      <c r="L834" s="8"/>
      <c r="M834" s="8"/>
      <c r="N834" s="10"/>
      <c r="O834" s="10"/>
    </row>
    <row r="835" spans="1:15" x14ac:dyDescent="0.25">
      <c r="A835" s="7"/>
      <c r="B835" s="7"/>
      <c r="C835" s="7"/>
      <c r="D835" s="7"/>
      <c r="E835" s="11">
        <v>833</v>
      </c>
      <c r="F835" s="8"/>
      <c r="G835" s="8"/>
      <c r="H835" s="9"/>
      <c r="I835" s="10"/>
      <c r="J835" s="9"/>
      <c r="K835" s="10"/>
      <c r="L835" s="8"/>
      <c r="M835" s="8"/>
      <c r="N835" s="10"/>
      <c r="O835" s="10"/>
    </row>
    <row r="836" spans="1:15" x14ac:dyDescent="0.25">
      <c r="A836" s="7"/>
      <c r="B836" s="7"/>
      <c r="C836" s="7"/>
      <c r="D836" s="7"/>
      <c r="E836" s="11">
        <v>834</v>
      </c>
      <c r="F836" s="8"/>
      <c r="G836" s="8"/>
      <c r="H836" s="9"/>
      <c r="I836" s="10"/>
      <c r="J836" s="9"/>
      <c r="K836" s="10"/>
      <c r="L836" s="8"/>
      <c r="M836" s="8"/>
      <c r="N836" s="10"/>
      <c r="O836" s="10"/>
    </row>
    <row r="837" spans="1:15" x14ac:dyDescent="0.25">
      <c r="A837" s="7"/>
      <c r="B837" s="7"/>
      <c r="C837" s="7"/>
      <c r="D837" s="7"/>
      <c r="E837" s="11">
        <v>835</v>
      </c>
      <c r="F837" s="8"/>
      <c r="G837" s="8"/>
      <c r="H837" s="9"/>
      <c r="I837" s="10"/>
      <c r="J837" s="9"/>
      <c r="K837" s="10"/>
      <c r="L837" s="8"/>
      <c r="M837" s="8"/>
      <c r="N837" s="10"/>
      <c r="O837" s="10"/>
    </row>
    <row r="838" spans="1:15" x14ac:dyDescent="0.25">
      <c r="A838" s="7"/>
      <c r="B838" s="7"/>
      <c r="C838" s="7"/>
      <c r="D838" s="7"/>
      <c r="E838" s="11">
        <v>836</v>
      </c>
      <c r="F838" s="8"/>
      <c r="G838" s="8"/>
      <c r="H838" s="9"/>
      <c r="I838" s="10"/>
      <c r="J838" s="9"/>
      <c r="K838" s="10"/>
      <c r="L838" s="8"/>
      <c r="M838" s="8"/>
      <c r="N838" s="10"/>
      <c r="O838" s="10"/>
    </row>
    <row r="839" spans="1:15" x14ac:dyDescent="0.25">
      <c r="A839" s="7"/>
      <c r="B839" s="7"/>
      <c r="C839" s="7"/>
      <c r="D839" s="7"/>
      <c r="E839" s="11">
        <v>837</v>
      </c>
      <c r="F839" s="8"/>
      <c r="G839" s="8"/>
      <c r="H839" s="9"/>
      <c r="I839" s="10"/>
      <c r="J839" s="9"/>
      <c r="K839" s="10"/>
      <c r="L839" s="8"/>
      <c r="M839" s="8"/>
      <c r="N839" s="10"/>
      <c r="O839" s="10"/>
    </row>
    <row r="840" spans="1:15" x14ac:dyDescent="0.25">
      <c r="A840" s="7"/>
      <c r="B840" s="7"/>
      <c r="C840" s="7"/>
      <c r="D840" s="7"/>
      <c r="E840" s="11">
        <v>838</v>
      </c>
      <c r="F840" s="8"/>
      <c r="G840" s="8"/>
      <c r="H840" s="9"/>
      <c r="I840" s="10"/>
      <c r="J840" s="9"/>
      <c r="K840" s="10"/>
      <c r="L840" s="8"/>
      <c r="M840" s="8"/>
      <c r="N840" s="10"/>
      <c r="O840" s="10"/>
    </row>
    <row r="841" spans="1:15" x14ac:dyDescent="0.25">
      <c r="A841" s="7"/>
      <c r="B841" s="7"/>
      <c r="C841" s="7"/>
      <c r="D841" s="7"/>
      <c r="E841" s="11">
        <v>839</v>
      </c>
      <c r="F841" s="8"/>
      <c r="G841" s="8"/>
      <c r="H841" s="9"/>
      <c r="I841" s="10"/>
      <c r="J841" s="9"/>
      <c r="K841" s="10"/>
      <c r="L841" s="8"/>
      <c r="M841" s="8"/>
      <c r="N841" s="10"/>
      <c r="O841" s="10"/>
    </row>
    <row r="842" spans="1:15" x14ac:dyDescent="0.25">
      <c r="A842" s="7"/>
      <c r="B842" s="7"/>
      <c r="C842" s="7"/>
      <c r="D842" s="7"/>
      <c r="E842" s="11">
        <v>840</v>
      </c>
      <c r="F842" s="8"/>
      <c r="G842" s="8"/>
      <c r="H842" s="9"/>
      <c r="I842" s="10"/>
      <c r="J842" s="9"/>
      <c r="K842" s="10"/>
      <c r="L842" s="8"/>
      <c r="M842" s="8"/>
      <c r="N842" s="10"/>
      <c r="O842" s="10"/>
    </row>
    <row r="843" spans="1:15" x14ac:dyDescent="0.25">
      <c r="A843" s="7"/>
      <c r="B843" s="7"/>
      <c r="C843" s="7"/>
      <c r="D843" s="7"/>
      <c r="E843" s="11">
        <v>841</v>
      </c>
      <c r="F843" s="8"/>
      <c r="G843" s="8"/>
      <c r="H843" s="9"/>
      <c r="I843" s="10"/>
      <c r="J843" s="9"/>
      <c r="K843" s="10"/>
      <c r="L843" s="8"/>
      <c r="M843" s="8"/>
      <c r="N843" s="10"/>
      <c r="O843" s="10"/>
    </row>
    <row r="844" spans="1:15" x14ac:dyDescent="0.25">
      <c r="A844" s="7"/>
      <c r="B844" s="7"/>
      <c r="C844" s="7"/>
      <c r="D844" s="7"/>
      <c r="E844" s="11">
        <v>842</v>
      </c>
      <c r="F844" s="8"/>
      <c r="G844" s="8"/>
      <c r="H844" s="9"/>
      <c r="I844" s="10"/>
      <c r="J844" s="9"/>
      <c r="K844" s="10"/>
      <c r="L844" s="8"/>
      <c r="M844" s="8"/>
      <c r="N844" s="10"/>
      <c r="O844" s="10"/>
    </row>
    <row r="845" spans="1:15" x14ac:dyDescent="0.25">
      <c r="A845" s="7"/>
      <c r="B845" s="7"/>
      <c r="C845" s="7"/>
      <c r="D845" s="7"/>
      <c r="E845" s="11">
        <v>843</v>
      </c>
      <c r="F845" s="8"/>
      <c r="G845" s="8"/>
      <c r="H845" s="9"/>
      <c r="I845" s="10"/>
      <c r="J845" s="9"/>
      <c r="K845" s="10"/>
      <c r="L845" s="8"/>
      <c r="M845" s="8"/>
      <c r="N845" s="10"/>
      <c r="O845" s="10"/>
    </row>
    <row r="846" spans="1:15" x14ac:dyDescent="0.25">
      <c r="A846" s="7"/>
      <c r="B846" s="7"/>
      <c r="C846" s="7"/>
      <c r="D846" s="7"/>
      <c r="E846" s="11">
        <v>844</v>
      </c>
      <c r="F846" s="8"/>
      <c r="G846" s="8"/>
      <c r="H846" s="9"/>
      <c r="I846" s="10"/>
      <c r="J846" s="9"/>
      <c r="K846" s="10"/>
      <c r="L846" s="8"/>
      <c r="M846" s="8"/>
      <c r="N846" s="10"/>
      <c r="O846" s="10"/>
    </row>
    <row r="847" spans="1:15" x14ac:dyDescent="0.25">
      <c r="A847" s="7"/>
      <c r="B847" s="7"/>
      <c r="C847" s="7"/>
      <c r="D847" s="7"/>
      <c r="E847" s="11">
        <v>845</v>
      </c>
      <c r="F847" s="8"/>
      <c r="G847" s="8"/>
      <c r="H847" s="9"/>
      <c r="I847" s="10"/>
      <c r="J847" s="9"/>
      <c r="K847" s="10"/>
      <c r="L847" s="8"/>
      <c r="M847" s="8"/>
      <c r="N847" s="10"/>
      <c r="O847" s="10"/>
    </row>
    <row r="848" spans="1:15" x14ac:dyDescent="0.25">
      <c r="A848" s="7"/>
      <c r="B848" s="7"/>
      <c r="C848" s="7"/>
      <c r="D848" s="7"/>
      <c r="E848" s="11">
        <v>846</v>
      </c>
      <c r="F848" s="8"/>
      <c r="G848" s="8"/>
      <c r="H848" s="9"/>
      <c r="I848" s="10"/>
      <c r="J848" s="9"/>
      <c r="K848" s="10"/>
      <c r="L848" s="8"/>
      <c r="M848" s="8"/>
      <c r="N848" s="10"/>
      <c r="O848" s="10"/>
    </row>
    <row r="849" spans="1:15" x14ac:dyDescent="0.25">
      <c r="A849" s="7"/>
      <c r="B849" s="7"/>
      <c r="C849" s="7"/>
      <c r="D849" s="7"/>
      <c r="E849" s="11">
        <v>847</v>
      </c>
      <c r="F849" s="8"/>
      <c r="G849" s="8"/>
      <c r="H849" s="9"/>
      <c r="I849" s="10"/>
      <c r="J849" s="9"/>
      <c r="K849" s="10"/>
      <c r="L849" s="8"/>
      <c r="M849" s="8"/>
      <c r="N849" s="10"/>
      <c r="O849" s="10"/>
    </row>
    <row r="850" spans="1:15" x14ac:dyDescent="0.25">
      <c r="A850" s="7"/>
      <c r="B850" s="7"/>
      <c r="C850" s="7"/>
      <c r="D850" s="7"/>
      <c r="E850" s="11">
        <v>848</v>
      </c>
      <c r="F850" s="8"/>
      <c r="G850" s="8"/>
      <c r="H850" s="9"/>
      <c r="I850" s="10"/>
      <c r="J850" s="9"/>
      <c r="K850" s="10"/>
      <c r="L850" s="8"/>
      <c r="M850" s="8"/>
      <c r="N850" s="10"/>
      <c r="O850" s="10"/>
    </row>
    <row r="851" spans="1:15" x14ac:dyDescent="0.25">
      <c r="A851" s="7"/>
      <c r="B851" s="7"/>
      <c r="C851" s="7"/>
      <c r="D851" s="7"/>
      <c r="E851" s="11">
        <v>849</v>
      </c>
      <c r="F851" s="8"/>
      <c r="G851" s="8"/>
      <c r="H851" s="9"/>
      <c r="I851" s="10"/>
      <c r="J851" s="9"/>
      <c r="K851" s="10"/>
      <c r="L851" s="8"/>
      <c r="M851" s="8"/>
      <c r="N851" s="10"/>
      <c r="O851" s="10"/>
    </row>
    <row r="852" spans="1:15" x14ac:dyDescent="0.25">
      <c r="A852" s="7"/>
      <c r="B852" s="7"/>
      <c r="C852" s="7"/>
      <c r="D852" s="7"/>
      <c r="E852" s="11">
        <v>850</v>
      </c>
      <c r="F852" s="8"/>
      <c r="G852" s="8"/>
      <c r="H852" s="9"/>
      <c r="I852" s="10"/>
      <c r="J852" s="9"/>
      <c r="K852" s="10"/>
      <c r="L852" s="8"/>
      <c r="M852" s="8"/>
      <c r="N852" s="10"/>
      <c r="O852" s="10"/>
    </row>
    <row r="853" spans="1:15" x14ac:dyDescent="0.25">
      <c r="A853" s="7"/>
      <c r="B853" s="7"/>
      <c r="C853" s="7"/>
      <c r="D853" s="7"/>
      <c r="E853" s="11">
        <v>851</v>
      </c>
      <c r="F853" s="8"/>
      <c r="G853" s="8"/>
      <c r="H853" s="9"/>
      <c r="I853" s="10"/>
      <c r="J853" s="9"/>
      <c r="K853" s="10"/>
      <c r="L853" s="8"/>
      <c r="M853" s="8"/>
      <c r="N853" s="10"/>
      <c r="O853" s="10"/>
    </row>
    <row r="854" spans="1:15" x14ac:dyDescent="0.25">
      <c r="A854" s="7"/>
      <c r="B854" s="7"/>
      <c r="C854" s="7"/>
      <c r="D854" s="7"/>
      <c r="E854" s="11">
        <v>852</v>
      </c>
      <c r="F854" s="8"/>
      <c r="G854" s="8"/>
      <c r="H854" s="9"/>
      <c r="I854" s="10"/>
      <c r="J854" s="9"/>
      <c r="K854" s="10"/>
      <c r="L854" s="8"/>
      <c r="M854" s="8"/>
      <c r="N854" s="10"/>
      <c r="O854" s="10"/>
    </row>
    <row r="855" spans="1:15" x14ac:dyDescent="0.25">
      <c r="A855" s="7"/>
      <c r="B855" s="7"/>
      <c r="C855" s="7"/>
      <c r="D855" s="7"/>
      <c r="E855" s="11">
        <v>853</v>
      </c>
      <c r="F855" s="8"/>
      <c r="G855" s="8"/>
      <c r="H855" s="9"/>
      <c r="I855" s="10"/>
      <c r="J855" s="9"/>
      <c r="K855" s="10"/>
      <c r="L855" s="8"/>
      <c r="M855" s="8"/>
      <c r="N855" s="10"/>
      <c r="O855" s="10"/>
    </row>
    <row r="856" spans="1:15" x14ac:dyDescent="0.25">
      <c r="A856" s="7"/>
      <c r="B856" s="7"/>
      <c r="C856" s="7"/>
      <c r="D856" s="7"/>
      <c r="E856" s="11">
        <v>854</v>
      </c>
      <c r="F856" s="8"/>
      <c r="G856" s="8"/>
      <c r="H856" s="9"/>
      <c r="I856" s="10"/>
      <c r="J856" s="9"/>
      <c r="K856" s="10"/>
      <c r="L856" s="8"/>
      <c r="M856" s="8"/>
      <c r="N856" s="10"/>
      <c r="O856" s="10"/>
    </row>
    <row r="857" spans="1:15" x14ac:dyDescent="0.25">
      <c r="A857" s="7"/>
      <c r="B857" s="7"/>
      <c r="C857" s="7"/>
      <c r="D857" s="7"/>
      <c r="E857" s="11">
        <v>855</v>
      </c>
      <c r="F857" s="8"/>
      <c r="G857" s="8"/>
      <c r="H857" s="9"/>
      <c r="I857" s="10"/>
      <c r="J857" s="9"/>
      <c r="K857" s="10"/>
      <c r="L857" s="8"/>
      <c r="M857" s="8"/>
      <c r="N857" s="10"/>
      <c r="O857" s="10"/>
    </row>
    <row r="858" spans="1:15" x14ac:dyDescent="0.25">
      <c r="A858" s="7"/>
      <c r="B858" s="7"/>
      <c r="C858" s="7"/>
      <c r="D858" s="7"/>
      <c r="E858" s="11">
        <v>856</v>
      </c>
      <c r="F858" s="8"/>
      <c r="G858" s="8"/>
      <c r="H858" s="9"/>
      <c r="I858" s="10"/>
      <c r="J858" s="9"/>
      <c r="K858" s="10"/>
      <c r="L858" s="8"/>
      <c r="M858" s="8"/>
      <c r="N858" s="10"/>
      <c r="O858" s="10"/>
    </row>
    <row r="859" spans="1:15" x14ac:dyDescent="0.25">
      <c r="A859" s="7"/>
      <c r="B859" s="7"/>
      <c r="C859" s="7"/>
      <c r="D859" s="7"/>
      <c r="E859" s="11">
        <v>857</v>
      </c>
      <c r="F859" s="8"/>
      <c r="G859" s="8"/>
      <c r="H859" s="9"/>
      <c r="I859" s="10"/>
      <c r="J859" s="9"/>
      <c r="K859" s="10"/>
      <c r="L859" s="8"/>
      <c r="M859" s="8"/>
      <c r="N859" s="10"/>
      <c r="O859" s="10"/>
    </row>
    <row r="860" spans="1:15" x14ac:dyDescent="0.25">
      <c r="A860" s="7"/>
      <c r="B860" s="7"/>
      <c r="C860" s="7"/>
      <c r="D860" s="7"/>
      <c r="E860" s="11">
        <v>858</v>
      </c>
      <c r="F860" s="8"/>
      <c r="G860" s="8"/>
      <c r="H860" s="9"/>
      <c r="I860" s="10"/>
      <c r="J860" s="9"/>
      <c r="K860" s="10"/>
      <c r="L860" s="8"/>
      <c r="M860" s="8"/>
      <c r="N860" s="10"/>
      <c r="O860" s="10"/>
    </row>
    <row r="861" spans="1:15" x14ac:dyDescent="0.25">
      <c r="A861" s="7"/>
      <c r="B861" s="7"/>
      <c r="C861" s="7"/>
      <c r="D861" s="7"/>
      <c r="E861" s="11">
        <v>859</v>
      </c>
      <c r="F861" s="8"/>
      <c r="G861" s="8"/>
      <c r="H861" s="9"/>
      <c r="I861" s="10"/>
      <c r="J861" s="9"/>
      <c r="K861" s="10"/>
      <c r="L861" s="8"/>
      <c r="M861" s="8"/>
      <c r="N861" s="10"/>
      <c r="O861" s="10"/>
    </row>
    <row r="862" spans="1:15" x14ac:dyDescent="0.25">
      <c r="A862" s="7"/>
      <c r="B862" s="7"/>
      <c r="C862" s="7"/>
      <c r="D862" s="7"/>
      <c r="E862" s="11">
        <v>860</v>
      </c>
      <c r="F862" s="8"/>
      <c r="G862" s="8"/>
      <c r="H862" s="9"/>
      <c r="I862" s="10"/>
      <c r="J862" s="9"/>
      <c r="K862" s="10"/>
      <c r="L862" s="8"/>
      <c r="M862" s="8"/>
      <c r="N862" s="10"/>
      <c r="O862" s="10"/>
    </row>
    <row r="863" spans="1:15" x14ac:dyDescent="0.25">
      <c r="A863" s="7"/>
      <c r="B863" s="7"/>
      <c r="C863" s="7"/>
      <c r="D863" s="7"/>
      <c r="E863" s="11">
        <v>861</v>
      </c>
      <c r="F863" s="8"/>
      <c r="G863" s="8"/>
      <c r="H863" s="9"/>
      <c r="I863" s="10"/>
      <c r="J863" s="9"/>
      <c r="K863" s="10"/>
      <c r="L863" s="8"/>
      <c r="M863" s="8"/>
      <c r="N863" s="10"/>
      <c r="O863" s="10"/>
    </row>
    <row r="864" spans="1:15" x14ac:dyDescent="0.25">
      <c r="A864" s="7"/>
      <c r="B864" s="7"/>
      <c r="C864" s="7"/>
      <c r="D864" s="7"/>
      <c r="E864" s="11">
        <v>862</v>
      </c>
      <c r="F864" s="8"/>
      <c r="G864" s="8"/>
      <c r="H864" s="9"/>
      <c r="I864" s="10"/>
      <c r="J864" s="9"/>
      <c r="K864" s="10"/>
      <c r="L864" s="8"/>
      <c r="M864" s="8"/>
      <c r="N864" s="10"/>
      <c r="O864" s="10"/>
    </row>
    <row r="865" spans="1:15" x14ac:dyDescent="0.25">
      <c r="A865" s="7"/>
      <c r="B865" s="7"/>
      <c r="C865" s="7"/>
      <c r="D865" s="7"/>
      <c r="E865" s="11">
        <v>863</v>
      </c>
      <c r="F865" s="8"/>
      <c r="G865" s="8"/>
      <c r="H865" s="9"/>
      <c r="I865" s="10"/>
      <c r="J865" s="9"/>
      <c r="K865" s="10"/>
      <c r="L865" s="8"/>
      <c r="M865" s="8"/>
      <c r="N865" s="10"/>
      <c r="O865" s="10"/>
    </row>
    <row r="866" spans="1:15" x14ac:dyDescent="0.25">
      <c r="A866" s="7"/>
      <c r="B866" s="7"/>
      <c r="C866" s="7"/>
      <c r="D866" s="7"/>
      <c r="E866" s="11">
        <v>864</v>
      </c>
      <c r="F866" s="8"/>
      <c r="G866" s="8"/>
      <c r="H866" s="9"/>
      <c r="I866" s="10"/>
      <c r="J866" s="9"/>
      <c r="K866" s="10"/>
      <c r="L866" s="8"/>
      <c r="M866" s="8"/>
      <c r="N866" s="10"/>
      <c r="O866" s="10"/>
    </row>
    <row r="867" spans="1:15" x14ac:dyDescent="0.25">
      <c r="A867" s="7"/>
      <c r="B867" s="7"/>
      <c r="C867" s="7"/>
      <c r="D867" s="7"/>
      <c r="E867" s="11">
        <v>865</v>
      </c>
      <c r="F867" s="8"/>
      <c r="G867" s="8"/>
      <c r="H867" s="9"/>
      <c r="I867" s="10"/>
      <c r="J867" s="9"/>
      <c r="K867" s="10"/>
      <c r="L867" s="8"/>
      <c r="M867" s="8"/>
      <c r="N867" s="10"/>
      <c r="O867" s="10"/>
    </row>
    <row r="868" spans="1:15" x14ac:dyDescent="0.25">
      <c r="A868" s="7"/>
      <c r="B868" s="7"/>
      <c r="C868" s="7"/>
      <c r="D868" s="7"/>
      <c r="E868" s="11">
        <v>866</v>
      </c>
      <c r="F868" s="8"/>
      <c r="G868" s="8"/>
      <c r="H868" s="9"/>
      <c r="I868" s="10"/>
      <c r="J868" s="9"/>
      <c r="K868" s="10"/>
      <c r="L868" s="8"/>
      <c r="M868" s="8"/>
      <c r="N868" s="10"/>
      <c r="O868" s="10"/>
    </row>
    <row r="869" spans="1:15" x14ac:dyDescent="0.25">
      <c r="A869" s="7"/>
      <c r="B869" s="7"/>
      <c r="C869" s="7"/>
      <c r="D869" s="7"/>
      <c r="E869" s="11">
        <v>867</v>
      </c>
      <c r="F869" s="8"/>
      <c r="G869" s="8"/>
      <c r="H869" s="9"/>
      <c r="I869" s="10"/>
      <c r="J869" s="9"/>
      <c r="K869" s="10"/>
      <c r="L869" s="8"/>
      <c r="M869" s="8"/>
      <c r="N869" s="10"/>
      <c r="O869" s="10"/>
    </row>
    <row r="870" spans="1:15" x14ac:dyDescent="0.25">
      <c r="A870" s="7"/>
      <c r="B870" s="7"/>
      <c r="C870" s="7"/>
      <c r="D870" s="7"/>
      <c r="E870" s="11">
        <v>868</v>
      </c>
      <c r="F870" s="8"/>
      <c r="G870" s="8"/>
      <c r="H870" s="9"/>
      <c r="I870" s="10"/>
      <c r="J870" s="9"/>
      <c r="K870" s="10"/>
      <c r="L870" s="8"/>
      <c r="M870" s="8"/>
      <c r="N870" s="10"/>
      <c r="O870" s="10"/>
    </row>
    <row r="871" spans="1:15" x14ac:dyDescent="0.25">
      <c r="A871" s="7"/>
      <c r="B871" s="7"/>
      <c r="C871" s="7"/>
      <c r="D871" s="7"/>
      <c r="E871" s="11">
        <v>869</v>
      </c>
      <c r="F871" s="8"/>
      <c r="G871" s="8"/>
      <c r="H871" s="9"/>
      <c r="I871" s="10"/>
      <c r="J871" s="9"/>
      <c r="K871" s="10"/>
      <c r="L871" s="8"/>
      <c r="M871" s="8"/>
      <c r="N871" s="10"/>
      <c r="O871" s="10"/>
    </row>
    <row r="872" spans="1:15" x14ac:dyDescent="0.25">
      <c r="A872" s="7"/>
      <c r="B872" s="7"/>
      <c r="C872" s="7"/>
      <c r="D872" s="7"/>
      <c r="E872" s="11">
        <v>870</v>
      </c>
      <c r="F872" s="8"/>
      <c r="G872" s="8"/>
      <c r="H872" s="9"/>
      <c r="I872" s="10"/>
      <c r="J872" s="9"/>
      <c r="K872" s="10"/>
      <c r="L872" s="8"/>
      <c r="M872" s="8"/>
      <c r="N872" s="10"/>
      <c r="O872" s="10"/>
    </row>
    <row r="873" spans="1:15" x14ac:dyDescent="0.25">
      <c r="A873" s="7"/>
      <c r="B873" s="7"/>
      <c r="C873" s="7"/>
      <c r="D873" s="7"/>
      <c r="E873" s="11">
        <v>871</v>
      </c>
      <c r="F873" s="8"/>
      <c r="G873" s="8"/>
      <c r="H873" s="9"/>
      <c r="I873" s="10"/>
      <c r="J873" s="9"/>
      <c r="K873" s="10"/>
      <c r="L873" s="8"/>
      <c r="M873" s="8"/>
      <c r="N873" s="10"/>
      <c r="O873" s="10"/>
    </row>
    <row r="874" spans="1:15" x14ac:dyDescent="0.25">
      <c r="A874" s="7"/>
      <c r="B874" s="7"/>
      <c r="C874" s="7"/>
      <c r="D874" s="7"/>
      <c r="E874" s="11">
        <v>872</v>
      </c>
      <c r="F874" s="8"/>
      <c r="G874" s="8"/>
      <c r="H874" s="9"/>
      <c r="I874" s="10"/>
      <c r="J874" s="9"/>
      <c r="K874" s="10"/>
      <c r="L874" s="8"/>
      <c r="M874" s="8"/>
      <c r="N874" s="10"/>
      <c r="O874" s="10"/>
    </row>
    <row r="875" spans="1:15" x14ac:dyDescent="0.25">
      <c r="A875" s="7"/>
      <c r="B875" s="7"/>
      <c r="C875" s="7"/>
      <c r="D875" s="7"/>
      <c r="E875" s="11">
        <v>873</v>
      </c>
      <c r="F875" s="8"/>
      <c r="G875" s="8"/>
      <c r="H875" s="9"/>
      <c r="I875" s="10"/>
      <c r="J875" s="9"/>
      <c r="K875" s="10"/>
      <c r="L875" s="8"/>
      <c r="M875" s="8"/>
      <c r="N875" s="10"/>
      <c r="O875" s="10"/>
    </row>
    <row r="876" spans="1:15" x14ac:dyDescent="0.25">
      <c r="A876" s="7"/>
      <c r="B876" s="7"/>
      <c r="C876" s="7"/>
      <c r="D876" s="7"/>
      <c r="E876" s="11">
        <v>874</v>
      </c>
      <c r="F876" s="8"/>
      <c r="G876" s="8"/>
      <c r="H876" s="9"/>
      <c r="I876" s="10"/>
      <c r="J876" s="9"/>
      <c r="K876" s="10"/>
      <c r="L876" s="8"/>
      <c r="M876" s="8"/>
      <c r="N876" s="10"/>
      <c r="O876" s="10"/>
    </row>
    <row r="877" spans="1:15" x14ac:dyDescent="0.25">
      <c r="A877" s="7"/>
      <c r="B877" s="7"/>
      <c r="C877" s="7"/>
      <c r="D877" s="7"/>
      <c r="E877" s="11">
        <v>875</v>
      </c>
      <c r="F877" s="8"/>
      <c r="G877" s="8"/>
      <c r="H877" s="9"/>
      <c r="I877" s="10"/>
      <c r="J877" s="9"/>
      <c r="K877" s="10"/>
      <c r="L877" s="8"/>
      <c r="M877" s="8"/>
      <c r="N877" s="10"/>
      <c r="O877" s="10"/>
    </row>
    <row r="878" spans="1:15" x14ac:dyDescent="0.25">
      <c r="A878" s="7"/>
      <c r="B878" s="7"/>
      <c r="C878" s="7"/>
      <c r="D878" s="7"/>
      <c r="E878" s="11">
        <v>876</v>
      </c>
      <c r="F878" s="8"/>
      <c r="G878" s="8"/>
      <c r="H878" s="9"/>
      <c r="I878" s="10"/>
      <c r="J878" s="9"/>
      <c r="K878" s="10"/>
      <c r="L878" s="8"/>
      <c r="M878" s="8"/>
      <c r="N878" s="10"/>
      <c r="O878" s="10"/>
    </row>
    <row r="879" spans="1:15" x14ac:dyDescent="0.25">
      <c r="A879" s="7"/>
      <c r="B879" s="7"/>
      <c r="C879" s="7"/>
      <c r="D879" s="7"/>
      <c r="E879" s="11">
        <v>877</v>
      </c>
      <c r="F879" s="8"/>
      <c r="G879" s="8"/>
      <c r="H879" s="9"/>
      <c r="I879" s="10"/>
      <c r="J879" s="9"/>
      <c r="K879" s="10"/>
      <c r="L879" s="8"/>
      <c r="M879" s="8"/>
      <c r="N879" s="10"/>
      <c r="O879" s="10"/>
    </row>
    <row r="880" spans="1:15" x14ac:dyDescent="0.25">
      <c r="A880" s="7"/>
      <c r="B880" s="7"/>
      <c r="C880" s="7"/>
      <c r="D880" s="7"/>
      <c r="E880" s="11">
        <v>878</v>
      </c>
      <c r="F880" s="8"/>
      <c r="G880" s="8"/>
      <c r="H880" s="9"/>
      <c r="I880" s="10"/>
      <c r="J880" s="9"/>
      <c r="K880" s="10"/>
      <c r="L880" s="8"/>
      <c r="M880" s="8"/>
      <c r="N880" s="10"/>
      <c r="O880" s="10"/>
    </row>
    <row r="881" spans="1:15" x14ac:dyDescent="0.25">
      <c r="A881" s="7"/>
      <c r="B881" s="7"/>
      <c r="C881" s="7"/>
      <c r="D881" s="7"/>
      <c r="E881" s="11">
        <v>879</v>
      </c>
      <c r="F881" s="8"/>
      <c r="G881" s="8"/>
      <c r="H881" s="9"/>
      <c r="I881" s="10"/>
      <c r="J881" s="9"/>
      <c r="K881" s="10"/>
      <c r="L881" s="8"/>
      <c r="M881" s="8"/>
      <c r="N881" s="10"/>
      <c r="O881" s="10"/>
    </row>
    <row r="882" spans="1:15" x14ac:dyDescent="0.25">
      <c r="A882" s="7"/>
      <c r="B882" s="7"/>
      <c r="C882" s="7"/>
      <c r="D882" s="7"/>
      <c r="E882" s="11">
        <v>880</v>
      </c>
      <c r="F882" s="8"/>
      <c r="G882" s="8"/>
      <c r="H882" s="9"/>
      <c r="I882" s="10"/>
      <c r="J882" s="9"/>
      <c r="K882" s="10"/>
      <c r="L882" s="8"/>
      <c r="M882" s="8"/>
      <c r="N882" s="10"/>
      <c r="O882" s="10"/>
    </row>
    <row r="883" spans="1:15" x14ac:dyDescent="0.25">
      <c r="A883" s="7"/>
      <c r="B883" s="7"/>
      <c r="C883" s="7"/>
      <c r="D883" s="7"/>
      <c r="E883" s="11">
        <v>881</v>
      </c>
      <c r="F883" s="8"/>
      <c r="G883" s="8"/>
      <c r="H883" s="9"/>
      <c r="I883" s="10"/>
      <c r="J883" s="9"/>
      <c r="K883" s="10"/>
      <c r="L883" s="8"/>
      <c r="M883" s="8"/>
      <c r="N883" s="10"/>
      <c r="O883" s="10"/>
    </row>
    <row r="884" spans="1:15" x14ac:dyDescent="0.25">
      <c r="A884" s="7"/>
      <c r="B884" s="7"/>
      <c r="C884" s="7"/>
      <c r="D884" s="7"/>
      <c r="E884" s="11">
        <v>882</v>
      </c>
      <c r="F884" s="8"/>
      <c r="G884" s="8"/>
      <c r="H884" s="9"/>
      <c r="I884" s="10"/>
      <c r="J884" s="9"/>
      <c r="K884" s="10"/>
      <c r="L884" s="8"/>
      <c r="M884" s="8"/>
      <c r="N884" s="10"/>
      <c r="O884" s="10"/>
    </row>
    <row r="885" spans="1:15" x14ac:dyDescent="0.25">
      <c r="A885" s="7"/>
      <c r="B885" s="7"/>
      <c r="C885" s="7"/>
      <c r="D885" s="7"/>
      <c r="E885" s="11">
        <v>883</v>
      </c>
      <c r="F885" s="8"/>
      <c r="G885" s="8"/>
      <c r="H885" s="9"/>
      <c r="I885" s="10"/>
      <c r="J885" s="9"/>
      <c r="K885" s="10"/>
      <c r="L885" s="8"/>
      <c r="M885" s="8"/>
      <c r="N885" s="10"/>
      <c r="O885" s="10"/>
    </row>
    <row r="886" spans="1:15" x14ac:dyDescent="0.25">
      <c r="A886" s="7"/>
      <c r="B886" s="7"/>
      <c r="C886" s="7"/>
      <c r="D886" s="7"/>
      <c r="E886" s="11">
        <v>884</v>
      </c>
      <c r="F886" s="8"/>
      <c r="G886" s="8"/>
      <c r="H886" s="9"/>
      <c r="I886" s="10"/>
      <c r="J886" s="9"/>
      <c r="K886" s="10"/>
      <c r="L886" s="8"/>
      <c r="M886" s="8"/>
      <c r="N886" s="10"/>
      <c r="O886" s="10"/>
    </row>
    <row r="887" spans="1:15" x14ac:dyDescent="0.25">
      <c r="A887" s="7"/>
      <c r="B887" s="7"/>
      <c r="C887" s="7"/>
      <c r="D887" s="7"/>
      <c r="E887" s="11">
        <v>885</v>
      </c>
      <c r="F887" s="8"/>
      <c r="G887" s="8"/>
      <c r="H887" s="9"/>
      <c r="I887" s="10"/>
      <c r="J887" s="9"/>
      <c r="K887" s="10"/>
      <c r="L887" s="8"/>
      <c r="M887" s="8"/>
      <c r="N887" s="10"/>
      <c r="O887" s="10"/>
    </row>
    <row r="888" spans="1:15" x14ac:dyDescent="0.25">
      <c r="A888" s="7"/>
      <c r="B888" s="7"/>
      <c r="C888" s="7"/>
      <c r="D888" s="7"/>
      <c r="E888" s="11">
        <v>886</v>
      </c>
      <c r="F888" s="8"/>
      <c r="G888" s="8"/>
      <c r="H888" s="9"/>
      <c r="I888" s="10"/>
      <c r="J888" s="9"/>
      <c r="K888" s="10"/>
      <c r="L888" s="8"/>
      <c r="M888" s="8"/>
      <c r="N888" s="10"/>
      <c r="O888" s="10"/>
    </row>
    <row r="889" spans="1:15" x14ac:dyDescent="0.25">
      <c r="A889" s="7"/>
      <c r="B889" s="7"/>
      <c r="C889" s="7"/>
      <c r="D889" s="7"/>
      <c r="E889" s="11">
        <v>887</v>
      </c>
      <c r="F889" s="8"/>
      <c r="G889" s="8"/>
      <c r="H889" s="9"/>
      <c r="I889" s="10"/>
      <c r="J889" s="9"/>
      <c r="K889" s="10"/>
      <c r="L889" s="8"/>
      <c r="M889" s="8"/>
      <c r="N889" s="10"/>
      <c r="O889" s="10"/>
    </row>
    <row r="890" spans="1:15" x14ac:dyDescent="0.25">
      <c r="A890" s="7"/>
      <c r="B890" s="7"/>
      <c r="C890" s="7"/>
      <c r="D890" s="7"/>
      <c r="E890" s="11">
        <v>888</v>
      </c>
      <c r="F890" s="8"/>
      <c r="G890" s="8"/>
      <c r="H890" s="9"/>
      <c r="I890" s="10"/>
      <c r="J890" s="9"/>
      <c r="K890" s="10"/>
      <c r="L890" s="8"/>
      <c r="M890" s="8"/>
      <c r="N890" s="10"/>
      <c r="O890" s="10"/>
    </row>
    <row r="891" spans="1:15" x14ac:dyDescent="0.25">
      <c r="A891" s="7"/>
      <c r="B891" s="7"/>
      <c r="C891" s="7"/>
      <c r="D891" s="7"/>
      <c r="E891" s="11">
        <v>889</v>
      </c>
      <c r="F891" s="8"/>
      <c r="G891" s="8"/>
      <c r="H891" s="9"/>
      <c r="I891" s="10"/>
      <c r="J891" s="9"/>
      <c r="K891" s="10"/>
      <c r="L891" s="8"/>
      <c r="M891" s="8"/>
      <c r="N891" s="10"/>
      <c r="O891" s="10"/>
    </row>
    <row r="892" spans="1:15" x14ac:dyDescent="0.25">
      <c r="A892" s="7"/>
      <c r="B892" s="7"/>
      <c r="C892" s="7"/>
      <c r="D892" s="7"/>
      <c r="E892" s="11">
        <v>890</v>
      </c>
      <c r="F892" s="8"/>
      <c r="G892" s="8"/>
      <c r="H892" s="9"/>
      <c r="I892" s="10"/>
      <c r="J892" s="9"/>
      <c r="K892" s="10"/>
      <c r="L892" s="8"/>
      <c r="M892" s="8"/>
      <c r="N892" s="10"/>
      <c r="O892" s="10"/>
    </row>
    <row r="893" spans="1:15" x14ac:dyDescent="0.25">
      <c r="A893" s="7"/>
      <c r="B893" s="7"/>
      <c r="C893" s="7"/>
      <c r="D893" s="7"/>
      <c r="E893" s="11">
        <v>891</v>
      </c>
      <c r="F893" s="8"/>
      <c r="G893" s="8"/>
      <c r="H893" s="9"/>
      <c r="I893" s="10"/>
      <c r="J893" s="9"/>
      <c r="K893" s="10"/>
      <c r="L893" s="8"/>
      <c r="M893" s="8"/>
      <c r="N893" s="10"/>
      <c r="O893" s="10"/>
    </row>
    <row r="894" spans="1:15" x14ac:dyDescent="0.25">
      <c r="A894" s="7"/>
      <c r="B894" s="7"/>
      <c r="C894" s="7"/>
      <c r="D894" s="7"/>
      <c r="E894" s="11">
        <v>892</v>
      </c>
      <c r="F894" s="8"/>
      <c r="G894" s="8"/>
      <c r="H894" s="9"/>
      <c r="I894" s="10"/>
      <c r="J894" s="9"/>
      <c r="K894" s="10"/>
      <c r="L894" s="8"/>
      <c r="M894" s="8"/>
      <c r="N894" s="10"/>
      <c r="O894" s="10"/>
    </row>
    <row r="895" spans="1:15" x14ac:dyDescent="0.25">
      <c r="A895" s="7"/>
      <c r="B895" s="7"/>
      <c r="C895" s="7"/>
      <c r="D895" s="7"/>
      <c r="E895" s="11">
        <v>893</v>
      </c>
      <c r="F895" s="8"/>
      <c r="G895" s="8"/>
      <c r="H895" s="9"/>
      <c r="I895" s="10"/>
      <c r="J895" s="9"/>
      <c r="K895" s="10"/>
      <c r="L895" s="8"/>
      <c r="M895" s="8"/>
      <c r="N895" s="10"/>
      <c r="O895" s="10"/>
    </row>
    <row r="896" spans="1:15" x14ac:dyDescent="0.25">
      <c r="A896" s="7"/>
      <c r="B896" s="7"/>
      <c r="C896" s="7"/>
      <c r="D896" s="7"/>
      <c r="E896" s="11">
        <v>894</v>
      </c>
      <c r="F896" s="8"/>
      <c r="G896" s="8"/>
      <c r="H896" s="9"/>
      <c r="I896" s="10"/>
      <c r="J896" s="9"/>
      <c r="K896" s="10"/>
      <c r="L896" s="8"/>
      <c r="M896" s="8"/>
      <c r="N896" s="10"/>
      <c r="O896" s="10"/>
    </row>
    <row r="897" spans="1:15" x14ac:dyDescent="0.25">
      <c r="A897" s="7"/>
      <c r="B897" s="7"/>
      <c r="C897" s="7"/>
      <c r="D897" s="7"/>
      <c r="E897" s="11">
        <v>895</v>
      </c>
      <c r="F897" s="8"/>
      <c r="G897" s="8"/>
      <c r="H897" s="9"/>
      <c r="I897" s="10"/>
      <c r="J897" s="9"/>
      <c r="K897" s="10"/>
      <c r="L897" s="8"/>
      <c r="M897" s="8"/>
      <c r="N897" s="10"/>
      <c r="O897" s="10"/>
    </row>
    <row r="898" spans="1:15" x14ac:dyDescent="0.25">
      <c r="A898" s="7"/>
      <c r="B898" s="7"/>
      <c r="C898" s="7"/>
      <c r="D898" s="7"/>
      <c r="E898" s="11">
        <v>896</v>
      </c>
      <c r="F898" s="8"/>
      <c r="G898" s="8"/>
      <c r="H898" s="9"/>
      <c r="I898" s="10"/>
      <c r="J898" s="9"/>
      <c r="K898" s="10"/>
      <c r="L898" s="8"/>
      <c r="M898" s="8"/>
      <c r="N898" s="10"/>
      <c r="O898" s="10"/>
    </row>
    <row r="899" spans="1:15" x14ac:dyDescent="0.25">
      <c r="A899" s="7"/>
      <c r="B899" s="7"/>
      <c r="C899" s="7"/>
      <c r="D899" s="7"/>
      <c r="E899" s="11">
        <v>897</v>
      </c>
      <c r="F899" s="8"/>
      <c r="G899" s="8"/>
      <c r="H899" s="9"/>
      <c r="I899" s="10"/>
      <c r="J899" s="9"/>
      <c r="K899" s="10"/>
      <c r="L899" s="8"/>
      <c r="M899" s="8"/>
      <c r="N899" s="10"/>
      <c r="O899" s="10"/>
    </row>
    <row r="900" spans="1:15" x14ac:dyDescent="0.25">
      <c r="A900" s="7"/>
      <c r="B900" s="7"/>
      <c r="C900" s="7"/>
      <c r="D900" s="7"/>
      <c r="E900" s="11">
        <v>898</v>
      </c>
      <c r="F900" s="8"/>
      <c r="G900" s="8"/>
      <c r="H900" s="9"/>
      <c r="I900" s="10"/>
      <c r="J900" s="9"/>
      <c r="K900" s="10"/>
      <c r="L900" s="8"/>
      <c r="M900" s="8"/>
      <c r="N900" s="10"/>
      <c r="O900" s="10"/>
    </row>
    <row r="901" spans="1:15" x14ac:dyDescent="0.25">
      <c r="A901" s="7"/>
      <c r="B901" s="7"/>
      <c r="C901" s="7"/>
      <c r="D901" s="7"/>
      <c r="E901" s="11">
        <v>899</v>
      </c>
      <c r="F901" s="8"/>
      <c r="G901" s="8"/>
      <c r="H901" s="9"/>
      <c r="I901" s="10"/>
      <c r="J901" s="9"/>
      <c r="K901" s="10"/>
      <c r="L901" s="8"/>
      <c r="M901" s="8"/>
      <c r="N901" s="10"/>
      <c r="O901" s="10"/>
    </row>
    <row r="902" spans="1:15" x14ac:dyDescent="0.25">
      <c r="A902" s="7"/>
      <c r="B902" s="7"/>
      <c r="C902" s="7"/>
      <c r="D902" s="7"/>
      <c r="E902" s="11">
        <v>900</v>
      </c>
      <c r="F902" s="8"/>
      <c r="G902" s="8"/>
      <c r="H902" s="9"/>
      <c r="I902" s="10"/>
      <c r="J902" s="9"/>
      <c r="K902" s="10"/>
      <c r="L902" s="8"/>
      <c r="M902" s="8"/>
      <c r="N902" s="10"/>
      <c r="O902" s="10"/>
    </row>
    <row r="903" spans="1:15" x14ac:dyDescent="0.25">
      <c r="A903" s="7"/>
      <c r="B903" s="7"/>
      <c r="C903" s="7"/>
      <c r="D903" s="7"/>
      <c r="E903" s="11">
        <v>901</v>
      </c>
      <c r="F903" s="8"/>
      <c r="G903" s="8"/>
      <c r="H903" s="9"/>
      <c r="I903" s="10"/>
      <c r="J903" s="9"/>
      <c r="K903" s="10"/>
      <c r="L903" s="8"/>
      <c r="M903" s="8"/>
      <c r="N903" s="10"/>
      <c r="O903" s="10"/>
    </row>
    <row r="904" spans="1:15" x14ac:dyDescent="0.25">
      <c r="A904" s="7"/>
      <c r="B904" s="7"/>
      <c r="C904" s="7"/>
      <c r="D904" s="7"/>
      <c r="E904" s="11">
        <v>902</v>
      </c>
      <c r="F904" s="8"/>
      <c r="G904" s="8"/>
      <c r="H904" s="9"/>
      <c r="I904" s="10"/>
      <c r="J904" s="9"/>
      <c r="K904" s="10"/>
      <c r="L904" s="8"/>
      <c r="M904" s="8"/>
      <c r="N904" s="10"/>
      <c r="O904" s="10"/>
    </row>
    <row r="905" spans="1:15" x14ac:dyDescent="0.25">
      <c r="A905" s="7"/>
      <c r="B905" s="7"/>
      <c r="C905" s="7"/>
      <c r="D905" s="7"/>
      <c r="E905" s="11">
        <v>903</v>
      </c>
      <c r="F905" s="8"/>
      <c r="G905" s="8"/>
      <c r="H905" s="9"/>
      <c r="I905" s="10"/>
      <c r="J905" s="9"/>
      <c r="K905" s="10"/>
      <c r="L905" s="8"/>
      <c r="M905" s="8"/>
      <c r="N905" s="10"/>
      <c r="O905" s="10"/>
    </row>
    <row r="906" spans="1:15" x14ac:dyDescent="0.25">
      <c r="A906" s="7"/>
      <c r="B906" s="7"/>
      <c r="C906" s="7"/>
      <c r="D906" s="7"/>
      <c r="E906" s="11">
        <v>904</v>
      </c>
      <c r="F906" s="8"/>
      <c r="G906" s="8"/>
      <c r="H906" s="9"/>
      <c r="I906" s="10"/>
      <c r="J906" s="9"/>
      <c r="K906" s="10"/>
      <c r="L906" s="8"/>
      <c r="M906" s="8"/>
      <c r="N906" s="10"/>
      <c r="O906" s="10"/>
    </row>
    <row r="907" spans="1:15" x14ac:dyDescent="0.25">
      <c r="A907" s="7"/>
      <c r="B907" s="7"/>
      <c r="C907" s="7"/>
      <c r="D907" s="7"/>
      <c r="E907" s="11">
        <v>905</v>
      </c>
      <c r="F907" s="8"/>
      <c r="G907" s="8"/>
      <c r="H907" s="9"/>
      <c r="I907" s="10"/>
      <c r="J907" s="9"/>
      <c r="K907" s="10"/>
      <c r="L907" s="8"/>
      <c r="M907" s="8"/>
      <c r="N907" s="10"/>
      <c r="O907" s="10"/>
    </row>
    <row r="908" spans="1:15" x14ac:dyDescent="0.25">
      <c r="A908" s="7"/>
      <c r="B908" s="7"/>
      <c r="C908" s="7"/>
      <c r="D908" s="7"/>
      <c r="E908" s="11">
        <v>906</v>
      </c>
      <c r="F908" s="8"/>
      <c r="G908" s="8"/>
      <c r="H908" s="9"/>
      <c r="I908" s="10"/>
      <c r="J908" s="9"/>
      <c r="K908" s="10"/>
      <c r="L908" s="8"/>
      <c r="M908" s="8"/>
      <c r="N908" s="10"/>
      <c r="O908" s="10"/>
    </row>
    <row r="909" spans="1:15" x14ac:dyDescent="0.25">
      <c r="A909" s="7"/>
      <c r="B909" s="7"/>
      <c r="C909" s="7"/>
      <c r="D909" s="7"/>
      <c r="E909" s="11">
        <v>907</v>
      </c>
      <c r="F909" s="8"/>
      <c r="G909" s="8"/>
      <c r="H909" s="9"/>
      <c r="I909" s="10"/>
      <c r="J909" s="9"/>
      <c r="K909" s="10"/>
      <c r="L909" s="8"/>
      <c r="M909" s="8"/>
      <c r="N909" s="10"/>
      <c r="O909" s="10"/>
    </row>
    <row r="910" spans="1:15" x14ac:dyDescent="0.25">
      <c r="A910" s="7"/>
      <c r="B910" s="7"/>
      <c r="C910" s="7"/>
      <c r="D910" s="7"/>
      <c r="E910" s="11">
        <v>908</v>
      </c>
      <c r="F910" s="8"/>
      <c r="G910" s="8"/>
      <c r="H910" s="9"/>
      <c r="I910" s="10"/>
      <c r="J910" s="9"/>
      <c r="K910" s="10"/>
      <c r="L910" s="8"/>
      <c r="M910" s="8"/>
      <c r="N910" s="10"/>
      <c r="O910" s="10"/>
    </row>
    <row r="911" spans="1:15" x14ac:dyDescent="0.25">
      <c r="A911" s="7"/>
      <c r="B911" s="7"/>
      <c r="C911" s="7"/>
      <c r="D911" s="7"/>
      <c r="E911" s="11">
        <v>909</v>
      </c>
      <c r="F911" s="8"/>
      <c r="G911" s="8"/>
      <c r="H911" s="9"/>
      <c r="I911" s="10"/>
      <c r="J911" s="9"/>
      <c r="K911" s="10"/>
      <c r="L911" s="8"/>
      <c r="M911" s="8"/>
      <c r="N911" s="10"/>
      <c r="O911" s="10"/>
    </row>
    <row r="912" spans="1:15" x14ac:dyDescent="0.25">
      <c r="A912" s="7"/>
      <c r="B912" s="7"/>
      <c r="C912" s="7"/>
      <c r="D912" s="7"/>
      <c r="E912" s="11">
        <v>910</v>
      </c>
      <c r="F912" s="8"/>
      <c r="G912" s="8"/>
      <c r="H912" s="9"/>
      <c r="I912" s="10"/>
      <c r="J912" s="9"/>
      <c r="K912" s="10"/>
      <c r="L912" s="8"/>
      <c r="M912" s="8"/>
      <c r="N912" s="10"/>
      <c r="O912" s="10"/>
    </row>
    <row r="913" spans="1:15" x14ac:dyDescent="0.25">
      <c r="A913" s="7"/>
      <c r="B913" s="7"/>
      <c r="C913" s="7"/>
      <c r="D913" s="7"/>
      <c r="E913" s="11">
        <v>911</v>
      </c>
      <c r="F913" s="8"/>
      <c r="G913" s="8"/>
      <c r="H913" s="9"/>
      <c r="I913" s="10"/>
      <c r="J913" s="9"/>
      <c r="K913" s="10"/>
      <c r="L913" s="8"/>
      <c r="M913" s="8"/>
      <c r="N913" s="10"/>
      <c r="O913" s="10"/>
    </row>
    <row r="914" spans="1:15" x14ac:dyDescent="0.25">
      <c r="A914" s="7"/>
      <c r="B914" s="7"/>
      <c r="C914" s="7"/>
      <c r="D914" s="7"/>
      <c r="E914" s="11">
        <v>912</v>
      </c>
      <c r="F914" s="8"/>
      <c r="G914" s="8"/>
      <c r="H914" s="9"/>
      <c r="I914" s="10"/>
      <c r="J914" s="9"/>
      <c r="K914" s="10"/>
      <c r="L914" s="8"/>
      <c r="M914" s="8"/>
      <c r="N914" s="10"/>
      <c r="O914" s="10"/>
    </row>
    <row r="915" spans="1:15" x14ac:dyDescent="0.25">
      <c r="A915" s="7"/>
      <c r="B915" s="7"/>
      <c r="C915" s="7"/>
      <c r="D915" s="7"/>
      <c r="E915" s="11">
        <v>913</v>
      </c>
      <c r="F915" s="8"/>
      <c r="G915" s="8"/>
      <c r="H915" s="9"/>
      <c r="I915" s="10"/>
      <c r="J915" s="9"/>
      <c r="K915" s="10"/>
      <c r="L915" s="8"/>
      <c r="M915" s="8"/>
      <c r="N915" s="10"/>
      <c r="O915" s="10"/>
    </row>
    <row r="916" spans="1:15" x14ac:dyDescent="0.25">
      <c r="A916" s="7"/>
      <c r="B916" s="7"/>
      <c r="C916" s="7"/>
      <c r="D916" s="7"/>
      <c r="E916" s="11">
        <v>914</v>
      </c>
      <c r="F916" s="8"/>
      <c r="G916" s="8"/>
      <c r="H916" s="9"/>
      <c r="I916" s="10"/>
      <c r="J916" s="9"/>
      <c r="K916" s="10"/>
      <c r="L916" s="8"/>
      <c r="M916" s="8"/>
      <c r="N916" s="10"/>
      <c r="O916" s="10"/>
    </row>
    <row r="917" spans="1:15" x14ac:dyDescent="0.25">
      <c r="A917" s="7"/>
      <c r="B917" s="7"/>
      <c r="C917" s="7"/>
      <c r="D917" s="7"/>
      <c r="E917" s="11">
        <v>915</v>
      </c>
      <c r="F917" s="8"/>
      <c r="G917" s="8"/>
      <c r="H917" s="9"/>
      <c r="I917" s="10"/>
      <c r="J917" s="9"/>
      <c r="K917" s="10"/>
      <c r="L917" s="8"/>
      <c r="M917" s="8"/>
      <c r="N917" s="10"/>
      <c r="O917" s="10"/>
    </row>
    <row r="918" spans="1:15" x14ac:dyDescent="0.25">
      <c r="A918" s="7"/>
      <c r="B918" s="7"/>
      <c r="C918" s="7"/>
      <c r="D918" s="7"/>
      <c r="E918" s="11">
        <v>916</v>
      </c>
      <c r="F918" s="8"/>
      <c r="G918" s="8"/>
      <c r="H918" s="9"/>
      <c r="I918" s="10"/>
      <c r="J918" s="9"/>
      <c r="K918" s="10"/>
      <c r="L918" s="8"/>
      <c r="M918" s="8"/>
      <c r="N918" s="10"/>
      <c r="O918" s="10"/>
    </row>
    <row r="919" spans="1:15" x14ac:dyDescent="0.25">
      <c r="A919" s="7"/>
      <c r="B919" s="7"/>
      <c r="C919" s="7"/>
      <c r="D919" s="7"/>
      <c r="E919" s="11">
        <v>917</v>
      </c>
      <c r="F919" s="8"/>
      <c r="G919" s="8"/>
      <c r="H919" s="9"/>
      <c r="I919" s="10"/>
      <c r="J919" s="9"/>
      <c r="K919" s="10"/>
      <c r="L919" s="8"/>
      <c r="M919" s="8"/>
      <c r="N919" s="10"/>
      <c r="O919" s="10"/>
    </row>
    <row r="920" spans="1:15" x14ac:dyDescent="0.25">
      <c r="A920" s="7"/>
      <c r="B920" s="7"/>
      <c r="C920" s="7"/>
      <c r="D920" s="7"/>
      <c r="E920" s="11">
        <v>918</v>
      </c>
      <c r="F920" s="8"/>
      <c r="G920" s="8"/>
      <c r="H920" s="9"/>
      <c r="I920" s="10"/>
      <c r="J920" s="9"/>
      <c r="K920" s="10"/>
      <c r="L920" s="8"/>
      <c r="M920" s="8"/>
      <c r="N920" s="10"/>
      <c r="O920" s="10"/>
    </row>
    <row r="921" spans="1:15" x14ac:dyDescent="0.25">
      <c r="A921" s="7"/>
      <c r="B921" s="7"/>
      <c r="C921" s="7"/>
      <c r="D921" s="7"/>
      <c r="E921" s="11">
        <v>919</v>
      </c>
      <c r="F921" s="8"/>
      <c r="G921" s="8"/>
      <c r="H921" s="9"/>
      <c r="I921" s="10"/>
      <c r="J921" s="9"/>
      <c r="K921" s="10"/>
      <c r="L921" s="8"/>
      <c r="M921" s="8"/>
      <c r="N921" s="10"/>
      <c r="O921" s="10"/>
    </row>
    <row r="922" spans="1:15" x14ac:dyDescent="0.25">
      <c r="A922" s="7"/>
      <c r="B922" s="7"/>
      <c r="C922" s="7"/>
      <c r="D922" s="7"/>
      <c r="E922" s="11">
        <v>920</v>
      </c>
      <c r="F922" s="8"/>
      <c r="G922" s="8"/>
      <c r="H922" s="9"/>
      <c r="I922" s="10"/>
      <c r="J922" s="9"/>
      <c r="K922" s="10"/>
      <c r="L922" s="8"/>
      <c r="M922" s="8"/>
      <c r="N922" s="10"/>
      <c r="O922" s="10"/>
    </row>
    <row r="923" spans="1:15" x14ac:dyDescent="0.25">
      <c r="A923" s="7"/>
      <c r="B923" s="7"/>
      <c r="C923" s="7"/>
      <c r="D923" s="7"/>
      <c r="E923" s="11">
        <v>921</v>
      </c>
      <c r="F923" s="8"/>
      <c r="G923" s="8"/>
      <c r="H923" s="9"/>
      <c r="I923" s="10"/>
      <c r="J923" s="9"/>
      <c r="K923" s="10"/>
      <c r="L923" s="8"/>
      <c r="M923" s="8"/>
      <c r="N923" s="10"/>
      <c r="O923" s="10"/>
    </row>
    <row r="924" spans="1:15" x14ac:dyDescent="0.25">
      <c r="A924" s="7"/>
      <c r="B924" s="7"/>
      <c r="C924" s="7"/>
      <c r="D924" s="7"/>
      <c r="E924" s="11">
        <v>922</v>
      </c>
      <c r="F924" s="8"/>
      <c r="G924" s="8"/>
      <c r="H924" s="9"/>
      <c r="I924" s="10"/>
      <c r="J924" s="9"/>
      <c r="K924" s="10"/>
      <c r="L924" s="8"/>
      <c r="M924" s="8"/>
      <c r="N924" s="10"/>
      <c r="O924" s="10"/>
    </row>
    <row r="925" spans="1:15" x14ac:dyDescent="0.25">
      <c r="A925" s="7"/>
      <c r="B925" s="7"/>
      <c r="C925" s="7"/>
      <c r="D925" s="7"/>
      <c r="E925" s="11">
        <v>923</v>
      </c>
      <c r="F925" s="8"/>
      <c r="G925" s="8"/>
      <c r="H925" s="9"/>
      <c r="I925" s="10"/>
      <c r="J925" s="9"/>
      <c r="K925" s="10"/>
      <c r="L925" s="8"/>
      <c r="M925" s="8"/>
      <c r="N925" s="10"/>
      <c r="O925" s="10"/>
    </row>
    <row r="926" spans="1:15" x14ac:dyDescent="0.25">
      <c r="A926" s="7"/>
      <c r="B926" s="7"/>
      <c r="C926" s="7"/>
      <c r="D926" s="7"/>
      <c r="E926" s="11">
        <v>924</v>
      </c>
      <c r="F926" s="8"/>
      <c r="G926" s="8"/>
      <c r="H926" s="9"/>
      <c r="I926" s="10"/>
      <c r="J926" s="9"/>
      <c r="K926" s="10"/>
      <c r="L926" s="8"/>
      <c r="M926" s="8"/>
      <c r="N926" s="10"/>
      <c r="O926" s="10"/>
    </row>
    <row r="927" spans="1:15" x14ac:dyDescent="0.25">
      <c r="A927" s="7"/>
      <c r="B927" s="7"/>
      <c r="C927" s="7"/>
      <c r="D927" s="7"/>
      <c r="E927" s="11">
        <v>925</v>
      </c>
      <c r="F927" s="8"/>
      <c r="G927" s="8"/>
      <c r="H927" s="9"/>
      <c r="I927" s="10"/>
      <c r="J927" s="9"/>
      <c r="K927" s="10"/>
      <c r="L927" s="8"/>
      <c r="M927" s="8"/>
      <c r="N927" s="10"/>
      <c r="O927" s="10"/>
    </row>
    <row r="928" spans="1:15" x14ac:dyDescent="0.25">
      <c r="A928" s="7"/>
      <c r="B928" s="7"/>
      <c r="C928" s="7"/>
      <c r="D928" s="7"/>
      <c r="E928" s="11">
        <v>926</v>
      </c>
      <c r="F928" s="8"/>
      <c r="G928" s="8"/>
      <c r="H928" s="9"/>
      <c r="I928" s="10"/>
      <c r="J928" s="9"/>
      <c r="K928" s="10"/>
      <c r="L928" s="8"/>
      <c r="M928" s="8"/>
      <c r="N928" s="10"/>
      <c r="O928" s="10"/>
    </row>
    <row r="929" spans="1:15" x14ac:dyDescent="0.25">
      <c r="A929" s="7"/>
      <c r="B929" s="7"/>
      <c r="C929" s="7"/>
      <c r="D929" s="7"/>
      <c r="E929" s="11">
        <v>927</v>
      </c>
      <c r="F929" s="8"/>
      <c r="G929" s="8"/>
      <c r="H929" s="9"/>
      <c r="I929" s="10"/>
      <c r="J929" s="9"/>
      <c r="K929" s="10"/>
      <c r="L929" s="8"/>
      <c r="M929" s="8"/>
      <c r="N929" s="10"/>
      <c r="O929" s="10"/>
    </row>
    <row r="930" spans="1:15" x14ac:dyDescent="0.25">
      <c r="A930" s="7"/>
      <c r="B930" s="7"/>
      <c r="C930" s="7"/>
      <c r="D930" s="7"/>
      <c r="E930" s="11">
        <v>928</v>
      </c>
      <c r="F930" s="8"/>
      <c r="G930" s="8"/>
      <c r="H930" s="9"/>
      <c r="I930" s="10"/>
      <c r="J930" s="9"/>
      <c r="K930" s="10"/>
      <c r="L930" s="8"/>
      <c r="M930" s="8"/>
      <c r="N930" s="10"/>
      <c r="O930" s="10"/>
    </row>
    <row r="931" spans="1:15" x14ac:dyDescent="0.25">
      <c r="A931" s="7"/>
      <c r="B931" s="7"/>
      <c r="C931" s="7"/>
      <c r="D931" s="7"/>
      <c r="E931" s="11">
        <v>929</v>
      </c>
      <c r="F931" s="8"/>
      <c r="G931" s="8"/>
      <c r="H931" s="9"/>
      <c r="I931" s="10"/>
      <c r="J931" s="9"/>
      <c r="K931" s="10"/>
      <c r="L931" s="8"/>
      <c r="M931" s="8"/>
      <c r="N931" s="10"/>
      <c r="O931" s="10"/>
    </row>
    <row r="932" spans="1:15" x14ac:dyDescent="0.25">
      <c r="A932" s="7"/>
      <c r="B932" s="7"/>
      <c r="C932" s="7"/>
      <c r="D932" s="7"/>
      <c r="E932" s="11">
        <v>930</v>
      </c>
      <c r="F932" s="8"/>
      <c r="G932" s="8"/>
      <c r="H932" s="9"/>
      <c r="I932" s="10"/>
      <c r="J932" s="9"/>
      <c r="K932" s="10"/>
      <c r="L932" s="8"/>
      <c r="M932" s="8"/>
      <c r="N932" s="10"/>
      <c r="O932" s="10"/>
    </row>
    <row r="933" spans="1:15" x14ac:dyDescent="0.25">
      <c r="A933" s="7"/>
      <c r="B933" s="7"/>
      <c r="C933" s="7"/>
      <c r="D933" s="7"/>
      <c r="E933" s="11">
        <v>931</v>
      </c>
      <c r="F933" s="8"/>
      <c r="G933" s="8"/>
      <c r="H933" s="9"/>
      <c r="I933" s="10"/>
      <c r="J933" s="9"/>
      <c r="K933" s="10"/>
      <c r="L933" s="8"/>
      <c r="M933" s="8"/>
      <c r="N933" s="10"/>
      <c r="O933" s="10"/>
    </row>
    <row r="934" spans="1:15" x14ac:dyDescent="0.25">
      <c r="A934" s="7"/>
      <c r="B934" s="7"/>
      <c r="C934" s="7"/>
      <c r="D934" s="7"/>
      <c r="E934" s="11">
        <v>932</v>
      </c>
      <c r="F934" s="8"/>
      <c r="G934" s="8"/>
      <c r="H934" s="9"/>
      <c r="I934" s="10"/>
      <c r="J934" s="9"/>
      <c r="K934" s="10"/>
      <c r="L934" s="8"/>
      <c r="M934" s="8"/>
      <c r="N934" s="10"/>
      <c r="O934" s="10"/>
    </row>
    <row r="935" spans="1:15" x14ac:dyDescent="0.25">
      <c r="A935" s="7"/>
      <c r="B935" s="7"/>
      <c r="C935" s="7"/>
      <c r="D935" s="7"/>
      <c r="E935" s="11">
        <v>933</v>
      </c>
      <c r="F935" s="8"/>
      <c r="G935" s="8"/>
      <c r="H935" s="9"/>
      <c r="I935" s="10"/>
      <c r="J935" s="9"/>
      <c r="K935" s="10"/>
      <c r="L935" s="8"/>
      <c r="M935" s="8"/>
      <c r="N935" s="10"/>
      <c r="O935" s="10"/>
    </row>
    <row r="936" spans="1:15" x14ac:dyDescent="0.25">
      <c r="A936" s="7"/>
      <c r="B936" s="7"/>
      <c r="C936" s="7"/>
      <c r="D936" s="7"/>
      <c r="E936" s="11">
        <v>934</v>
      </c>
      <c r="F936" s="8"/>
      <c r="G936" s="8"/>
      <c r="H936" s="9"/>
      <c r="I936" s="10"/>
      <c r="J936" s="9"/>
      <c r="K936" s="10"/>
      <c r="L936" s="8"/>
      <c r="M936" s="8"/>
      <c r="N936" s="10"/>
      <c r="O936" s="10"/>
    </row>
    <row r="937" spans="1:15" x14ac:dyDescent="0.25">
      <c r="A937" s="7"/>
      <c r="B937" s="7"/>
      <c r="C937" s="7"/>
      <c r="D937" s="7"/>
      <c r="E937" s="11">
        <v>935</v>
      </c>
      <c r="F937" s="8"/>
      <c r="G937" s="8"/>
      <c r="H937" s="9"/>
      <c r="I937" s="10"/>
      <c r="J937" s="9"/>
      <c r="K937" s="10"/>
      <c r="L937" s="8"/>
      <c r="M937" s="8"/>
      <c r="N937" s="10"/>
      <c r="O937" s="10"/>
    </row>
    <row r="938" spans="1:15" x14ac:dyDescent="0.25">
      <c r="A938" s="7"/>
      <c r="B938" s="7"/>
      <c r="C938" s="7"/>
      <c r="D938" s="7"/>
      <c r="E938" s="11">
        <v>936</v>
      </c>
      <c r="F938" s="8"/>
      <c r="G938" s="8"/>
      <c r="H938" s="9"/>
      <c r="I938" s="10"/>
      <c r="J938" s="9"/>
      <c r="K938" s="10"/>
      <c r="L938" s="8"/>
      <c r="M938" s="8"/>
      <c r="N938" s="10"/>
      <c r="O938" s="10"/>
    </row>
    <row r="939" spans="1:15" x14ac:dyDescent="0.25">
      <c r="A939" s="7"/>
      <c r="B939" s="7"/>
      <c r="C939" s="7"/>
      <c r="D939" s="7"/>
      <c r="E939" s="11">
        <v>937</v>
      </c>
      <c r="F939" s="8"/>
      <c r="G939" s="8"/>
      <c r="H939" s="9"/>
      <c r="I939" s="10"/>
      <c r="J939" s="9"/>
      <c r="K939" s="10"/>
      <c r="L939" s="8"/>
      <c r="M939" s="8"/>
      <c r="N939" s="10"/>
      <c r="O939" s="10"/>
    </row>
    <row r="940" spans="1:15" x14ac:dyDescent="0.25">
      <c r="A940" s="7"/>
      <c r="B940" s="7"/>
      <c r="C940" s="7"/>
      <c r="D940" s="7"/>
      <c r="E940" s="11">
        <v>938</v>
      </c>
      <c r="F940" s="8"/>
      <c r="G940" s="8"/>
      <c r="H940" s="9"/>
      <c r="I940" s="10"/>
      <c r="J940" s="9"/>
      <c r="K940" s="10"/>
      <c r="L940" s="8"/>
      <c r="M940" s="8"/>
      <c r="N940" s="10"/>
      <c r="O940" s="10"/>
    </row>
    <row r="941" spans="1:15" x14ac:dyDescent="0.25">
      <c r="A941" s="7"/>
      <c r="B941" s="7"/>
      <c r="C941" s="7"/>
      <c r="D941" s="7"/>
      <c r="E941" s="11">
        <v>939</v>
      </c>
      <c r="F941" s="8"/>
      <c r="G941" s="8"/>
      <c r="H941" s="9"/>
      <c r="I941" s="10"/>
      <c r="J941" s="9"/>
      <c r="K941" s="10"/>
      <c r="L941" s="8"/>
      <c r="M941" s="8"/>
      <c r="N941" s="10"/>
      <c r="O941" s="10"/>
    </row>
    <row r="942" spans="1:15" x14ac:dyDescent="0.25">
      <c r="A942" s="7"/>
      <c r="B942" s="7"/>
      <c r="C942" s="7"/>
      <c r="D942" s="7"/>
      <c r="E942" s="11">
        <v>940</v>
      </c>
      <c r="F942" s="8"/>
      <c r="G942" s="8"/>
      <c r="H942" s="9"/>
      <c r="I942" s="10"/>
      <c r="J942" s="9"/>
      <c r="K942" s="10"/>
      <c r="L942" s="8"/>
      <c r="M942" s="8"/>
      <c r="N942" s="10"/>
      <c r="O942" s="10"/>
    </row>
    <row r="943" spans="1:15" x14ac:dyDescent="0.25">
      <c r="A943" s="7"/>
      <c r="B943" s="7"/>
      <c r="C943" s="7"/>
      <c r="D943" s="7"/>
      <c r="E943" s="11">
        <v>941</v>
      </c>
      <c r="F943" s="8"/>
      <c r="G943" s="8"/>
      <c r="H943" s="9"/>
      <c r="I943" s="10"/>
      <c r="J943" s="9"/>
      <c r="K943" s="10"/>
      <c r="L943" s="8"/>
      <c r="M943" s="8"/>
      <c r="N943" s="10"/>
      <c r="O943" s="10"/>
    </row>
    <row r="944" spans="1:15" x14ac:dyDescent="0.25">
      <c r="A944" s="7"/>
      <c r="B944" s="7"/>
      <c r="C944" s="7"/>
      <c r="D944" s="7"/>
      <c r="E944" s="11">
        <v>942</v>
      </c>
      <c r="F944" s="8"/>
      <c r="G944" s="8"/>
      <c r="H944" s="9"/>
      <c r="I944" s="10"/>
      <c r="J944" s="9"/>
      <c r="K944" s="10"/>
      <c r="L944" s="8"/>
      <c r="M944" s="8"/>
      <c r="N944" s="10"/>
      <c r="O944" s="10"/>
    </row>
    <row r="945" spans="1:15" x14ac:dyDescent="0.25">
      <c r="A945" s="7"/>
      <c r="B945" s="7"/>
      <c r="C945" s="7"/>
      <c r="D945" s="7"/>
      <c r="E945" s="11">
        <v>943</v>
      </c>
      <c r="F945" s="8"/>
      <c r="G945" s="8"/>
      <c r="H945" s="9"/>
      <c r="I945" s="10"/>
      <c r="J945" s="9"/>
      <c r="K945" s="10"/>
      <c r="L945" s="8"/>
      <c r="M945" s="8"/>
      <c r="N945" s="10"/>
      <c r="O945" s="10"/>
    </row>
    <row r="946" spans="1:15" x14ac:dyDescent="0.25">
      <c r="A946" s="7"/>
      <c r="B946" s="7"/>
      <c r="C946" s="7"/>
      <c r="D946" s="7"/>
      <c r="E946" s="11">
        <v>944</v>
      </c>
      <c r="F946" s="8"/>
      <c r="G946" s="8"/>
      <c r="H946" s="9"/>
      <c r="I946" s="10"/>
      <c r="J946" s="9"/>
      <c r="K946" s="10"/>
      <c r="L946" s="8"/>
      <c r="M946" s="8"/>
      <c r="N946" s="10"/>
      <c r="O946" s="10"/>
    </row>
    <row r="947" spans="1:15" x14ac:dyDescent="0.25">
      <c r="A947" s="7"/>
      <c r="B947" s="7"/>
      <c r="C947" s="7"/>
      <c r="D947" s="7"/>
      <c r="E947" s="11">
        <v>945</v>
      </c>
      <c r="F947" s="8"/>
      <c r="G947" s="8"/>
      <c r="H947" s="9"/>
      <c r="I947" s="10"/>
      <c r="J947" s="9"/>
      <c r="K947" s="10"/>
      <c r="L947" s="8"/>
      <c r="M947" s="8"/>
      <c r="N947" s="10"/>
      <c r="O947" s="10"/>
    </row>
    <row r="948" spans="1:15" x14ac:dyDescent="0.25">
      <c r="A948" s="7"/>
      <c r="B948" s="7"/>
      <c r="C948" s="7"/>
      <c r="D948" s="7"/>
      <c r="E948" s="11">
        <v>946</v>
      </c>
      <c r="F948" s="8"/>
      <c r="G948" s="8"/>
      <c r="H948" s="9"/>
      <c r="I948" s="10"/>
      <c r="J948" s="9"/>
      <c r="K948" s="10"/>
      <c r="L948" s="8"/>
      <c r="M948" s="8"/>
      <c r="N948" s="10"/>
      <c r="O948" s="10"/>
    </row>
    <row r="949" spans="1:15" x14ac:dyDescent="0.25">
      <c r="A949" s="7"/>
      <c r="B949" s="7"/>
      <c r="C949" s="7"/>
      <c r="D949" s="7"/>
      <c r="E949" s="11">
        <v>947</v>
      </c>
      <c r="F949" s="8"/>
      <c r="G949" s="8"/>
      <c r="H949" s="9"/>
      <c r="I949" s="10"/>
      <c r="J949" s="9"/>
      <c r="K949" s="10"/>
      <c r="L949" s="8"/>
      <c r="M949" s="8"/>
      <c r="N949" s="10"/>
      <c r="O949" s="10"/>
    </row>
    <row r="950" spans="1:15" x14ac:dyDescent="0.25">
      <c r="A950" s="7"/>
      <c r="B950" s="7"/>
      <c r="C950" s="7"/>
      <c r="D950" s="7"/>
      <c r="E950" s="11">
        <v>948</v>
      </c>
      <c r="F950" s="8"/>
      <c r="G950" s="8"/>
      <c r="H950" s="9"/>
      <c r="I950" s="10"/>
      <c r="J950" s="9"/>
      <c r="K950" s="10"/>
      <c r="L950" s="8"/>
      <c r="M950" s="8"/>
      <c r="N950" s="10"/>
      <c r="O950" s="10"/>
    </row>
    <row r="951" spans="1:15" x14ac:dyDescent="0.25">
      <c r="A951" s="7"/>
      <c r="B951" s="7"/>
      <c r="C951" s="7"/>
      <c r="D951" s="7"/>
      <c r="E951" s="11">
        <v>949</v>
      </c>
      <c r="F951" s="8"/>
      <c r="G951" s="8"/>
      <c r="H951" s="9"/>
      <c r="I951" s="10"/>
      <c r="J951" s="9"/>
      <c r="K951" s="10"/>
      <c r="L951" s="8"/>
      <c r="M951" s="8"/>
      <c r="N951" s="10"/>
      <c r="O951" s="10"/>
    </row>
    <row r="952" spans="1:15" x14ac:dyDescent="0.25">
      <c r="A952" s="7"/>
      <c r="B952" s="7"/>
      <c r="C952" s="7"/>
      <c r="D952" s="7"/>
      <c r="E952" s="11">
        <v>950</v>
      </c>
      <c r="F952" s="8"/>
      <c r="G952" s="8"/>
      <c r="H952" s="9"/>
      <c r="I952" s="10"/>
      <c r="J952" s="9"/>
      <c r="K952" s="10"/>
      <c r="L952" s="8"/>
      <c r="M952" s="8"/>
      <c r="N952" s="10"/>
      <c r="O952" s="10"/>
    </row>
    <row r="953" spans="1:15" x14ac:dyDescent="0.25">
      <c r="A953" s="7"/>
      <c r="B953" s="7"/>
      <c r="C953" s="7"/>
      <c r="D953" s="7"/>
      <c r="E953" s="11">
        <v>951</v>
      </c>
      <c r="F953" s="8"/>
      <c r="G953" s="8"/>
      <c r="H953" s="9"/>
      <c r="I953" s="10"/>
      <c r="J953" s="9"/>
      <c r="K953" s="10"/>
      <c r="L953" s="8"/>
      <c r="M953" s="8"/>
      <c r="N953" s="10"/>
      <c r="O953" s="10"/>
    </row>
    <row r="954" spans="1:15" x14ac:dyDescent="0.25">
      <c r="A954" s="7"/>
      <c r="B954" s="7"/>
      <c r="C954" s="7"/>
      <c r="D954" s="7"/>
      <c r="E954" s="11">
        <v>952</v>
      </c>
      <c r="F954" s="8"/>
      <c r="G954" s="8"/>
      <c r="H954" s="9"/>
      <c r="I954" s="10"/>
      <c r="J954" s="9"/>
      <c r="K954" s="10"/>
      <c r="L954" s="8"/>
      <c r="M954" s="8"/>
      <c r="N954" s="10"/>
      <c r="O954" s="10"/>
    </row>
    <row r="955" spans="1:15" x14ac:dyDescent="0.25">
      <c r="A955" s="7"/>
      <c r="B955" s="7"/>
      <c r="C955" s="7"/>
      <c r="D955" s="7"/>
      <c r="E955" s="11">
        <v>953</v>
      </c>
      <c r="F955" s="8"/>
      <c r="G955" s="8"/>
      <c r="H955" s="9"/>
      <c r="I955" s="10"/>
      <c r="J955" s="9"/>
      <c r="K955" s="10"/>
      <c r="L955" s="8"/>
      <c r="M955" s="8"/>
      <c r="N955" s="10"/>
      <c r="O955" s="10"/>
    </row>
    <row r="956" spans="1:15" x14ac:dyDescent="0.25">
      <c r="A956" s="7"/>
      <c r="B956" s="7"/>
      <c r="C956" s="7"/>
      <c r="D956" s="7"/>
      <c r="E956" s="11">
        <v>954</v>
      </c>
      <c r="F956" s="8"/>
      <c r="G956" s="8"/>
      <c r="H956" s="9"/>
      <c r="I956" s="10"/>
      <c r="J956" s="9"/>
      <c r="K956" s="10"/>
      <c r="L956" s="8"/>
      <c r="M956" s="8"/>
      <c r="N956" s="10"/>
      <c r="O956" s="10"/>
    </row>
    <row r="957" spans="1:15" x14ac:dyDescent="0.25">
      <c r="A957" s="7"/>
      <c r="B957" s="7"/>
      <c r="C957" s="7"/>
      <c r="D957" s="7"/>
      <c r="E957" s="11">
        <v>955</v>
      </c>
      <c r="F957" s="8"/>
      <c r="G957" s="8"/>
      <c r="H957" s="9"/>
      <c r="I957" s="10"/>
      <c r="J957" s="9"/>
      <c r="K957" s="10"/>
      <c r="L957" s="8"/>
      <c r="M957" s="8"/>
      <c r="N957" s="10"/>
      <c r="O957" s="10"/>
    </row>
    <row r="958" spans="1:15" x14ac:dyDescent="0.25">
      <c r="A958" s="7"/>
      <c r="B958" s="7"/>
      <c r="C958" s="7"/>
      <c r="D958" s="7"/>
      <c r="E958" s="11">
        <v>956</v>
      </c>
      <c r="F958" s="8"/>
      <c r="G958" s="8"/>
      <c r="H958" s="9"/>
      <c r="I958" s="10"/>
      <c r="J958" s="9"/>
      <c r="K958" s="10"/>
      <c r="L958" s="8"/>
      <c r="M958" s="8"/>
      <c r="N958" s="10"/>
      <c r="O958" s="10"/>
    </row>
    <row r="959" spans="1:15" x14ac:dyDescent="0.25">
      <c r="A959" s="7"/>
      <c r="B959" s="7"/>
      <c r="C959" s="7"/>
      <c r="D959" s="7"/>
      <c r="E959" s="11">
        <v>957</v>
      </c>
      <c r="F959" s="8"/>
      <c r="G959" s="8"/>
      <c r="H959" s="9"/>
      <c r="I959" s="10"/>
      <c r="J959" s="9"/>
      <c r="K959" s="10"/>
      <c r="L959" s="8"/>
      <c r="M959" s="8"/>
      <c r="N959" s="10"/>
      <c r="O959" s="10"/>
    </row>
    <row r="960" spans="1:15" x14ac:dyDescent="0.25">
      <c r="A960" s="7"/>
      <c r="B960" s="7"/>
      <c r="C960" s="7"/>
      <c r="D960" s="7"/>
      <c r="E960" s="11">
        <v>958</v>
      </c>
      <c r="F960" s="8"/>
      <c r="G960" s="8"/>
      <c r="H960" s="9"/>
      <c r="I960" s="10"/>
      <c r="J960" s="9"/>
      <c r="K960" s="10"/>
      <c r="L960" s="8"/>
      <c r="M960" s="8"/>
      <c r="N960" s="10"/>
      <c r="O960" s="10"/>
    </row>
    <row r="961" spans="1:15" x14ac:dyDescent="0.25">
      <c r="A961" s="7"/>
      <c r="B961" s="7"/>
      <c r="C961" s="7"/>
      <c r="D961" s="7"/>
      <c r="E961" s="11">
        <v>959</v>
      </c>
      <c r="F961" s="8"/>
      <c r="G961" s="8"/>
      <c r="H961" s="9"/>
      <c r="I961" s="10"/>
      <c r="J961" s="9"/>
      <c r="K961" s="10"/>
      <c r="L961" s="8"/>
      <c r="M961" s="8"/>
      <c r="N961" s="10"/>
      <c r="O961" s="10"/>
    </row>
    <row r="962" spans="1:15" x14ac:dyDescent="0.25">
      <c r="A962" s="7"/>
      <c r="B962" s="7"/>
      <c r="C962" s="7"/>
      <c r="D962" s="7"/>
      <c r="E962" s="11">
        <v>960</v>
      </c>
      <c r="F962" s="8"/>
      <c r="G962" s="8"/>
      <c r="H962" s="9"/>
      <c r="I962" s="10"/>
      <c r="J962" s="9"/>
      <c r="K962" s="10"/>
      <c r="L962" s="8"/>
      <c r="M962" s="8"/>
      <c r="N962" s="10"/>
      <c r="O962" s="10"/>
    </row>
    <row r="963" spans="1:15" x14ac:dyDescent="0.25">
      <c r="A963" s="7"/>
      <c r="B963" s="7"/>
      <c r="C963" s="7"/>
      <c r="D963" s="7"/>
      <c r="E963" s="11">
        <v>961</v>
      </c>
      <c r="F963" s="8"/>
      <c r="G963" s="8"/>
      <c r="H963" s="9"/>
      <c r="I963" s="10"/>
      <c r="J963" s="9"/>
      <c r="K963" s="10"/>
      <c r="L963" s="8"/>
      <c r="M963" s="8"/>
      <c r="N963" s="10"/>
      <c r="O963" s="10"/>
    </row>
    <row r="964" spans="1:15" x14ac:dyDescent="0.25">
      <c r="A964" s="7"/>
      <c r="B964" s="7"/>
      <c r="C964" s="7"/>
      <c r="D964" s="7"/>
      <c r="E964" s="11">
        <v>962</v>
      </c>
      <c r="F964" s="8"/>
      <c r="G964" s="8"/>
      <c r="H964" s="9"/>
      <c r="I964" s="10"/>
      <c r="J964" s="9"/>
      <c r="K964" s="10"/>
      <c r="L964" s="8"/>
      <c r="M964" s="8"/>
      <c r="N964" s="10"/>
      <c r="O964" s="10"/>
    </row>
    <row r="965" spans="1:15" x14ac:dyDescent="0.25">
      <c r="A965" s="7"/>
      <c r="B965" s="7"/>
      <c r="C965" s="7"/>
      <c r="D965" s="7"/>
      <c r="E965" s="11">
        <v>963</v>
      </c>
      <c r="F965" s="8"/>
      <c r="G965" s="8"/>
      <c r="H965" s="9"/>
      <c r="I965" s="10"/>
      <c r="J965" s="9"/>
      <c r="K965" s="10"/>
      <c r="L965" s="8"/>
      <c r="M965" s="8"/>
      <c r="N965" s="10"/>
      <c r="O965" s="10"/>
    </row>
    <row r="966" spans="1:15" x14ac:dyDescent="0.25">
      <c r="A966" s="7"/>
      <c r="B966" s="7"/>
      <c r="C966" s="7"/>
      <c r="D966" s="7"/>
      <c r="E966" s="11">
        <v>964</v>
      </c>
      <c r="F966" s="8"/>
      <c r="G966" s="8"/>
      <c r="H966" s="9"/>
      <c r="I966" s="10"/>
      <c r="J966" s="9"/>
      <c r="K966" s="10"/>
      <c r="L966" s="8"/>
      <c r="M966" s="8"/>
      <c r="N966" s="10"/>
      <c r="O966" s="10"/>
    </row>
    <row r="967" spans="1:15" x14ac:dyDescent="0.25">
      <c r="A967" s="7"/>
      <c r="B967" s="7"/>
      <c r="C967" s="7"/>
      <c r="D967" s="7"/>
      <c r="E967" s="11">
        <v>965</v>
      </c>
      <c r="F967" s="8"/>
      <c r="G967" s="8"/>
      <c r="H967" s="9"/>
      <c r="I967" s="10"/>
      <c r="J967" s="9"/>
      <c r="K967" s="10"/>
      <c r="L967" s="8"/>
      <c r="M967" s="8"/>
      <c r="N967" s="10"/>
      <c r="O967" s="10"/>
    </row>
    <row r="968" spans="1:15" x14ac:dyDescent="0.25">
      <c r="A968" s="7"/>
      <c r="B968" s="7"/>
      <c r="C968" s="7"/>
      <c r="D968" s="7"/>
      <c r="E968" s="11">
        <v>966</v>
      </c>
      <c r="F968" s="8"/>
      <c r="G968" s="8"/>
      <c r="H968" s="9"/>
      <c r="I968" s="10"/>
      <c r="J968" s="9"/>
      <c r="K968" s="10"/>
      <c r="L968" s="8"/>
      <c r="M968" s="8"/>
      <c r="N968" s="10"/>
      <c r="O968" s="10"/>
    </row>
    <row r="969" spans="1:15" x14ac:dyDescent="0.25">
      <c r="A969" s="7"/>
      <c r="B969" s="7"/>
      <c r="C969" s="7"/>
      <c r="D969" s="7"/>
      <c r="E969" s="11">
        <v>967</v>
      </c>
      <c r="F969" s="8"/>
      <c r="G969" s="8"/>
      <c r="H969" s="9"/>
      <c r="I969" s="10"/>
      <c r="J969" s="9"/>
      <c r="K969" s="10"/>
      <c r="L969" s="8"/>
      <c r="M969" s="8"/>
      <c r="N969" s="10"/>
      <c r="O969" s="10"/>
    </row>
    <row r="970" spans="1:15" x14ac:dyDescent="0.25">
      <c r="A970" s="7"/>
      <c r="B970" s="7"/>
      <c r="C970" s="7"/>
      <c r="D970" s="7"/>
      <c r="E970" s="11">
        <v>968</v>
      </c>
      <c r="F970" s="8"/>
      <c r="G970" s="8"/>
      <c r="H970" s="9"/>
      <c r="I970" s="10"/>
      <c r="J970" s="9"/>
      <c r="K970" s="10"/>
      <c r="L970" s="8"/>
      <c r="M970" s="8"/>
      <c r="N970" s="10"/>
      <c r="O970" s="10"/>
    </row>
    <row r="971" spans="1:15" x14ac:dyDescent="0.25">
      <c r="A971" s="7"/>
      <c r="B971" s="7"/>
      <c r="C971" s="7"/>
      <c r="D971" s="7"/>
      <c r="E971" s="11">
        <v>969</v>
      </c>
      <c r="F971" s="8"/>
      <c r="G971" s="8"/>
      <c r="H971" s="9"/>
      <c r="I971" s="10"/>
      <c r="J971" s="9"/>
      <c r="K971" s="10"/>
      <c r="L971" s="8"/>
      <c r="M971" s="8"/>
      <c r="N971" s="10"/>
      <c r="O971" s="10"/>
    </row>
    <row r="972" spans="1:15" x14ac:dyDescent="0.25">
      <c r="A972" s="7"/>
      <c r="B972" s="7"/>
      <c r="C972" s="7"/>
      <c r="D972" s="7"/>
      <c r="E972" s="11">
        <v>970</v>
      </c>
      <c r="F972" s="8"/>
      <c r="G972" s="8"/>
      <c r="H972" s="9"/>
      <c r="I972" s="10"/>
      <c r="J972" s="9"/>
      <c r="K972" s="10"/>
      <c r="L972" s="8"/>
      <c r="M972" s="8"/>
      <c r="N972" s="10"/>
      <c r="O972" s="10"/>
    </row>
    <row r="973" spans="1:15" x14ac:dyDescent="0.25">
      <c r="A973" s="7"/>
      <c r="B973" s="7"/>
      <c r="C973" s="7"/>
      <c r="D973" s="7"/>
      <c r="E973" s="11">
        <v>971</v>
      </c>
      <c r="F973" s="8"/>
      <c r="G973" s="8"/>
      <c r="H973" s="9"/>
      <c r="I973" s="10"/>
      <c r="J973" s="9"/>
      <c r="K973" s="10"/>
      <c r="L973" s="8"/>
      <c r="M973" s="8"/>
      <c r="N973" s="10"/>
      <c r="O973" s="10"/>
    </row>
    <row r="974" spans="1:15" x14ac:dyDescent="0.25">
      <c r="A974" s="7"/>
      <c r="B974" s="7"/>
      <c r="C974" s="7"/>
      <c r="D974" s="7"/>
      <c r="E974" s="11">
        <v>972</v>
      </c>
      <c r="F974" s="8"/>
      <c r="G974" s="8"/>
      <c r="H974" s="9"/>
      <c r="I974" s="10"/>
      <c r="J974" s="9"/>
      <c r="K974" s="10"/>
      <c r="L974" s="8"/>
      <c r="M974" s="8"/>
      <c r="N974" s="10"/>
      <c r="O974" s="10"/>
    </row>
    <row r="975" spans="1:15" x14ac:dyDescent="0.25">
      <c r="A975" s="7"/>
      <c r="B975" s="7"/>
      <c r="C975" s="7"/>
      <c r="D975" s="7"/>
      <c r="E975" s="11">
        <v>973</v>
      </c>
      <c r="F975" s="8"/>
      <c r="G975" s="8"/>
      <c r="H975" s="9"/>
      <c r="I975" s="10"/>
      <c r="J975" s="9"/>
      <c r="K975" s="10"/>
      <c r="L975" s="8"/>
      <c r="M975" s="8"/>
      <c r="N975" s="10"/>
      <c r="O975" s="10"/>
    </row>
    <row r="976" spans="1:15" x14ac:dyDescent="0.25">
      <c r="A976" s="7"/>
      <c r="B976" s="7"/>
      <c r="C976" s="7"/>
      <c r="D976" s="7"/>
      <c r="E976" s="11">
        <v>974</v>
      </c>
      <c r="F976" s="8"/>
      <c r="G976" s="8"/>
      <c r="H976" s="9"/>
      <c r="I976" s="10"/>
      <c r="J976" s="9"/>
      <c r="K976" s="10"/>
      <c r="L976" s="8"/>
      <c r="M976" s="8"/>
      <c r="N976" s="10"/>
      <c r="O976" s="10"/>
    </row>
    <row r="977" spans="1:15" x14ac:dyDescent="0.25">
      <c r="A977" s="7"/>
      <c r="B977" s="7"/>
      <c r="C977" s="7"/>
      <c r="D977" s="7"/>
      <c r="E977" s="11">
        <v>975</v>
      </c>
      <c r="F977" s="8"/>
      <c r="G977" s="8"/>
      <c r="H977" s="9"/>
      <c r="I977" s="10"/>
      <c r="J977" s="9"/>
      <c r="K977" s="10"/>
      <c r="L977" s="8"/>
      <c r="M977" s="8"/>
      <c r="N977" s="10"/>
      <c r="O977" s="10"/>
    </row>
    <row r="978" spans="1:15" x14ac:dyDescent="0.25">
      <c r="A978" s="7"/>
      <c r="B978" s="7"/>
      <c r="C978" s="7"/>
      <c r="D978" s="7"/>
      <c r="E978" s="11">
        <v>976</v>
      </c>
      <c r="F978" s="8"/>
      <c r="G978" s="8"/>
      <c r="H978" s="9"/>
      <c r="I978" s="10"/>
      <c r="J978" s="9"/>
      <c r="K978" s="10"/>
      <c r="L978" s="8"/>
      <c r="M978" s="8"/>
      <c r="N978" s="10"/>
      <c r="O978" s="10"/>
    </row>
    <row r="979" spans="1:15" x14ac:dyDescent="0.25">
      <c r="A979" s="7"/>
      <c r="B979" s="7"/>
      <c r="C979" s="7"/>
      <c r="D979" s="7"/>
      <c r="E979" s="11">
        <v>977</v>
      </c>
      <c r="F979" s="8"/>
      <c r="G979" s="8"/>
      <c r="H979" s="9"/>
      <c r="I979" s="10"/>
      <c r="J979" s="9"/>
      <c r="K979" s="10"/>
      <c r="L979" s="8"/>
      <c r="M979" s="8"/>
      <c r="N979" s="10"/>
      <c r="O979" s="10"/>
    </row>
    <row r="980" spans="1:15" x14ac:dyDescent="0.25">
      <c r="A980" s="7"/>
      <c r="B980" s="7"/>
      <c r="C980" s="7"/>
      <c r="D980" s="7"/>
      <c r="E980" s="11">
        <v>978</v>
      </c>
      <c r="F980" s="8"/>
      <c r="G980" s="8"/>
      <c r="H980" s="9"/>
      <c r="I980" s="10"/>
      <c r="J980" s="9"/>
      <c r="K980" s="10"/>
      <c r="L980" s="8"/>
      <c r="M980" s="8"/>
      <c r="N980" s="10"/>
      <c r="O980" s="10"/>
    </row>
    <row r="981" spans="1:15" x14ac:dyDescent="0.25">
      <c r="A981" s="7"/>
      <c r="B981" s="7"/>
      <c r="C981" s="7"/>
      <c r="D981" s="7"/>
      <c r="E981" s="11">
        <v>979</v>
      </c>
      <c r="F981" s="8"/>
      <c r="G981" s="8"/>
      <c r="H981" s="9"/>
      <c r="I981" s="10"/>
      <c r="J981" s="9"/>
      <c r="K981" s="10"/>
      <c r="L981" s="8"/>
      <c r="M981" s="8"/>
      <c r="N981" s="10"/>
      <c r="O981" s="10"/>
    </row>
    <row r="982" spans="1:15" x14ac:dyDescent="0.25">
      <c r="A982" s="7"/>
      <c r="B982" s="7"/>
      <c r="C982" s="7"/>
      <c r="D982" s="7"/>
      <c r="E982" s="11">
        <v>980</v>
      </c>
      <c r="F982" s="8"/>
      <c r="G982" s="8"/>
      <c r="H982" s="9"/>
      <c r="I982" s="10"/>
      <c r="J982" s="9"/>
      <c r="K982" s="10"/>
      <c r="L982" s="8"/>
      <c r="M982" s="8"/>
      <c r="N982" s="10"/>
      <c r="O982" s="10"/>
    </row>
  </sheetData>
  <sheetProtection password="CDE2" sheet="1" objects="1" scenarios="1" formatCells="0" formatColumns="0" formatRows="0"/>
  <conditionalFormatting sqref="K44 K46 K48 K50 K52 K54 K56 K58 K60 K62 K64 K66 K68 K70 K72 K74 K76 K78 K80 K82 K84 K86 K88 K90 K92 K94 K96 K98 K100 K102 K104 K106 K108 K110 K112 K114 K116 K118 K120 K122 K124 K126 K128 K130 K132 K134 K136 K138 K140 K142 K144 K146 K148 K150 K152 K154 K156 K158 K160 K162 K164 K166 K168 K170 K172 K174 K176 K178 K180 K182 K184 K186 K188 K190 K192 K194 K196 K198 K200 K202 K204 K206 K208 K210 K212 K214 K216 K218 K220 K222 K224 K226 K228 K230 K232 K234 K236 K238 K240 K242 K244 K246 K248 K250 K252 K254 K256 K258 K260 K262 K264 K266 K268 K270 K272 K274 K276 K278 K280 K282 K284 K286 K288 K290 K292 K294 K296 K298 K300 K302 K304 K306 K308 K310 K312 K314 K316 K318 K320 K322 K324 K326 K328 K330 K332 K334 K336 K338 K340 K342 K344 K346 K348 K350 K352 K354 K356 K358 K360 K362 K364 K366 K368 K370 K372 K374 K376 K378 K380 K382 K384 K386 K388 K390 K392 K394 K396 K398 K400 K402 K404 K406 K408 K410 K412 K414 K416 K418 K420 K422 K424 K426 K428 K430 K432 K434 K436 K438 K440 K442 K444 K446 K448 K450 K452 K454 K456 K458 K460 K462 K464 K466 K468 K470 K472 K474 K476 K478 K480 K482 K484 K486 K488 K490 K492 K494 K496 K498 K500 K502 K504 K506 K508 K510 K512 K514 K516 K518 K520 K522 K524 K526 K528 K530 K532 K534 K536 K538 K540 K542 K544 K546 K548 K550 K552 K554 K556 K558 K560 K562 K564 K566 K568 K570 K572 K574 K576 K578 K580 K582 K584 K586 K588 K590 K592 K594 K596 K598 K600 K602 K604 K606 K608 K610 K612 K614 K616 K618 K620 K622 K624 K626 K628 K630 K632 K634 K636 K638 K640 K642 K644 K646 K648 K650 K652 K654 K656 K658 K660 K662 K664 K666 K668 K670 K672 K674 K676 K678 K680 K682 K684 K686 K688 K690 K692 K694 K696 K698 K700 K702 K704 K706 K708 K710 K712 K714 K716 K718 K720 K722 K724 K726 K728 K730 K732 K734 K736 K738 K740 K742 K744 K746 K748 K750 K752 K754 K756 K758 K760 K762 K764 K766 K768 K770 K772 K774 K776 K778 K780 K782 K784 K786 K788 K790 K792 K794 K796 K798 K800 K802 K804 K806 K808 K810 K812 K814 K816 K818 K820 K822 K824 K826 K828 K830 K832 K834 K836 K838 K840 K842 K844 K846 K848 K850 K852 K854 K856 K858 K860 K862 K864 K866 K868 K870 K872 K874 K876 K878 K880 K882 K884 K886 K888 K890 K892 K894 K896 K898 K900 K902 K904 K906 K908 K910 K912 K914 K916 K918 K920 K922 K924 K926 K928 K930 K932 K934 K936 K938 K940 K942 K944 K946 K948 K950 K952 K954 K956 K958 K960 K962 K964 K966 K968 K970 K972 K974 K976 K978 K980 K982">
    <cfRule type="containsText" dxfId="2" priority="101" operator="containsText" text="1">
      <formula>NOT(ISERROR(SEARCH("1",K44)))</formula>
    </cfRule>
    <cfRule type="containsText" dxfId="1" priority="102" operator="containsText" text="2">
      <formula>NOT(ISERROR(SEARCH("2",K44)))</formula>
    </cfRule>
    <cfRule type="containsText" dxfId="0" priority="103" operator="containsText" text="3">
      <formula>NOT(ISERROR(SEARCH("3",K44)))</formula>
    </cfRule>
  </conditionalFormatting>
  <pageMargins left="0.2" right="0.25" top="0.75" bottom="0.75" header="0.3" footer="0.3"/>
  <pageSetup scale="29" fitToHeight="7" orientation="landscape" r:id="rId1"/>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pageSetUpPr fitToPage="1"/>
  </sheetPr>
  <dimension ref="A1:AA12"/>
  <sheetViews>
    <sheetView view="pageLayout" zoomScale="90" zoomScaleNormal="100" zoomScalePageLayoutView="90" workbookViewId="0">
      <selection activeCell="C3" sqref="C3"/>
    </sheetView>
  </sheetViews>
  <sheetFormatPr defaultColWidth="0" defaultRowHeight="15" zeroHeight="1" x14ac:dyDescent="0.25"/>
  <cols>
    <col min="1" max="1" width="66.5703125" style="40" customWidth="1"/>
    <col min="2" max="2" width="22.7109375" style="40" customWidth="1"/>
    <col min="3" max="3" width="60.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89" t="s">
        <v>503</v>
      </c>
      <c r="B1" s="144"/>
      <c r="C1" s="73"/>
      <c r="Q1" s="81"/>
      <c r="R1" s="81"/>
      <c r="AA1" s="39" t="str">
        <f>C2</f>
        <v>Operational</v>
      </c>
    </row>
    <row r="2" spans="1:27" ht="30.75" customHeight="1" thickBot="1" x14ac:dyDescent="0.3">
      <c r="A2" s="190" t="s">
        <v>257</v>
      </c>
      <c r="B2" s="191"/>
      <c r="C2" s="90" t="s">
        <v>31</v>
      </c>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60" customHeight="1" thickBot="1" x14ac:dyDescent="0.3">
      <c r="A9" s="200"/>
      <c r="B9" s="201"/>
      <c r="C9" s="202"/>
      <c r="Q9" s="38">
        <f>A9</f>
        <v>0</v>
      </c>
    </row>
    <row r="10" spans="1:27" ht="81.75" customHeight="1" thickBot="1" x14ac:dyDescent="0.3">
      <c r="A10" s="41" t="s">
        <v>505</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12:C12"/>
    <mergeCell ref="A7:B7"/>
    <mergeCell ref="A6:B6"/>
    <mergeCell ref="B10:C10"/>
    <mergeCell ref="A8:C8"/>
    <mergeCell ref="A11:C11"/>
    <mergeCell ref="A9:C9"/>
    <mergeCell ref="A1:B1"/>
    <mergeCell ref="A2:B2"/>
    <mergeCell ref="A3:B3"/>
    <mergeCell ref="A4:B4"/>
    <mergeCell ref="A5:B5"/>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60"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3" t="s">
        <v>503</v>
      </c>
      <c r="B1" s="204"/>
      <c r="C1" s="82"/>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7">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27"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8">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5.710937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password="CDE2" sheet="1" objects="1" scenarios="1"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2"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9">
    <pageSetUpPr fitToPage="1"/>
  </sheetPr>
  <dimension ref="A1:AA12"/>
  <sheetViews>
    <sheetView view="pageLayout" topLeftCell="A1048576"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4"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0">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1">
    <pageSetUpPr fitToPage="1"/>
  </sheetPr>
  <dimension ref="A1:AA12"/>
  <sheetViews>
    <sheetView view="pageLayout" zoomScale="90" zoomScaleNormal="100" zoomScalePageLayoutView="9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2">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205" t="s">
        <v>502</v>
      </c>
      <c r="B1" s="144"/>
      <c r="C1" s="73"/>
      <c r="Q1" s="81"/>
      <c r="R1" s="81"/>
      <c r="AA1" s="39">
        <f>C2</f>
        <v>0</v>
      </c>
    </row>
    <row r="2" spans="1:27" ht="30.75" customHeight="1" thickBot="1" x14ac:dyDescent="0.3">
      <c r="A2" s="190" t="s">
        <v>257</v>
      </c>
      <c r="B2" s="191"/>
      <c r="C2" s="91"/>
      <c r="R2" s="42" t="str">
        <f t="shared" ref="R2:R7" si="0">A2</f>
        <v>Risk Type  - The Risk Type from the SHUSA ERM Risk Taxonomy</v>
      </c>
    </row>
    <row r="3" spans="1:27" ht="24" customHeight="1" thickBot="1" x14ac:dyDescent="0.3">
      <c r="A3" s="189" t="s">
        <v>251</v>
      </c>
      <c r="B3" s="144"/>
      <c r="C3" s="84"/>
      <c r="R3" s="42" t="str">
        <f t="shared" si="0"/>
        <v>Risk Sub Type  - The Risk Sub-Category from the SHUSA ERM Risk Taxonomy</v>
      </c>
    </row>
    <row r="4" spans="1:27" ht="31.5" customHeight="1" thickBot="1" x14ac:dyDescent="0.3">
      <c r="A4" s="189" t="s">
        <v>252</v>
      </c>
      <c r="B4" s="144"/>
      <c r="C4" s="8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85"/>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84"/>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84"/>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206"/>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7"/>
      <c r="Q9" s="38">
        <f>A9</f>
        <v>0</v>
      </c>
    </row>
    <row r="10" spans="1:27" ht="81.75" customHeight="1" thickBot="1" x14ac:dyDescent="0.3">
      <c r="A10" s="41" t="s">
        <v>506</v>
      </c>
      <c r="B10" s="192"/>
      <c r="C10" s="208"/>
    </row>
    <row r="11" spans="1:27" ht="31.5" customHeight="1" thickBot="1" x14ac:dyDescent="0.3">
      <c r="A11" s="197" t="s">
        <v>256</v>
      </c>
      <c r="B11" s="198"/>
      <c r="C11" s="206"/>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209"/>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4">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6">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7">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8">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9">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0">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2">
    <pageSetUpPr fitToPage="1"/>
  </sheetPr>
  <dimension ref="A1:AA12"/>
  <sheetViews>
    <sheetView view="pageLayout" topLeftCell="A7"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3">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8:C8"/>
    <mergeCell ref="A9:C9"/>
    <mergeCell ref="B10:C10"/>
    <mergeCell ref="A11:C11"/>
    <mergeCell ref="A12:C12"/>
    <mergeCell ref="A1:B1"/>
    <mergeCell ref="A7:B7"/>
    <mergeCell ref="A2:B2"/>
    <mergeCell ref="A3:B3"/>
    <mergeCell ref="A4:B4"/>
    <mergeCell ref="A5:B5"/>
    <mergeCell ref="A6:B6"/>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4">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5">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6">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7">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8">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9">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0">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2">
    <pageSetUpPr fitToPage="1"/>
  </sheetPr>
  <dimension ref="A1:AA12"/>
  <sheetViews>
    <sheetView view="pageLayout" topLeftCell="A3"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40" customWidth="1"/>
    <col min="2" max="2" width="22.7109375" style="40" customWidth="1"/>
    <col min="3" max="3" width="33.28515625" style="39" customWidth="1"/>
    <col min="4" max="16" width="4.42578125" style="39" hidden="1" customWidth="1"/>
    <col min="17" max="18" width="4.42578125" style="38" hidden="1" customWidth="1"/>
    <col min="19" max="16384" width="4.42578125" style="39" hidden="1"/>
  </cols>
  <sheetData>
    <row r="1" spans="1:27" ht="29.25" customHeight="1" thickBot="1" x14ac:dyDescent="0.3">
      <c r="A1" s="197" t="s">
        <v>499</v>
      </c>
      <c r="B1" s="144"/>
      <c r="C1" s="73"/>
      <c r="Q1" s="81"/>
      <c r="R1" s="81"/>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38"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38">
        <f>A9</f>
        <v>0</v>
      </c>
    </row>
    <row r="10" spans="1:27" ht="81.75" customHeight="1" thickBot="1" x14ac:dyDescent="0.3">
      <c r="A10" s="41" t="s">
        <v>506</v>
      </c>
      <c r="B10" s="192"/>
      <c r="C10" s="196"/>
    </row>
    <row r="11" spans="1:27" ht="31.5" customHeight="1" thickBot="1" x14ac:dyDescent="0.3">
      <c r="A11" s="197" t="s">
        <v>256</v>
      </c>
      <c r="B11" s="198"/>
      <c r="C11" s="199"/>
      <c r="Q11" s="38"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38">
        <f>A12</f>
        <v>0</v>
      </c>
    </row>
  </sheetData>
  <sheetProtection sheet="1" objects="1" scenarios="1" formatCells="0" formatColumns="0" formatRows="0"/>
  <mergeCells count="12">
    <mergeCell ref="A12:C12"/>
    <mergeCell ref="A7:B7"/>
    <mergeCell ref="A2:B2"/>
    <mergeCell ref="A3:B3"/>
    <mergeCell ref="A4:B4"/>
    <mergeCell ref="A5:B5"/>
    <mergeCell ref="A6:B6"/>
    <mergeCell ref="A1:B1"/>
    <mergeCell ref="A8:C8"/>
    <mergeCell ref="A9:C9"/>
    <mergeCell ref="B10:C10"/>
    <mergeCell ref="A11:C11"/>
  </mergeCells>
  <dataValidations count="3">
    <dataValidation type="list" allowBlank="1" showInputMessage="1" showErrorMessage="1" sqref="C3">
      <formula1>INDIRECT(SUBSTITUTE(SUBSTITUTE(SUBSTITUTE(SUBSTITUTE(SUBSTITUTE(C2,"&amp;","")," ",""),"-",""),"/",""),"#","N"))</formula1>
    </dataValidation>
    <dataValidation type="list" allowBlank="1" showInputMessage="1" showErrorMessage="1" sqref="C5">
      <formula1>Drivers</formula1>
    </dataValidation>
    <dataValidation type="list" allowBlank="1" showInputMessage="1" showErrorMessage="1" sqref="C6:C7">
      <formula1>IR</formula1>
    </dataValidation>
  </dataValidations>
  <pageMargins left="0.7" right="0.7" top="0.75" bottom="0.75" header="0.3" footer="0.3"/>
  <pageSetup scale="7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499</v>
      </c>
      <c r="B1" s="144"/>
      <c r="C1" s="73"/>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505</v>
      </c>
      <c r="B10" s="192"/>
      <c r="C10" s="196"/>
    </row>
    <row r="11" spans="1:27" ht="31.5" customHeight="1" thickBot="1" x14ac:dyDescent="0.3">
      <c r="A11" s="197" t="s">
        <v>256</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499</v>
      </c>
      <c r="B1" s="144"/>
      <c r="C1" s="73"/>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505</v>
      </c>
      <c r="B10" s="192"/>
      <c r="C10" s="196"/>
    </row>
    <row r="11" spans="1:27" ht="31.5" customHeight="1" thickBot="1" x14ac:dyDescent="0.3">
      <c r="A11" s="197" t="s">
        <v>256</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6">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499</v>
      </c>
      <c r="B1" s="144"/>
      <c r="C1" s="73"/>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505</v>
      </c>
      <c r="B10" s="192"/>
      <c r="C10" s="196"/>
    </row>
    <row r="11" spans="1:27" ht="31.5" customHeight="1" thickBot="1" x14ac:dyDescent="0.3">
      <c r="A11" s="197" t="s">
        <v>256</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7">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499</v>
      </c>
      <c r="B1" s="144"/>
      <c r="C1" s="73"/>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505</v>
      </c>
      <c r="B10" s="192"/>
      <c r="C10" s="196"/>
    </row>
    <row r="11" spans="1:27" ht="31.5" customHeight="1" thickBot="1" x14ac:dyDescent="0.3">
      <c r="A11" s="197" t="s">
        <v>256</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8">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499</v>
      </c>
      <c r="B1" s="144"/>
      <c r="C1" s="73"/>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505</v>
      </c>
      <c r="B10" s="192"/>
      <c r="C10" s="196"/>
    </row>
    <row r="11" spans="1:27" ht="31.5" customHeight="1" thickBot="1" x14ac:dyDescent="0.3">
      <c r="A11" s="197" t="s">
        <v>256</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9">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499</v>
      </c>
      <c r="B1" s="144"/>
      <c r="C1" s="73"/>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505</v>
      </c>
      <c r="B10" s="192"/>
      <c r="C10" s="196"/>
    </row>
    <row r="11" spans="1:27" ht="31.5" customHeight="1" thickBot="1" x14ac:dyDescent="0.3">
      <c r="A11" s="197" t="s">
        <v>256</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sheet="1" objects="1" scenarios="1" formatCells="0" formatColumns="0" formatRow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0">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499</v>
      </c>
      <c r="B1" s="144"/>
      <c r="C1" s="73"/>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505</v>
      </c>
      <c r="B10" s="192"/>
      <c r="C10" s="196"/>
    </row>
    <row r="11" spans="1:27" ht="31.5" customHeight="1" thickBot="1" x14ac:dyDescent="0.3">
      <c r="A11" s="197" t="s">
        <v>256</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1">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499</v>
      </c>
      <c r="B1" s="144"/>
      <c r="C1" s="73"/>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505</v>
      </c>
      <c r="B10" s="192"/>
      <c r="C10" s="196"/>
    </row>
    <row r="11" spans="1:27" ht="31.5" customHeight="1" thickBot="1" x14ac:dyDescent="0.3">
      <c r="A11" s="197" t="s">
        <v>256</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2">
    <pageSetUpPr fitToPage="1"/>
  </sheetPr>
  <dimension ref="A1:AA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4" width="4.42578125" style="39" hidden="1"/>
  </cols>
  <sheetData>
    <row r="1" spans="1:27" ht="29.25" customHeight="1" thickBot="1" x14ac:dyDescent="0.3">
      <c r="A1" s="197" t="s">
        <v>499</v>
      </c>
      <c r="B1" s="144"/>
      <c r="C1" s="73"/>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505</v>
      </c>
      <c r="B10" s="192"/>
      <c r="C10" s="196"/>
    </row>
    <row r="11" spans="1:27" ht="31.5" customHeight="1" thickBot="1" x14ac:dyDescent="0.3">
      <c r="A11" s="197" t="s">
        <v>256</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3">
    <pageSetUpPr fitToPage="1"/>
  </sheetPr>
  <dimension ref="A1:XFC12"/>
  <sheetViews>
    <sheetView view="pageLayout" zoomScaleNormal="100" workbookViewId="0">
      <selection activeCell="A9" sqref="A9:C9"/>
    </sheetView>
  </sheetViews>
  <sheetFormatPr defaultColWidth="0" defaultRowHeight="15" zeroHeight="1" x14ac:dyDescent="0.25"/>
  <cols>
    <col min="1" max="1" width="66.5703125" style="87" customWidth="1"/>
    <col min="2" max="2" width="22.7109375" style="87" customWidth="1"/>
    <col min="3" max="3" width="33.28515625" style="39" customWidth="1"/>
    <col min="4" max="16" width="4.42578125" style="39" hidden="1" customWidth="1"/>
    <col min="17" max="18" width="4.42578125" style="86" hidden="1" customWidth="1"/>
    <col min="19" max="16382" width="4.42578125" style="39" hidden="1"/>
    <col min="16383" max="16383" width="1.7109375" style="39" hidden="1" customWidth="1"/>
    <col min="16384" max="16384" width="6.140625" style="39" hidden="1" customWidth="1"/>
  </cols>
  <sheetData>
    <row r="1" spans="1:27" ht="29.25" customHeight="1" thickBot="1" x14ac:dyDescent="0.3">
      <c r="A1" s="197" t="s">
        <v>499</v>
      </c>
      <c r="B1" s="144"/>
      <c r="C1" s="73"/>
      <c r="AA1" s="39">
        <f>C2</f>
        <v>0</v>
      </c>
    </row>
    <row r="2" spans="1:27" ht="30.75" customHeight="1" thickBot="1" x14ac:dyDescent="0.3">
      <c r="A2" s="190" t="s">
        <v>257</v>
      </c>
      <c r="B2" s="191"/>
      <c r="C2" s="90"/>
      <c r="R2" s="42" t="str">
        <f t="shared" ref="R2:R7" si="0">A2</f>
        <v>Risk Type  - The Risk Type from the SHUSA ERM Risk Taxonomy</v>
      </c>
    </row>
    <row r="3" spans="1:27" ht="24" customHeight="1" thickBot="1" x14ac:dyDescent="0.3">
      <c r="A3" s="189" t="s">
        <v>251</v>
      </c>
      <c r="B3" s="144"/>
      <c r="C3" s="70"/>
      <c r="R3" s="42" t="str">
        <f t="shared" si="0"/>
        <v>Risk Sub Type  - The Risk Sub-Category from the SHUSA ERM Risk Taxonomy</v>
      </c>
    </row>
    <row r="4" spans="1:27" ht="31.5" customHeight="1" thickBot="1" x14ac:dyDescent="0.3">
      <c r="A4" s="189" t="s">
        <v>252</v>
      </c>
      <c r="B4" s="144"/>
      <c r="C4" s="73"/>
      <c r="R4" s="42" t="str">
        <f t="shared" si="0"/>
        <v>Risk Name - The name of the risk which helps define it and differentiate it from other risks in other Business Lines with a similar Risk Category</v>
      </c>
    </row>
    <row r="5" spans="1:27" ht="39" customHeight="1" thickBot="1" x14ac:dyDescent="0.3">
      <c r="A5" s="189" t="s">
        <v>504</v>
      </c>
      <c r="B5" s="144"/>
      <c r="C5" s="71"/>
      <c r="R5" s="42" t="str">
        <f t="shared" si="0"/>
        <v>Risk Driver - The economic, business or regulatory force(s) leading to the potential increase(s) in the Risk profile as capture under the 'Stressed Financial Impact'. Diver(s) must be supported in the 'Financial Impact Rationale'.</v>
      </c>
    </row>
    <row r="6" spans="1:27" ht="42.75" customHeight="1" thickBot="1" x14ac:dyDescent="0.3">
      <c r="A6" s="189" t="s">
        <v>253</v>
      </c>
      <c r="B6" s="144"/>
      <c r="C6" s="70"/>
      <c r="R6" s="42" t="str">
        <f t="shared" si="0"/>
        <v>Annual Expected Loss (Base) - The annual expected financial impact range amount. The dollar range should be supported by internal/external loss data and other MRI sources.  This impact amount assumes controls are working as designed.</v>
      </c>
    </row>
    <row r="7" spans="1:27" ht="42.75" customHeight="1" thickBot="1" x14ac:dyDescent="0.3">
      <c r="A7" s="195" t="s">
        <v>254</v>
      </c>
      <c r="B7" s="191"/>
      <c r="C7" s="70"/>
      <c r="R7" s="42" t="str">
        <f t="shared" si="0"/>
        <v>Stressed Financial Impact - The worst 1 in 10 year financial impact range amount. This impact should be supported by internal and external loss data and other MRI sources and external events.  This impact assumes that all controls may not be working as designed.</v>
      </c>
    </row>
    <row r="8" spans="1:27" ht="64.5" customHeight="1" thickBot="1" x14ac:dyDescent="0.3">
      <c r="A8" s="197" t="s">
        <v>255</v>
      </c>
      <c r="B8" s="198"/>
      <c r="C8" s="199"/>
      <c r="Q8" s="86" t="str">
        <f>A8</f>
        <v>Key Controls (narrative) - Activities and limits put in place by the business to mitigate the risk.  This should be a high level overview of the key mitigating factors; it should incorporate management’s assessment of the underlying controls, both their adequacy and effectiveness. In instances where management has scored their controls, this should be incorporated at a summary level. This evaluation is needed to determine financial impacts. Known weaknesses in design should be referenced.</v>
      </c>
    </row>
    <row r="9" spans="1:27" ht="53.25" customHeight="1" thickBot="1" x14ac:dyDescent="0.3">
      <c r="A9" s="200"/>
      <c r="B9" s="201"/>
      <c r="C9" s="202"/>
      <c r="Q9" s="86">
        <f>A9</f>
        <v>0</v>
      </c>
    </row>
    <row r="10" spans="1:27" ht="81.75" customHeight="1" thickBot="1" x14ac:dyDescent="0.3">
      <c r="A10" s="41" t="s">
        <v>505</v>
      </c>
      <c r="B10" s="192"/>
      <c r="C10" s="196"/>
    </row>
    <row r="11" spans="1:27" ht="31.5" customHeight="1" thickBot="1" x14ac:dyDescent="0.3">
      <c r="A11" s="197" t="s">
        <v>256</v>
      </c>
      <c r="B11" s="198"/>
      <c r="C11" s="199"/>
      <c r="Q11" s="86" t="str">
        <f>A11</f>
        <v>Risk Narrative - The risk narrative should be an executive level write up touching on the nature of the risk, the expected impact, the worst one in ten year impact, the risk drivers and the adequacy of the control suite.</v>
      </c>
    </row>
    <row r="12" spans="1:27" ht="73.5" customHeight="1" thickBot="1" x14ac:dyDescent="0.3">
      <c r="A12" s="192"/>
      <c r="B12" s="193"/>
      <c r="C12" s="194"/>
      <c r="Q12" s="86">
        <f>A12</f>
        <v>0</v>
      </c>
    </row>
  </sheetData>
  <sheetProtection sheet="1" objects="1" scenarios="1" formatCells="0" formatColumns="0"/>
  <mergeCells count="12">
    <mergeCell ref="A12:C12"/>
    <mergeCell ref="A1:B1"/>
    <mergeCell ref="A2:B2"/>
    <mergeCell ref="A3:B3"/>
    <mergeCell ref="A4:B4"/>
    <mergeCell ref="A5:B5"/>
    <mergeCell ref="A6:B6"/>
    <mergeCell ref="A7:B7"/>
    <mergeCell ref="A8:C8"/>
    <mergeCell ref="A9:C9"/>
    <mergeCell ref="B10:C10"/>
    <mergeCell ref="A11:C11"/>
  </mergeCells>
  <dataValidations count="3">
    <dataValidation type="list" allowBlank="1" showInputMessage="1" showErrorMessage="1" sqref="C6:C7">
      <formula1>IR</formula1>
    </dataValidation>
    <dataValidation type="list" allowBlank="1" showInputMessage="1" showErrorMessage="1" sqref="C5">
      <formula1>Drivers</formula1>
    </dataValidation>
    <dataValidation type="list" allowBlank="1" showInputMessage="1" showErrorMessage="1" sqref="C3">
      <formula1>INDIRECT(SUBSTITUTE(SUBSTITUTE(SUBSTITUTE(SUBSTITUTE(SUBSTITUTE(C2,"&amp;","")," ",""),"-",""),"/",""),"#","N"))</formula1>
    </dataValidation>
  </dataValidations>
  <pageMargins left="0.25" right="0.25" top="0.75" bottom="0.75" header="0.3" footer="0.3"/>
  <pageSetup scale="83" fitToHeight="3"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14:formula1>
            <xm:f>Sheet5!$D$1:$D$8</xm:f>
          </x14:formula1>
          <xm:sqref>C2</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5">
    <pageSetUpPr fitToPage="1"/>
  </sheetPr>
  <dimension ref="A1:C167"/>
  <sheetViews>
    <sheetView workbookViewId="0">
      <selection activeCell="C15" sqref="C15"/>
    </sheetView>
  </sheetViews>
  <sheetFormatPr defaultColWidth="25.7109375" defaultRowHeight="15" x14ac:dyDescent="0.25"/>
  <cols>
    <col min="1" max="1" width="35.7109375" style="43" customWidth="1"/>
    <col min="2" max="2" width="67.85546875" style="43" customWidth="1"/>
    <col min="3" max="3" width="59.85546875" style="43" customWidth="1"/>
    <col min="4" max="16384" width="25.7109375" style="43"/>
  </cols>
  <sheetData>
    <row r="1" spans="1:3" ht="63" customHeight="1" thickBot="1" x14ac:dyDescent="0.3">
      <c r="A1" s="212" t="s">
        <v>348</v>
      </c>
      <c r="B1" s="213"/>
      <c r="C1" s="213"/>
    </row>
    <row r="2" spans="1:3" ht="15.75" thickBot="1" x14ac:dyDescent="0.3">
      <c r="A2" s="74" t="s">
        <v>226</v>
      </c>
      <c r="B2" s="75" t="s">
        <v>325</v>
      </c>
      <c r="C2" s="75" t="s">
        <v>326</v>
      </c>
    </row>
    <row r="3" spans="1:3" ht="15.75" thickBot="1" x14ac:dyDescent="0.3">
      <c r="A3" s="214" t="s">
        <v>146</v>
      </c>
      <c r="B3" s="214" t="s">
        <v>327</v>
      </c>
      <c r="C3" s="54" t="s">
        <v>328</v>
      </c>
    </row>
    <row r="4" spans="1:3" ht="15.75" thickBot="1" x14ac:dyDescent="0.3">
      <c r="A4" s="215"/>
      <c r="B4" s="215"/>
      <c r="C4" s="54" t="s">
        <v>329</v>
      </c>
    </row>
    <row r="5" spans="1:3" ht="15.75" thickBot="1" x14ac:dyDescent="0.3">
      <c r="A5" s="215"/>
      <c r="B5" s="215"/>
      <c r="C5" s="54" t="s">
        <v>330</v>
      </c>
    </row>
    <row r="6" spans="1:3" ht="15.75" thickBot="1" x14ac:dyDescent="0.3">
      <c r="A6" s="215"/>
      <c r="B6" s="215"/>
      <c r="C6" s="54" t="s">
        <v>331</v>
      </c>
    </row>
    <row r="7" spans="1:3" ht="15.75" thickBot="1" x14ac:dyDescent="0.3">
      <c r="A7" s="215"/>
      <c r="B7" s="215"/>
      <c r="C7" s="54" t="s">
        <v>332</v>
      </c>
    </row>
    <row r="8" spans="1:3" ht="15.75" thickBot="1" x14ac:dyDescent="0.3">
      <c r="A8" s="216"/>
      <c r="B8" s="216"/>
      <c r="C8" s="54" t="s">
        <v>333</v>
      </c>
    </row>
    <row r="9" spans="1:3" ht="15.75" thickBot="1" x14ac:dyDescent="0.3">
      <c r="A9" s="214" t="s">
        <v>23</v>
      </c>
      <c r="B9" s="214" t="s">
        <v>334</v>
      </c>
      <c r="C9" s="54" t="s">
        <v>335</v>
      </c>
    </row>
    <row r="10" spans="1:3" ht="15.75" thickBot="1" x14ac:dyDescent="0.3">
      <c r="A10" s="215"/>
      <c r="B10" s="215"/>
      <c r="C10" s="54" t="s">
        <v>336</v>
      </c>
    </row>
    <row r="11" spans="1:3" ht="15.75" thickBot="1" x14ac:dyDescent="0.3">
      <c r="A11" s="215"/>
      <c r="B11" s="215"/>
      <c r="C11" s="54" t="s">
        <v>337</v>
      </c>
    </row>
    <row r="12" spans="1:3" ht="15.75" thickBot="1" x14ac:dyDescent="0.3">
      <c r="A12" s="216"/>
      <c r="B12" s="216"/>
      <c r="C12" s="54" t="s">
        <v>338</v>
      </c>
    </row>
    <row r="13" spans="1:3" ht="30.75" thickBot="1" x14ac:dyDescent="0.3">
      <c r="A13" s="46" t="s">
        <v>213</v>
      </c>
      <c r="B13" s="54" t="s">
        <v>213</v>
      </c>
      <c r="C13" s="54" t="s">
        <v>213</v>
      </c>
    </row>
    <row r="14" spans="1:3" ht="15.75" thickBot="1" x14ac:dyDescent="0.3">
      <c r="A14" s="214" t="s">
        <v>10</v>
      </c>
      <c r="B14" s="214" t="s">
        <v>349</v>
      </c>
      <c r="C14" s="54" t="s">
        <v>339</v>
      </c>
    </row>
    <row r="15" spans="1:3" ht="15.75" thickBot="1" x14ac:dyDescent="0.3">
      <c r="A15" s="215"/>
      <c r="B15" s="215"/>
      <c r="C15" s="54" t="s">
        <v>340</v>
      </c>
    </row>
    <row r="16" spans="1:3" ht="15.75" thickBot="1" x14ac:dyDescent="0.3">
      <c r="A16" s="215"/>
      <c r="B16" s="215"/>
      <c r="C16" s="54" t="s">
        <v>341</v>
      </c>
    </row>
    <row r="17" spans="1:3" ht="15.75" thickBot="1" x14ac:dyDescent="0.3">
      <c r="A17" s="216"/>
      <c r="B17" s="216"/>
      <c r="C17" s="54" t="s">
        <v>342</v>
      </c>
    </row>
    <row r="18" spans="1:3" ht="15.75" thickBot="1" x14ac:dyDescent="0.3">
      <c r="A18" s="214" t="s">
        <v>22</v>
      </c>
      <c r="B18" s="214" t="s">
        <v>343</v>
      </c>
      <c r="C18" s="54" t="s">
        <v>344</v>
      </c>
    </row>
    <row r="19" spans="1:3" ht="15.75" thickBot="1" x14ac:dyDescent="0.3">
      <c r="A19" s="215"/>
      <c r="B19" s="215"/>
      <c r="C19" s="54" t="s">
        <v>345</v>
      </c>
    </row>
    <row r="20" spans="1:3" ht="15.75" thickBot="1" x14ac:dyDescent="0.3">
      <c r="A20" s="215"/>
      <c r="B20" s="215"/>
      <c r="C20" s="54" t="s">
        <v>346</v>
      </c>
    </row>
    <row r="21" spans="1:3" ht="15.75" thickBot="1" x14ac:dyDescent="0.3">
      <c r="A21" s="216"/>
      <c r="B21" s="216"/>
      <c r="C21" s="54" t="s">
        <v>350</v>
      </c>
    </row>
    <row r="22" spans="1:3" ht="15.75" thickBot="1" x14ac:dyDescent="0.3">
      <c r="A22" s="46" t="s">
        <v>222</v>
      </c>
      <c r="B22" s="54" t="s">
        <v>347</v>
      </c>
      <c r="C22" s="54" t="s">
        <v>222</v>
      </c>
    </row>
    <row r="23" spans="1:3" x14ac:dyDescent="0.25">
      <c r="A23" s="80"/>
      <c r="B23" s="80"/>
      <c r="C23" s="80"/>
    </row>
    <row r="24" spans="1:3" ht="45.75" customHeight="1" x14ac:dyDescent="0.25">
      <c r="A24" s="210" t="s">
        <v>351</v>
      </c>
      <c r="B24" s="211"/>
      <c r="C24" s="211"/>
    </row>
    <row r="25" spans="1:3" ht="16.5" thickBot="1" x14ac:dyDescent="0.3">
      <c r="A25" s="77"/>
      <c r="B25"/>
      <c r="C25"/>
    </row>
    <row r="26" spans="1:3" ht="15.75" thickBot="1" x14ac:dyDescent="0.3">
      <c r="A26" s="74" t="s">
        <v>226</v>
      </c>
      <c r="B26" s="75" t="s">
        <v>325</v>
      </c>
      <c r="C26" s="75" t="s">
        <v>326</v>
      </c>
    </row>
    <row r="27" spans="1:3" ht="15.75" thickBot="1" x14ac:dyDescent="0.3">
      <c r="A27" s="214" t="s">
        <v>145</v>
      </c>
      <c r="B27" s="214" t="s">
        <v>352</v>
      </c>
      <c r="C27" s="54" t="s">
        <v>353</v>
      </c>
    </row>
    <row r="28" spans="1:3" ht="15.75" thickBot="1" x14ac:dyDescent="0.3">
      <c r="A28" s="215"/>
      <c r="B28" s="215"/>
      <c r="C28" s="54" t="s">
        <v>354</v>
      </c>
    </row>
    <row r="29" spans="1:3" ht="15.75" thickBot="1" x14ac:dyDescent="0.3">
      <c r="A29" s="215"/>
      <c r="B29" s="215"/>
      <c r="C29" s="54" t="s">
        <v>355</v>
      </c>
    </row>
    <row r="30" spans="1:3" ht="15.75" thickBot="1" x14ac:dyDescent="0.3">
      <c r="A30" s="215"/>
      <c r="B30" s="215"/>
      <c r="C30" s="54" t="s">
        <v>28</v>
      </c>
    </row>
    <row r="31" spans="1:3" ht="15.75" thickBot="1" x14ac:dyDescent="0.3">
      <c r="A31" s="215"/>
      <c r="B31" s="215"/>
      <c r="C31" s="54" t="s">
        <v>26</v>
      </c>
    </row>
    <row r="32" spans="1:3" ht="15.75" thickBot="1" x14ac:dyDescent="0.3">
      <c r="A32" s="216"/>
      <c r="B32" s="216"/>
      <c r="C32" s="54" t="s">
        <v>356</v>
      </c>
    </row>
    <row r="33" spans="1:3" ht="15.75" x14ac:dyDescent="0.25">
      <c r="A33" s="77"/>
      <c r="B33"/>
      <c r="C33"/>
    </row>
    <row r="34" spans="1:3" ht="42" customHeight="1" x14ac:dyDescent="0.25">
      <c r="A34" s="210" t="s">
        <v>357</v>
      </c>
      <c r="B34" s="211"/>
      <c r="C34" s="211"/>
    </row>
    <row r="35" spans="1:3" ht="15.75" thickBot="1" x14ac:dyDescent="0.3">
      <c r="A35" s="44"/>
      <c r="B35"/>
      <c r="C35"/>
    </row>
    <row r="36" spans="1:3" ht="15.75" thickBot="1" x14ac:dyDescent="0.3">
      <c r="A36" s="74" t="s">
        <v>226</v>
      </c>
      <c r="B36" s="75" t="s">
        <v>325</v>
      </c>
      <c r="C36" s="75" t="s">
        <v>326</v>
      </c>
    </row>
    <row r="37" spans="1:3" ht="30.75" thickBot="1" x14ac:dyDescent="0.3">
      <c r="A37" s="46" t="s">
        <v>53</v>
      </c>
      <c r="B37" s="54" t="s">
        <v>358</v>
      </c>
      <c r="C37" s="54" t="s">
        <v>53</v>
      </c>
    </row>
    <row r="38" spans="1:3" ht="75" x14ac:dyDescent="0.25">
      <c r="A38" s="214" t="s">
        <v>64</v>
      </c>
      <c r="B38" s="76" t="s">
        <v>359</v>
      </c>
      <c r="C38" s="214" t="s">
        <v>64</v>
      </c>
    </row>
    <row r="39" spans="1:3" ht="30" x14ac:dyDescent="0.25">
      <c r="A39" s="215"/>
      <c r="B39" s="76" t="s">
        <v>360</v>
      </c>
      <c r="C39" s="215"/>
    </row>
    <row r="40" spans="1:3" ht="30" x14ac:dyDescent="0.25">
      <c r="A40" s="215"/>
      <c r="B40" s="76" t="s">
        <v>361</v>
      </c>
      <c r="C40" s="215"/>
    </row>
    <row r="41" spans="1:3" x14ac:dyDescent="0.25">
      <c r="A41" s="215"/>
      <c r="B41" s="76" t="s">
        <v>362</v>
      </c>
      <c r="C41" s="215"/>
    </row>
    <row r="42" spans="1:3" ht="15.75" thickBot="1" x14ac:dyDescent="0.3">
      <c r="A42" s="216"/>
      <c r="B42" s="54" t="s">
        <v>363</v>
      </c>
      <c r="C42" s="216"/>
    </row>
    <row r="43" spans="1:3" ht="135.75" thickBot="1" x14ac:dyDescent="0.3">
      <c r="A43" s="46" t="s">
        <v>56</v>
      </c>
      <c r="B43" s="54" t="s">
        <v>364</v>
      </c>
      <c r="C43" s="54" t="s">
        <v>56</v>
      </c>
    </row>
    <row r="44" spans="1:3" ht="75.75" thickBot="1" x14ac:dyDescent="0.3">
      <c r="A44" s="46" t="s">
        <v>138</v>
      </c>
      <c r="B44" s="54" t="s">
        <v>365</v>
      </c>
      <c r="C44" s="54" t="s">
        <v>138</v>
      </c>
    </row>
    <row r="45" spans="1:3" ht="15.75" thickBot="1" x14ac:dyDescent="0.3">
      <c r="A45" s="214" t="s">
        <v>57</v>
      </c>
      <c r="B45" s="214" t="s">
        <v>366</v>
      </c>
      <c r="C45" s="54" t="s">
        <v>367</v>
      </c>
    </row>
    <row r="46" spans="1:3" ht="15.75" thickBot="1" x14ac:dyDescent="0.3">
      <c r="A46" s="215"/>
      <c r="B46" s="215"/>
      <c r="C46" s="54" t="s">
        <v>340</v>
      </c>
    </row>
    <row r="47" spans="1:3" ht="15.75" thickBot="1" x14ac:dyDescent="0.3">
      <c r="A47" s="215"/>
      <c r="B47" s="215"/>
      <c r="C47" s="54" t="s">
        <v>335</v>
      </c>
    </row>
    <row r="48" spans="1:3" ht="15.75" thickBot="1" x14ac:dyDescent="0.3">
      <c r="A48" s="215"/>
      <c r="B48" s="215"/>
      <c r="C48" s="54" t="s">
        <v>368</v>
      </c>
    </row>
    <row r="49" spans="1:3" ht="15.75" thickBot="1" x14ac:dyDescent="0.3">
      <c r="A49" s="216"/>
      <c r="B49" s="216"/>
      <c r="C49" s="54" t="s">
        <v>369</v>
      </c>
    </row>
    <row r="50" spans="1:3" ht="60.75" thickBot="1" x14ac:dyDescent="0.3">
      <c r="A50" s="46" t="s">
        <v>55</v>
      </c>
      <c r="B50" s="54" t="s">
        <v>370</v>
      </c>
      <c r="C50" s="54" t="s">
        <v>55</v>
      </c>
    </row>
    <row r="51" spans="1:3" ht="30" x14ac:dyDescent="0.25">
      <c r="A51" s="214" t="s">
        <v>52</v>
      </c>
      <c r="B51" s="76" t="s">
        <v>371</v>
      </c>
      <c r="C51" s="214" t="s">
        <v>52</v>
      </c>
    </row>
    <row r="52" spans="1:3" ht="45.75" thickBot="1" x14ac:dyDescent="0.3">
      <c r="A52" s="216"/>
      <c r="B52" s="54" t="s">
        <v>372</v>
      </c>
      <c r="C52" s="216"/>
    </row>
    <row r="53" spans="1:3" ht="45.75" thickBot="1" x14ac:dyDescent="0.3">
      <c r="A53" s="46" t="s">
        <v>18</v>
      </c>
      <c r="B53" s="54" t="s">
        <v>373</v>
      </c>
      <c r="C53" s="54" t="s">
        <v>18</v>
      </c>
    </row>
    <row r="54" spans="1:3" ht="30.75" thickBot="1" x14ac:dyDescent="0.3">
      <c r="A54" s="46" t="s">
        <v>144</v>
      </c>
      <c r="B54" s="54" t="s">
        <v>374</v>
      </c>
      <c r="C54" s="54" t="s">
        <v>375</v>
      </c>
    </row>
    <row r="55" spans="1:3" ht="15.75" x14ac:dyDescent="0.25">
      <c r="A55" s="77"/>
      <c r="B55"/>
      <c r="C55"/>
    </row>
    <row r="56" spans="1:3" ht="39" customHeight="1" x14ac:dyDescent="0.25">
      <c r="A56" s="210" t="s">
        <v>376</v>
      </c>
      <c r="B56" s="211"/>
      <c r="C56" s="211"/>
    </row>
    <row r="57" spans="1:3" ht="16.5" thickBot="1" x14ac:dyDescent="0.3">
      <c r="A57" s="77"/>
      <c r="B57"/>
      <c r="C57"/>
    </row>
    <row r="58" spans="1:3" ht="15.75" thickBot="1" x14ac:dyDescent="0.3">
      <c r="A58" s="74" t="s">
        <v>226</v>
      </c>
      <c r="B58" s="75" t="s">
        <v>325</v>
      </c>
      <c r="C58" s="75" t="s">
        <v>326</v>
      </c>
    </row>
    <row r="59" spans="1:3" ht="15.75" thickBot="1" x14ac:dyDescent="0.3">
      <c r="A59" s="46" t="s">
        <v>158</v>
      </c>
      <c r="B59" s="54" t="s">
        <v>377</v>
      </c>
      <c r="C59" s="54" t="s">
        <v>378</v>
      </c>
    </row>
    <row r="60" spans="1:3" ht="30" x14ac:dyDescent="0.25">
      <c r="A60" s="214" t="s">
        <v>45</v>
      </c>
      <c r="B60" s="76" t="s">
        <v>379</v>
      </c>
      <c r="C60" s="214" t="s">
        <v>386</v>
      </c>
    </row>
    <row r="61" spans="1:3" x14ac:dyDescent="0.25">
      <c r="A61" s="215"/>
      <c r="B61" s="76" t="s">
        <v>380</v>
      </c>
      <c r="C61" s="215"/>
    </row>
    <row r="62" spans="1:3" x14ac:dyDescent="0.25">
      <c r="A62" s="215"/>
      <c r="B62" s="76" t="s">
        <v>381</v>
      </c>
      <c r="C62" s="215"/>
    </row>
    <row r="63" spans="1:3" ht="15.75" thickBot="1" x14ac:dyDescent="0.3">
      <c r="A63" s="215"/>
      <c r="B63" s="76" t="s">
        <v>382</v>
      </c>
      <c r="C63" s="216"/>
    </row>
    <row r="64" spans="1:3" ht="15.75" thickBot="1" x14ac:dyDescent="0.3">
      <c r="A64" s="215"/>
      <c r="B64" s="76" t="s">
        <v>383</v>
      </c>
      <c r="C64" s="54" t="s">
        <v>387</v>
      </c>
    </row>
    <row r="65" spans="1:3" ht="30.75" thickBot="1" x14ac:dyDescent="0.3">
      <c r="A65" s="215"/>
      <c r="B65" s="76" t="s">
        <v>384</v>
      </c>
      <c r="C65" s="54" t="s">
        <v>388</v>
      </c>
    </row>
    <row r="66" spans="1:3" ht="75.75" thickBot="1" x14ac:dyDescent="0.3">
      <c r="A66" s="216"/>
      <c r="B66" s="54" t="s">
        <v>385</v>
      </c>
      <c r="C66" s="54" t="s">
        <v>389</v>
      </c>
    </row>
    <row r="67" spans="1:3" ht="90.75" thickBot="1" x14ac:dyDescent="0.3">
      <c r="A67" s="46" t="s">
        <v>48</v>
      </c>
      <c r="B67" s="54" t="s">
        <v>390</v>
      </c>
      <c r="C67" s="54" t="s">
        <v>48</v>
      </c>
    </row>
    <row r="68" spans="1:3" ht="30.75" thickBot="1" x14ac:dyDescent="0.3">
      <c r="A68" s="46" t="s">
        <v>163</v>
      </c>
      <c r="B68" s="54" t="s">
        <v>391</v>
      </c>
      <c r="C68" s="54" t="s">
        <v>163</v>
      </c>
    </row>
    <row r="69" spans="1:3" ht="15.75" thickBot="1" x14ac:dyDescent="0.3">
      <c r="A69" s="214" t="s">
        <v>46</v>
      </c>
      <c r="B69" s="76" t="s">
        <v>392</v>
      </c>
      <c r="C69" s="54" t="s">
        <v>394</v>
      </c>
    </row>
    <row r="70" spans="1:3" ht="90.75" thickBot="1" x14ac:dyDescent="0.3">
      <c r="A70" s="216"/>
      <c r="B70" s="54" t="s">
        <v>393</v>
      </c>
      <c r="C70" s="54" t="s">
        <v>395</v>
      </c>
    </row>
    <row r="71" spans="1:3" ht="15.75" x14ac:dyDescent="0.25">
      <c r="A71" s="77"/>
      <c r="B71"/>
      <c r="C71"/>
    </row>
    <row r="72" spans="1:3" ht="53.25" customHeight="1" x14ac:dyDescent="0.25">
      <c r="A72" s="210" t="s">
        <v>396</v>
      </c>
      <c r="B72" s="211"/>
      <c r="C72" s="211"/>
    </row>
    <row r="73" spans="1:3" ht="16.5" thickBot="1" x14ac:dyDescent="0.3">
      <c r="A73" s="77"/>
      <c r="B73"/>
      <c r="C73"/>
    </row>
    <row r="74" spans="1:3" ht="15.75" thickBot="1" x14ac:dyDescent="0.3">
      <c r="A74" s="74" t="s">
        <v>226</v>
      </c>
      <c r="B74" s="78" t="s">
        <v>325</v>
      </c>
      <c r="C74" s="75" t="s">
        <v>326</v>
      </c>
    </row>
    <row r="75" spans="1:3" ht="15.75" thickBot="1" x14ac:dyDescent="0.3">
      <c r="A75" s="214" t="s">
        <v>49</v>
      </c>
      <c r="B75" s="217" t="s">
        <v>397</v>
      </c>
      <c r="C75" s="54" t="s">
        <v>398</v>
      </c>
    </row>
    <row r="76" spans="1:3" ht="15.75" thickBot="1" x14ac:dyDescent="0.3">
      <c r="A76" s="215"/>
      <c r="B76" s="218"/>
      <c r="C76" s="54" t="s">
        <v>399</v>
      </c>
    </row>
    <row r="77" spans="1:3" ht="15.75" thickBot="1" x14ac:dyDescent="0.3">
      <c r="A77" s="215"/>
      <c r="B77" s="218"/>
      <c r="C77" s="54" t="s">
        <v>10</v>
      </c>
    </row>
    <row r="78" spans="1:3" ht="15.75" thickBot="1" x14ac:dyDescent="0.3">
      <c r="A78" s="216"/>
      <c r="B78" s="219"/>
      <c r="C78" s="54" t="s">
        <v>400</v>
      </c>
    </row>
    <row r="79" spans="1:3" ht="15.75" thickBot="1" x14ac:dyDescent="0.3">
      <c r="A79" s="214" t="s">
        <v>50</v>
      </c>
      <c r="B79" s="217" t="s">
        <v>401</v>
      </c>
      <c r="C79" s="54" t="s">
        <v>402</v>
      </c>
    </row>
    <row r="80" spans="1:3" ht="15.75" thickBot="1" x14ac:dyDescent="0.3">
      <c r="A80" s="215"/>
      <c r="B80" s="218"/>
      <c r="C80" s="54" t="s">
        <v>403</v>
      </c>
    </row>
    <row r="81" spans="1:3" ht="15.75" thickBot="1" x14ac:dyDescent="0.3">
      <c r="A81" s="216"/>
      <c r="B81" s="219"/>
      <c r="C81" s="54" t="s">
        <v>331</v>
      </c>
    </row>
    <row r="82" spans="1:3" ht="15.75" thickBot="1" x14ac:dyDescent="0.3">
      <c r="A82" s="214" t="s">
        <v>16</v>
      </c>
      <c r="B82" s="217" t="s">
        <v>404</v>
      </c>
      <c r="C82" s="54" t="s">
        <v>405</v>
      </c>
    </row>
    <row r="83" spans="1:3" ht="15.75" thickBot="1" x14ac:dyDescent="0.3">
      <c r="A83" s="215"/>
      <c r="B83" s="218"/>
      <c r="C83" s="54" t="s">
        <v>406</v>
      </c>
    </row>
    <row r="84" spans="1:3" ht="15.75" thickBot="1" x14ac:dyDescent="0.3">
      <c r="A84" s="215"/>
      <c r="B84" s="218"/>
      <c r="C84" s="54" t="s">
        <v>407</v>
      </c>
    </row>
    <row r="85" spans="1:3" ht="15.75" thickBot="1" x14ac:dyDescent="0.3">
      <c r="A85" s="216"/>
      <c r="B85" s="219"/>
      <c r="C85" s="54" t="s">
        <v>408</v>
      </c>
    </row>
    <row r="86" spans="1:3" ht="15.75" x14ac:dyDescent="0.25">
      <c r="A86" s="77"/>
      <c r="B86"/>
      <c r="C86"/>
    </row>
    <row r="87" spans="1:3" ht="22.5" customHeight="1" x14ac:dyDescent="0.25">
      <c r="A87" s="210" t="s">
        <v>409</v>
      </c>
      <c r="B87" s="211"/>
      <c r="C87" s="211"/>
    </row>
    <row r="88" spans="1:3" ht="16.5" thickBot="1" x14ac:dyDescent="0.3">
      <c r="A88" s="77"/>
      <c r="B88"/>
      <c r="C88"/>
    </row>
    <row r="89" spans="1:3" ht="15.75" thickBot="1" x14ac:dyDescent="0.3">
      <c r="A89" s="74" t="s">
        <v>226</v>
      </c>
      <c r="B89" s="75" t="s">
        <v>325</v>
      </c>
      <c r="C89" s="75" t="s">
        <v>326</v>
      </c>
    </row>
    <row r="90" spans="1:3" ht="30.75" thickBot="1" x14ac:dyDescent="0.3">
      <c r="A90" s="214" t="s">
        <v>30</v>
      </c>
      <c r="B90" s="214" t="s">
        <v>410</v>
      </c>
      <c r="C90" s="54" t="s">
        <v>411</v>
      </c>
    </row>
    <row r="91" spans="1:3" ht="15.75" thickBot="1" x14ac:dyDescent="0.3">
      <c r="A91" s="215"/>
      <c r="B91" s="215"/>
      <c r="C91" s="54" t="s">
        <v>412</v>
      </c>
    </row>
    <row r="92" spans="1:3" ht="15.75" thickBot="1" x14ac:dyDescent="0.3">
      <c r="A92" s="215"/>
      <c r="B92" s="215"/>
      <c r="C92" s="54" t="s">
        <v>413</v>
      </c>
    </row>
    <row r="93" spans="1:3" ht="15.75" thickBot="1" x14ac:dyDescent="0.3">
      <c r="A93" s="215"/>
      <c r="B93" s="215"/>
      <c r="C93" s="54" t="s">
        <v>414</v>
      </c>
    </row>
    <row r="94" spans="1:3" ht="15.75" thickBot="1" x14ac:dyDescent="0.3">
      <c r="A94" s="216"/>
      <c r="B94" s="216"/>
      <c r="C94" s="54" t="s">
        <v>415</v>
      </c>
    </row>
    <row r="95" spans="1:3" ht="15.75" thickBot="1" x14ac:dyDescent="0.3">
      <c r="A95" s="214" t="s">
        <v>32</v>
      </c>
      <c r="B95" s="214" t="s">
        <v>416</v>
      </c>
      <c r="C95" s="54" t="s">
        <v>417</v>
      </c>
    </row>
    <row r="96" spans="1:3" ht="15.75" thickBot="1" x14ac:dyDescent="0.3">
      <c r="A96" s="215"/>
      <c r="B96" s="215"/>
      <c r="C96" s="54" t="s">
        <v>418</v>
      </c>
    </row>
    <row r="97" spans="1:3" ht="15.75" thickBot="1" x14ac:dyDescent="0.3">
      <c r="A97" s="215"/>
      <c r="B97" s="215"/>
      <c r="C97" s="79" t="s">
        <v>419</v>
      </c>
    </row>
    <row r="98" spans="1:3" ht="15.75" thickBot="1" x14ac:dyDescent="0.3">
      <c r="A98" s="216"/>
      <c r="B98" s="216"/>
      <c r="C98" s="54" t="s">
        <v>420</v>
      </c>
    </row>
    <row r="99" spans="1:3" ht="15.75" thickBot="1" x14ac:dyDescent="0.3">
      <c r="A99" s="214" t="s">
        <v>34</v>
      </c>
      <c r="B99" s="214" t="s">
        <v>421</v>
      </c>
      <c r="C99" s="54" t="s">
        <v>422</v>
      </c>
    </row>
    <row r="100" spans="1:3" ht="27" customHeight="1" thickBot="1" x14ac:dyDescent="0.3">
      <c r="A100" s="215"/>
      <c r="B100" s="215"/>
      <c r="C100" s="54" t="s">
        <v>423</v>
      </c>
    </row>
    <row r="101" spans="1:3" ht="40.5" customHeight="1" thickBot="1" x14ac:dyDescent="0.3">
      <c r="A101" s="216"/>
      <c r="B101" s="216"/>
      <c r="C101" s="54" t="s">
        <v>424</v>
      </c>
    </row>
    <row r="102" spans="1:3" ht="45.75" thickBot="1" x14ac:dyDescent="0.3">
      <c r="A102" s="214" t="s">
        <v>38</v>
      </c>
      <c r="B102" s="214" t="s">
        <v>425</v>
      </c>
      <c r="C102" s="54" t="s">
        <v>426</v>
      </c>
    </row>
    <row r="103" spans="1:3" ht="15.75" thickBot="1" x14ac:dyDescent="0.3">
      <c r="A103" s="215"/>
      <c r="B103" s="215"/>
      <c r="C103" s="54" t="s">
        <v>427</v>
      </c>
    </row>
    <row r="104" spans="1:3" ht="30.75" thickBot="1" x14ac:dyDescent="0.3">
      <c r="A104" s="215"/>
      <c r="B104" s="215"/>
      <c r="C104" s="54" t="s">
        <v>428</v>
      </c>
    </row>
    <row r="105" spans="1:3" ht="15.75" thickBot="1" x14ac:dyDescent="0.3">
      <c r="A105" s="215"/>
      <c r="B105" s="215"/>
      <c r="C105" s="54" t="s">
        <v>429</v>
      </c>
    </row>
    <row r="106" spans="1:3" ht="15.75" thickBot="1" x14ac:dyDescent="0.3">
      <c r="A106" s="215"/>
      <c r="B106" s="215"/>
      <c r="C106" s="54" t="s">
        <v>430</v>
      </c>
    </row>
    <row r="107" spans="1:3" ht="15.75" thickBot="1" x14ac:dyDescent="0.3">
      <c r="A107" s="215"/>
      <c r="B107" s="215"/>
      <c r="C107" s="54" t="s">
        <v>431</v>
      </c>
    </row>
    <row r="108" spans="1:3" ht="15.75" thickBot="1" x14ac:dyDescent="0.3">
      <c r="A108" s="215"/>
      <c r="B108" s="215"/>
      <c r="C108" s="54" t="s">
        <v>432</v>
      </c>
    </row>
    <row r="109" spans="1:3" ht="30.75" thickBot="1" x14ac:dyDescent="0.3">
      <c r="A109" s="216"/>
      <c r="B109" s="216"/>
      <c r="C109" s="54" t="s">
        <v>433</v>
      </c>
    </row>
    <row r="110" spans="1:3" ht="15.75" thickBot="1" x14ac:dyDescent="0.3">
      <c r="A110" s="214" t="s">
        <v>37</v>
      </c>
      <c r="B110" s="214" t="s">
        <v>434</v>
      </c>
      <c r="C110" s="54" t="s">
        <v>435</v>
      </c>
    </row>
    <row r="111" spans="1:3" ht="15.75" thickBot="1" x14ac:dyDescent="0.3">
      <c r="A111" s="215"/>
      <c r="B111" s="215"/>
      <c r="C111" s="54" t="s">
        <v>436</v>
      </c>
    </row>
    <row r="112" spans="1:3" ht="15.75" thickBot="1" x14ac:dyDescent="0.3">
      <c r="A112" s="216"/>
      <c r="B112" s="216"/>
      <c r="C112" s="54" t="s">
        <v>437</v>
      </c>
    </row>
    <row r="113" spans="1:3" ht="15.75" thickBot="1" x14ac:dyDescent="0.3">
      <c r="A113" s="214" t="s">
        <v>39</v>
      </c>
      <c r="B113" s="214" t="s">
        <v>438</v>
      </c>
      <c r="C113" s="54" t="s">
        <v>439</v>
      </c>
    </row>
    <row r="114" spans="1:3" ht="15.75" thickBot="1" x14ac:dyDescent="0.3">
      <c r="A114" s="215"/>
      <c r="B114" s="215"/>
      <c r="C114" s="54" t="s">
        <v>440</v>
      </c>
    </row>
    <row r="115" spans="1:3" ht="15.75" thickBot="1" x14ac:dyDescent="0.3">
      <c r="A115" s="215"/>
      <c r="B115" s="215"/>
      <c r="C115" s="54" t="s">
        <v>441</v>
      </c>
    </row>
    <row r="116" spans="1:3" ht="15.75" thickBot="1" x14ac:dyDescent="0.3">
      <c r="A116" s="216"/>
      <c r="B116" s="216"/>
      <c r="C116" s="54" t="s">
        <v>442</v>
      </c>
    </row>
    <row r="117" spans="1:3" ht="15.75" thickBot="1" x14ac:dyDescent="0.3">
      <c r="A117" s="214" t="s">
        <v>33</v>
      </c>
      <c r="B117" s="214" t="s">
        <v>443</v>
      </c>
      <c r="C117" s="54" t="s">
        <v>444</v>
      </c>
    </row>
    <row r="118" spans="1:3" ht="15.75" thickBot="1" x14ac:dyDescent="0.3">
      <c r="A118" s="215"/>
      <c r="B118" s="215"/>
      <c r="C118" s="54" t="s">
        <v>445</v>
      </c>
    </row>
    <row r="119" spans="1:3" ht="15.75" thickBot="1" x14ac:dyDescent="0.3">
      <c r="A119" s="215"/>
      <c r="B119" s="215"/>
      <c r="C119" s="54" t="s">
        <v>446</v>
      </c>
    </row>
    <row r="120" spans="1:3" ht="15.75" thickBot="1" x14ac:dyDescent="0.3">
      <c r="A120" s="215"/>
      <c r="B120" s="215"/>
      <c r="C120" s="54" t="s">
        <v>447</v>
      </c>
    </row>
    <row r="121" spans="1:3" ht="15.75" thickBot="1" x14ac:dyDescent="0.3">
      <c r="A121" s="215"/>
      <c r="B121" s="215"/>
      <c r="C121" s="54" t="s">
        <v>448</v>
      </c>
    </row>
    <row r="122" spans="1:3" x14ac:dyDescent="0.25">
      <c r="A122" s="215"/>
      <c r="B122" s="215"/>
      <c r="C122" s="76" t="s">
        <v>449</v>
      </c>
    </row>
    <row r="123" spans="1:3" ht="15.75" thickBot="1" x14ac:dyDescent="0.3">
      <c r="A123" s="215"/>
      <c r="B123" s="215"/>
      <c r="C123" s="54" t="s">
        <v>450</v>
      </c>
    </row>
    <row r="124" spans="1:3" ht="15.75" thickBot="1" x14ac:dyDescent="0.3">
      <c r="A124" s="216"/>
      <c r="B124" s="216"/>
      <c r="C124" s="54" t="s">
        <v>451</v>
      </c>
    </row>
    <row r="125" spans="1:3" x14ac:dyDescent="0.25">
      <c r="A125" s="80"/>
      <c r="B125" s="80"/>
      <c r="C125" s="80"/>
    </row>
    <row r="126" spans="1:3" ht="50.25" customHeight="1" x14ac:dyDescent="0.25">
      <c r="A126" s="210" t="s">
        <v>452</v>
      </c>
      <c r="B126" s="211"/>
      <c r="C126" s="211"/>
    </row>
    <row r="127" spans="1:3" ht="16.5" thickBot="1" x14ac:dyDescent="0.3">
      <c r="A127" s="77"/>
      <c r="B127"/>
      <c r="C127"/>
    </row>
    <row r="128" spans="1:3" ht="15.75" thickBot="1" x14ac:dyDescent="0.3">
      <c r="A128" s="74" t="s">
        <v>226</v>
      </c>
      <c r="B128" s="75" t="s">
        <v>325</v>
      </c>
      <c r="C128" s="75" t="s">
        <v>326</v>
      </c>
    </row>
    <row r="129" spans="1:3" ht="15.75" thickBot="1" x14ac:dyDescent="0.3">
      <c r="A129" s="214" t="s">
        <v>60</v>
      </c>
      <c r="B129" s="214" t="s">
        <v>453</v>
      </c>
      <c r="C129" s="54" t="s">
        <v>454</v>
      </c>
    </row>
    <row r="130" spans="1:3" ht="15.75" thickBot="1" x14ac:dyDescent="0.3">
      <c r="A130" s="215"/>
      <c r="B130" s="215"/>
      <c r="C130" s="54" t="s">
        <v>455</v>
      </c>
    </row>
    <row r="131" spans="1:3" ht="15.75" thickBot="1" x14ac:dyDescent="0.3">
      <c r="A131" s="215"/>
      <c r="B131" s="215"/>
      <c r="C131" s="54" t="s">
        <v>456</v>
      </c>
    </row>
    <row r="132" spans="1:3" ht="15.75" thickBot="1" x14ac:dyDescent="0.3">
      <c r="A132" s="215"/>
      <c r="B132" s="215"/>
      <c r="C132" s="54" t="s">
        <v>457</v>
      </c>
    </row>
    <row r="133" spans="1:3" ht="30.75" thickBot="1" x14ac:dyDescent="0.3">
      <c r="A133" s="216"/>
      <c r="B133" s="216"/>
      <c r="C133" s="54" t="s">
        <v>458</v>
      </c>
    </row>
    <row r="134" spans="1:3" ht="15.75" thickBot="1" x14ac:dyDescent="0.3">
      <c r="A134" s="214" t="s">
        <v>62</v>
      </c>
      <c r="B134" s="214" t="s">
        <v>459</v>
      </c>
      <c r="C134" s="54" t="s">
        <v>460</v>
      </c>
    </row>
    <row r="135" spans="1:3" ht="15.75" thickBot="1" x14ac:dyDescent="0.3">
      <c r="A135" s="215"/>
      <c r="B135" s="215"/>
      <c r="C135" s="54" t="s">
        <v>461</v>
      </c>
    </row>
    <row r="136" spans="1:3" ht="15.75" thickBot="1" x14ac:dyDescent="0.3">
      <c r="A136" s="215"/>
      <c r="B136" s="215"/>
      <c r="C136" s="54" t="s">
        <v>462</v>
      </c>
    </row>
    <row r="137" spans="1:3" ht="15.75" thickBot="1" x14ac:dyDescent="0.3">
      <c r="A137" s="215"/>
      <c r="B137" s="215"/>
      <c r="C137" s="54" t="s">
        <v>463</v>
      </c>
    </row>
    <row r="138" spans="1:3" ht="15.75" thickBot="1" x14ac:dyDescent="0.3">
      <c r="A138" s="215"/>
      <c r="B138" s="215"/>
      <c r="C138" s="54" t="s">
        <v>464</v>
      </c>
    </row>
    <row r="139" spans="1:3" ht="15.75" thickBot="1" x14ac:dyDescent="0.3">
      <c r="A139" s="215"/>
      <c r="B139" s="215"/>
      <c r="C139" s="54" t="s">
        <v>465</v>
      </c>
    </row>
    <row r="140" spans="1:3" ht="15.75" thickBot="1" x14ac:dyDescent="0.3">
      <c r="A140" s="215"/>
      <c r="B140" s="215"/>
      <c r="C140" s="54" t="s">
        <v>466</v>
      </c>
    </row>
    <row r="141" spans="1:3" ht="15.75" thickBot="1" x14ac:dyDescent="0.3">
      <c r="A141" s="215"/>
      <c r="B141" s="215"/>
      <c r="C141" s="54" t="s">
        <v>467</v>
      </c>
    </row>
    <row r="142" spans="1:3" ht="15.75" thickBot="1" x14ac:dyDescent="0.3">
      <c r="A142" s="216"/>
      <c r="B142" s="216"/>
      <c r="C142" s="54" t="s">
        <v>468</v>
      </c>
    </row>
    <row r="143" spans="1:3" ht="15.75" thickBot="1" x14ac:dyDescent="0.3">
      <c r="A143" s="214" t="s">
        <v>63</v>
      </c>
      <c r="B143" s="214" t="s">
        <v>469</v>
      </c>
      <c r="C143" s="54" t="s">
        <v>470</v>
      </c>
    </row>
    <row r="144" spans="1:3" ht="15.75" thickBot="1" x14ac:dyDescent="0.3">
      <c r="A144" s="215"/>
      <c r="B144" s="215"/>
      <c r="C144" s="54" t="s">
        <v>471</v>
      </c>
    </row>
    <row r="145" spans="1:3" ht="15.75" thickBot="1" x14ac:dyDescent="0.3">
      <c r="A145" s="215"/>
      <c r="B145" s="215"/>
      <c r="C145" s="54" t="s">
        <v>472</v>
      </c>
    </row>
    <row r="146" spans="1:3" ht="15.75" thickBot="1" x14ac:dyDescent="0.3">
      <c r="A146" s="215"/>
      <c r="B146" s="215"/>
      <c r="C146" s="54" t="s">
        <v>473</v>
      </c>
    </row>
    <row r="147" spans="1:3" ht="15.75" thickBot="1" x14ac:dyDescent="0.3">
      <c r="A147" s="215"/>
      <c r="B147" s="215"/>
      <c r="C147" s="54" t="s">
        <v>474</v>
      </c>
    </row>
    <row r="148" spans="1:3" ht="15.75" thickBot="1" x14ac:dyDescent="0.3">
      <c r="A148" s="215"/>
      <c r="B148" s="215"/>
      <c r="C148" s="54" t="s">
        <v>475</v>
      </c>
    </row>
    <row r="149" spans="1:3" ht="15.75" thickBot="1" x14ac:dyDescent="0.3">
      <c r="A149" s="215"/>
      <c r="B149" s="215"/>
      <c r="C149" s="54" t="s">
        <v>476</v>
      </c>
    </row>
    <row r="150" spans="1:3" ht="15.75" thickBot="1" x14ac:dyDescent="0.3">
      <c r="A150" s="215"/>
      <c r="B150" s="215"/>
      <c r="C150" s="54" t="s">
        <v>477</v>
      </c>
    </row>
    <row r="151" spans="1:3" ht="15.75" thickBot="1" x14ac:dyDescent="0.3">
      <c r="A151" s="216"/>
      <c r="B151" s="216"/>
      <c r="C151" s="54" t="s">
        <v>40</v>
      </c>
    </row>
    <row r="152" spans="1:3" ht="15.75" thickBot="1" x14ac:dyDescent="0.3">
      <c r="A152" s="214" t="s">
        <v>59</v>
      </c>
      <c r="B152" s="214" t="s">
        <v>478</v>
      </c>
      <c r="C152" s="54" t="s">
        <v>479</v>
      </c>
    </row>
    <row r="153" spans="1:3" ht="15.75" thickBot="1" x14ac:dyDescent="0.3">
      <c r="A153" s="215"/>
      <c r="B153" s="215"/>
      <c r="C153" s="54" t="s">
        <v>480</v>
      </c>
    </row>
    <row r="154" spans="1:3" ht="15.75" thickBot="1" x14ac:dyDescent="0.3">
      <c r="A154" s="216"/>
      <c r="B154" s="216"/>
      <c r="C154" s="54" t="s">
        <v>481</v>
      </c>
    </row>
    <row r="155" spans="1:3" ht="15.75" thickBot="1" x14ac:dyDescent="0.3">
      <c r="A155" s="214" t="s">
        <v>61</v>
      </c>
      <c r="B155" s="214" t="s">
        <v>482</v>
      </c>
      <c r="C155" s="54" t="s">
        <v>483</v>
      </c>
    </row>
    <row r="156" spans="1:3" ht="15.75" thickBot="1" x14ac:dyDescent="0.3">
      <c r="A156" s="216"/>
      <c r="B156" s="216"/>
      <c r="C156" s="54" t="s">
        <v>484</v>
      </c>
    </row>
    <row r="157" spans="1:3" ht="30.75" thickBot="1" x14ac:dyDescent="0.3">
      <c r="A157" s="46" t="s">
        <v>58</v>
      </c>
      <c r="B157" s="54" t="s">
        <v>485</v>
      </c>
      <c r="C157" s="54" t="s">
        <v>58</v>
      </c>
    </row>
    <row r="158" spans="1:3" ht="15.75" thickBot="1" x14ac:dyDescent="0.3">
      <c r="A158" s="46" t="s">
        <v>12</v>
      </c>
      <c r="B158" s="54" t="s">
        <v>486</v>
      </c>
      <c r="C158" s="54" t="s">
        <v>12</v>
      </c>
    </row>
    <row r="159" spans="1:3" ht="15.75" x14ac:dyDescent="0.25">
      <c r="A159" s="77"/>
      <c r="B159"/>
      <c r="C159"/>
    </row>
    <row r="160" spans="1:3" ht="36.75" customHeight="1" x14ac:dyDescent="0.25">
      <c r="A160" s="210" t="s">
        <v>487</v>
      </c>
      <c r="B160" s="211"/>
      <c r="C160" s="211"/>
    </row>
    <row r="161" spans="1:3" ht="16.5" thickBot="1" x14ac:dyDescent="0.3">
      <c r="A161" s="77"/>
      <c r="B161"/>
      <c r="C161"/>
    </row>
    <row r="162" spans="1:3" ht="15.75" thickBot="1" x14ac:dyDescent="0.3">
      <c r="A162" s="74" t="s">
        <v>226</v>
      </c>
      <c r="B162" s="75" t="s">
        <v>325</v>
      </c>
      <c r="C162" s="75" t="s">
        <v>326</v>
      </c>
    </row>
    <row r="163" spans="1:3" ht="30.75" thickBot="1" x14ac:dyDescent="0.3">
      <c r="A163" s="46" t="s">
        <v>44</v>
      </c>
      <c r="B163" s="54" t="s">
        <v>488</v>
      </c>
      <c r="C163" s="54" t="s">
        <v>44</v>
      </c>
    </row>
    <row r="164" spans="1:3" ht="30.75" thickBot="1" x14ac:dyDescent="0.3">
      <c r="A164" s="46" t="s">
        <v>42</v>
      </c>
      <c r="B164" s="54" t="s">
        <v>489</v>
      </c>
      <c r="C164" s="54" t="s">
        <v>42</v>
      </c>
    </row>
    <row r="165" spans="1:3" ht="15.75" thickBot="1" x14ac:dyDescent="0.3">
      <c r="A165" s="46" t="s">
        <v>41</v>
      </c>
      <c r="B165" s="54" t="s">
        <v>490</v>
      </c>
      <c r="C165" s="54" t="s">
        <v>41</v>
      </c>
    </row>
    <row r="166" spans="1:3" ht="15.75" thickBot="1" x14ac:dyDescent="0.3">
      <c r="A166" s="46" t="s">
        <v>43</v>
      </c>
      <c r="B166" s="54" t="s">
        <v>491</v>
      </c>
      <c r="C166" s="54" t="s">
        <v>43</v>
      </c>
    </row>
    <row r="167" spans="1:3" ht="30.75" thickBot="1" x14ac:dyDescent="0.3">
      <c r="A167" s="46" t="s">
        <v>40</v>
      </c>
      <c r="B167" s="54" t="s">
        <v>492</v>
      </c>
      <c r="C167" s="54" t="s">
        <v>40</v>
      </c>
    </row>
  </sheetData>
  <sheetProtection password="CDE2" sheet="1" objects="1" scenarios="1" formatColumns="0" formatRows="0"/>
  <mergeCells count="57">
    <mergeCell ref="A3:A8"/>
    <mergeCell ref="B3:B8"/>
    <mergeCell ref="A9:A12"/>
    <mergeCell ref="B9:B12"/>
    <mergeCell ref="A14:A17"/>
    <mergeCell ref="B14:B17"/>
    <mergeCell ref="C51:C52"/>
    <mergeCell ref="A60:A66"/>
    <mergeCell ref="C60:C63"/>
    <mergeCell ref="A18:A21"/>
    <mergeCell ref="B18:B21"/>
    <mergeCell ref="A27:A32"/>
    <mergeCell ref="B27:B32"/>
    <mergeCell ref="A38:A42"/>
    <mergeCell ref="C38:C42"/>
    <mergeCell ref="A82:A85"/>
    <mergeCell ref="B82:B85"/>
    <mergeCell ref="A45:A49"/>
    <mergeCell ref="B45:B49"/>
    <mergeCell ref="A51:A52"/>
    <mergeCell ref="A69:A70"/>
    <mergeCell ref="A75:A78"/>
    <mergeCell ref="B75:B78"/>
    <mergeCell ref="A79:A81"/>
    <mergeCell ref="B79:B81"/>
    <mergeCell ref="A90:A94"/>
    <mergeCell ref="B90:B94"/>
    <mergeCell ref="A95:A98"/>
    <mergeCell ref="B95:B98"/>
    <mergeCell ref="A99:A101"/>
    <mergeCell ref="B99:B101"/>
    <mergeCell ref="B129:B133"/>
    <mergeCell ref="A134:A142"/>
    <mergeCell ref="B134:B142"/>
    <mergeCell ref="A126:C126"/>
    <mergeCell ref="A102:A109"/>
    <mergeCell ref="B102:B109"/>
    <mergeCell ref="A110:A112"/>
    <mergeCell ref="B110:B112"/>
    <mergeCell ref="A113:A116"/>
    <mergeCell ref="B113:B116"/>
    <mergeCell ref="A160:C160"/>
    <mergeCell ref="A1:C1"/>
    <mergeCell ref="A34:C34"/>
    <mergeCell ref="A24:C24"/>
    <mergeCell ref="A56:C56"/>
    <mergeCell ref="A72:C72"/>
    <mergeCell ref="A87:C87"/>
    <mergeCell ref="A143:A151"/>
    <mergeCell ref="B143:B151"/>
    <mergeCell ref="A152:A154"/>
    <mergeCell ref="B152:B154"/>
    <mergeCell ref="A155:A156"/>
    <mergeCell ref="B155:B156"/>
    <mergeCell ref="A117:A124"/>
    <mergeCell ref="B117:B124"/>
    <mergeCell ref="A129:A133"/>
  </mergeCells>
  <pageMargins left="0.25" right="0.25" top="0.75" bottom="0.75" header="0.3" footer="0.3"/>
  <pageSetup scale="81" fitToHeight="7" orientation="landscape"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55</vt:i4>
      </vt:variant>
      <vt:variant>
        <vt:lpstr>Named Ranges</vt:lpstr>
      </vt:variant>
      <vt:variant>
        <vt:i4>57</vt:i4>
      </vt:variant>
    </vt:vector>
  </HeadingPairs>
  <TitlesOfParts>
    <vt:vector size="112" baseType="lpstr">
      <vt:lpstr>Instructions</vt:lpstr>
      <vt:lpstr>Title Page</vt:lpstr>
      <vt:lpstr>Approval and Documentation</vt:lpstr>
      <vt:lpstr>Summaries</vt:lpstr>
      <vt:lpstr>New Products</vt:lpstr>
      <vt:lpstr>Off-Balance Sheet</vt:lpstr>
      <vt:lpstr>Emerging and Loss Data</vt:lpstr>
      <vt:lpstr>Audit Findings</vt:lpstr>
      <vt:lpstr>Assessments</vt:lpstr>
      <vt:lpstr>Metrics</vt:lpstr>
      <vt:lpstr>Sheet5</vt:lpstr>
      <vt:lpstr>Dropdowns</vt:lpstr>
      <vt:lpstr>Entity Material Risk Inventory</vt:lpstr>
      <vt:lpstr>Risk Inventory</vt:lpstr>
      <vt:lpstr>1</vt:lpstr>
      <vt:lpstr>2</vt:lpstr>
      <vt:lpstr>3</vt:lpstr>
      <vt:lpstr>4</vt:lpstr>
      <vt:lpstr>5</vt:lpstr>
      <vt:lpstr>6</vt:lpstr>
      <vt:lpstr>7</vt:lpstr>
      <vt:lpstr>8</vt:lpstr>
      <vt:lpstr>9</vt:lpstr>
      <vt:lpstr>10</vt:lpstr>
      <vt:lpstr>11</vt:lpstr>
      <vt:lpstr>12</vt:lpstr>
      <vt:lpstr>13</vt:lpstr>
      <vt:lpstr>14</vt:lpstr>
      <vt:lpstr>15</vt:lpstr>
      <vt:lpstr>16</vt:lpstr>
      <vt:lpstr>17</vt:lpstr>
      <vt:lpstr>18</vt:lpstr>
      <vt:lpstr>19</vt:lpstr>
      <vt:lpstr>20</vt:lpstr>
      <vt:lpstr>21</vt:lpstr>
      <vt:lpstr>22</vt:lpstr>
      <vt:lpstr>23</vt:lpstr>
      <vt:lpstr>24</vt:lpstr>
      <vt:lpstr>25</vt:lpstr>
      <vt:lpstr>26</vt:lpstr>
      <vt:lpstr>27</vt:lpstr>
      <vt:lpstr>28</vt:lpstr>
      <vt:lpstr>29</vt:lpstr>
      <vt:lpstr>30</vt:lpstr>
      <vt:lpstr>31</vt:lpstr>
      <vt:lpstr>32</vt:lpstr>
      <vt:lpstr>33</vt:lpstr>
      <vt:lpstr>34</vt:lpstr>
      <vt:lpstr>35</vt:lpstr>
      <vt:lpstr>36</vt:lpstr>
      <vt:lpstr>37</vt:lpstr>
      <vt:lpstr>38</vt:lpstr>
      <vt:lpstr>39</vt:lpstr>
      <vt:lpstr>40</vt:lpstr>
      <vt:lpstr>Appendix - Risks</vt:lpstr>
      <vt:lpstr>'Emerging and Loss Data'!_Toc415665089</vt:lpstr>
      <vt:lpstr>'Audit Findings'!_Toc415665090</vt:lpstr>
      <vt:lpstr>BEntity</vt:lpstr>
      <vt:lpstr>Compliance</vt:lpstr>
      <vt:lpstr>ControlSuite</vt:lpstr>
      <vt:lpstr>Credit</vt:lpstr>
      <vt:lpstr>Drivers</vt:lpstr>
      <vt:lpstr>IR</vt:lpstr>
      <vt:lpstr>Liquidity</vt:lpstr>
      <vt:lpstr>Market</vt:lpstr>
      <vt:lpstr>Model</vt:lpstr>
      <vt:lpstr>Operational</vt:lpstr>
      <vt:lpstr>'1'!Print_Area</vt:lpstr>
      <vt:lpstr>'10'!Print_Area</vt:lpstr>
      <vt:lpstr>'11'!Print_Area</vt:lpstr>
      <vt:lpstr>'12'!Print_Area</vt:lpstr>
      <vt:lpstr>'13'!Print_Area</vt:lpstr>
      <vt:lpstr>'14'!Print_Area</vt:lpstr>
      <vt:lpstr>'15'!Print_Area</vt:lpstr>
      <vt:lpstr>'16'!Print_Area</vt:lpstr>
      <vt:lpstr>'17'!Print_Area</vt:lpstr>
      <vt:lpstr>'18'!Print_Area</vt:lpstr>
      <vt:lpstr>'19'!Print_Area</vt:lpstr>
      <vt:lpstr>'2'!Print_Area</vt:lpstr>
      <vt:lpstr>'20'!Print_Area</vt:lpstr>
      <vt:lpstr>'21'!Print_Area</vt:lpstr>
      <vt:lpstr>'22'!Print_Area</vt:lpstr>
      <vt:lpstr>'23'!Print_Area</vt:lpstr>
      <vt:lpstr>'24'!Print_Area</vt:lpstr>
      <vt:lpstr>'25'!Print_Area</vt:lpstr>
      <vt:lpstr>'26'!Print_Area</vt:lpstr>
      <vt:lpstr>'27'!Print_Area</vt:lpstr>
      <vt:lpstr>'28'!Print_Area</vt:lpstr>
      <vt:lpstr>'29'!Print_Area</vt:lpstr>
      <vt:lpstr>'3'!Print_Area</vt:lpstr>
      <vt:lpstr>'30'!Print_Area</vt:lpstr>
      <vt:lpstr>'5'!Print_Area</vt:lpstr>
      <vt:lpstr>'6'!Print_Area</vt:lpstr>
      <vt:lpstr>'7'!Print_Area</vt:lpstr>
      <vt:lpstr>'8'!Print_Area</vt:lpstr>
      <vt:lpstr>'9'!Print_Area</vt:lpstr>
      <vt:lpstr>'Appendix - Risks'!Print_Area</vt:lpstr>
      <vt:lpstr>'Approval and Documentation'!Print_Area</vt:lpstr>
      <vt:lpstr>Assessments!Print_Area</vt:lpstr>
      <vt:lpstr>'Audit Findings'!Print_Area</vt:lpstr>
      <vt:lpstr>'Emerging and Loss Data'!Print_Area</vt:lpstr>
      <vt:lpstr>'Entity Material Risk Inventory'!Print_Area</vt:lpstr>
      <vt:lpstr>Instructions!Print_Area</vt:lpstr>
      <vt:lpstr>Metrics!Print_Area</vt:lpstr>
      <vt:lpstr>'New Products'!Print_Area</vt:lpstr>
      <vt:lpstr>'Risk Inventory'!Print_Area</vt:lpstr>
      <vt:lpstr>'Title Page'!Print_Area</vt:lpstr>
      <vt:lpstr>QRM</vt:lpstr>
      <vt:lpstr>Reputational</vt:lpstr>
      <vt:lpstr>Risk</vt:lpstr>
      <vt:lpstr>Risk2</vt:lpstr>
      <vt:lpstr>Strategic</vt:lpstr>
    </vt:vector>
  </TitlesOfParts>
  <Company>Sovereign Bank</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Christie, John D</dc:creator>
  <cp:lastModifiedBy>Christie, John D</cp:lastModifiedBy>
  <cp:lastPrinted>2015-05-07T18:02:22Z</cp:lastPrinted>
  <dcterms:created xsi:type="dcterms:W3CDTF">2015-03-19T18:31:05Z</dcterms:created>
  <dcterms:modified xsi:type="dcterms:W3CDTF">2015-05-08T19:54:16Z</dcterms:modified>
</cp:coreProperties>
</file>